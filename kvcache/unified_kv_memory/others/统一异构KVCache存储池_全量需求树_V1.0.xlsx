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3c69329d8a46d6" /></Relationships>
</file>

<file path=xl/workbook.xml><?xml version="1.0" encoding="utf-8"?>
<x:workbook xmlns:x="http://schemas.openxmlformats.org/spreadsheetml/2006/main">
  <x:sheets>
    <x:sheet xmlns:r="http://schemas.openxmlformats.org/officeDocument/2006/relationships" name="需求树总览" sheetId="1" r:id="R87ccbb94d7a74e75"/>
    <x:sheet xmlns:r="http://schemas.openxmlformats.org/officeDocument/2006/relationships" name="SF-IR-SR定义" sheetId="2" r:id="R7c723714b90f4840"/>
    <x:sheet xmlns:r="http://schemas.openxmlformats.org/officeDocument/2006/relationships" name="层级树" sheetId="3" r:id="R2abdd42454de4b5c"/>
    <x:sheet xmlns:r="http://schemas.openxmlformats.org/officeDocument/2006/relationships" name="AR全量追溯" sheetId="4" r:id="R4745332f00f3412c"/>
    <x:sheet xmlns:r="http://schemas.openxmlformats.org/officeDocument/2006/relationships" name="覆盖与质量" sheetId="5" r:id="R0110d495c56b4db8"/>
    <x:sheet xmlns:r="http://schemas.openxmlformats.org/officeDocument/2006/relationships" name="使用说明" sheetId="6" r:id="R6925bc5b130741be"/>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8"/>
      <x:color rgb="FFFFFFFF"/>
      <x:name val="Microsoft YaHei"/>
    </x:font>
    <x:font>
      <x:sz val="10"/>
      <x:color rgb="FF2F5597"/>
      <x:name val="Microsoft YaHei"/>
    </x:font>
    <x:font>
      <x:b/>
      <x:sz val="10"/>
      <x:color rgb="FFFFFFFF"/>
      <x:name val="Microsoft YaHei"/>
    </x:font>
    <x:font>
      <x:sz val="9"/>
      <x:color rgb="FF1F1F1F"/>
      <x:name val="Microsoft YaHei"/>
    </x:font>
    <x:font>
      <x:b/>
      <x:sz val="11"/>
      <x:color rgb="FFFFFFFF"/>
      <x:name val="Carlito"/>
    </x:font>
    <x:font>
      <x:sz val="10"/>
      <x:color rgb="FF17365D"/>
      <x:name val="Carlito"/>
    </x:font>
    <x:font>
      <x:b/>
      <x:sz val="11"/>
      <x:color rgb="FF375623"/>
      <x:name val="Carlito"/>
    </x:font>
    <x:font>
      <x:sz val="11"/>
      <x:name val="Microsoft YaHei"/>
    </x:font>
    <x:font>
      <x:b/>
      <x:sz val="11"/>
      <x:color rgb="FFFFFFFF"/>
      <x:name val="Microsoft YaHei"/>
    </x:font>
    <x:font>
      <x:sz val="10"/>
      <x:color rgb="FF17365D"/>
      <x:name val="Microsoft YaHei"/>
    </x:font>
    <x:font>
      <x:b/>
      <x:sz val="11"/>
      <x:color rgb="FF375623"/>
      <x:name val="Microsoft YaHei"/>
    </x:font>
    <x:font>
      <x:b/>
      <x:sz val="10"/>
      <x:color rgb="FF17365D"/>
      <x:name val="Microsoft YaHei"/>
    </x:font>
    <x:font>
      <x:b/>
      <x:sz val="11"/>
      <x:color rgb="FF7F6000"/>
      <x:name val="Carlito"/>
    </x:font>
    <x:font>
      <x:b/>
      <x:sz val="9"/>
      <x:color rgb="FF17365D"/>
      <x:name val="Microsoft YaHei"/>
    </x:font>
  </x:fonts>
  <x:fills count="8">
    <x:fill>
      <x:patternFill patternType="none"/>
    </x:fill>
    <x:fill>
      <x:patternFill patternType="gray125"/>
    </x:fill>
    <x:fill>
      <x:patternFill patternType="solid">
        <x:fgColor rgb="FF17365D"/>
      </x:patternFill>
    </x:fill>
    <x:fill>
      <x:patternFill patternType="solid">
        <x:fgColor rgb="FFEEF4F9"/>
      </x:patternFill>
    </x:fill>
    <x:fill>
      <x:patternFill patternType="solid">
        <x:fgColor rgb="FF2F5597"/>
      </x:patternFill>
    </x:fill>
    <x:fill>
      <x:patternFill patternType="solid">
        <x:fgColor rgb="FFE2F0D9"/>
      </x:patternFill>
    </x:fill>
    <x:fill>
      <x:patternFill patternType="solid">
        <x:fgColor rgb="FFFFFFFF"/>
      </x:patternFill>
    </x:fill>
    <x:fill>
      <x:patternFill patternType="solid">
        <x:fgColor rgb="FFFFF2CC"/>
      </x:patternFill>
    </x:fill>
  </x:fills>
  <x:borders count="12">
    <x:border/>
    <x:border>
      <x:left style="thin">
        <x:color rgb="FFD9D9D9"/>
      </x:left>
      <x:right style="thin">
        <x:color rgb="FFD9D9D9"/>
      </x:right>
      <x:top style="thin">
        <x:color rgb="FFD9D9D9"/>
      </x:top>
      <x:bottom style="thin">
        <x:color rgb="FFD9D9D9"/>
      </x:bottom>
    </x:border>
    <x:border>
      <x:bottom style="thin">
        <x:color rgb="FFD9D9D9"/>
      </x:bottom>
    </x:border>
    <x:border>
      <x:top style="thin">
        <x:color rgb="FFD9D9D9"/>
      </x:top>
      <x:bottom style="thin">
        <x:color rgb="FFD9D9D9"/>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left"/>
    </x:xf>
    <x:xf numFmtId="0" fontId="6" fillId="3" borderId="0" xfId="0" applyNumberFormat="1" applyFont="1" applyFill="1" applyBorder="1"/>
    <x:xf numFmtId="0" fontId="6" fillId="3" borderId="4" xfId="0" applyNumberFormat="1" applyFont="1" applyFill="1" applyBorder="1"/>
    <x:xf numFmtId="0" fontId="6" fillId="3" borderId="5" xfId="0" applyNumberFormat="1" applyFont="1" applyFill="1" applyBorder="1"/>
    <x:xf numFmtId="0" fontId="6" fillId="3" borderId="6" xfId="0" applyNumberFormat="1" applyFont="1" applyFill="1" applyBorder="1"/>
    <x:xf numFmtId="0" fontId="6" fillId="3" borderId="7" xfId="0" applyNumberFormat="1" applyFont="1" applyFill="1" applyBorder="1"/>
    <x:xf numFmtId="0" fontId="6" fillId="3" borderId="8" xfId="0" applyNumberFormat="1" applyFont="1" applyFill="1" applyBorder="1"/>
    <x:xf numFmtId="0" fontId="6" fillId="3" borderId="9" xfId="0" applyNumberFormat="1" applyFont="1" applyFill="1" applyBorder="1"/>
    <x:xf numFmtId="0" fontId="6" fillId="3" borderId="10" xfId="0" applyNumberFormat="1" applyFont="1" applyFill="1" applyBorder="1"/>
    <x:xf numFmtId="0" fontId="6" fillId="3" borderId="11" xfId="0" applyNumberFormat="1" applyFont="1" applyFill="1" applyBorder="1"/>
    <x:xf numFmtId="0" fontId="6" fillId="3" borderId="4" xfId="0" applyNumberFormat="1" applyFont="1" applyFill="1" applyBorder="1" applyAlignment="1">
      <x:alignment wrapText="1"/>
    </x:xf>
    <x:xf numFmtId="0" fontId="6" fillId="3" borderId="5" xfId="0" applyNumberFormat="1" applyFont="1" applyFill="1" applyBorder="1" applyAlignment="1">
      <x:alignment wrapText="1"/>
    </x:xf>
    <x:xf numFmtId="0" fontId="6" fillId="3" borderId="6" xfId="0" applyNumberFormat="1" applyFont="1" applyFill="1" applyBorder="1" applyAlignment="1">
      <x:alignment wrapText="1"/>
    </x:xf>
    <x:xf numFmtId="0" fontId="6" fillId="3" borderId="7"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8" xfId="0" applyNumberFormat="1" applyFont="1" applyFill="1" applyBorder="1" applyAlignment="1">
      <x:alignment wrapText="1"/>
    </x:xf>
    <x:xf numFmtId="0" fontId="6" fillId="3" borderId="9" xfId="0" applyNumberFormat="1" applyFont="1" applyFill="1" applyBorder="1" applyAlignment="1">
      <x:alignment wrapText="1"/>
    </x:xf>
    <x:xf numFmtId="0" fontId="6" fillId="3" borderId="10" xfId="0" applyNumberFormat="1" applyFont="1" applyFill="1" applyBorder="1" applyAlignment="1">
      <x:alignment wrapText="1"/>
    </x:xf>
    <x:xf numFmtId="0" fontId="6" fillId="3" borderId="11" xfId="0" applyNumberFormat="1" applyFont="1" applyFill="1" applyBorder="1" applyAlignment="1">
      <x:alignment wrapText="1"/>
    </x:xf>
    <x:xf numFmtId="0" fontId="6" fillId="3" borderId="4" xfId="0" applyNumberFormat="1" applyFont="1" applyFill="1" applyBorder="1" applyAlignment="1">
      <x:alignment vertical="top" wrapText="1"/>
    </x:xf>
    <x:xf numFmtId="0" fontId="6" fillId="3" borderId="5" xfId="0" applyNumberFormat="1" applyFont="1" applyFill="1" applyBorder="1" applyAlignment="1">
      <x:alignment vertical="top" wrapText="1"/>
    </x:xf>
    <x:xf numFmtId="0" fontId="6" fillId="3" borderId="6" xfId="0" applyNumberFormat="1" applyFont="1" applyFill="1" applyBorder="1" applyAlignment="1">
      <x:alignment vertical="top" wrapText="1"/>
    </x:xf>
    <x:xf numFmtId="0" fontId="6" fillId="3" borderId="7"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8" xfId="0" applyNumberFormat="1" applyFont="1" applyFill="1" applyBorder="1" applyAlignment="1">
      <x:alignment vertical="top" wrapText="1"/>
    </x:xf>
    <x:xf numFmtId="0" fontId="6" fillId="3" borderId="9" xfId="0" applyNumberFormat="1" applyFont="1" applyFill="1" applyBorder="1" applyAlignment="1">
      <x:alignment vertical="top" wrapText="1"/>
    </x:xf>
    <x:xf numFmtId="0" fontId="6" fillId="3" borderId="10" xfId="0" applyNumberFormat="1" applyFont="1" applyFill="1" applyBorder="1" applyAlignment="1">
      <x:alignment vertical="top" wrapText="1"/>
    </x:xf>
    <x:xf numFmtId="0" fontId="6" fillId="3" borderId="11"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8" fillId="0" borderId="0" xfId="0" applyNumberFormat="1" applyFont="1" applyFill="1" applyBorder="1"/>
    <x:xf numFmtId="0" fontId="9" fillId="4" borderId="0" xfId="0" applyNumberFormat="1" applyFont="1" applyFill="1" applyBorder="1" applyAlignment="1">
      <x:alignment horizontal="left"/>
    </x:xf>
    <x:xf numFmtId="0" fontId="10" fillId="3" borderId="4" xfId="0" applyNumberFormat="1" applyFont="1" applyFill="1" applyBorder="1" applyAlignment="1">
      <x:alignment vertical="top" wrapText="1"/>
    </x:xf>
    <x:xf numFmtId="0" fontId="10" fillId="3" borderId="5" xfId="0" applyNumberFormat="1" applyFont="1" applyFill="1" applyBorder="1" applyAlignment="1">
      <x:alignment vertical="top" wrapText="1"/>
    </x:xf>
    <x:xf numFmtId="0" fontId="10" fillId="3" borderId="6" xfId="0" applyNumberFormat="1" applyFont="1" applyFill="1" applyBorder="1" applyAlignment="1">
      <x:alignment vertical="top" wrapText="1"/>
    </x:xf>
    <x:xf numFmtId="0" fontId="10" fillId="3" borderId="7"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10" fillId="3" borderId="8" xfId="0" applyNumberFormat="1" applyFont="1" applyFill="1" applyBorder="1" applyAlignment="1">
      <x:alignment vertical="top" wrapText="1"/>
    </x:xf>
    <x:xf numFmtId="0" fontId="10" fillId="3" borderId="9" xfId="0" applyNumberFormat="1" applyFont="1" applyFill="1" applyBorder="1" applyAlignment="1">
      <x:alignment vertical="top" wrapText="1"/>
    </x:xf>
    <x:xf numFmtId="0" fontId="10" fillId="3" borderId="10" xfId="0" applyNumberFormat="1" applyFont="1" applyFill="1" applyBorder="1" applyAlignment="1">
      <x:alignment vertical="top" wrapText="1"/>
    </x:xf>
    <x:xf numFmtId="0" fontId="10" fillId="3" borderId="11" xfId="0" applyNumberFormat="1" applyFont="1" applyFill="1" applyBorder="1" applyAlignment="1">
      <x:alignment vertical="top" wrapText="1"/>
    </x:xf>
    <x:xf numFmtId="0" fontId="11" fillId="5" borderId="0" xfId="0" applyNumberFormat="1" applyFont="1" applyFill="1" applyBorder="1" applyAlignment="1">
      <x:alignment wrapText="1"/>
    </x:xf>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vertical="top" wrapText="1"/>
    </x:xf>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top" wrapText="1"/>
    </x:xf>
    <x:xf numFmtId="0" fontId="12" fillId="3" borderId="0" xfId="0" applyNumberFormat="1" applyFont="1" applyFill="1" applyBorder="1"/>
    <x:xf numFmtId="0" fontId="12" fillId="3" borderId="2" xfId="0" applyNumberFormat="1" applyFont="1" applyFill="1" applyBorder="1"/>
    <x:xf numFmtId="0" fontId="12" fillId="3" borderId="2" xfId="0" applyNumberFormat="1" applyFont="1" applyFill="1" applyBorder="1" applyAlignment="1">
      <x:alignment wrapText="1"/>
    </x:xf>
    <x:xf numFmtId="0" fontId="12" fillId="3" borderId="2"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2" xfId="0" applyNumberFormat="1" applyFont="1" applyFill="1" applyBorder="1" applyAlignment="1">
      <x:alignment wrapText="1"/>
    </x:xf>
    <x:xf numFmtId="0" fontId="4" fillId="6" borderId="2" xfId="0" applyNumberFormat="1" applyFont="1" applyFill="1" applyBorder="1" applyAlignment="1">
      <x:alignment vertical="top" wrapText="1"/>
    </x:xf>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14" fillId="3" borderId="2" xfId="0" applyNumberFormat="1" applyFont="1" applyFill="1" applyBorder="1" applyAlignment="1">
      <x:alignment vertical="top" wrapText="1"/>
    </x:xf>
    <x:xf numFmtId="0" fontId="14" fillId="3" borderId="3" xfId="0" applyNumberFormat="1" applyFont="1" applyFill="1" applyBorder="1" applyAlignment="1">
      <x:alignment vertical="top" wrapText="1"/>
    </x:xf>
  </x:cellXfs>
  <x:cellStyles count="1">
    <x:cellStyle name="Normal" xfId="0"/>
  </x:cellStyles>
  <x:dxfs count="6">
    <x:dxf>
      <x:font>
        <x:b/>
        <x:color rgb="FF9C0006"/>
      </x:font>
      <x:fill>
        <x:patternFill patternType="solid">
          <x:bgColor rgb="FFFCE4D6"/>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b7800023d740a8" /><Relationship Type="http://schemas.openxmlformats.org/officeDocument/2006/relationships/theme" Target="/xl/theme/theme1.xml" Id="R1bf7a6b9c6594b07" /><Relationship Type="http://schemas.openxmlformats.org/officeDocument/2006/relationships/sharedStrings" Target="/xl/sharedStrings.xml" Id="R4bec750b2df64439" /><Relationship Type="http://schemas.openxmlformats.org/officeDocument/2006/relationships/worksheet" Target="/xl/worksheets/sheet1.xml" Id="R87ccbb94d7a74e75" /><Relationship Type="http://schemas.openxmlformats.org/officeDocument/2006/relationships/worksheet" Target="/xl/worksheets/sheet2.xml" Id="R7c723714b90f4840" /><Relationship Type="http://schemas.openxmlformats.org/officeDocument/2006/relationships/worksheet" Target="/xl/worksheets/sheet3.xml" Id="R2abdd42454de4b5c" /><Relationship Type="http://schemas.openxmlformats.org/officeDocument/2006/relationships/worksheet" Target="/xl/worksheets/sheet4.xml" Id="R4745332f00f3412c" /><Relationship Type="http://schemas.openxmlformats.org/officeDocument/2006/relationships/worksheet" Target="/xl/worksheets/sheet5.xml" Id="R0110d495c56b4db8" /><Relationship Type="http://schemas.openxmlformats.org/officeDocument/2006/relationships/worksheet" Target="/xl/worksheets/sheet6.xml" Id="R6925bc5b130741be" /></Relationships>
</file>

<file path=xl/tables/table1.xml><?xml version="1.0" encoding="utf-8"?>
<x:table xmlns:x="http://schemas.openxmlformats.org/spreadsheetml/2006/main" id="1" name="UpperRequirementsTable" displayName="UpperRequirementsTable" ref="A4:K79" headerRowCount="1" totalsRowCount="0" totalsRowShown="0">
  <x:tableColumns count="11">
    <x:tableColumn id="1" name="节点类型"/>
    <x:tableColumn id="2" name="节点ID"/>
    <x:tableColumn id="3" name="父节点ID"/>
    <x:tableColumn id="4" name="节点名称"/>
    <x:tableColumn id="5" name="需求陈述"/>
    <x:tableColumn id="6" name="验收意图"/>
    <x:tableColumn id="7" name="分配AR数"/>
    <x:tableColumn id="8" name="直接子节点数"/>
    <x:tableColumn id="9" name="主责任域"/>
    <x:tableColumn id="10" name="状态"/>
    <x:tableColumn id="11" name="统计键"/>
  </x:tableColumns>
  <x:tableStyleInfo name="TableStyleMedium2" showFirstColumn="0" showLastColumn="0" showRowStripes="1" showColumnStripes="0"/>
</x:table>
</file>

<file path=xl/tables/table2.xml><?xml version="1.0" encoding="utf-8"?>
<x:table xmlns:x="http://schemas.openxmlformats.org/spreadsheetml/2006/main" id="3" name="RequirementTreeTable" displayName="RequirementTreeTable" ref="A4:J223" headerRowCount="1" totalsRowCount="0" totalsRowShown="0">
  <x:tableColumns count="10">
    <x:tableColumn id="1" name="排序路径"/>
    <x:tableColumn id="2" name="深度"/>
    <x:tableColumn id="3" name="节点类型"/>
    <x:tableColumn id="4" name="节点ID"/>
    <x:tableColumn id="5" name="父节点ID"/>
    <x:tableColumn id="6" name="树形显示"/>
    <x:tableColumn id="7" name="节点名称/需求摘要"/>
    <x:tableColumn id="8" name="下辖AR数"/>
    <x:tableColumn id="9" name="主责任/分配层级"/>
    <x:tableColumn id="10" name="来源"/>
  </x:tableColumns>
  <x:tableStyleInfo name="TableStyleMedium2" showFirstColumn="0" showLastColumn="0" showRowStripes="1" showColumnStripes="0"/>
</x:table>
</file>

<file path=xl/tables/table3.xml><?xml version="1.0" encoding="utf-8"?>
<x:table xmlns:x="http://schemas.openxmlformats.org/spreadsheetml/2006/main" id="2" name="AllocatedRequirementsTable" displayName="AllocatedRequirementsTable" ref="A4:W148" headerRowCount="1" totalsRowCount="0" totalsRowShown="0">
  <x:tableColumns count="23">
    <x:tableColumn id="1" name="序号"/>
    <x:tableColumn id="2" name="AR ID"/>
    <x:tableColumn id="3" name="SF ID"/>
    <x:tableColumn id="4" name="SF名称"/>
    <x:tableColumn id="5" name="IR ID"/>
    <x:tableColumn id="6" name="IR名称"/>
    <x:tableColumn id="7" name="SR ID"/>
    <x:tableColumn id="8" name="SR名称"/>
    <x:tableColumn id="9" name="来源SRS ID"/>
    <x:tableColumn id="10" name="分配层级"/>
    <x:tableColumn id="11" name="核心模块"/>
    <x:tableColumn id="12" name="优先级"/>
    <x:tableColumn id="13" name="阶段覆盖"/>
    <x:tableColumn id="14" name="软硬归属"/>
    <x:tableColumn id="15" name="场景"/>
    <x:tableColumn id="16" name="AR需求陈述"/>
    <x:tableColumn id="17" name="功能/性能目标"/>
    <x:tableColumn id="18" name="验收方法与指标"/>
    <x:tableColumn id="19" name="技术难点"/>
    <x:tableColumn id="20" name="研发实施要点"/>
    <x:tableColumn id="21" name="父节点检查"/>
    <x:tableColumn id="22" name="ID唯一性检查"/>
    <x:tableColumn id="23" name="完整路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9b978016d04df8" /></Relationships>
</file>

<file path=xl/worksheets/_rels/sheet3.xml.rels>&#65279;<?xml version="1.0" encoding="utf-8"?><Relationships xmlns="http://schemas.openxmlformats.org/package/2006/relationships"><Relationship Type="http://schemas.openxmlformats.org/officeDocument/2006/relationships/table" Target="/xl/tables/table2.xml" Id="Rf44babf5677545bc" /></Relationships>
</file>

<file path=xl/worksheets/_rels/sheet4.xml.rels>&#65279;<?xml version="1.0" encoding="utf-8"?><Relationships xmlns="http://schemas.openxmlformats.org/package/2006/relationships"><Relationship Type="http://schemas.openxmlformats.org/officeDocument/2006/relationships/table" Target="/xl/tables/table3.xml" Id="R7d2656d179264666"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50" hidden="0" customWidth="1"/>
    <x:col min="4" max="4" width="11" hidden="0" customWidth="1"/>
    <x:col min="5" max="5" width="23" hidden="0" customWidth="1"/>
    <x:col min="6" max="6" width="22" hidden="0" customWidth="1"/>
    <x:col min="7" max="7" width="3" hidden="0" customWidth="1"/>
    <x:col min="8" max="8" width="18" hidden="0" customWidth="1"/>
    <x:col min="9" max="9" width="18" hidden="0" customWidth="1"/>
    <x:col min="10" max="10" width="18" hidden="0" customWidth="1"/>
  </x:cols>
  <x:sheetData>
    <x:row r="1" ht="34" customHeight="1">
      <x:c r="A1" s="4" t="str">
        <x:v>统一异构KVCache存储池第一版全量需求树</x:v>
      </x:c>
      <x:c r="B1" s="4"/>
      <x:c r="C1" s="4"/>
      <x:c r="D1" s="4"/>
      <x:c r="E1" s="4"/>
      <x:c r="F1" s="4"/>
      <x:c r="G1" s="4"/>
      <x:c r="H1" s="4"/>
      <x:c r="I1" s="4"/>
      <x:c r="J1" s="4"/>
    </x:row>
    <x:row r="2" ht="30" customHeight="1">
      <x:c r="A2" s="8" t="str">
        <x:v>基线：KVCache SRS V2.2传输底座视角建议修订版｜模型：SF → IR → SR → AR｜日期：2026-07-17</x:v>
      </x:c>
      <x:c r="B2" s="8"/>
      <x:c r="C2" s="8"/>
      <x:c r="D2" s="8"/>
      <x:c r="E2" s="8"/>
      <x:c r="F2" s="8"/>
      <x:c r="G2" s="8"/>
      <x:c r="H2" s="8"/>
      <x:c r="I2" s="8"/>
      <x:c r="J2" s="8"/>
    </x:row>
    <x:row r="3">
      <x:c r="A3" s="54"/>
      <x:c r="B3" s="54"/>
      <x:c r="C3" s="54"/>
      <x:c r="D3" s="54"/>
      <x:c r="E3" s="54"/>
      <x:c r="F3" s="54"/>
      <x:c r="G3" s="54"/>
      <x:c r="H3" s="54"/>
      <x:c r="I3" s="54"/>
      <x:c r="J3" s="54"/>
    </x:row>
    <x:row r="4" ht="30" customHeight="1">
      <x:c r="A4" s="13" t="str">
        <x:v>层级</x:v>
      </x:c>
      <x:c r="B4" s="13" t="str">
        <x:v>中文名称</x:v>
      </x:c>
      <x:c r="C4" s="13" t="str">
        <x:v>定义</x:v>
      </x:c>
      <x:c r="D4" s="13" t="str">
        <x:v>本版数量</x:v>
      </x:c>
      <x:c r="E4" s="13" t="str">
        <x:v>编号规则</x:v>
      </x:c>
      <x:c r="F4" s="13" t="str">
        <x:v>管理要求</x:v>
      </x:c>
      <x:c r="G4" s="54"/>
      <x:c r="H4" s="55" t="str">
        <x:v>第一版建树原则</x:v>
      </x:c>
      <x:c r="I4" s="55"/>
      <x:c r="J4" s="55"/>
    </x:row>
    <x:row r="5">
      <x:c r="A5" s="19" t="str">
        <x:v>SF</x:v>
      </x:c>
      <x:c r="B5" s="19" t="str">
        <x:v>系统特性</x:v>
      </x:c>
      <x:c r="C5" s="19" t="str">
        <x:v>面向客户和系统边界的高层能力集合</x:v>
      </x:c>
      <x:c r="D5" s="19" t="n">
        <x:v>6</x:v>
      </x:c>
      <x:c r="E5" s="19" t="str">
        <x:v>SF-##</x:v>
      </x:c>
      <x:c r="F5" s="19" t="str">
        <x:v>回答系统提供什么整体能力</x:v>
      </x:c>
      <x:c r="G5" s="54"/>
      <x:c r="H5" s="56" t="str">
        <x:v>1. 144条V2.2需求全部作为AR叶子，不删除、不合并。
2. 每条AR仅指定一个主SR父节点，保证树结构可计算。
3. 横向模块、软硬归属、阶段和优先级作为交叉属性保留。
4. SF/IR/SR为本版新增的需求工程上层语义，需要在评审后冻结。
5. 后续新增AR必须先选择SR；新增SR必须说明对应IR和验收意图。</x:v>
      </x:c>
      <x:c r="I5" s="57"/>
      <x:c r="J5" s="58"/>
    </x:row>
    <x:row r="6">
      <x:c r="A6" s="20" t="str">
        <x:v>IR</x:v>
      </x:c>
      <x:c r="B6" s="20" t="str">
        <x:v>初始需求</x:v>
      </x:c>
      <x:c r="C6" s="20" t="str">
        <x:v>由项目宗旨、业务场景和利益相关方诉求形成的原始需要</x:v>
      </x:c>
      <x:c r="D6" s="20" t="n">
        <x:v>21</x:v>
      </x:c>
      <x:c r="E6" s="20" t="str">
        <x:v>IR-SF序号-##</x:v>
      </x:c>
      <x:c r="F6" s="20" t="str">
        <x:v>回答为什么需要以及业务期望</x:v>
      </x:c>
      <x:c r="G6" s="54"/>
      <x:c r="H6" s="59"/>
      <x:c r="I6" s="60"/>
      <x:c r="J6" s="61"/>
    </x:row>
    <x:row r="7">
      <x:c r="A7" s="20" t="str">
        <x:v>SR</x:v>
      </x:c>
      <x:c r="B7" s="20" t="str">
        <x:v>系统需求</x:v>
      </x:c>
      <x:c r="C7" s="20" t="str">
        <x:v>系统为满足IR必须具备的可验证功能、性能或约束</x:v>
      </x:c>
      <x:c r="D7" s="20" t="n">
        <x:v>48</x:v>
      </x:c>
      <x:c r="E7" s="20" t="str">
        <x:v>SR-SF序号-IR序号-##</x:v>
      </x:c>
      <x:c r="F7" s="20" t="str">
        <x:v>回答系统必须做什么</x:v>
      </x:c>
      <x:c r="G7" s="54"/>
      <x:c r="H7" s="59"/>
      <x:c r="I7" s="60"/>
      <x:c r="J7" s="61"/>
    </x:row>
    <x:row r="8">
      <x:c r="A8" s="20" t="str">
        <x:v>AR</x:v>
      </x:c>
      <x:c r="B8" s="20" t="str">
        <x:v>分配需求</x:v>
      </x:c>
      <x:c r="C8" s="20" t="str">
        <x:v>分配到L1/L2/L3/L4或软硬件边界的可实施需求</x:v>
      </x:c>
      <x:c r="D8" s="20" t="n">
        <x:v>144</x:v>
      </x:c>
      <x:c r="E8" s="20" t="str">
        <x:v>AR-来源SRS ID</x:v>
      </x:c>
      <x:c r="F8" s="20" t="str">
        <x:v>回答由谁实现和如何验收</x:v>
      </x:c>
      <x:c r="G8" s="54"/>
      <x:c r="H8" s="59"/>
      <x:c r="I8" s="60"/>
      <x:c r="J8" s="61"/>
    </x:row>
    <x:row r="9">
      <x:c r="A9" s="54"/>
      <x:c r="B9" s="54"/>
      <x:c r="C9" s="54"/>
      <x:c r="D9" s="54"/>
      <x:c r="E9" s="54"/>
      <x:c r="F9" s="54"/>
      <x:c r="G9" s="54"/>
      <x:c r="H9" s="59"/>
      <x:c r="I9" s="60"/>
      <x:c r="J9" s="61"/>
    </x:row>
    <x:row r="10" ht="30" customHeight="1">
      <x:c r="A10" s="13" t="str">
        <x:v>系统特性</x:v>
      </x:c>
      <x:c r="B10" s="13" t="str">
        <x:v>SF ID</x:v>
      </x:c>
      <x:c r="C10" s="13" t="str">
        <x:v>IR数</x:v>
      </x:c>
      <x:c r="D10" s="13" t="str">
        <x:v>SR数</x:v>
      </x:c>
      <x:c r="E10" s="13" t="str">
        <x:v>AR数</x:v>
      </x:c>
      <x:c r="F10" s="13" t="str">
        <x:v>主责任域</x:v>
      </x:c>
      <x:c r="G10" s="54"/>
      <x:c r="H10" s="62"/>
      <x:c r="I10" s="63"/>
      <x:c r="J10" s="64"/>
    </x:row>
    <x:row r="11">
      <x:c r="A11" s="19" t="str">
        <x:v>统一服务接入与推理消费</x:v>
      </x:c>
      <x:c r="B11" s="19" t="str">
        <x:v>SF-01</x:v>
      </x:c>
      <x:c r="C11" s="19" t="n">
        <x:f>COUNTIF('SF-IR-SR定义'!$K$5:$K$79,"IR|SF-01")</x:f>
        <x:v>3</x:v>
      </x:c>
      <x:c r="D11" s="19" t="n">
        <x:f>COUNTIF('SF-IR-SR定义'!$K$5:$K$79,"SR|SF-01")</x:f>
        <x:v>8</x:v>
      </x:c>
      <x:c r="E11" s="19" t="n">
        <x:f>COUNTIF('AR全量追溯'!$C$5:$C$148,B11)</x:f>
        <x:v>24</x:v>
      </x:c>
      <x:c r="F11" s="19" t="str">
        <x:v>L1/L2</x:v>
      </x:c>
      <x:c r="G11" s="54"/>
      <x:c r="H11" s="54"/>
      <x:c r="I11" s="54"/>
      <x:c r="J11" s="54"/>
    </x:row>
    <x:row r="12">
      <x:c r="A12" s="20" t="str">
        <x:v>全局前缀目录与分布式元数据服务</x:v>
      </x:c>
      <x:c r="B12" s="20" t="str">
        <x:v>SF-02</x:v>
      </x:c>
      <x:c r="C12" s="20" t="n">
        <x:f>COUNTIF('SF-IR-SR定义'!$K$5:$K$79,"IR|SF-02")</x:f>
        <x:v>3</x:v>
      </x:c>
      <x:c r="D12" s="20" t="n">
        <x:f>COUNTIF('SF-IR-SR定义'!$K$5:$K$79,"SR|SF-02")</x:f>
        <x:v>6</x:v>
      </x:c>
      <x:c r="E12" s="20" t="n">
        <x:f>COUNTIF('AR全量追溯'!$C$5:$C$148,B12)</x:f>
        <x:v>22</x:v>
      </x:c>
      <x:c r="F12" s="20" t="str">
        <x:v>L2/L3</x:v>
      </x:c>
      <x:c r="G12" s="54"/>
      <x:c r="H12" s="54"/>
      <x:c r="I12" s="54"/>
      <x:c r="J12" s="54"/>
    </x:row>
    <x:row r="13">
      <x:c r="A13" s="20" t="str">
        <x:v>统一KV对象与异构存储池管理</x:v>
      </x:c>
      <x:c r="B13" s="20" t="str">
        <x:v>SF-03</x:v>
      </x:c>
      <x:c r="C13" s="20" t="n">
        <x:f>COUNTIF('SF-IR-SR定义'!$K$5:$K$79,"IR|SF-03")</x:f>
        <x:v>3</x:v>
      </x:c>
      <x:c r="D13" s="20" t="n">
        <x:f>COUNTIF('SF-IR-SR定义'!$K$5:$K$79,"SR|SF-03")</x:f>
        <x:v>8</x:v>
      </x:c>
      <x:c r="E13" s="20" t="n">
        <x:f>COUNTIF('AR全量追溯'!$C$5:$C$148,B13)</x:f>
        <x:v>30</x:v>
      </x:c>
      <x:c r="F13" s="20" t="str">
        <x:v>L3</x:v>
      </x:c>
      <x:c r="G13" s="54"/>
      <x:c r="H13" s="54"/>
      <x:c r="I13" s="54"/>
      <x:c r="J13" s="54"/>
    </x:row>
    <x:row r="14">
      <x:c r="A14" s="20" t="str">
        <x:v>传输创新底座与多介质数据路径</x:v>
      </x:c>
      <x:c r="B14" s="20" t="str">
        <x:v>SF-04</x:v>
      </x:c>
      <x:c r="C14" s="20" t="n">
        <x:f>COUNTIF('SF-IR-SR定义'!$K$5:$K$79,"IR|SF-04")</x:f>
        <x:v>4</x:v>
      </x:c>
      <x:c r="D14" s="20" t="n">
        <x:f>COUNTIF('SF-IR-SR定义'!$K$5:$K$79,"SR|SF-04")</x:f>
        <x:v>11</x:v>
      </x:c>
      <x:c r="E14" s="20" t="n">
        <x:f>COUNTIF('AR全量追溯'!$C$5:$C$148,B14)</x:f>
        <x:v>37</x:v>
      </x:c>
      <x:c r="F14" s="20" t="str">
        <x:v>L3/L4</x:v>
      </x:c>
      <x:c r="G14" s="54"/>
      <x:c r="H14" s="54"/>
      <x:c r="I14" s="54"/>
      <x:c r="J14" s="54"/>
    </x:row>
    <x:row r="15">
      <x:c r="A15" s="20" t="str">
        <x:v>一致性、安全、完整性与故障恢复</x:v>
      </x:c>
      <x:c r="B15" s="20" t="str">
        <x:v>SF-05</x:v>
      </x:c>
      <x:c r="C15" s="20" t="n">
        <x:f>COUNTIF('SF-IR-SR定义'!$K$5:$K$79,"IR|SF-05")</x:f>
        <x:v>4</x:v>
      </x:c>
      <x:c r="D15" s="20" t="n">
        <x:f>COUNTIF('SF-IR-SR定义'!$K$5:$K$79,"SR|SF-05")</x:f>
        <x:v>8</x:v>
      </x:c>
      <x:c r="E15" s="20" t="n">
        <x:f>COUNTIF('AR全量追溯'!$C$5:$C$148,B15)</x:f>
        <x:v>19</x:v>
      </x:c>
      <x:c r="F15" s="20" t="str">
        <x:v>L2/L3/L4</x:v>
      </x:c>
      <x:c r="G15" s="54"/>
      <x:c r="H15" s="54"/>
      <x:c r="I15" s="54"/>
      <x:c r="J15" s="54"/>
    </x:row>
    <x:row r="16">
      <x:c r="A16" s="20" t="str">
        <x:v>性能QoS、收益闭环与平台演进</x:v>
      </x:c>
      <x:c r="B16" s="20" t="str">
        <x:v>SF-06</x:v>
      </x:c>
      <x:c r="C16" s="20" t="n">
        <x:f>COUNTIF('SF-IR-SR定义'!$K$5:$K$79,"IR|SF-06")</x:f>
        <x:v>4</x:v>
      </x:c>
      <x:c r="D16" s="20" t="n">
        <x:f>COUNTIF('SF-IR-SR定义'!$K$5:$K$79,"SR|SF-06")</x:f>
        <x:v>7</x:v>
      </x:c>
      <x:c r="E16" s="20" t="n">
        <x:f>COUNTIF('AR全量追溯'!$C$5:$C$148,B16)</x:f>
        <x:v>12</x:v>
      </x:c>
      <x:c r="F16" s="20" t="str">
        <x:v>L1/L3/L4</x:v>
      </x:c>
      <x:c r="G16" s="54"/>
      <x:c r="H16" s="54"/>
      <x:c r="I16" s="54"/>
      <x:c r="J16" s="54"/>
    </x:row>
    <x:row r="17">
      <x:c r="A17" s="54"/>
      <x:c r="B17" s="54"/>
      <x:c r="C17" s="54"/>
      <x:c r="D17" s="54"/>
      <x:c r="E17" s="54"/>
      <x:c r="F17" s="54"/>
      <x:c r="G17" s="54"/>
      <x:c r="H17" s="54"/>
      <x:c r="I17" s="54"/>
      <x:c r="J17" s="54"/>
    </x:row>
    <x:row r="18">
      <x:c r="A18" s="54"/>
      <x:c r="B18" s="54"/>
      <x:c r="C18" s="54"/>
      <x:c r="D18" s="54"/>
      <x:c r="E18" s="54"/>
      <x:c r="F18" s="54"/>
      <x:c r="G18" s="54"/>
      <x:c r="H18" s="54"/>
      <x:c r="I18" s="54"/>
      <x:c r="J18" s="54"/>
    </x:row>
    <x:row r="19">
      <x:c r="A19" s="65" t="str">
        <x:v>结论：本版形成6项SF、21项IR、48项SR和144项AR；AR对V2.2 SRS实现100%一一映射。</x:v>
      </x:c>
      <x:c r="B19" s="65"/>
      <x:c r="C19" s="65"/>
      <x:c r="D19" s="65"/>
      <x:c r="E19" s="65"/>
      <x:c r="F19" s="65"/>
      <x:c r="G19" s="65"/>
      <x:c r="H19" s="65"/>
      <x:c r="I19" s="65"/>
      <x:c r="J19" s="65"/>
    </x:row>
    <x:row r="20">
      <x:c r="A20" s="54"/>
      <x:c r="B20" s="54"/>
      <x:c r="C20" s="54"/>
      <x:c r="D20" s="54"/>
      <x:c r="E20" s="54"/>
      <x:c r="F20" s="54"/>
      <x:c r="G20" s="54"/>
      <x:c r="H20" s="54"/>
      <x:c r="I20" s="54"/>
      <x:c r="J20" s="54"/>
    </x:row>
  </x:sheetData>
  <x:mergeCells>
    <x:mergeCell ref="A1:J1"/>
    <x:mergeCell ref="A2:J2"/>
    <x:mergeCell ref="H4:J4"/>
    <x:mergeCell ref="H5:J10"/>
    <x:mergeCell ref="A19:J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6" hidden="0" customWidth="1"/>
    <x:col min="4" max="4" width="28" hidden="0" customWidth="1"/>
    <x:col min="5" max="5" width="48" hidden="0" customWidth="1"/>
    <x:col min="6" max="6" width="48" hidden="0" customWidth="1"/>
    <x:col min="7" max="7" width="11" hidden="0" customWidth="1"/>
    <x:col min="8" max="8" width="12" hidden="0" customWidth="1"/>
    <x:col min="9" max="9" width="15" hidden="0" customWidth="1"/>
    <x:col min="10" max="10" width="12" hidden="0" customWidth="1"/>
    <x:col min="11" max="11" width="16" hidden="0" customWidth="1"/>
  </x:cols>
  <x:sheetData>
    <x:row r="1" ht="21.600000381469727" hidden="0" customHeight="1">
      <x:c r="A1" s="4" t="str">
        <x:v>SF-IR-SR上层需求定义</x:v>
      </x:c>
      <x:c r="B1" s="4"/>
      <x:c r="C1" s="4"/>
      <x:c r="D1" s="4"/>
      <x:c r="E1" s="4"/>
      <x:c r="F1" s="4"/>
      <x:c r="G1" s="4"/>
      <x:c r="H1" s="4"/>
      <x:c r="I1" s="4"/>
      <x:c r="J1" s="4"/>
      <x:c r="K1" s="4"/>
    </x:row>
    <x:row r="2" ht="15" hidden="0" customHeight="1">
      <x:c r="A2" s="8" t="str">
        <x:v>上层节点定义、父子关系、验收意图及AR覆盖数量；AR数量由追溯表公式计算。</x:v>
      </x:c>
      <x:c r="B2" s="8"/>
      <x:c r="C2" s="8"/>
      <x:c r="D2" s="8"/>
      <x:c r="E2" s="8"/>
      <x:c r="F2" s="8"/>
      <x:c r="G2" s="8"/>
      <x:c r="H2" s="8"/>
      <x:c r="I2" s="8"/>
      <x:c r="J2" s="8"/>
      <x:c r="K2" s="8"/>
    </x:row>
    <x:row r="3"/>
    <x:row r="4" ht="15" hidden="0" customHeight="1">
      <x:c r="A4" s="13" t="str">
        <x:v>节点类型</x:v>
      </x:c>
      <x:c r="B4" s="13" t="str">
        <x:v>节点ID</x:v>
      </x:c>
      <x:c r="C4" s="13" t="str">
        <x:v>父节点ID</x:v>
      </x:c>
      <x:c r="D4" s="13" t="str">
        <x:v>节点名称</x:v>
      </x:c>
      <x:c r="E4" s="13" t="str">
        <x:v>需求陈述</x:v>
      </x:c>
      <x:c r="F4" s="13" t="str">
        <x:v>验收意图</x:v>
      </x:c>
      <x:c r="G4" s="13" t="str">
        <x:v>分配AR数</x:v>
      </x:c>
      <x:c r="H4" s="13" t="str">
        <x:v>直接子节点数</x:v>
      </x:c>
      <x:c r="I4" s="13" t="str">
        <x:v>主责任域</x:v>
      </x:c>
      <x:c r="J4" s="13" t="str">
        <x:v>状态</x:v>
      </x:c>
      <x:c r="K4" s="13" t="str">
        <x:v>统计键</x:v>
      </x:c>
    </x:row>
    <x:row r="5" ht="21.600000381469727" hidden="0" customHeight="1">
      <x:c r="A5" s="19" t="str">
        <x:v>SF</x:v>
      </x:c>
      <x:c r="B5" s="19" t="str">
        <x:v>SF-01</x:v>
      </x:c>
      <x:c r="C5" s="19" t="str">
        <x:v>ROOT</x:v>
      </x:c>
      <x:c r="D5" s="19" t="str">
        <x:v>统一服务接入与推理消费</x:v>
      </x:c>
      <x:c r="E5" s="19" t="str">
        <x:v>向vLLM、SGLang及集群调度组件提供统一、可降级、可解释的KVCache访问与消费服务。</x:v>
      </x:c>
      <x:c r="F5" s="19" t="str">
        <x:v>至少一个真实框架完成卸载、查询、加载、attach或recompute闭环；接口、错误、超时、fallback与收益判定可验收。</x:v>
      </x:c>
      <x:c r="G5" s="19" t="n">
        <x:f>COUNTIF('AR全量追溯'!$C$5:$C$148,B5)</x:f>
        <x:v>24</x:v>
      </x:c>
      <x:c r="H5" s="19" t="n">
        <x:f>COUNTIF($C$5:$C$79,B5)</x:f>
        <x:v>3</x:v>
      </x:c>
      <x:c r="I5" s="19" t="str">
        <x:v>L1/L2</x:v>
      </x:c>
      <x:c r="J5" s="19" t="str">
        <x:v>建议冻结</x:v>
      </x:c>
      <x:c r="K5" s="19" t="str">
        <x:v>SF|SF-01</x:v>
      </x:c>
    </x:row>
    <x:row r="6" ht="21.600000381469727" hidden="0" customHeight="1">
      <x:c r="A6" s="20" t="str">
        <x:v>SF</x:v>
      </x:c>
      <x:c r="B6" s="20" t="str">
        <x:v>SF-02</x:v>
      </x:c>
      <x:c r="C6" s="20" t="str">
        <x:v>ROOT</x:v>
      </x:c>
      <x:c r="D6" s="20" t="str">
        <x:v>全局前缀目录与分布式元数据服务</x:v>
      </x:c>
      <x:c r="E6" s="20" t="str">
        <x:v>提供低时延前缀匹配、全局KV位置索引、元数据发布与失效治理，使raw hit能够安全转化为usable hit。</x:v>
      </x:c>
      <x:c r="F6" s="20" t="str">
        <x:v>前缀查询不被远端RTT长期阻塞；目录支持分片、镜像、批量查询、版本与stale防护。</x:v>
      </x:c>
      <x:c r="G6" s="20" t="n">
        <x:f>COUNTIF('AR全量追溯'!$C$5:$C$148,B6)</x:f>
        <x:v>22</x:v>
      </x:c>
      <x:c r="H6" s="20" t="n">
        <x:f>COUNTIF($C$5:$C$79,B6)</x:f>
        <x:v>3</x:v>
      </x:c>
      <x:c r="I6" s="20" t="str">
        <x:v>L2/L3</x:v>
      </x:c>
      <x:c r="J6" s="20" t="str">
        <x:v>建议冻结</x:v>
      </x:c>
      <x:c r="K6" s="20" t="str">
        <x:v>SF|SF-02</x:v>
      </x:c>
    </x:row>
    <x:row r="7" ht="21.600000381469727" hidden="0" customHeight="1">
      <x:c r="A7" s="20" t="str">
        <x:v>SF</x:v>
      </x:c>
      <x:c r="B7" s="20" t="str">
        <x:v>SF-03</x:v>
      </x:c>
      <x:c r="C7" s="20" t="str">
        <x:v>ROOT</x:v>
      </x:c>
      <x:c r="D7" s="20" t="str">
        <x:v>统一KV对象与异构存储池管理</x:v>
      </x:c>
      <x:c r="E7" s="20" t="str">
        <x:v>把HBM、DDR、SSD和远端资源组织为统一KV对象、extent、布局、状态、位置、生命周期和成本模型。</x:v>
      </x:c>
      <x:c r="F7" s="20" t="str">
        <x:v>SSD容量主路径成立、DDR可旁路且角色化；对象可跨介质寻址、迁移、淘汰、恢复并保持状态一致。</x:v>
      </x:c>
      <x:c r="G7" s="20" t="n">
        <x:f>COUNTIF('AR全量追溯'!$C$5:$C$148,B7)</x:f>
        <x:v>30</x:v>
      </x:c>
      <x:c r="H7" s="20" t="n">
        <x:f>COUNTIF($C$5:$C$79,B7)</x:f>
        <x:v>3</x:v>
      </x:c>
      <x:c r="I7" s="20" t="str">
        <x:v>L3</x:v>
      </x:c>
      <x:c r="J7" s="20" t="str">
        <x:v>建议冻结</x:v>
      </x:c>
      <x:c r="K7" s="20" t="str">
        <x:v>SF|SF-03</x:v>
      </x:c>
    </x:row>
    <x:row r="8" ht="32.400001525878906" hidden="0" customHeight="1">
      <x:c r="A8" s="20" t="str">
        <x:v>SF</x:v>
      </x:c>
      <x:c r="B8" s="20" t="str">
        <x:v>SF-04</x:v>
      </x:c>
      <x:c r="C8" s="20" t="str">
        <x:v>ROOT</x:v>
      </x:c>
      <x:c r="D8" s="20" t="str">
        <x:v>传输创新底座与多介质数据路径</x:v>
      </x:c>
      <x:c r="E8" s="20" t="str">
        <x:v>以UBMEM内存语义、URMA/RDMA传输语义、Direct Storage及设备能力实现可择路、低Host参与的数据面。</x:v>
      </x:c>
      <x:c r="F8" s="20" t="str">
        <x:v>形成真实path capability matrix；代表性HBM↔SSD、HBM↔DDR、远端DDR及网络路径可测、可选、可降级。</x:v>
      </x:c>
      <x:c r="G8" s="20" t="n">
        <x:f>COUNTIF('AR全量追溯'!$C$5:$C$148,B8)</x:f>
        <x:v>37</x:v>
      </x:c>
      <x:c r="H8" s="20" t="n">
        <x:f>COUNTIF($C$5:$C$79,B8)</x:f>
        <x:v>4</x:v>
      </x:c>
      <x:c r="I8" s="20" t="str">
        <x:v>L3/L4</x:v>
      </x:c>
      <x:c r="J8" s="20" t="str">
        <x:v>建议冻结</x:v>
      </x:c>
      <x:c r="K8" s="20" t="str">
        <x:v>SF|SF-04</x:v>
      </x:c>
    </x:row>
    <x:row r="9" ht="21.600000381469727" hidden="0" customHeight="1">
      <x:c r="A9" s="20" t="str">
        <x:v>SF</x:v>
      </x:c>
      <x:c r="B9" s="20" t="str">
        <x:v>SF-05</x:v>
      </x:c>
      <x:c r="C9" s="20" t="str">
        <x:v>ROOT</x:v>
      </x:c>
      <x:c r="D9" s="20" t="str">
        <x:v>一致性、安全、完整性与故障恢复</x:v>
      </x:c>
      <x:c r="E9" s="20" t="str">
        <x:v>确保未完成、过期、损坏、越权或迁移中的KV对象不会被误消费，并在异常时安全回退。</x:v>
      </x:c>
      <x:c r="F9" s="20" t="str">
        <x:v>发布、ready、visibility、lease、refcount、integrity evidence和故障注入形成闭环；错误路径不可见且可定位。</x:v>
      </x:c>
      <x:c r="G9" s="20" t="n">
        <x:f>COUNTIF('AR全量追溯'!$C$5:$C$148,B9)</x:f>
        <x:v>19</x:v>
      </x:c>
      <x:c r="H9" s="20" t="n">
        <x:f>COUNTIF($C$5:$C$79,B9)</x:f>
        <x:v>4</x:v>
      </x:c>
      <x:c r="I9" s="20" t="str">
        <x:v>L2/L3/L4</x:v>
      </x:c>
      <x:c r="J9" s="20" t="str">
        <x:v>建议冻结</x:v>
      </x:c>
      <x:c r="K9" s="20" t="str">
        <x:v>SF|SF-05</x:v>
      </x:c>
    </x:row>
    <x:row r="10" ht="21.600000381469727" hidden="0" customHeight="1">
      <x:c r="A10" s="20" t="str">
        <x:v>SF</x:v>
      </x:c>
      <x:c r="B10" s="20" t="str">
        <x:v>SF-06</x:v>
      </x:c>
      <x:c r="C10" s="20" t="str">
        <x:v>ROOT</x:v>
      </x:c>
      <x:c r="D10" s="20" t="str">
        <x:v>性能QoS、收益闭环与平台演进</x:v>
      </x:c>
      <x:c r="E10" s="20" t="str">
        <x:v>在容量扩展的同时控制TTFT、TPOT和后台流量干扰，以可观测证据驱动策略、运维和软硬件演进。</x:v>
      </x:c>
      <x:c r="F10" s="20" t="str">
        <x:v>Usable Hit、TTFT Benefit、TPOT Interference、Host Payload Touch、DDR Net Benefit及路径指标可采集、可对账。</x:v>
      </x:c>
      <x:c r="G10" s="20" t="n">
        <x:f>COUNTIF('AR全量追溯'!$C$5:$C$148,B10)</x:f>
        <x:v>12</x:v>
      </x:c>
      <x:c r="H10" s="20" t="n">
        <x:f>COUNTIF($C$5:$C$79,B10)</x:f>
        <x:v>4</x:v>
      </x:c>
      <x:c r="I10" s="20" t="str">
        <x:v>L1/L3/L4</x:v>
      </x:c>
      <x:c r="J10" s="20" t="str">
        <x:v>建议冻结</x:v>
      </x:c>
      <x:c r="K10" s="20" t="str">
        <x:v>SF|SF-06</x:v>
      </x:c>
    </x:row>
    <x:row r="11" ht="21.600000381469727" hidden="0" customHeight="1">
      <x:c r="A11" s="20" t="str">
        <x:v>IR</x:v>
      </x:c>
      <x:c r="B11" s="20" t="str">
        <x:v>IR-01-01</x:v>
      </x:c>
      <x:c r="C11" s="20" t="str">
        <x:v>SF-01</x:v>
      </x:c>
      <x:c r="D11" s="20" t="str">
        <x:v>统一访问意图与Connector契约</x:v>
      </x:c>
      <x:c r="E11" s="20" t="str">
        <x:v>业务只表达KV访问意图、预算与消费目标，不绑定具体介质或传输实现。</x:v>
      </x:c>
      <x:c r="F11" s="20" t="str">
        <x:v>接口字段、语义身份、buffer权责、发布/attach和fallback契约通过一致性测试。</x:v>
      </x:c>
      <x:c r="G11" s="20" t="n">
        <x:f>COUNTIF('AR全量追溯'!$E$5:$E$148,B11)</x:f>
        <x:v>9</x:v>
      </x:c>
      <x:c r="H11" s="20" t="n">
        <x:f>COUNTIF($C$5:$C$79,B11)</x:f>
        <x:v>3</x:v>
      </x:c>
      <x:c r="I11" s="20" t="str">
        <x:v>L1/L2</x:v>
      </x:c>
      <x:c r="J11" s="20" t="str">
        <x:v>待评审</x:v>
      </x:c>
      <x:c r="K11" s="20" t="str">
        <x:v>IR|SF-01</x:v>
      </x:c>
    </x:row>
    <x:row r="12" ht="21.600000381469727" hidden="0" customHeight="1">
      <x:c r="A12" s="20" t="str">
        <x:v>IR</x:v>
      </x:c>
      <x:c r="B12" s="20" t="str">
        <x:v>IR-01-02</x:v>
      </x:c>
      <x:c r="C12" s="20" t="str">
        <x:v>SF-01</x:v>
      </x:c>
      <x:c r="D12" s="20" t="str">
        <x:v>缓存感知调度与收益准入</x:v>
      </x:c>
      <x:c r="E12" s="20" t="str">
        <x:v>请求命中后必须依据deadline、加载代价、重算收益和位置选择是否复用。</x:v>
      </x:c>
      <x:c r="F12" s="20" t="str">
        <x:v>相同baseline下证明负收益命中被放弃，partial hit和recompute边界可解释。</x:v>
      </x:c>
      <x:c r="G12" s="20" t="n">
        <x:f>COUNTIF('AR全量追溯'!$E$5:$E$148,B12)</x:f>
        <x:v>11</x:v>
      </x:c>
      <x:c r="H12" s="20" t="n">
        <x:f>COUNTIF($C$5:$C$79,B12)</x:f>
        <x:v>3</x:v>
      </x:c>
      <x:c r="I12" s="20" t="str">
        <x:v>L1/L2/L3</x:v>
      </x:c>
      <x:c r="J12" s="20" t="str">
        <x:v>待评审</x:v>
      </x:c>
      <x:c r="K12" s="20" t="str">
        <x:v>IR|SF-01</x:v>
      </x:c>
    </x:row>
    <x:row r="13" ht="21.600000381469727" hidden="0" customHeight="1">
      <x:c r="A13" s="20" t="str">
        <x:v>IR</x:v>
      </x:c>
      <x:c r="B13" s="20" t="str">
        <x:v>IR-01-03</x:v>
      </x:c>
      <x:c r="C13" s="20" t="str">
        <x:v>SF-01</x:v>
      </x:c>
      <x:c r="D13" s="20" t="str">
        <x:v>多卡一致消费与专家控制</x:v>
      </x:c>
      <x:c r="E13" s="20" t="str">
        <x:v>TP/PP/P-D分离场景需形成安全前缀共识，并为受控实验提供显式策略覆盖。</x:v>
      </x:c>
      <x:c r="F13" s="20" t="str">
        <x:v>rank不一致时取min-safe或recompute；override具有权限、审计和关闭能力。</x:v>
      </x:c>
      <x:c r="G13" s="20" t="n">
        <x:f>COUNTIF('AR全量追溯'!$E$5:$E$148,B13)</x:f>
        <x:v>4</x:v>
      </x:c>
      <x:c r="H13" s="20" t="n">
        <x:f>COUNTIF($C$5:$C$79,B13)</x:f>
        <x:v>2</x:v>
      </x:c>
      <x:c r="I13" s="20" t="str">
        <x:v>L1/L2/L3</x:v>
      </x:c>
      <x:c r="J13" s="20" t="str">
        <x:v>待评审</x:v>
      </x:c>
      <x:c r="K13" s="20" t="str">
        <x:v>IR|SF-01</x:v>
      </x:c>
    </x:row>
    <x:row r="14" ht="15" hidden="0" customHeight="1">
      <x:c r="A14" s="20" t="str">
        <x:v>IR</x:v>
      </x:c>
      <x:c r="B14" s="20" t="str">
        <x:v>IR-02-01</x:v>
      </x:c>
      <x:c r="C14" s="20" t="str">
        <x:v>SF-02</x:v>
      </x:c>
      <x:c r="D14" s="20" t="str">
        <x:v>低时延前缀计算与批量查询</x:v>
      </x:c>
      <x:c r="E14" s="20" t="str">
        <x:v>前缀哈希、LPM、本地索引和批量查询不得成为TTFT主要串行瓶颈。</x:v>
      </x:c>
      <x:c r="F14" s="20" t="str">
        <x:v>覆盖本地/远端、长前缀和批量场景，输出P50/P95/P99及超时降级。</x:v>
      </x:c>
      <x:c r="G14" s="20" t="n">
        <x:f>COUNTIF('AR全量追溯'!$E$5:$E$148,B14)</x:f>
        <x:v>9</x:v>
      </x:c>
      <x:c r="H14" s="20" t="n">
        <x:f>COUNTIF($C$5:$C$79,B14)</x:f>
        <x:v>2</x:v>
      </x:c>
      <x:c r="I14" s="20" t="str">
        <x:v>L1/L2/L3</x:v>
      </x:c>
      <x:c r="J14" s="20" t="str">
        <x:v>待评审</x:v>
      </x:c>
      <x:c r="K14" s="20" t="str">
        <x:v>IR|SF-02</x:v>
      </x:c>
    </x:row>
    <x:row r="15" ht="15" hidden="0" customHeight="1">
      <x:c r="A15" s="20" t="str">
        <x:v>IR</x:v>
      </x:c>
      <x:c r="B15" s="20" t="str">
        <x:v>IR-02-02</x:v>
      </x:c>
      <x:c r="C15" s="20" t="str">
        <x:v>SF-02</x:v>
      </x:c>
      <x:c r="D15" s="20" t="str">
        <x:v>分布式目录、分片与多副本位置</x:v>
      </x:c>
      <x:c r="E15" s="20" t="str">
        <x:v>集群需维护前缀到KV对象、位置、副本、版本和状态的可扩展目录。</x:v>
      </x:c>
      <x:c r="F15" s="20" t="str">
        <x:v>目录可分片、镜像、复制和恢复；热点与多副本解析可验证。</x:v>
      </x:c>
      <x:c r="G15" s="20" t="n">
        <x:f>COUNTIF('AR全量追溯'!$E$5:$E$148,B15)</x:f>
        <x:v>7</x:v>
      </x:c>
      <x:c r="H15" s="20" t="n">
        <x:f>COUNTIF($C$5:$C$79,B15)</x:f>
        <x:v>2</x:v>
      </x:c>
      <x:c r="I15" s="20" t="str">
        <x:v>L3</x:v>
      </x:c>
      <x:c r="J15" s="20" t="str">
        <x:v>待评审</x:v>
      </x:c>
      <x:c r="K15" s="20" t="str">
        <x:v>IR|SF-02</x:v>
      </x:c>
    </x:row>
    <x:row r="16" ht="21.600000381469727" hidden="0" customHeight="1">
      <x:c r="A16" s="20" t="str">
        <x:v>IR</x:v>
      </x:c>
      <x:c r="B16" s="20" t="str">
        <x:v>IR-02-03</x:v>
      </x:c>
      <x:c r="C16" s="20" t="str">
        <x:v>SF-02</x:v>
      </x:c>
      <x:c r="D16" s="20" t="str">
        <x:v>元数据内存语义与发布一致性</x:v>
      </x:c>
      <x:c r="E16" s="20" t="str">
        <x:v>高频元数据访问需探索内存语义并保证发布、失效和stale防护。</x:v>
      </x:c>
      <x:c r="F16" s="20" t="str">
        <x:v>元数据紧凑布局、原子可见性、tombstone和本地缓存失效通过并发测试。</x:v>
      </x:c>
      <x:c r="G16" s="20" t="n">
        <x:f>COUNTIF('AR全量追溯'!$E$5:$E$148,B16)</x:f>
        <x:v>6</x:v>
      </x:c>
      <x:c r="H16" s="20" t="n">
        <x:f>COUNTIF($C$5:$C$79,B16)</x:f>
        <x:v>2</x:v>
      </x:c>
      <x:c r="I16" s="20" t="str">
        <x:v>L3</x:v>
      </x:c>
      <x:c r="J16" s="20" t="str">
        <x:v>待评审</x:v>
      </x:c>
      <x:c r="K16" s="20" t="str">
        <x:v>IR|SF-02</x:v>
      </x:c>
    </x:row>
    <x:row r="17" ht="21.600000381469727" hidden="0" customHeight="1">
      <x:c r="A17" s="20" t="str">
        <x:v>IR</x:v>
      </x:c>
      <x:c r="B17" s="20" t="str">
        <x:v>IR-03-01</x:v>
      </x:c>
      <x:c r="C17" s="20" t="str">
        <x:v>SF-03</x:v>
      </x:c>
      <x:c r="D17" s="20" t="str">
        <x:v>KV对象、存储布局与统一寻址</x:v>
      </x:c>
      <x:c r="E17" s="20" t="str">
        <x:v>KVCache需形成跨模型、框架、介质和节点可解释的对象与extent描述。</x:v>
      </x:c>
      <x:c r="F17" s="20" t="str">
        <x:v>容量估算、block/extent schema、layout transform、descriptor与handle相互一致。</x:v>
      </x:c>
      <x:c r="G17" s="20" t="n">
        <x:f>COUNTIF('AR全量追溯'!$E$5:$E$148,B17)</x:f>
        <x:v>9</x:v>
      </x:c>
      <x:c r="H17" s="20" t="n">
        <x:f>COUNTIF($C$5:$C$79,B17)</x:f>
        <x:v>3</x:v>
      </x:c>
      <x:c r="I17" s="20" t="str">
        <x:v>L1/L2/L3/L4</x:v>
      </x:c>
      <x:c r="J17" s="20" t="str">
        <x:v>待评审</x:v>
      </x:c>
      <x:c r="K17" s="20" t="str">
        <x:v>IR|SF-03</x:v>
      </x:c>
    </x:row>
    <x:row r="18" ht="21.600000381469727" hidden="0" customHeight="1">
      <x:c r="A18" s="20" t="str">
        <x:v>IR</x:v>
      </x:c>
      <x:c r="B18" s="20" t="str">
        <x:v>IR-03-02</x:v>
      </x:c>
      <x:c r="C18" s="20" t="str">
        <x:v>SF-03</x:v>
      </x:c>
      <x:c r="D18" s="20" t="str">
        <x:v>异构池分配、分层与介质角色</x:v>
      </x:c>
      <x:c r="E18" s="20" t="str">
        <x:v>SSD承担容量主体，DDR不作为必经跳板并按净收益承担选择性角色。</x:v>
      </x:c>
      <x:c r="F18" s="20" t="str">
        <x:v>关闭DDR payload tier后SSD主路径仍闭环；DDR各角色有独立A/B和启停条件。</x:v>
      </x:c>
      <x:c r="G18" s="20" t="n">
        <x:f>COUNTIF('AR全量追溯'!$E$5:$E$148,B18)</x:f>
        <x:v>9</x:v>
      </x:c>
      <x:c r="H18" s="20" t="n">
        <x:f>COUNTIF($C$5:$C$79,B18)</x:f>
        <x:v>2</x:v>
      </x:c>
      <x:c r="I18" s="20" t="str">
        <x:v>L1/L3</x:v>
      </x:c>
      <x:c r="J18" s="20" t="str">
        <x:v>待评审</x:v>
      </x:c>
      <x:c r="K18" s="20" t="str">
        <x:v>IR|SF-03</x:v>
      </x:c>
    </x:row>
    <x:row r="19" ht="21.600000381469727" hidden="0" customHeight="1">
      <x:c r="A19" s="20" t="str">
        <x:v>IR</x:v>
      </x:c>
      <x:c r="B19" s="20" t="str">
        <x:v>IR-03-03</x:v>
      </x:c>
      <x:c r="C19" s="20" t="str">
        <x:v>SF-03</x:v>
      </x:c>
      <x:c r="D19" s="20" t="str">
        <x:v>生命周期、放置、淘汰与迁移</x:v>
      </x:c>
      <x:c r="E19" s="20" t="str">
        <x:v>KV对象需在长稳运行中安全分配、迁移、紧凑、淘汰和回收。</x:v>
      </x:c>
      <x:c r="F19" s="20" t="str">
        <x:v>状态机、成本淘汰、placement、migration interlock和碎片治理可追踪。</x:v>
      </x:c>
      <x:c r="G19" s="20" t="n">
        <x:f>COUNTIF('AR全量追溯'!$E$5:$E$148,B19)</x:f>
        <x:v>12</x:v>
      </x:c>
      <x:c r="H19" s="20" t="n">
        <x:f>COUNTIF($C$5:$C$79,B19)</x:f>
        <x:v>3</x:v>
      </x:c>
      <x:c r="I19" s="20" t="str">
        <x:v>L1/L2/L3</x:v>
      </x:c>
      <x:c r="J19" s="20" t="str">
        <x:v>待评审</x:v>
      </x:c>
      <x:c r="K19" s="20" t="str">
        <x:v>IR|SF-03</x:v>
      </x:c>
    </x:row>
    <x:row r="20" ht="32.400001525878906" hidden="0" customHeight="1">
      <x:c r="A20" s="20" t="str">
        <x:v>IR</x:v>
      </x:c>
      <x:c r="B20" s="20" t="str">
        <x:v>IR-04-01</x:v>
      </x:c>
      <x:c r="C20" s="20" t="str">
        <x:v>SF-04</x:v>
      </x:c>
      <x:c r="D20" s="20" t="str">
        <x:v>能力抽象、路径探测与描述符编译</x:v>
      </x:c>
      <x:c r="E20" s="20" t="str">
        <x:v>系统需统一表达不同内存/传输/存储路径的能力、限制、完成和错误语义。</x:v>
      </x:c>
      <x:c r="F20" s="20" t="str">
        <x:v>capability matrix被QueryPlan引用；路径探测、路由、descriptor和fallback一致。</x:v>
      </x:c>
      <x:c r="G20" s="20" t="n">
        <x:f>COUNTIF('AR全量追溯'!$E$5:$E$148,B20)</x:f>
        <x:v>11</x:v>
      </x:c>
      <x:c r="H20" s="20" t="n">
        <x:f>COUNTIF($C$5:$C$79,B20)</x:f>
        <x:v>3</x:v>
      </x:c>
      <x:c r="I20" s="20" t="str">
        <x:v>L2/L3/L4</x:v>
      </x:c>
      <x:c r="J20" s="20" t="str">
        <x:v>待评审</x:v>
      </x:c>
      <x:c r="K20" s="20" t="str">
        <x:v>IR|SF-04</x:v>
      </x:c>
    </x:row>
    <x:row r="21" ht="21.600000381469727" hidden="0" customHeight="1">
      <x:c r="A21" s="20" t="str">
        <x:v>IR</x:v>
      </x:c>
      <x:c r="B21" s="20" t="str">
        <x:v>IR-04-02</x:v>
      </x:c>
      <x:c r="C21" s="20" t="str">
        <x:v>SF-04</x:v>
      </x:c>
      <x:c r="D21" s="20" t="str">
        <x:v>Direct与零拷贝代表路径</x:v>
      </x:c>
      <x:c r="E21" s="20" t="str">
        <x:v>关键容量路径应尽量不触碰CPU Payload，并支持注册内存、RDMA、UB/C2C等代表能力。</x:v>
      </x:c>
      <x:c r="F21" s="20" t="str">
        <x:v>Host touch、copy count、CPU cycles/GB及完成到ready时延形成逐路径证据。</x:v>
      </x:c>
      <x:c r="G21" s="20" t="n">
        <x:f>COUNTIF('AR全量追溯'!$E$5:$E$148,B21)</x:f>
        <x:v>11</x:v>
      </x:c>
      <x:c r="H21" s="20" t="n">
        <x:f>COUNTIF($C$5:$C$79,B21)</x:f>
        <x:v>3</x:v>
      </x:c>
      <x:c r="I21" s="20" t="str">
        <x:v>L3/L4</x:v>
      </x:c>
      <x:c r="J21" s="20" t="str">
        <x:v>待评审</x:v>
      </x:c>
      <x:c r="K21" s="20" t="str">
        <x:v>IR|SF-04</x:v>
      </x:c>
    </x:row>
    <x:row r="22" ht="21.600000381469727" hidden="0" customHeight="1">
      <x:c r="A22" s="20" t="str">
        <x:v>IR</x:v>
      </x:c>
      <x:c r="B22" s="20" t="str">
        <x:v>IR-04-03</x:v>
      </x:c>
      <x:c r="C22" s="20" t="str">
        <x:v>SF-04</x:v>
      </x:c>
      <x:c r="D22" s="20" t="str">
        <x:v>批量传输、预取、流式恢复与广播</x:v>
      </x:c>
      <x:c r="E22" s="20" t="str">
        <x:v>数据面需用批量、流水、预取和一对多分发隐藏传输时延并控制放大。</x:v>
      </x:c>
      <x:c r="F22" s="20" t="str">
        <x:v>bulk/swap/prefetch/streaming/broadcast在selected workload中证明净收益。</x:v>
      </x:c>
      <x:c r="G22" s="20" t="n">
        <x:f>COUNTIF('AR全量追溯'!$E$5:$E$148,B22)</x:f>
        <x:v>10</x:v>
      </x:c>
      <x:c r="H22" s="20" t="n">
        <x:f>COUNTIF($C$5:$C$79,B22)</x:f>
        <x:v>3</x:v>
      </x:c>
      <x:c r="I22" s="20" t="str">
        <x:v>L1/L2/L3/L4</x:v>
      </x:c>
      <x:c r="J22" s="20" t="str">
        <x:v>待评审</x:v>
      </x:c>
      <x:c r="K22" s="20" t="str">
        <x:v>IR|SF-04</x:v>
      </x:c>
    </x:row>
    <x:row r="23" ht="21.600000381469727" hidden="0" customHeight="1">
      <x:c r="A23" s="20" t="str">
        <x:v>IR</x:v>
      </x:c>
      <x:c r="B23" s="20" t="str">
        <x:v>IR-04-04</x:v>
      </x:c>
      <x:c r="C23" s="20" t="str">
        <x:v>SF-04</x:v>
      </x:c>
      <x:c r="D23" s="20" t="str">
        <x:v>条件硬件卸载与高级迁移原语</x:v>
      </x:c>
      <x:c r="E23" s="20" t="str">
        <x:v>DPU、硬件codec和原子页迁移只在能力存在且净收益成立时启用。</x:v>
      </x:c>
      <x:c r="F23" s="20" t="str">
        <x:v>不提供CPU隐式替代；Not Supported/Conditional/Enabled状态明确可验收。</x:v>
      </x:c>
      <x:c r="G23" s="20" t="n">
        <x:f>COUNTIF('AR全量追溯'!$E$5:$E$148,B23)</x:f>
        <x:v>5</x:v>
      </x:c>
      <x:c r="H23" s="20" t="n">
        <x:f>COUNTIF($C$5:$C$79,B23)</x:f>
        <x:v>2</x:v>
      </x:c>
      <x:c r="I23" s="20" t="str">
        <x:v>L4</x:v>
      </x:c>
      <x:c r="J23" s="20" t="str">
        <x:v>待评审</x:v>
      </x:c>
      <x:c r="K23" s="20" t="str">
        <x:v>IR|SF-04</x:v>
      </x:c>
    </x:row>
    <x:row r="24" ht="21.600000381469727" hidden="0" customHeight="1">
      <x:c r="A24" s="20" t="str">
        <x:v>IR</x:v>
      </x:c>
      <x:c r="B24" s="20" t="str">
        <x:v>IR-05-01</x:v>
      </x:c>
      <x:c r="C24" s="20" t="str">
        <x:v>SF-05</x:v>
      </x:c>
      <x:c r="D24" s="20" t="str">
        <x:v>发布、完成、可见性与Ready边界</x:v>
      </x:c>
      <x:c r="E24" s="20" t="str">
        <x:v>KV数据、元数据和位置记录必须在满足完成与完整性策略后才对消费者可见。</x:v>
      </x:c>
      <x:c r="F24" s="20" t="str">
        <x:v>半写、乱序、完成事件丢失和崩溃恢复不产生可消费脏对象。</x:v>
      </x:c>
      <x:c r="G24" s="20" t="n">
        <x:f>COUNTIF('AR全量追溯'!$E$5:$E$148,B24)</x:f>
        <x:v>5</x:v>
      </x:c>
      <x:c r="H24" s="20" t="n">
        <x:f>COUNTIF($C$5:$C$79,B24)</x:f>
        <x:v>2</x:v>
      </x:c>
      <x:c r="I24" s="20" t="str">
        <x:v>L2/L3/L4</x:v>
      </x:c>
      <x:c r="J24" s="20" t="str">
        <x:v>待评审</x:v>
      </x:c>
      <x:c r="K24" s="20" t="str">
        <x:v>IR|SF-05</x:v>
      </x:c>
    </x:row>
    <x:row r="25" ht="21.600000381469727" hidden="0" customHeight="1">
      <x:c r="A25" s="20" t="str">
        <x:v>IR</x:v>
      </x:c>
      <x:c r="B25" s="20" t="str">
        <x:v>IR-05-02</x:v>
      </x:c>
      <x:c r="C25" s="20" t="str">
        <x:v>SF-05</x:v>
      </x:c>
      <x:c r="D25" s="20" t="str">
        <x:v>租约、引用计数与并发所有权</x:v>
      </x:c>
      <x:c r="E25" s="20" t="str">
        <x:v>活动消费者使用KV期间不得被迁移、释放或错误复用。</x:v>
      </x:c>
      <x:c r="F25" s="20" t="str">
        <x:v>attach/detach、lease、refcount、ownership GC和资源下线无泄漏、无UAF。</x:v>
      </x:c>
      <x:c r="G25" s="20" t="n">
        <x:f>COUNTIF('AR全量追溯'!$E$5:$E$148,B25)</x:f>
        <x:v>5</x:v>
      </x:c>
      <x:c r="H25" s="20" t="n">
        <x:f>COUNTIF($C$5:$C$79,B25)</x:f>
        <x:v>1</x:v>
      </x:c>
      <x:c r="I25" s="20" t="str">
        <x:v>L2/L3/L4</x:v>
      </x:c>
      <x:c r="J25" s="20" t="str">
        <x:v>待评审</x:v>
      </x:c>
      <x:c r="K25" s="20" t="str">
        <x:v>IR|SF-05</x:v>
      </x:c>
    </x:row>
    <x:row r="26" ht="21.600000381469727" hidden="0" customHeight="1">
      <x:c r="A26" s="20" t="str">
        <x:v>IR</x:v>
      </x:c>
      <x:c r="B26" s="20" t="str">
        <x:v>IR-05-03</x:v>
      </x:c>
      <x:c r="C26" s="20" t="str">
        <x:v>SF-05</x:v>
      </x:c>
      <x:c r="D26" s="20" t="str">
        <x:v>分路径完整性、RAS与故障降级</x:v>
      </x:c>
      <x:c r="E26" s="20" t="str">
        <x:v>完整性目标必选，实现按本地DDR、远端内存、SSD/object的风险选择。</x:v>
      </x:c>
      <x:c r="F26" s="20" t="str">
        <x:v>不强制CPU全量CRC；错误副本隔离、RAS映射、drain和fallback trace完整。</x:v>
      </x:c>
      <x:c r="G26" s="20" t="n">
        <x:f>COUNTIF('AR全量追溯'!$E$5:$E$148,B26)</x:f>
        <x:v>5</x:v>
      </x:c>
      <x:c r="H26" s="20" t="n">
        <x:f>COUNTIF($C$5:$C$79,B26)</x:f>
        <x:v>3</x:v>
      </x:c>
      <x:c r="I26" s="20" t="str">
        <x:v>L3/L4</x:v>
      </x:c>
      <x:c r="J26" s="20" t="str">
        <x:v>待评审</x:v>
      </x:c>
      <x:c r="K26" s="20" t="str">
        <x:v>IR|SF-05</x:v>
      </x:c>
    </x:row>
    <x:row r="27" ht="21.600000381469727" hidden="0" customHeight="1">
      <x:c r="A27" s="20" t="str">
        <x:v>IR</x:v>
      </x:c>
      <x:c r="B27" s="20" t="str">
        <x:v>IR-05-04</x:v>
      </x:c>
      <x:c r="C27" s="20" t="str">
        <x:v>SF-05</x:v>
      </x:c>
      <x:c r="D27" s="20" t="str">
        <x:v>多租户隔离与安全共享</x:v>
      </x:c>
      <x:c r="E27" s="20" t="str">
        <x:v>KV身份、资源池和物理extent需防止跨租户误命中、越权访问和数据残留。</x:v>
      </x:c>
      <x:c r="F27" s="20" t="str">
        <x:v>tenant/security domain进入key；view访问受保护；释放前完成安全清理。</x:v>
      </x:c>
      <x:c r="G27" s="20" t="n">
        <x:f>COUNTIF('AR全量追溯'!$E$5:$E$148,B27)</x:f>
        <x:v>4</x:v>
      </x:c>
      <x:c r="H27" s="20" t="n">
        <x:f>COUNTIF($C$5:$C$79,B27)</x:f>
        <x:v>2</x:v>
      </x:c>
      <x:c r="I27" s="20" t="str">
        <x:v>L1/L3/L4</x:v>
      </x:c>
      <x:c r="J27" s="20" t="str">
        <x:v>待评审</x:v>
      </x:c>
      <x:c r="K27" s="20" t="str">
        <x:v>IR|SF-05</x:v>
      </x:c>
    </x:row>
    <x:row r="28" ht="15" hidden="0" customHeight="1">
      <x:c r="A28" s="20" t="str">
        <x:v>IR</x:v>
      </x:c>
      <x:c r="B28" s="20" t="str">
        <x:v>IR-06-01</x:v>
      </x:c>
      <x:c r="C28" s="20" t="str">
        <x:v>SF-06</x:v>
      </x:c>
      <x:c r="D28" s="20" t="str">
        <x:v>前后台流量与迁移QoS</x:v>
      </x:c>
      <x:c r="E28" s="20" t="str">
        <x:v>前台decode/restore流量需与后台迁移、预取、复制和整理流量隔离。</x:v>
      </x:c>
      <x:c r="F28" s="20" t="str">
        <x:v>混流场景TPOT尾延迟受控，traffic class和限流可配置、可回退。</x:v>
      </x:c>
      <x:c r="G28" s="20" t="n">
        <x:f>COUNTIF('AR全量追溯'!$E$5:$E$148,B28)</x:f>
        <x:v>4</x:v>
      </x:c>
      <x:c r="H28" s="20" t="n">
        <x:f>COUNTIF($C$5:$C$79,B28)</x:f>
        <x:v>2</x:v>
      </x:c>
      <x:c r="I28" s="20" t="str">
        <x:v>L3/L4</x:v>
      </x:c>
      <x:c r="J28" s="20" t="str">
        <x:v>待评审</x:v>
      </x:c>
      <x:c r="K28" s="20" t="str">
        <x:v>IR|SF-06</x:v>
      </x:c>
    </x:row>
    <x:row r="29" ht="21.600000381469727" hidden="0" customHeight="1">
      <x:c r="A29" s="20" t="str">
        <x:v>IR</x:v>
      </x:c>
      <x:c r="B29" s="20" t="str">
        <x:v>IR-06-02</x:v>
      </x:c>
      <x:c r="C29" s="20" t="str">
        <x:v>SF-06</x:v>
      </x:c>
      <x:c r="D29" s="20" t="str">
        <x:v>容量水位、反压与稳定性保护</x:v>
      </x:c>
      <x:c r="E29" s="20" t="str">
        <x:v>系统需基于HBM/DDR/SSD水位和碎片状态保护执行面不发生OOM或失控抖动。</x:v>
      </x:c>
      <x:c r="F29" s="20" t="str">
        <x:v>critical水位触发准入、降级或排队，且不破坏已有活动请求。</x:v>
      </x:c>
      <x:c r="G29" s="20" t="n">
        <x:f>COUNTIF('AR全量追溯'!$E$5:$E$148,B29)</x:f>
        <x:v>1</x:v>
      </x:c>
      <x:c r="H29" s="20" t="n">
        <x:f>COUNTIF($C$5:$C$79,B29)</x:f>
        <x:v>1</x:v>
      </x:c>
      <x:c r="I29" s="20" t="str">
        <x:v>L1/L2/L3</x:v>
      </x:c>
      <x:c r="J29" s="20" t="str">
        <x:v>待评审</x:v>
      </x:c>
      <x:c r="K29" s="20" t="str">
        <x:v>IR|SF-06</x:v>
      </x:c>
    </x:row>
    <x:row r="30" ht="21.600000381469727" hidden="0" customHeight="1">
      <x:c r="A30" s="20" t="str">
        <x:v>IR</x:v>
      </x:c>
      <x:c r="B30" s="20" t="str">
        <x:v>IR-06-03</x:v>
      </x:c>
      <x:c r="C30" s="20" t="str">
        <x:v>SF-06</x:v>
      </x:c>
      <x:c r="D30" s="20" t="str">
        <x:v>端到端可观测与收益对账</x:v>
      </x:c>
      <x:c r="E30" s="20" t="str">
        <x:v>每次命中、放弃、路径选择、迁移和故障需关联到统一trace与收益指标。</x:v>
      </x:c>
      <x:c r="F30" s="20" t="str">
        <x:v>request/query/object/path关联完整，估计成本与实际成本可对账。</x:v>
      </x:c>
      <x:c r="G30" s="20" t="n">
        <x:f>COUNTIF('AR全量追溯'!$E$5:$E$148,B30)</x:f>
        <x:v>6</x:v>
      </x:c>
      <x:c r="H30" s="20" t="n">
        <x:f>COUNTIF($C$5:$C$79,B30)</x:f>
        <x:v>3</x:v>
      </x:c>
      <x:c r="I30" s="20" t="str">
        <x:v>L1/L2/L3/L4</x:v>
      </x:c>
      <x:c r="J30" s="20" t="str">
        <x:v>待评审</x:v>
      </x:c>
      <x:c r="K30" s="20" t="str">
        <x:v>IR|SF-06</x:v>
      </x:c>
    </x:row>
    <x:row r="31" ht="21.600000381469727" hidden="0" customHeight="1">
      <x:c r="A31" s="20" t="str">
        <x:v>IR</x:v>
      </x:c>
      <x:c r="B31" s="20" t="str">
        <x:v>IR-06-04</x:v>
      </x:c>
      <x:c r="C31" s="20" t="str">
        <x:v>SF-06</x:v>
      </x:c>
      <x:c r="D31" s="20" t="str">
        <x:v>规模化硬件规格约束与演进证据</x:v>
      </x:c>
      <x:c r="E31" s="20" t="str">
        <x:v>项目需识别NIC、NPU、SSD、DDR、互联和软件栈的能力边界，为后续规格改进提供依据。</x:v>
      </x:c>
      <x:c r="F31" s="20" t="str">
        <x:v>形成规模曲线、瓶颈归因、最低规格和下一代能力建议。</x:v>
      </x:c>
      <x:c r="G31" s="20" t="n">
        <x:f>COUNTIF('AR全量追溯'!$E$5:$E$148,B31)</x:f>
        <x:v>1</x:v>
      </x:c>
      <x:c r="H31" s="20" t="n">
        <x:f>COUNTIF($C$5:$C$79,B31)</x:f>
        <x:v>1</x:v>
      </x:c>
      <x:c r="I31" s="20" t="str">
        <x:v>L4</x:v>
      </x:c>
      <x:c r="J31" s="20" t="str">
        <x:v>待评审</x:v>
      </x:c>
      <x:c r="K31" s="20" t="str">
        <x:v>IR|SF-06</x:v>
      </x:c>
    </x:row>
    <x:row r="32" ht="15" hidden="0" customHeight="1">
      <x:c r="A32" s="20" t="str">
        <x:v>SR</x:v>
      </x:c>
      <x:c r="B32" s="20" t="str">
        <x:v>SR-01-01-01</x:v>
      </x:c>
      <x:c r="C32" s="20" t="str">
        <x:v>IR-01-01</x:v>
      </x:c>
      <x:c r="D32" s="20" t="str">
        <x:v>访问意图、统一API与语义身份</x:v>
      </x:c>
      <x:c r="E32" s="20" t="str">
        <x:v>系统应统一表达操作、deadline、fallback、隔离域和KV语义身份。</x:v>
      </x:c>
      <x:c r="F32" s="20" t="str">
        <x:v>IDL/Protocol兼容性与语义不匹配阻断用例通过。</x:v>
      </x:c>
      <x:c r="G32" s="20" t="n">
        <x:f>COUNTIF('AR全量追溯'!$G$5:$G$148,B32)</x:f>
        <x:v>3</x:v>
      </x:c>
      <x:c r="H32" s="20" t="n">
        <x:f>COUNTIF($C$5:$C$79,B32)</x:f>
        <x:v>0</x:v>
      </x:c>
      <x:c r="I32" s="20" t="str">
        <x:v>L1/L2</x:v>
      </x:c>
      <x:c r="J32" s="20" t="str">
        <x:v>待评审</x:v>
      </x:c>
      <x:c r="K32" s="20" t="str">
        <x:v>SR|SF-01</x:v>
      </x:c>
    </x:row>
    <x:row r="33" ht="15" hidden="0" customHeight="1">
      <x:c r="A33" s="20" t="str">
        <x:v>SR</x:v>
      </x:c>
      <x:c r="B33" s="20" t="str">
        <x:v>SR-01-01-02</x:v>
      </x:c>
      <x:c r="C33" s="20" t="str">
        <x:v>IR-01-01</x:v>
      </x:c>
      <x:c r="D33" s="20" t="str">
        <x:v>发布、Attach与Buffer权责契约</x:v>
      </x:c>
      <x:c r="E33" s="20" t="str">
        <x:v>系统应定义KV发布、目标buffer提供方、attach handle及消费边界。</x:v>
      </x:c>
      <x:c r="F33" s="20" t="str">
        <x:v>publish/attach/buffer conformance与非法指针错误路径通过。</x:v>
      </x:c>
      <x:c r="G33" s="20" t="n">
        <x:f>COUNTIF('AR全量追溯'!$G$5:$G$148,B33)</x:f>
        <x:v>3</x:v>
      </x:c>
      <x:c r="H33" s="20" t="n">
        <x:f>COUNTIF($C$5:$C$79,B33)</x:f>
        <x:v>0</x:v>
      </x:c>
      <x:c r="I33" s="20" t="str">
        <x:v>L2</x:v>
      </x:c>
      <x:c r="J33" s="20" t="str">
        <x:v>待评审</x:v>
      </x:c>
      <x:c r="K33" s="20" t="str">
        <x:v>SR|SF-01</x:v>
      </x:c>
    </x:row>
    <x:row r="34" ht="21.600000381469727" hidden="0" customHeight="1">
      <x:c r="A34" s="20" t="str">
        <x:v>SR</x:v>
      </x:c>
      <x:c r="B34" s="20" t="str">
        <x:v>SR-01-01-03</x:v>
      </x:c>
      <x:c r="C34" s="20" t="str">
        <x:v>IR-01-01</x:v>
      </x:c>
      <x:c r="D34" s="20" t="str">
        <x:v>状态错误、成本返回与Fallback契约</x:v>
      </x:c>
      <x:c r="E34" s="20" t="str">
        <x:v>系统应把底层状态转换为上层可执行的retry/wait/load/recompute/miss。</x:v>
      </x:c>
      <x:c r="F34" s="20" t="str">
        <x:v>错误码覆盖、禁止fallback与deadline超时用例通过。</x:v>
      </x:c>
      <x:c r="G34" s="20" t="n">
        <x:f>COUNTIF('AR全量追溯'!$G$5:$G$148,B34)</x:f>
        <x:v>3</x:v>
      </x:c>
      <x:c r="H34" s="20" t="n">
        <x:f>COUNTIF($C$5:$C$79,B34)</x:f>
        <x:v>0</x:v>
      </x:c>
      <x:c r="I34" s="20" t="str">
        <x:v>L2</x:v>
      </x:c>
      <x:c r="J34" s="20" t="str">
        <x:v>待评审</x:v>
      </x:c>
      <x:c r="K34" s="20" t="str">
        <x:v>SR|SF-01</x:v>
      </x:c>
    </x:row>
    <x:row r="35" ht="15" hidden="0" customHeight="1">
      <x:c r="A35" s="20" t="str">
        <x:v>SR</x:v>
      </x:c>
      <x:c r="B35" s="20" t="str">
        <x:v>SR-01-02-01</x:v>
      </x:c>
      <x:c r="C35" s="20" t="str">
        <x:v>IR-01-02</x:v>
      </x:c>
      <x:c r="D35" s="20" t="str">
        <x:v>前缀预算、收益准入与亲和路由</x:v>
      </x:c>
      <x:c r="E35" s="20" t="str">
        <x:v>系统应在预算内比较load与recompute并优先路由到低成本可用副本。</x:v>
      </x:c>
      <x:c r="F35" s="20" t="str">
        <x:v>负收益命中放弃、预算超时降级和亲和路由A/B通过。</x:v>
      </x:c>
      <x:c r="G35" s="20" t="n">
        <x:f>COUNTIF('AR全量追溯'!$G$5:$G$148,B35)</x:f>
        <x:v>4</x:v>
      </x:c>
      <x:c r="H35" s="20" t="n">
        <x:f>COUNTIF($C$5:$C$79,B35)</x:f>
        <x:v>0</x:v>
      </x:c>
      <x:c r="I35" s="20" t="str">
        <x:v>L1</x:v>
      </x:c>
      <x:c r="J35" s="20" t="str">
        <x:v>待评审</x:v>
      </x:c>
      <x:c r="K35" s="20" t="str">
        <x:v>SR|SF-01</x:v>
      </x:c>
    </x:row>
    <x:row r="36" ht="21.600000381469727" hidden="0" customHeight="1">
      <x:c r="A36" s="20" t="str">
        <x:v>SR</x:v>
      </x:c>
      <x:c r="B36" s="20" t="str">
        <x:v>SR-01-02-02</x:v>
      </x:c>
      <x:c r="C36" s="20" t="str">
        <x:v>IR-01-02</x:v>
      </x:c>
      <x:c r="D36" s="20" t="str">
        <x:v>部分命中、View/Copy与重算边界</x:v>
      </x:c>
      <x:c r="E36" s="20" t="str">
        <x:v>系统应基于命中长度、布局和成本决定部分加载、direct view、copy-to-HBM或重算。</x:v>
      </x:c>
      <x:c r="F36" s="20" t="str">
        <x:v>partial hit与view/copy决策可解释且不恶化TPOT。</x:v>
      </x:c>
      <x:c r="G36" s="20" t="n">
        <x:f>COUNTIF('AR全量追溯'!$G$5:$G$148,B36)</x:f>
        <x:v>4</x:v>
      </x:c>
      <x:c r="H36" s="20" t="n">
        <x:f>COUNTIF($C$5:$C$79,B36)</x:f>
        <x:v>0</x:v>
      </x:c>
      <x:c r="I36" s="20" t="str">
        <x:v>L1/L2/L3</x:v>
      </x:c>
      <x:c r="J36" s="20" t="str">
        <x:v>待评审</x:v>
      </x:c>
      <x:c r="K36" s="20" t="str">
        <x:v>SR|SF-01</x:v>
      </x:c>
    </x:row>
    <x:row r="37" ht="21.600000381469727" hidden="0" customHeight="1">
      <x:c r="A37" s="20" t="str">
        <x:v>SR</x:v>
      </x:c>
      <x:c r="B37" s="20" t="str">
        <x:v>SR-01-02-03</x:v>
      </x:c>
      <x:c r="C37" s="20" t="str">
        <x:v>IR-01-02</x:v>
      </x:c>
      <x:c r="D37" s="20" t="str">
        <x:v>可消费判定与QueryPlan快速路径</x:v>
      </x:c>
      <x:c r="E37" s="20" t="str">
        <x:v>系统应在一次决策中校验版本、layout、ready、lease、路径、deadline和成本。</x:v>
      </x:c>
      <x:c r="F37" s="20" t="str">
        <x:v>raw/usable/abandoned拆解正确，TTFT关键路径预算满足。</x:v>
      </x:c>
      <x:c r="G37" s="20" t="n">
        <x:f>COUNTIF('AR全量追溯'!$G$5:$G$148,B37)</x:f>
        <x:v>3</x:v>
      </x:c>
      <x:c r="H37" s="20" t="n">
        <x:f>COUNTIF($C$5:$C$79,B37)</x:f>
        <x:v>0</x:v>
      </x:c>
      <x:c r="I37" s="20" t="str">
        <x:v>L2/L3</x:v>
      </x:c>
      <x:c r="J37" s="20" t="str">
        <x:v>待评审</x:v>
      </x:c>
      <x:c r="K37" s="20" t="str">
        <x:v>SR|SF-01</x:v>
      </x:c>
    </x:row>
    <x:row r="38" ht="15" hidden="0" customHeight="1">
      <x:c r="A38" s="20" t="str">
        <x:v>SR</x:v>
      </x:c>
      <x:c r="B38" s="20" t="str">
        <x:v>SR-01-03-01</x:v>
      </x:c>
      <x:c r="C38" s="20" t="str">
        <x:v>IR-01-03</x:v>
      </x:c>
      <x:c r="D38" s="20" t="str">
        <x:v>多Rank前缀共识与多消费者</x:v>
      </x:c>
      <x:c r="E38" s="20" t="str">
        <x:v>系统应协调多rank、多consumer对安全prefix和副本状态达成一致。</x:v>
      </x:c>
      <x:c r="F38" s="20" t="str">
        <x:v>不一致时min-safe/recompute，无半数rank误attach。</x:v>
      </x:c>
      <x:c r="G38" s="20" t="n">
        <x:f>COUNTIF('AR全量追溯'!$G$5:$G$148,B38)</x:f>
        <x:v>2</x:v>
      </x:c>
      <x:c r="H38" s="20" t="n">
        <x:f>COUNTIF($C$5:$C$79,B38)</x:f>
        <x:v>0</x:v>
      </x:c>
      <x:c r="I38" s="20" t="str">
        <x:v>L1/L2</x:v>
      </x:c>
      <x:c r="J38" s="20" t="str">
        <x:v>待评审</x:v>
      </x:c>
      <x:c r="K38" s="20" t="str">
        <x:v>SR|SF-01</x:v>
      </x:c>
    </x:row>
    <x:row r="39" ht="15" hidden="0" customHeight="1">
      <x:c r="A39" s="20" t="str">
        <x:v>SR</x:v>
      </x:c>
      <x:c r="B39" s="20" t="str">
        <x:v>SR-01-03-02</x:v>
      </x:c>
      <x:c r="C39" s="20" t="str">
        <x:v>IR-01-03</x:v>
      </x:c>
      <x:c r="D39" s="20" t="str">
        <x:v>策略引擎与专家级Override</x:v>
      </x:c>
      <x:c r="E39" s="20" t="str">
        <x:v>系统应提供默认策略和受权限控制的显式路径/语义覆盖。</x:v>
      </x:c>
      <x:c r="F39" s="20" t="str">
        <x:v>override可审计、可回滚且不绕过安全约束。</x:v>
      </x:c>
      <x:c r="G39" s="20" t="n">
        <x:f>COUNTIF('AR全量追溯'!$G$5:$G$148,B39)</x:f>
        <x:v>2</x:v>
      </x:c>
      <x:c r="H39" s="20" t="n">
        <x:f>COUNTIF($C$5:$C$79,B39)</x:f>
        <x:v>0</x:v>
      </x:c>
      <x:c r="I39" s="20" t="str">
        <x:v>L1/L3</x:v>
      </x:c>
      <x:c r="J39" s="20" t="str">
        <x:v>待评审</x:v>
      </x:c>
      <x:c r="K39" s="20" t="str">
        <x:v>SR|SF-01</x:v>
      </x:c>
    </x:row>
    <x:row r="40" ht="15" hidden="0" customHeight="1">
      <x:c r="A40" s="20" t="str">
        <x:v>SR</x:v>
      </x:c>
      <x:c r="B40" s="20" t="str">
        <x:v>SR-02-01-01</x:v>
      </x:c>
      <x:c r="C40" s="20" t="str">
        <x:v>IR-02-01</x:v>
      </x:c>
      <x:c r="D40" s="20" t="str">
        <x:v>框架侧前缀计算与关键路径解耦</x:v>
      </x:c>
      <x:c r="E40" s="20" t="str">
        <x:v>系统应加速LPM/哈希并把远端确认从Scheduler同步串行路径解耦。</x:v>
      </x:c>
      <x:c r="F40" s="20" t="str">
        <x:v>计算、队列与远端RTT分项可测，超时可降级。</x:v>
      </x:c>
      <x:c r="G40" s="20" t="n">
        <x:f>COUNTIF('AR全量追溯'!$G$5:$G$148,B40)</x:f>
        <x:v>3</x:v>
      </x:c>
      <x:c r="H40" s="20" t="n">
        <x:f>COUNTIF($C$5:$C$79,B40)</x:f>
        <x:v>0</x:v>
      </x:c>
      <x:c r="I40" s="20" t="str">
        <x:v>L1</x:v>
      </x:c>
      <x:c r="J40" s="20" t="str">
        <x:v>待评审</x:v>
      </x:c>
      <x:c r="K40" s="20" t="str">
        <x:v>SR|SF-02</x:v>
      </x:c>
    </x:row>
    <x:row r="41" ht="15" hidden="0" customHeight="1">
      <x:c r="A41" s="20" t="str">
        <x:v>SR</x:v>
      </x:c>
      <x:c r="B41" s="20" t="str">
        <x:v>SR-02-01-02</x:v>
      </x:c>
      <x:c r="C41" s="20" t="str">
        <x:v>IR-02-01</x:v>
      </x:c>
      <x:c r="D41" s="20" t="str">
        <x:v>本地热索引、批量与范围查询</x:v>
      </x:c>
      <x:c r="E41" s="20" t="str">
        <x:v>系统应支持本地快速判断、批量lookup和长前缀范围查询。</x:v>
      </x:c>
      <x:c r="F41" s="20" t="str">
        <x:v>单查/批查、热点/冷点及不同前缀长度下尾时延达标。</x:v>
      </x:c>
      <x:c r="G41" s="20" t="n">
        <x:f>COUNTIF('AR全量追溯'!$G$5:$G$148,B41)</x:f>
        <x:v>6</x:v>
      </x:c>
      <x:c r="H41" s="20" t="n">
        <x:f>COUNTIF($C$5:$C$79,B41)</x:f>
        <x:v>0</x:v>
      </x:c>
      <x:c r="I41" s="20" t="str">
        <x:v>L2/L3</x:v>
      </x:c>
      <x:c r="J41" s="20" t="str">
        <x:v>待评审</x:v>
      </x:c>
      <x:c r="K41" s="20" t="str">
        <x:v>SR|SF-02</x:v>
      </x:c>
    </x:row>
    <x:row r="42" ht="21.600000381469727" hidden="0" customHeight="1">
      <x:c r="A42" s="20" t="str">
        <x:v>SR</x:v>
      </x:c>
      <x:c r="B42" s="20" t="str">
        <x:v>SR-02-02-01</x:v>
      </x:c>
      <x:c r="C42" s="20" t="str">
        <x:v>IR-02-02</x:v>
      </x:c>
      <x:c r="D42" s="20" t="str">
        <x:v>目录Schema、分片、镜像与复制</x:v>
      </x:c>
      <x:c r="E42" s="20" t="str">
        <x:v>系统应定义PrefixDirectorySchema并支持分片、本地镜像和索引高可用。</x:v>
      </x:c>
      <x:c r="F42" s="20" t="str">
        <x:v>热点分片、节点故障、镜像滞后和恢复用例通过。</x:v>
      </x:c>
      <x:c r="G42" s="20" t="n">
        <x:f>COUNTIF('AR全量追溯'!$G$5:$G$148,B42)</x:f>
        <x:v>4</x:v>
      </x:c>
      <x:c r="H42" s="20" t="n">
        <x:f>COUNTIF($C$5:$C$79,B42)</x:f>
        <x:v>0</x:v>
      </x:c>
      <x:c r="I42" s="20" t="str">
        <x:v>L3</x:v>
      </x:c>
      <x:c r="J42" s="20" t="str">
        <x:v>待评审</x:v>
      </x:c>
      <x:c r="K42" s="20" t="str">
        <x:v>SR|SF-02</x:v>
      </x:c>
    </x:row>
    <x:row r="43" ht="15" hidden="0" customHeight="1">
      <x:c r="A43" s="20" t="str">
        <x:v>SR</x:v>
      </x:c>
      <x:c r="B43" s="20" t="str">
        <x:v>SR-02-02-02</x:v>
      </x:c>
      <x:c r="C43" s="20" t="str">
        <x:v>IR-02-02</x:v>
      </x:c>
      <x:c r="D43" s="20" t="str">
        <x:v>多副本目录、位置状态与解析</x:v>
      </x:c>
      <x:c r="E43" s="20" t="str">
        <x:v>系统应维护多副本位置/状态并选择可用、低成本、健康的读取源。</x:v>
      </x:c>
      <x:c r="F43" s="20" t="str">
        <x:v>副本变化、故障和拥塞下解析结果正确。</x:v>
      </x:c>
      <x:c r="G43" s="20" t="n">
        <x:f>COUNTIF('AR全量追溯'!$G$5:$G$148,B43)</x:f>
        <x:v>3</x:v>
      </x:c>
      <x:c r="H43" s="20" t="n">
        <x:f>COUNTIF($C$5:$C$79,B43)</x:f>
        <x:v>0</x:v>
      </x:c>
      <x:c r="I43" s="20" t="str">
        <x:v>L3</x:v>
      </x:c>
      <x:c r="J43" s="20" t="str">
        <x:v>待评审</x:v>
      </x:c>
      <x:c r="K43" s="20" t="str">
        <x:v>SR|SF-02</x:v>
      </x:c>
    </x:row>
    <x:row r="44" ht="21.600000381469727" hidden="0" customHeight="1">
      <x:c r="A44" s="20" t="str">
        <x:v>SR</x:v>
      </x:c>
      <x:c r="B44" s="20" t="str">
        <x:v>SR-02-03-01</x:v>
      </x:c>
      <x:c r="C44" s="20" t="str">
        <x:v>IR-02-03</x:v>
      </x:c>
      <x:c r="D44" s="20" t="str">
        <x:v>元数据热路径与紧凑检索布局</x:v>
      </x:c>
      <x:c r="E44" s="20" t="str">
        <x:v>系统应探索UBMEM/共享内存语义并优化PrefixDirectory/block table热访问布局。</x:v>
      </x:c>
      <x:c r="F44" s="20" t="str">
        <x:v>与RPC基线对比QPS、P99、CPU和一致性成本。</x:v>
      </x:c>
      <x:c r="G44" s="20" t="n">
        <x:f>COUNTIF('AR全量追溯'!$G$5:$G$148,B44)</x:f>
        <x:v>3</x:v>
      </x:c>
      <x:c r="H44" s="20" t="n">
        <x:f>COUNTIF($C$5:$C$79,B44)</x:f>
        <x:v>0</x:v>
      </x:c>
      <x:c r="I44" s="20" t="str">
        <x:v>L3</x:v>
      </x:c>
      <x:c r="J44" s="20" t="str">
        <x:v>待评审</x:v>
      </x:c>
      <x:c r="K44" s="20" t="str">
        <x:v>SR|SF-02</x:v>
      </x:c>
    </x:row>
    <x:row r="45" ht="21.600000381469727" hidden="0" customHeight="1">
      <x:c r="A45" s="20" t="str">
        <x:v>SR</x:v>
      </x:c>
      <x:c r="B45" s="20" t="str">
        <x:v>SR-02-03-02</x:v>
      </x:c>
      <x:c r="C45" s="20" t="str">
        <x:v>IR-02-03</x:v>
      </x:c>
      <x:c r="D45" s="20" t="str">
        <x:v>元数据原子发布、失效与Stale防护</x:v>
      </x:c>
      <x:c r="E45" s="20" t="str">
        <x:v>系统应以原子可见性、tombstone和版本校验防止旧对象复活或误命中。</x:v>
      </x:c>
      <x:c r="F45" s="20" t="str">
        <x:v>并发发布/失效、缓存滞后和崩溃恢复用例通过。</x:v>
      </x:c>
      <x:c r="G45" s="20" t="n">
        <x:f>COUNTIF('AR全量追溯'!$G$5:$G$148,B45)</x:f>
        <x:v>3</x:v>
      </x:c>
      <x:c r="H45" s="20" t="n">
        <x:f>COUNTIF($C$5:$C$79,B45)</x:f>
        <x:v>0</x:v>
      </x:c>
      <x:c r="I45" s="20" t="str">
        <x:v>L3</x:v>
      </x:c>
      <x:c r="J45" s="20" t="str">
        <x:v>待评审</x:v>
      </x:c>
      <x:c r="K45" s="20" t="str">
        <x:v>SR|SF-02</x:v>
      </x:c>
    </x:row>
    <x:row r="46" ht="21.600000381469727" hidden="0" customHeight="1">
      <x:c r="A46" s="20" t="str">
        <x:v>SR</x:v>
      </x:c>
      <x:c r="B46" s="20" t="str">
        <x:v>SR-03-01-01</x:v>
      </x:c>
      <x:c r="C46" s="20" t="str">
        <x:v>IR-03-01</x:v>
      </x:c>
      <x:c r="D46" s="20" t="str">
        <x:v>KV容量规格、Block Schema与Extent Manifest</x:v>
      </x:c>
      <x:c r="E46" s="20" t="str">
        <x:v>系统应依据模型/layout计算footprint并描述离散KV block到extent的映射。</x:v>
      </x:c>
      <x:c r="F46" s="20" t="str">
        <x:v>估算误差、跨介质落盘与批量加载一致。</x:v>
      </x:c>
      <x:c r="G46" s="20" t="n">
        <x:f>COUNTIF('AR全量追溯'!$G$5:$G$148,B46)</x:f>
        <x:v>3</x:v>
      </x:c>
      <x:c r="H46" s="20" t="n">
        <x:f>COUNTIF($C$5:$C$79,B46)</x:f>
        <x:v>0</x:v>
      </x:c>
      <x:c r="I46" s="20" t="str">
        <x:v>L1/L3</x:v>
      </x:c>
      <x:c r="J46" s="20" t="str">
        <x:v>待评审</x:v>
      </x:c>
      <x:c r="K46" s="20" t="str">
        <x:v>SR|SF-03</x:v>
      </x:c>
    </x:row>
    <x:row r="47" ht="15" hidden="0" customHeight="1">
      <x:c r="A47" s="20" t="str">
        <x:v>SR</x:v>
      </x:c>
      <x:c r="B47" s="20" t="str">
        <x:v>SR-03-01-02</x:v>
      </x:c>
      <x:c r="C47" s="20" t="str">
        <x:v>IR-03-01</x:v>
      </x:c>
      <x:c r="D47" s="20" t="str">
        <x:v>Layout协商、转换计划与Descriptor生成</x:v>
      </x:c>
      <x:c r="E47" s="20" t="str">
        <x:v>系统应协商源/目标布局并从manifest生成硬件可执行descriptor。</x:v>
      </x:c>
      <x:c r="F47" s="20" t="str">
        <x:v>HND/NHD/page-first/cross-layer兼容及限制显式。</x:v>
      </x:c>
      <x:c r="G47" s="20" t="n">
        <x:f>COUNTIF('AR全量追溯'!$G$5:$G$148,B47)</x:f>
        <x:v>4</x:v>
      </x:c>
      <x:c r="H47" s="20" t="n">
        <x:f>COUNTIF($C$5:$C$79,B47)</x:f>
        <x:v>0</x:v>
      </x:c>
      <x:c r="I47" s="20" t="str">
        <x:v>L2/L3/L4</x:v>
      </x:c>
      <x:c r="J47" s="20" t="str">
        <x:v>待评审</x:v>
      </x:c>
      <x:c r="K47" s="20" t="str">
        <x:v>SR|SF-03</x:v>
      </x:c>
    </x:row>
    <x:row r="48" ht="21.600000381469727" hidden="0" customHeight="1">
      <x:c r="A48" s="20" t="str">
        <x:v>SR</x:v>
      </x:c>
      <x:c r="B48" s="20" t="str">
        <x:v>SR-03-01-03</x:v>
      </x:c>
      <x:c r="C48" s="20" t="str">
        <x:v>IR-03-01</x:v>
      </x:c>
      <x:c r="D48" s="20" t="str">
        <x:v>持久与远端Extent统一Handle</x:v>
      </x:c>
      <x:c r="E48" s="20" t="str">
        <x:v>系统应为SSD/object和远端内存副本提供安全、可失效的统一寻址句柄。</x:v>
      </x:c>
      <x:c r="F48" s="20" t="str">
        <x:v>handle版本、权限、失效和恢复用例通过。</x:v>
      </x:c>
      <x:c r="G48" s="20" t="n">
        <x:f>COUNTIF('AR全量追溯'!$G$5:$G$148,B48)</x:f>
        <x:v>2</x:v>
      </x:c>
      <x:c r="H48" s="20" t="n">
        <x:f>COUNTIF($C$5:$C$79,B48)</x:f>
        <x:v>0</x:v>
      </x:c>
      <x:c r="I48" s="20" t="str">
        <x:v>L4</x:v>
      </x:c>
      <x:c r="J48" s="20" t="str">
        <x:v>待评审</x:v>
      </x:c>
      <x:c r="K48" s="20" t="str">
        <x:v>SR|SF-03</x:v>
      </x:c>
    </x:row>
    <x:row r="49" ht="15" hidden="0" customHeight="1">
      <x:c r="A49" s="20" t="str">
        <x:v>SR</x:v>
      </x:c>
      <x:c r="B49" s="20" t="str">
        <x:v>SR-03-02-01</x:v>
      </x:c>
      <x:c r="C49" s="20" t="str">
        <x:v>IR-03-02</x:v>
      </x:c>
      <x:c r="D49" s="20" t="str">
        <x:v>全局池、NUMA/UB分配与Extent分配器</x:v>
      </x:c>
      <x:c r="E49" s="20" t="str">
        <x:v>系统应统一管理容量并按NUMA、UB域、页/extent约束分配。</x:v>
      </x:c>
      <x:c r="F49" s="20" t="str">
        <x:v>并发分配、碎片、水位和回收统计一致。</x:v>
      </x:c>
      <x:c r="G49" s="20" t="n">
        <x:f>COUNTIF('AR全量追溯'!$G$5:$G$148,B49)</x:f>
        <x:v>4</x:v>
      </x:c>
      <x:c r="H49" s="20" t="n">
        <x:f>COUNTIF($C$5:$C$79,B49)</x:f>
        <x:v>0</x:v>
      </x:c>
      <x:c r="I49" s="20" t="str">
        <x:v>L3</x:v>
      </x:c>
      <x:c r="J49" s="20" t="str">
        <x:v>待评审</x:v>
      </x:c>
      <x:c r="K49" s="20" t="str">
        <x:v>SR|SF-03</x:v>
      </x:c>
    </x:row>
    <x:row r="50" ht="21.600000381469727" hidden="0" customHeight="1">
      <x:c r="A50" s="20" t="str">
        <x:v>SR</x:v>
      </x:c>
      <x:c r="B50" s="20" t="str">
        <x:v>SR-03-02-02</x:v>
      </x:c>
      <x:c r="C50" s="20" t="str">
        <x:v>IR-03-02</x:v>
      </x:c>
      <x:c r="D50" s="20" t="str">
        <x:v>图式分层、DDR旁路与角色化准入</x:v>
      </x:c>
      <x:c r="E50" s="20" t="str">
        <x:v>系统应支持tier bypass，以SSD为容量主体，并按角色/净收益启用DDR。</x:v>
      </x:c>
      <x:c r="F50" s="20" t="str">
        <x:v>SSD-only与DDR角色A/B，负收益角色默认关闭。</x:v>
      </x:c>
      <x:c r="G50" s="20" t="n">
        <x:f>COUNTIF('AR全量追溯'!$G$5:$G$148,B50)</x:f>
        <x:v>5</x:v>
      </x:c>
      <x:c r="H50" s="20" t="n">
        <x:f>COUNTIF($C$5:$C$79,B50)</x:f>
        <x:v>0</x:v>
      </x:c>
      <x:c r="I50" s="20" t="str">
        <x:v>L1/L3</x:v>
      </x:c>
      <x:c r="J50" s="20" t="str">
        <x:v>待评审</x:v>
      </x:c>
      <x:c r="K50" s="20" t="str">
        <x:v>SR|SF-03</x:v>
      </x:c>
    </x:row>
    <x:row r="51" ht="15" hidden="0" customHeight="1">
      <x:c r="A51" s="20" t="str">
        <x:v>SR</x:v>
      </x:c>
      <x:c r="B51" s="20" t="str">
        <x:v>SR-03-03-01</x:v>
      </x:c>
      <x:c r="C51" s="20" t="str">
        <x:v>IR-03-03</x:v>
      </x:c>
      <x:c r="D51" s="20" t="str">
        <x:v>KV对象状态机、生命周期与状态感知淘汰</x:v>
      </x:c>
      <x:c r="E51" s="20" t="str">
        <x:v>系统应管理对象从创建、发布、驻留、迁移到回收的完整状态。</x:v>
      </x:c>
      <x:c r="F51" s="20" t="str">
        <x:v>非法状态转换被拒绝；活动对象不被误淘汰。</x:v>
      </x:c>
      <x:c r="G51" s="20" t="n">
        <x:f>COUNTIF('AR全量追溯'!$G$5:$G$148,B51)</x:f>
        <x:v>3</x:v>
      </x:c>
      <x:c r="H51" s="20" t="n">
        <x:f>COUNTIF($C$5:$C$79,B51)</x:f>
        <x:v>0</x:v>
      </x:c>
      <x:c r="I51" s="20" t="str">
        <x:v>L3</x:v>
      </x:c>
      <x:c r="J51" s="20" t="str">
        <x:v>待评审</x:v>
      </x:c>
      <x:c r="K51" s="20" t="str">
        <x:v>SR|SF-03</x:v>
      </x:c>
    </x:row>
    <x:row r="52" ht="21.600000381469727" hidden="0" customHeight="1">
      <x:c r="A52" s="20" t="str">
        <x:v>SR</x:v>
      </x:c>
      <x:c r="B52" s="20" t="str">
        <x:v>SR-03-03-02</x:v>
      </x:c>
      <x:c r="C52" s="20" t="str">
        <x:v>IR-03-03</x:v>
      </x:c>
      <x:c r="D52" s="20" t="str">
        <x:v>成本淘汰、命中质量与Placement Resolver</x:v>
      </x:c>
      <x:c r="E52" s="20" t="str">
        <x:v>系统应结合复用价值、加载成本、介质水位和拓扑决定保留、迁移或淘汰。</x:v>
      </x:c>
      <x:c r="F52" s="20" t="str">
        <x:v>估计/实际成本对账，位置选择优于固定层级基线。</x:v>
      </x:c>
      <x:c r="G52" s="20" t="n">
        <x:f>COUNTIF('AR全量追溯'!$G$5:$G$148,B52)</x:f>
        <x:v>3</x:v>
      </x:c>
      <x:c r="H52" s="20" t="n">
        <x:f>COUNTIF($C$5:$C$79,B52)</x:f>
        <x:v>0</x:v>
      </x:c>
      <x:c r="I52" s="20" t="str">
        <x:v>L3</x:v>
      </x:c>
      <x:c r="J52" s="20" t="str">
        <x:v>待评审</x:v>
      </x:c>
      <x:c r="K52" s="20" t="str">
        <x:v>SR|SF-03</x:v>
      </x:c>
    </x:row>
    <x:row r="53" ht="15" hidden="0" customHeight="1">
      <x:c r="A53" s="20" t="str">
        <x:v>SR</x:v>
      </x:c>
      <x:c r="B53" s="20" t="str">
        <x:v>SR-03-03-03</x:v>
      </x:c>
      <x:c r="C53" s="20" t="str">
        <x:v>IR-03-03</x:v>
      </x:c>
      <x:c r="D53" s="20" t="str">
        <x:v>Compaction、智能迁移与互锁</x:v>
      </x:c>
      <x:c r="E53" s="20" t="str">
        <x:v>系统应在不中断活动消费的条件下完成碎片整理和跨介质迁移。</x:v>
      </x:c>
      <x:c r="F53" s="20" t="str">
        <x:v>长稳碎片回落、无死锁、无UAF、迁移可回退。</x:v>
      </x:c>
      <x:c r="G53" s="20" t="n">
        <x:f>COUNTIF('AR全量追溯'!$G$5:$G$148,B53)</x:f>
        <x:v>6</x:v>
      </x:c>
      <x:c r="H53" s="20" t="n">
        <x:f>COUNTIF($C$5:$C$79,B53)</x:f>
        <x:v>0</x:v>
      </x:c>
      <x:c r="I53" s="20" t="str">
        <x:v>L1/L2/L3</x:v>
      </x:c>
      <x:c r="J53" s="20" t="str">
        <x:v>待评审</x:v>
      </x:c>
      <x:c r="K53" s="20" t="str">
        <x:v>SR|SF-03</x:v>
      </x:c>
    </x:row>
    <x:row r="54" ht="21.600000381469727" hidden="0" customHeight="1">
      <x:c r="A54" s="20" t="str">
        <x:v>SR</x:v>
      </x:c>
      <x:c r="B54" s="20" t="str">
        <x:v>SR-04-01-01</x:v>
      </x:c>
      <x:c r="C54" s="20" t="str">
        <x:v>IR-04-01</x:v>
      </x:c>
      <x:c r="D54" s="20" t="str">
        <x:v>传输Capability与语义抽象</x:v>
      </x:c>
      <x:c r="E54" s="20" t="str">
        <x:v>系统应统一表达不同平台的带宽、时延、注册、完成、fence、错误和fallback能力。</x:v>
      </x:c>
      <x:c r="F54" s="20" t="str">
        <x:v>能力表可机读并被cost model/QueryPlan引用。</x:v>
      </x:c>
      <x:c r="G54" s="20" t="n">
        <x:f>COUNTIF('AR全量追溯'!$G$5:$G$148,B54)</x:f>
        <x:v>3</x:v>
      </x:c>
      <x:c r="H54" s="20" t="n">
        <x:f>COUNTIF($C$5:$C$79,B54)</x:f>
        <x:v>0</x:v>
      </x:c>
      <x:c r="I54" s="20" t="str">
        <x:v>L3/L4</x:v>
      </x:c>
      <x:c r="J54" s="20" t="str">
        <x:v>待评审</x:v>
      </x:c>
      <x:c r="K54" s="20" t="str">
        <x:v>SR|SF-04</x:v>
      </x:c>
    </x:row>
    <x:row r="55" ht="15" hidden="0" customHeight="1">
      <x:c r="A55" s="20" t="str">
        <x:v>SR</x:v>
      </x:c>
      <x:c r="B55" s="20" t="str">
        <x:v>SR-04-01-02</x:v>
      </x:c>
      <x:c r="C55" s="20" t="str">
        <x:v>IR-04-01</x:v>
      </x:c>
      <x:c r="D55" s="20" t="str">
        <x:v>拓扑探测、动态路由与统一Fabric Router</x:v>
      </x:c>
      <x:c r="E55" s="20" t="str">
        <x:v>系统应根据实时路径质量、水位和拓扑选择传输后端。</x:v>
      </x:c>
      <x:c r="F55" s="20" t="str">
        <x:v>故障、拥塞和水位变化下路由切换符合预算。</x:v>
      </x:c>
      <x:c r="G55" s="20" t="n">
        <x:f>COUNTIF('AR全量追溯'!$G$5:$G$148,B55)</x:f>
        <x:v>5</x:v>
      </x:c>
      <x:c r="H55" s="20" t="n">
        <x:f>COUNTIF($C$5:$C$79,B55)</x:f>
        <x:v>0</x:v>
      </x:c>
      <x:c r="I55" s="20" t="str">
        <x:v>L2/L3/L4</x:v>
      </x:c>
      <x:c r="J55" s="20" t="str">
        <x:v>待评审</x:v>
      </x:c>
      <x:c r="K55" s="20" t="str">
        <x:v>SR|SF-04</x:v>
      </x:c>
    </x:row>
    <x:row r="56" ht="21.600000381469727" hidden="0" customHeight="1">
      <x:c r="A56" s="20" t="str">
        <x:v>SR</x:v>
      </x:c>
      <x:c r="B56" s="20" t="str">
        <x:v>SR-04-01-03</x:v>
      </x:c>
      <x:c r="C56" s="20" t="str">
        <x:v>IR-04-01</x:v>
      </x:c>
      <x:c r="D56" s="20" t="str">
        <x:v>统一Descriptor、粒度分流与批量描述</x:v>
      </x:c>
      <x:c r="E56" s="20" t="str">
        <x:v>系统应把元数据/数据、离散页和批量任务编译为适配底层队列的descriptor。</x:v>
      </x:c>
      <x:c r="F56" s="20" t="str">
        <x:v>SG数量、对齐、批量规模和失败分片边界明确。</x:v>
      </x:c>
      <x:c r="G56" s="20" t="n">
        <x:f>COUNTIF('AR全量追溯'!$G$5:$G$148,B56)</x:f>
        <x:v>3</x:v>
      </x:c>
      <x:c r="H56" s="20" t="n">
        <x:f>COUNTIF($C$5:$C$79,B56)</x:f>
        <x:v>0</x:v>
      </x:c>
      <x:c r="I56" s="20" t="str">
        <x:v>L2/L3</x:v>
      </x:c>
      <x:c r="J56" s="20" t="str">
        <x:v>待评审</x:v>
      </x:c>
      <x:c r="K56" s="20" t="str">
        <x:v>SR|SF-04</x:v>
      </x:c>
    </x:row>
    <x:row r="57" ht="15" hidden="0" customHeight="1">
      <x:c r="A57" s="20" t="str">
        <x:v>SR</x:v>
      </x:c>
      <x:c r="B57" s="20" t="str">
        <x:v>SR-04-02-01</x:v>
      </x:c>
      <x:c r="C57" s="20" t="str">
        <x:v>IR-04-02</x:v>
      </x:c>
      <x:c r="D57" s="20" t="str">
        <x:v>HBM↔SSD Direct容量主路径</x:v>
      </x:c>
      <x:c r="E57" s="20" t="str">
        <x:v>系统应打通SSD容量路径并量化是否真实绕开CPU/DDR Payload处理。</x:v>
      </x:c>
      <x:c r="F57" s="20" t="str">
        <x:v>Host Payload touch默认0；staged/fallback显式计入成本。</x:v>
      </x:c>
      <x:c r="G57" s="20" t="n">
        <x:f>COUNTIF('AR全量追溯'!$G$5:$G$148,B57)</x:f>
        <x:v>2</x:v>
      </x:c>
      <x:c r="H57" s="20" t="n">
        <x:f>COUNTIF($C$5:$C$79,B57)</x:f>
        <x:v>0</x:v>
      </x:c>
      <x:c r="I57" s="20" t="str">
        <x:v>L4</x:v>
      </x:c>
      <x:c r="J57" s="20" t="str">
        <x:v>待评审</x:v>
      </x:c>
      <x:c r="K57" s="20" t="str">
        <x:v>SR|SF-04</x:v>
      </x:c>
    </x:row>
    <x:row r="58" ht="15" hidden="0" customHeight="1">
      <x:c r="A58" s="20" t="str">
        <x:v>SR</x:v>
      </x:c>
      <x:c r="B58" s="20" t="str">
        <x:v>SR-04-02-02</x:v>
      </x:c>
      <x:c r="C58" s="20" t="str">
        <x:v>IR-04-02</x:v>
      </x:c>
      <x:c r="D58" s="20" t="str">
        <x:v>Registered Pool与跨节点RDMA直达</x:v>
      </x:c>
      <x:c r="E58" s="20" t="str">
        <x:v>系统应池化注册内存并支持远端NPU/HBM之间的高效传输。</x:v>
      </x:c>
      <x:c r="F58" s="20" t="str">
        <x:v>注册开销、有效带宽、P99和失败语义可测。</x:v>
      </x:c>
      <x:c r="G58" s="20" t="n">
        <x:f>COUNTIF('AR全量追溯'!$G$5:$G$148,B58)</x:f>
        <x:v>2</x:v>
      </x:c>
      <x:c r="H58" s="20" t="n">
        <x:f>COUNTIF($C$5:$C$79,B58)</x:f>
        <x:v>0</x:v>
      </x:c>
      <x:c r="I58" s="20" t="str">
        <x:v>L4</x:v>
      </x:c>
      <x:c r="J58" s="20" t="str">
        <x:v>待评审</x:v>
      </x:c>
      <x:c r="K58" s="20" t="str">
        <x:v>SR|SF-04</x:v>
      </x:c>
    </x:row>
    <x:row r="59" ht="15" hidden="0" customHeight="1">
      <x:c r="A59" s="20" t="str">
        <x:v>SR</x:v>
      </x:c>
      <x:c r="B59" s="20" t="str">
        <x:v>SR-04-02-03</x:v>
      </x:c>
      <x:c r="C59" s="20" t="str">
        <x:v>IR-04-02</x:v>
      </x:c>
      <x:c r="D59" s="20" t="str">
        <x:v>UB/C2C统一内存与Memory View</x:v>
      </x:c>
      <x:c r="E59" s="20" t="str">
        <x:v>系统应探索机内/跨节点内存语义、地址转换和安全direct view。</x:v>
      </x:c>
      <x:c r="F59" s="20" t="str">
        <x:v>适用对象、可见性、保护、TPOT影响和fallback边界定版。</x:v>
      </x:c>
      <x:c r="G59" s="20" t="n">
        <x:f>COUNTIF('AR全量追溯'!$G$5:$G$148,B59)</x:f>
        <x:v>7</x:v>
      </x:c>
      <x:c r="H59" s="20" t="n">
        <x:f>COUNTIF($C$5:$C$79,B59)</x:f>
        <x:v>0</x:v>
      </x:c>
      <x:c r="I59" s="20" t="str">
        <x:v>L3/L4</x:v>
      </x:c>
      <x:c r="J59" s="20" t="str">
        <x:v>待评审</x:v>
      </x:c>
      <x:c r="K59" s="20" t="str">
        <x:v>SR|SF-04</x:v>
      </x:c>
    </x:row>
    <x:row r="60" ht="15" hidden="0" customHeight="1">
      <x:c r="A60" s="20" t="str">
        <x:v>SR</x:v>
      </x:c>
      <x:c r="B60" s="20" t="str">
        <x:v>SR-04-03-01</x:v>
      </x:c>
      <x:c r="C60" s="20" t="str">
        <x:v>IR-04-03</x:v>
      </x:c>
      <x:c r="D60" s="20" t="str">
        <x:v>Swap批量与流式加载Pipeline</x:v>
      </x:c>
      <x:c r="E60" s="20" t="str">
        <x:v>系统应批量传输KV并允许分层就绪与计算重叠。</x:v>
      </x:c>
      <x:c r="F60" s="20" t="str">
        <x:v>整体与分层ready时延、队列深度和TPOT影响可测。</x:v>
      </x:c>
      <x:c r="G60" s="20" t="n">
        <x:f>COUNTIF('AR全量追溯'!$G$5:$G$148,B60)</x:f>
        <x:v>2</x:v>
      </x:c>
      <x:c r="H60" s="20" t="n">
        <x:f>COUNTIF($C$5:$C$79,B60)</x:f>
        <x:v>0</x:v>
      </x:c>
      <x:c r="I60" s="20" t="str">
        <x:v>L1/L2</x:v>
      </x:c>
      <x:c r="J60" s="20" t="str">
        <x:v>待评审</x:v>
      </x:c>
      <x:c r="K60" s="20" t="str">
        <x:v>SR|SF-04</x:v>
      </x:c>
    </x:row>
    <x:row r="61" ht="15" hidden="0" customHeight="1">
      <x:c r="A61" s="20" t="str">
        <x:v>SR</x:v>
      </x:c>
      <x:c r="B61" s="20" t="str">
        <x:v>SR-04-03-02</x:v>
      </x:c>
      <x:c r="C61" s="20" t="str">
        <x:v>IR-04-03</x:v>
      </x:c>
      <x:c r="D61" s="20" t="str">
        <x:v>状态感知预取与时延隐藏</x:v>
      </x:c>
      <x:c r="E61" s="20" t="str">
        <x:v>系统应在调度等待期或预测窗口内预取，并在状态变化时取消或降级。</x:v>
      </x:c>
      <x:c r="F61" s="20" t="str">
        <x:v>命中、浪费带宽、污染率和净TTFT收益可解释。</x:v>
      </x:c>
      <x:c r="G61" s="20" t="n">
        <x:f>COUNTIF('AR全量追溯'!$G$5:$G$148,B61)</x:f>
        <x:v>5</x:v>
      </x:c>
      <x:c r="H61" s="20" t="n">
        <x:f>COUNTIF($C$5:$C$79,B61)</x:f>
        <x:v>0</x:v>
      </x:c>
      <x:c r="I61" s="20" t="str">
        <x:v>L1/L2/L3</x:v>
      </x:c>
      <x:c r="J61" s="20" t="str">
        <x:v>待评审</x:v>
      </x:c>
      <x:c r="K61" s="20" t="str">
        <x:v>SR|SF-04</x:v>
      </x:c>
    </x:row>
    <x:row r="62" ht="15" hidden="0" customHeight="1">
      <x:c r="A62" s="20" t="str">
        <x:v>SR</x:v>
      </x:c>
      <x:c r="B62" s="20" t="str">
        <x:v>SR-04-03-03</x:v>
      </x:c>
      <x:c r="C62" s="20" t="str">
        <x:v>IR-04-03</x:v>
      </x:c>
      <x:c r="D62" s="20" t="str">
        <x:v>热点复制与一对多广播</x:v>
      </x:c>
      <x:c r="E62" s="20" t="str">
        <x:v>系统应为共享前缀提供受控复制和高效多播/广播。</x:v>
      </x:c>
      <x:c r="F62" s="20" t="str">
        <x:v>放大流量、完成语义、失败成员和副本状态一致。</x:v>
      </x:c>
      <x:c r="G62" s="20" t="n">
        <x:f>COUNTIF('AR全量追溯'!$G$5:$G$148,B62)</x:f>
        <x:v>3</x:v>
      </x:c>
      <x:c r="H62" s="20" t="n">
        <x:f>COUNTIF($C$5:$C$79,B62)</x:f>
        <x:v>0</x:v>
      </x:c>
      <x:c r="I62" s="20" t="str">
        <x:v>L3/L4</x:v>
      </x:c>
      <x:c r="J62" s="20" t="str">
        <x:v>待评审</x:v>
      </x:c>
      <x:c r="K62" s="20" t="str">
        <x:v>SR|SF-04</x:v>
      </x:c>
    </x:row>
    <x:row r="63" ht="21.600000381469727" hidden="0" customHeight="1">
      <x:c r="A63" s="20" t="str">
        <x:v>SR</x:v>
      </x:c>
      <x:c r="B63" s="20" t="str">
        <x:v>SR-04-04-01</x:v>
      </x:c>
      <x:c r="C63" s="20" t="str">
        <x:v>IR-04-04</x:v>
      </x:c>
      <x:c r="D63" s="20" t="str">
        <x:v>DPU卸载与硬件Codec条件能力</x:v>
      </x:c>
      <x:c r="E63" s="20" t="str">
        <x:v>系统仅在DPU/NPU/SSD原生能力与净收益成立时启用卸载、压缩和解压。</x:v>
      </x:c>
      <x:c r="F63" s="20" t="str">
        <x:v>无能力返回Not Supported，不以CPU codec作为兜底。</x:v>
      </x:c>
      <x:c r="G63" s="20" t="n">
        <x:f>COUNTIF('AR全量追溯'!$G$5:$G$148,B63)</x:f>
        <x:v>3</x:v>
      </x:c>
      <x:c r="H63" s="20" t="n">
        <x:f>COUNTIF($C$5:$C$79,B63)</x:f>
        <x:v>0</x:v>
      </x:c>
      <x:c r="I63" s="20" t="str">
        <x:v>L4</x:v>
      </x:c>
      <x:c r="J63" s="20" t="str">
        <x:v>待评审</x:v>
      </x:c>
      <x:c r="K63" s="20" t="str">
        <x:v>SR|SF-04</x:v>
      </x:c>
    </x:row>
    <x:row r="64" ht="15" hidden="0" customHeight="1">
      <x:c r="A64" s="20" t="str">
        <x:v>SR</x:v>
      </x:c>
      <x:c r="B64" s="20" t="str">
        <x:v>SR-04-04-02</x:v>
      </x:c>
      <x:c r="C64" s="20" t="str">
        <x:v>IR-04-04</x:v>
      </x:c>
      <x:c r="D64" s="20" t="str">
        <x:v>硬件页迁移与原子重映射</x:v>
      </x:c>
      <x:c r="E64" s="20" t="str">
        <x:v>系统可条件使用页迁移/原子remap降低整理期间复制和停顿。</x:v>
      </x:c>
      <x:c r="F64" s="20" t="str">
        <x:v>能力缺失可旁路；并发读写与地址切换无错误消费。</x:v>
      </x:c>
      <x:c r="G64" s="20" t="n">
        <x:f>COUNTIF('AR全量追溯'!$G$5:$G$148,B64)</x:f>
        <x:v>2</x:v>
      </x:c>
      <x:c r="H64" s="20" t="n">
        <x:f>COUNTIF($C$5:$C$79,B64)</x:f>
        <x:v>0</x:v>
      </x:c>
      <x:c r="I64" s="20" t="str">
        <x:v>L4</x:v>
      </x:c>
      <x:c r="J64" s="20" t="str">
        <x:v>待评审</x:v>
      </x:c>
      <x:c r="K64" s="20" t="str">
        <x:v>SR|SF-04</x:v>
      </x:c>
    </x:row>
    <x:row r="65" ht="21.600000381469727" hidden="0" customHeight="1">
      <x:c r="A65" s="20" t="str">
        <x:v>SR</x:v>
      </x:c>
      <x:c r="B65" s="20" t="str">
        <x:v>SR-05-01-01</x:v>
      </x:c>
      <x:c r="C65" s="20" t="str">
        <x:v>IR-05-01</x:v>
      </x:c>
      <x:c r="D65" s="20" t="str">
        <x:v>版本发布、Commit Log与Ready Bitmap</x:v>
      </x:c>
      <x:c r="E65" s="20" t="str">
        <x:v>系统应以version、commit和ready bitmap控制对象发布状态。</x:v>
      </x:c>
      <x:c r="F65" s="20" t="str">
        <x:v>半写、abort、重放和并发发布不暴露脏对象。</x:v>
      </x:c>
      <x:c r="G65" s="20" t="n">
        <x:f>COUNTIF('AR全量追溯'!$G$5:$G$148,B65)</x:f>
        <x:v>3</x:v>
      </x:c>
      <x:c r="H65" s="20" t="n">
        <x:f>COUNTIF($C$5:$C$79,B65)</x:f>
        <x:v>0</x:v>
      </x:c>
      <x:c r="I65" s="20" t="str">
        <x:v>L3</x:v>
      </x:c>
      <x:c r="J65" s="20" t="str">
        <x:v>待评审</x:v>
      </x:c>
      <x:c r="K65" s="20" t="str">
        <x:v>SR|SF-05</x:v>
      </x:c>
    </x:row>
    <x:row r="66" ht="15" hidden="0" customHeight="1">
      <x:c r="A66" s="20" t="str">
        <x:v>SR</x:v>
      </x:c>
      <x:c r="B66" s="20" t="str">
        <x:v>SR-05-01-02</x:v>
      </x:c>
      <x:c r="C66" s="20" t="str">
        <x:v>IR-05-01</x:v>
      </x:c>
      <x:c r="D66" s="20" t="str">
        <x:v>跨设备Fence与Extent可见性</x:v>
      </x:c>
      <x:c r="E66" s="20" t="str">
        <x:v>系统应把底层completion/fence转换为block/extent可消费边界。</x:v>
      </x:c>
      <x:c r="F66" s="20" t="str">
        <x:v>乱序和延迟完成下，ready与真实数据可见性一致。</x:v>
      </x:c>
      <x:c r="G66" s="20" t="n">
        <x:f>COUNTIF('AR全量追溯'!$G$5:$G$148,B66)</x:f>
        <x:v>2</x:v>
      </x:c>
      <x:c r="H66" s="20" t="n">
        <x:f>COUNTIF($C$5:$C$79,B66)</x:f>
        <x:v>0</x:v>
      </x:c>
      <x:c r="I66" s="20" t="str">
        <x:v>L4</x:v>
      </x:c>
      <x:c r="J66" s="20" t="str">
        <x:v>待评审</x:v>
      </x:c>
      <x:c r="K66" s="20" t="str">
        <x:v>SR|SF-05</x:v>
      </x:c>
    </x:row>
    <x:row r="67" ht="21.600000381469727" hidden="0" customHeight="1">
      <x:c r="A67" s="20" t="str">
        <x:v>SR</x:v>
      </x:c>
      <x:c r="B67" s="20" t="str">
        <x:v>SR-05-02-01</x:v>
      </x:c>
      <x:c r="C67" s="20" t="str">
        <x:v>IR-05-02</x:v>
      </x:c>
      <x:c r="D67" s="20" t="str">
        <x:v>Lease、RefCount、Ownership GC与安全下线</x:v>
      </x:c>
      <x:c r="E67" s="20" t="str">
        <x:v>系统应保护活动对象并在异常所有者/节点退出后安全回收。</x:v>
      </x:c>
      <x:c r="F67" s="20" t="str">
        <x:v>attach/detach、崩溃、超时和drain场景无泄漏、无UAF。</x:v>
      </x:c>
      <x:c r="G67" s="20" t="n">
        <x:f>COUNTIF('AR全量追溯'!$G$5:$G$148,B67)</x:f>
        <x:v>5</x:v>
      </x:c>
      <x:c r="H67" s="20" t="n">
        <x:f>COUNTIF($C$5:$C$79,B67)</x:f>
        <x:v>0</x:v>
      </x:c>
      <x:c r="I67" s="20" t="str">
        <x:v>L2/L3/L4</x:v>
      </x:c>
      <x:c r="J67" s="20" t="str">
        <x:v>待评审</x:v>
      </x:c>
      <x:c r="K67" s="20" t="str">
        <x:v>SR|SF-05</x:v>
      </x:c>
    </x:row>
    <x:row r="68" ht="21.600000381469727" hidden="0" customHeight="1">
      <x:c r="A68" s="20" t="str">
        <x:v>SR</x:v>
      </x:c>
      <x:c r="B68" s="20" t="str">
        <x:v>SR-05-03-01</x:v>
      </x:c>
      <x:c r="C68" s="20" t="str">
        <x:v>IR-05-03</x:v>
      </x:c>
      <x:c r="D68" s="20" t="str">
        <x:v>分路径Integrity Policy与副本校验</x:v>
      </x:c>
      <x:c r="E68" s="20" t="str">
        <x:v>系统应按介质/链路配置ECC/RAS、completion、backend checksum或硬件E2E证据。</x:v>
      </x:c>
      <x:c r="F68" s="20" t="str">
        <x:v>不满足policy的对象不可ready；CPU CRC不是默认前置。</x:v>
      </x:c>
      <x:c r="G68" s="20" t="n">
        <x:f>COUNTIF('AR全量追溯'!$G$5:$G$148,B68)</x:f>
        <x:v>2</x:v>
      </x:c>
      <x:c r="H68" s="20" t="n">
        <x:f>COUNTIF($C$5:$C$79,B68)</x:f>
        <x:v>0</x:v>
      </x:c>
      <x:c r="I68" s="20" t="str">
        <x:v>L4</x:v>
      </x:c>
      <x:c r="J68" s="20" t="str">
        <x:v>待评审</x:v>
      </x:c>
      <x:c r="K68" s="20" t="str">
        <x:v>SR|SF-05</x:v>
      </x:c>
    </x:row>
    <x:row r="69" ht="15" hidden="0" customHeight="1">
      <x:c r="A69" s="20" t="str">
        <x:v>SR</x:v>
      </x:c>
      <x:c r="B69" s="20" t="str">
        <x:v>SR-05-03-02</x:v>
      </x:c>
      <x:c r="C69" s="20" t="str">
        <x:v>IR-05-03</x:v>
      </x:c>
      <x:c r="D69" s="20" t="str">
        <x:v>副本隔离与RAS错误映射</x:v>
      </x:c>
      <x:c r="E69" s="20" t="str">
        <x:v>系统应隔离异常副本并把硬件错误映射为可执行恢复动作。</x:v>
      </x:c>
      <x:c r="F69" s="20" t="str">
        <x:v>RAS、介质错误和副本降级注入用例通过。</x:v>
      </x:c>
      <x:c r="G69" s="20" t="n">
        <x:f>COUNTIF('AR全量追溯'!$G$5:$G$148,B69)</x:f>
        <x:v>2</x:v>
      </x:c>
      <x:c r="H69" s="20" t="n">
        <x:f>COUNTIF($C$5:$C$79,B69)</x:f>
        <x:v>0</x:v>
      </x:c>
      <x:c r="I69" s="20" t="str">
        <x:v>L3/L4</x:v>
      </x:c>
      <x:c r="J69" s="20" t="str">
        <x:v>待评审</x:v>
      </x:c>
      <x:c r="K69" s="20" t="str">
        <x:v>SR|SF-05</x:v>
      </x:c>
    </x:row>
    <x:row r="70" ht="15" hidden="0" customHeight="1">
      <x:c r="A70" s="20" t="str">
        <x:v>SR</x:v>
      </x:c>
      <x:c r="B70" s="20" t="str">
        <x:v>SR-05-03-03</x:v>
      </x:c>
      <x:c r="C70" s="20" t="str">
        <x:v>IR-05-03</x:v>
      </x:c>
      <x:c r="D70" s="20" t="str">
        <x:v>Fallback故障链路追踪</x:v>
      </x:c>
      <x:c r="E70" s="20" t="str">
        <x:v>系统应完整记录故障、决策、降级目标和最终结果。</x:v>
      </x:c>
      <x:c r="F70" s="20" t="str">
        <x:v>fallback reason覆盖率和成功率可量化。</x:v>
      </x:c>
      <x:c r="G70" s="20" t="n">
        <x:f>COUNTIF('AR全量追溯'!$G$5:$G$148,B70)</x:f>
        <x:v>1</x:v>
      </x:c>
      <x:c r="H70" s="20" t="n">
        <x:f>COUNTIF($C$5:$C$79,B70)</x:f>
        <x:v>0</x:v>
      </x:c>
      <x:c r="I70" s="20" t="str">
        <x:v>L3</x:v>
      </x:c>
      <x:c r="J70" s="20" t="str">
        <x:v>待评审</x:v>
      </x:c>
      <x:c r="K70" s="20" t="str">
        <x:v>SR|SF-05</x:v>
      </x:c>
    </x:row>
    <x:row r="71" ht="15" hidden="0" customHeight="1">
      <x:c r="A71" s="20" t="str">
        <x:v>SR</x:v>
      </x:c>
      <x:c r="B71" s="20" t="str">
        <x:v>SR-05-04-01</x:v>
      </x:c>
      <x:c r="C71" s="20" t="str">
        <x:v>IR-05-04</x:v>
      </x:c>
      <x:c r="D71" s="20" t="str">
        <x:v>租户身份与存储池资源隔离</x:v>
      </x:c>
      <x:c r="E71" s="20" t="str">
        <x:v>系统应在key、配额、位置和共享策略上隔离租户与安全域。</x:v>
      </x:c>
      <x:c r="F71" s="20" t="str">
        <x:v>跨租户误命中、越权和资源挤占测试通过。</x:v>
      </x:c>
      <x:c r="G71" s="20" t="n">
        <x:f>COUNTIF('AR全量追溯'!$G$5:$G$148,B71)</x:f>
        <x:v>2</x:v>
      </x:c>
      <x:c r="H71" s="20" t="n">
        <x:f>COUNTIF($C$5:$C$79,B71)</x:f>
        <x:v>0</x:v>
      </x:c>
      <x:c r="I71" s="20" t="str">
        <x:v>L1/L3</x:v>
      </x:c>
      <x:c r="J71" s="20" t="str">
        <x:v>待评审</x:v>
      </x:c>
      <x:c r="K71" s="20" t="str">
        <x:v>SR|SF-05</x:v>
      </x:c>
    </x:row>
    <x:row r="72" ht="15" hidden="0" customHeight="1">
      <x:c r="A72" s="20" t="str">
        <x:v>SR</x:v>
      </x:c>
      <x:c r="B72" s="20" t="str">
        <x:v>SR-05-04-02</x:v>
      </x:c>
      <x:c r="C72" s="20" t="str">
        <x:v>IR-05-04</x:v>
      </x:c>
      <x:c r="D72" s="20" t="str">
        <x:v>Memory View保护与Extent安全释放</x:v>
      </x:c>
      <x:c r="E72" s="20" t="str">
        <x:v>系统应验证view权限，并在物理空间复用前清除旧对象可访问性。</x:v>
      </x:c>
      <x:c r="F72" s="20" t="str">
        <x:v>越权view被拒绝，释放后旧handle失效且无数据残留。</x:v>
      </x:c>
      <x:c r="G72" s="20" t="n">
        <x:f>COUNTIF('AR全量追溯'!$G$5:$G$148,B72)</x:f>
        <x:v>2</x:v>
      </x:c>
      <x:c r="H72" s="20" t="n">
        <x:f>COUNTIF($C$5:$C$79,B72)</x:f>
        <x:v>0</x:v>
      </x:c>
      <x:c r="I72" s="20" t="str">
        <x:v>L4</x:v>
      </x:c>
      <x:c r="J72" s="20" t="str">
        <x:v>待评审</x:v>
      </x:c>
      <x:c r="K72" s="20" t="str">
        <x:v>SR|SF-05</x:v>
      </x:c>
    </x:row>
    <x:row r="73" ht="15" hidden="0" customHeight="1">
      <x:c r="A73" s="20" t="str">
        <x:v>SR</x:v>
      </x:c>
      <x:c r="B73" s="20" t="str">
        <x:v>SR-06-01-01</x:v>
      </x:c>
      <x:c r="C73" s="20" t="str">
        <x:v>IR-06-01</x:v>
      </x:c>
      <x:c r="D73" s="20" t="str">
        <x:v>语义QoS与硬件Traffic Class</x:v>
      </x:c>
      <x:c r="E73" s="20" t="str">
        <x:v>系统应区分前台load/decode与后台复制、预取、回源流量。</x:v>
      </x:c>
      <x:c r="F73" s="20" t="str">
        <x:v>混流下前台P99受控，优先级和限流可观察。</x:v>
      </x:c>
      <x:c r="G73" s="20" t="n">
        <x:f>COUNTIF('AR全量追溯'!$G$5:$G$148,B73)</x:f>
        <x:v>2</x:v>
      </x:c>
      <x:c r="H73" s="20" t="n">
        <x:f>COUNTIF($C$5:$C$79,B73)</x:f>
        <x:v>0</x:v>
      </x:c>
      <x:c r="I73" s="20" t="str">
        <x:v>L3/L4</x:v>
      </x:c>
      <x:c r="J73" s="20" t="str">
        <x:v>待评审</x:v>
      </x:c>
      <x:c r="K73" s="20" t="str">
        <x:v>SR|SF-06</x:v>
      </x:c>
    </x:row>
    <x:row r="74" ht="15" hidden="0" customHeight="1">
      <x:c r="A74" s="20" t="str">
        <x:v>SR</x:v>
      </x:c>
      <x:c r="B74" s="20" t="str">
        <x:v>SR-06-01-02</x:v>
      </x:c>
      <x:c r="C74" s="20" t="str">
        <x:v>IR-06-01</x:v>
      </x:c>
      <x:c r="D74" s="20" t="str">
        <x:v>迁移与状态感知流量隔离</x:v>
      </x:c>
      <x:c r="E74" s="20" t="str">
        <x:v>系统应对migration/compaction等状态流量提供独立QoS。</x:v>
      </x:c>
      <x:c r="F74" s="20" t="str">
        <x:v>迁移挤兑下无控制面饥饿和TPOT失控。</x:v>
      </x:c>
      <x:c r="G74" s="20" t="n">
        <x:f>COUNTIF('AR全量追溯'!$G$5:$G$148,B74)</x:f>
        <x:v>2</x:v>
      </x:c>
      <x:c r="H74" s="20" t="n">
        <x:f>COUNTIF($C$5:$C$79,B74)</x:f>
        <x:v>0</x:v>
      </x:c>
      <x:c r="I74" s="20" t="str">
        <x:v>L4</x:v>
      </x:c>
      <x:c r="J74" s="20" t="str">
        <x:v>待评审</x:v>
      </x:c>
      <x:c r="K74" s="20" t="str">
        <x:v>SR|SF-06</x:v>
      </x:c>
    </x:row>
    <x:row r="75" ht="15" hidden="0" customHeight="1">
      <x:c r="A75" s="20" t="str">
        <x:v>SR</x:v>
      </x:c>
      <x:c r="B75" s="20" t="str">
        <x:v>SR-06-02-01</x:v>
      </x:c>
      <x:c r="C75" s="20" t="str">
        <x:v>IR-06-02</x:v>
      </x:c>
      <x:c r="D75" s="20" t="str">
        <x:v>级联水位反压与Admission保护</x:v>
      </x:c>
      <x:c r="E75" s="20" t="str">
        <x:v>系统应在critical水位阻断低价值加载并保护活动执行。</x:v>
      </x:c>
      <x:c r="F75" s="20" t="str">
        <x:v>HBM OOM/preemption下降，降级原因可追踪。</x:v>
      </x:c>
      <x:c r="G75" s="20" t="n">
        <x:f>COUNTIF('AR全量追溯'!$G$5:$G$148,B75)</x:f>
        <x:v>1</x:v>
      </x:c>
      <x:c r="H75" s="20" t="n">
        <x:f>COUNTIF($C$5:$C$79,B75)</x:f>
        <x:v>0</x:v>
      </x:c>
      <x:c r="I75" s="20" t="str">
        <x:v>L1</x:v>
      </x:c>
      <x:c r="J75" s="20" t="str">
        <x:v>待评审</x:v>
      </x:c>
      <x:c r="K75" s="20" t="str">
        <x:v>SR|SF-06</x:v>
      </x:c>
    </x:row>
    <x:row r="76" ht="15" hidden="0" customHeight="1">
      <x:c r="A76" s="20" t="str">
        <x:v>SR</x:v>
      </x:c>
      <x:c r="B76" s="20" t="str">
        <x:v>SR-06-03-01</x:v>
      </x:c>
      <x:c r="C76" s="20" t="str">
        <x:v>IR-06-03</x:v>
      </x:c>
      <x:c r="D76" s="20" t="str">
        <x:v>语义化命中指标与Path Trace</x:v>
      </x:c>
      <x:c r="E76" s="20" t="str">
        <x:v>系统应区分raw/usable/local/abandoned等命中并关联传输路径。</x:v>
      </x:c>
      <x:c r="F76" s="20" t="str">
        <x:v>每请求路径与收益分解完整。</x:v>
      </x:c>
      <x:c r="G76" s="20" t="n">
        <x:f>COUNTIF('AR全量追溯'!$G$5:$G$148,B76)</x:f>
        <x:v>2</x:v>
      </x:c>
      <x:c r="H76" s="20" t="n">
        <x:f>COUNTIF($C$5:$C$79,B76)</x:f>
        <x:v>0</x:v>
      </x:c>
      <x:c r="I76" s="20" t="str">
        <x:v>L1/L2</x:v>
      </x:c>
      <x:c r="J76" s="20" t="str">
        <x:v>待评审</x:v>
      </x:c>
      <x:c r="K76" s="20" t="str">
        <x:v>SR|SF-06</x:v>
      </x:c>
    </x:row>
    <x:row r="77" ht="15" hidden="0" customHeight="1">
      <x:c r="A77" s="20" t="str">
        <x:v>SR</x:v>
      </x:c>
      <x:c r="B77" s="20" t="str">
        <x:v>SR-06-03-02</x:v>
      </x:c>
      <x:c r="C77" s="20" t="str">
        <x:v>IR-06-03</x:v>
      </x:c>
      <x:c r="D77" s="20" t="str">
        <x:v>逐路径Telemetry与远端访问计数</x:v>
      </x:c>
      <x:c r="E77" s="20" t="str">
        <x:v>系统应采集路径带宽、时延、Host参与、队列和远端访问次数。</x:v>
      </x:c>
      <x:c r="F77" s="20" t="str">
        <x:v>capability、cost model和实际trace口径一致。</x:v>
      </x:c>
      <x:c r="G77" s="20" t="n">
        <x:f>COUNTIF('AR全量追溯'!$G$5:$G$148,B77)</x:f>
        <x:v>2</x:v>
      </x:c>
      <x:c r="H77" s="20" t="n">
        <x:f>COUNTIF($C$5:$C$79,B77)</x:f>
        <x:v>0</x:v>
      </x:c>
      <x:c r="I77" s="20" t="str">
        <x:v>L3/L4</x:v>
      </x:c>
      <x:c r="J77" s="20" t="str">
        <x:v>待评审</x:v>
      </x:c>
      <x:c r="K77" s="20" t="str">
        <x:v>SR|SF-06</x:v>
      </x:c>
    </x:row>
    <x:row r="78" ht="15" hidden="0" customHeight="1">
      <x:c r="A78" s="20" t="str">
        <x:v>SR</x:v>
      </x:c>
      <x:c r="B78" s="20" t="str">
        <x:v>SR-06-03-03</x:v>
      </x:c>
      <x:c r="C78" s="20" t="str">
        <x:v>IR-06-03</x:v>
      </x:c>
      <x:c r="D78" s="20" t="str">
        <x:v>KV状态Trace与运维Inspect API</x:v>
      </x:c>
      <x:c r="E78" s="20" t="str">
        <x:v>系统应提供对象状态、位置、版本、lease和迁移历史查询。</x:v>
      </x:c>
      <x:c r="F78" s="20" t="str">
        <x:v>故障可从request追踪到object/path/state。</x:v>
      </x:c>
      <x:c r="G78" s="20" t="n">
        <x:f>COUNTIF('AR全量追溯'!$G$5:$G$148,B78)</x:f>
        <x:v>2</x:v>
      </x:c>
      <x:c r="H78" s="20" t="n">
        <x:f>COUNTIF($C$5:$C$79,B78)</x:f>
        <x:v>0</x:v>
      </x:c>
      <x:c r="I78" s="20" t="str">
        <x:v>L3</x:v>
      </x:c>
      <x:c r="J78" s="20" t="str">
        <x:v>待评审</x:v>
      </x:c>
      <x:c r="K78" s="20" t="str">
        <x:v>SR|SF-06</x:v>
      </x:c>
    </x:row>
    <x:row r="79" ht="15" hidden="0" customHeight="1">
      <x:c r="A79" s="20" t="str">
        <x:v>SR</x:v>
      </x:c>
      <x:c r="B79" s="20" t="str">
        <x:v>SR-06-04-01</x:v>
      </x:c>
      <x:c r="C79" s="20" t="str">
        <x:v>IR-06-04</x:v>
      </x:c>
      <x:c r="D79" s="20" t="str">
        <x:v>NIC/互联规模化规格约束</x:v>
      </x:c>
      <x:c r="E79" s="20" t="str">
        <x:v>系统应识别大规模集群中NIC队列、带宽、时延和上下文能力下限。</x:v>
      </x:c>
      <x:c r="F79" s="20" t="str">
        <x:v>输出规模曲线、最低规格、瓶颈和演进建议。</x:v>
      </x:c>
      <x:c r="G79" s="20" t="n">
        <x:f>COUNTIF('AR全量追溯'!$G$5:$G$148,B79)</x:f>
        <x:v>1</x:v>
      </x:c>
      <x:c r="H79" s="20" t="n">
        <x:f>COUNTIF($C$5:$C$79,B79)</x:f>
        <x:v>0</x:v>
      </x:c>
      <x:c r="I79" s="20" t="str">
        <x:v>L4</x:v>
      </x:c>
      <x:c r="J79" s="20" t="str">
        <x:v>待评审</x:v>
      </x:c>
      <x:c r="K79" s="20" t="str">
        <x:v>SR|SF-06</x:v>
      </x:c>
    </x:row>
  </x:sheetData>
  <x:mergeCells>
    <x:mergeCell ref="A1:K1"/>
    <x:mergeCell ref="A2:K2"/>
  </x:mergeCells>
  <x:pageMargins left="0.7" right="0.7" top="0.75" bottom="0.75" header="0.3" footer="0.3"/>
  <x:tableParts count="1">
    <x:tablePart xmlns:r="http://schemas.openxmlformats.org/officeDocument/2006/relationships" r:id="Raf9b978016d04d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8" hidden="0" customWidth="1"/>
    <x:col min="3" max="3" width="10" hidden="0" customWidth="1"/>
    <x:col min="4" max="4" width="35" hidden="0" customWidth="1"/>
    <x:col min="5" max="5" width="18" hidden="0" customWidth="1"/>
    <x:col min="6" max="6" width="48" hidden="0" customWidth="1"/>
    <x:col min="7" max="7" width="70" hidden="0" customWidth="1"/>
    <x:col min="8" max="8" width="11" hidden="0" customWidth="1"/>
    <x:col min="9" max="9" width="20" hidden="0" customWidth="1"/>
    <x:col min="10" max="10" width="31" hidden="0" customWidth="1"/>
  </x:cols>
  <x:sheetData>
    <x:row r="1" ht="21.600000381469727" hidden="0" customHeight="1">
      <x:c r="A1" s="4" t="str">
        <x:v>层级树（SF → IR → SR → AR）</x:v>
      </x:c>
      <x:c r="B1" s="4"/>
      <x:c r="C1" s="4"/>
      <x:c r="D1" s="4"/>
      <x:c r="E1" s="4"/>
      <x:c r="F1" s="4"/>
      <x:c r="G1" s="4"/>
      <x:c r="H1" s="4"/>
      <x:c r="I1" s="4"/>
      <x:c r="J1" s="4"/>
    </x:row>
    <x:row r="2" ht="15" hidden="0" customHeight="1">
      <x:c r="A2" s="8" t="str">
        <x:v>按主父节点展开的完整树视图；AR为叶子，横向属性请在“AR全量追溯”中查看。</x:v>
      </x:c>
      <x:c r="B2" s="8"/>
      <x:c r="C2" s="8"/>
      <x:c r="D2" s="8"/>
      <x:c r="E2" s="8"/>
      <x:c r="F2" s="8"/>
      <x:c r="G2" s="8"/>
      <x:c r="H2" s="8"/>
      <x:c r="I2" s="8"/>
      <x:c r="J2" s="8"/>
    </x:row>
    <x:row r="3"/>
    <x:row r="4" ht="15" hidden="0" customHeight="1">
      <x:c r="A4" s="13" t="str">
        <x:v>排序路径</x:v>
      </x:c>
      <x:c r="B4" s="13" t="str">
        <x:v>深度</x:v>
      </x:c>
      <x:c r="C4" s="13" t="str">
        <x:v>节点类型</x:v>
      </x:c>
      <x:c r="D4" s="13" t="str">
        <x:v>节点ID</x:v>
      </x:c>
      <x:c r="E4" s="13" t="str">
        <x:v>父节点ID</x:v>
      </x:c>
      <x:c r="F4" s="13" t="str">
        <x:v>树形显示</x:v>
      </x:c>
      <x:c r="G4" s="13" t="str">
        <x:v>节点名称/需求摘要</x:v>
      </x:c>
      <x:c r="H4" s="13" t="str">
        <x:v>下辖AR数</x:v>
      </x:c>
      <x:c r="I4" s="13" t="str">
        <x:v>主责任/分配层级</x:v>
      </x:c>
      <x:c r="J4" s="13" t="str">
        <x:v>来源</x:v>
      </x:c>
    </x:row>
    <x:row r="5" ht="15" hidden="0" customHeight="1">
      <x:c r="A5" s="68" t="str">
        <x:v>SF-01</x:v>
      </x:c>
      <x:c r="B5" s="68" t="n">
        <x:v>1</x:v>
      </x:c>
      <x:c r="C5" s="68" t="str">
        <x:v>SF</x:v>
      </x:c>
      <x:c r="D5" s="68" t="str">
        <x:v>SF-01</x:v>
      </x:c>
      <x:c r="E5" s="68" t="str">
        <x:v>ROOT</x:v>
      </x:c>
      <x:c r="F5" s="68" t="str">
        <x:v>● SF-01 统一服务接入与推理消费</x:v>
      </x:c>
      <x:c r="G5" s="68" t="str">
        <x:v>向vLLM、SGLang及集群调度组件提供统一、可降级、可解释的KVCache访问与消费服务。</x:v>
      </x:c>
      <x:c r="H5" s="68" t="n">
        <x:f>COUNTIF('AR全量追溯'!$C$5:$C$148,D5)</x:f>
        <x:v>24</x:v>
      </x:c>
      <x:c r="I5" s="68" t="str">
        <x:v>L1/L2</x:v>
      </x:c>
      <x:c r="J5" s="68" t="str">
        <x:v>本版定义</x:v>
      </x:c>
    </x:row>
    <x:row r="6" ht="15" hidden="0" customHeight="1">
      <x:c r="A6" s="72" t="str">
        <x:v>SF-01/IR-01-01</x:v>
      </x:c>
      <x:c r="B6" s="72" t="n">
        <x:v>2</x:v>
      </x:c>
      <x:c r="C6" s="72" t="str">
        <x:v>IR</x:v>
      </x:c>
      <x:c r="D6" s="72" t="str">
        <x:v>IR-01-01</x:v>
      </x:c>
      <x:c r="E6" s="72" t="str">
        <x:v>SF-01</x:v>
      </x:c>
      <x:c r="F6" s="72" t="str">
        <x:v>    ├─ IR-01-01 统一访问意图与Connector契约</x:v>
      </x:c>
      <x:c r="G6" s="72" t="str">
        <x:v>业务只表达KV访问意图、预算与消费目标，不绑定具体介质或传输实现。</x:v>
      </x:c>
      <x:c r="H6" s="72" t="n">
        <x:f>COUNTIF('AR全量追溯'!$E$5:$E$148,D6)</x:f>
        <x:v>9</x:v>
      </x:c>
      <x:c r="I6" s="72" t="str">
        <x:v>L1/L2</x:v>
      </x:c>
      <x:c r="J6" s="72" t="str">
        <x:v>本版定义</x:v>
      </x:c>
    </x:row>
    <x:row r="7" ht="15" hidden="0" customHeight="1">
      <x:c r="A7" s="76" t="str">
        <x:v>SF-01/IR-01-01/SR-01-01-01</x:v>
      </x:c>
      <x:c r="B7" s="76" t="n">
        <x:v>3</x:v>
      </x:c>
      <x:c r="C7" s="76" t="str">
        <x:v>SR</x:v>
      </x:c>
      <x:c r="D7" s="76" t="str">
        <x:v>SR-01-01-01</x:v>
      </x:c>
      <x:c r="E7" s="76" t="str">
        <x:v>IR-01-01</x:v>
      </x:c>
      <x:c r="F7" s="76" t="str">
        <x:v>        ├─ SR-01-01-01 访问意图、统一API与语义身份</x:v>
      </x:c>
      <x:c r="G7" s="76" t="str">
        <x:v>系统应统一表达操作、deadline、fallback、隔离域和KV语义身份。</x:v>
      </x:c>
      <x:c r="H7" s="76" t="n">
        <x:f>COUNTIF('AR全量追溯'!$G$5:$G$148,D7)</x:f>
        <x:v>3</x:v>
      </x:c>
      <x:c r="I7" s="76" t="str">
        <x:v>L1/L2</x:v>
      </x:c>
      <x:c r="J7" s="76" t="str">
        <x:v>本版定义</x:v>
      </x:c>
    </x:row>
    <x:row r="8" ht="15" hidden="0" customHeight="1">
      <x:c r="A8" s="81" t="str">
        <x:v>SF-01/IR-01-01/SR-01-01-01/016</x:v>
      </x:c>
      <x:c r="B8" s="81" t="n">
        <x:v>4</x:v>
      </x:c>
      <x:c r="C8" s="81" t="str">
        <x:v>AR</x:v>
      </x:c>
      <x:c r="D8" s="81" t="str">
        <x:v>AR-L1-SE-IntentAPI-014</x:v>
      </x:c>
      <x:c r="E8" s="81" t="str">
        <x:v>SR-01-01-01</x:v>
      </x:c>
      <x:c r="F8" s="81" t="str">
        <x:v>            └─ AR-L1-SE-IntentAPI-014</x:v>
      </x:c>
      <x:c r="G8" s="81" t="str">
        <x:v>统一 KVCache 访问意图编排</x:v>
      </x:c>
      <x:c r="H8" s="81" t="n">
        <x:v>1</x:v>
      </x:c>
      <x:c r="I8" s="81" t="str">
        <x:v>L1 推理调度层</x:v>
      </x:c>
      <x:c r="J8" s="81" t="str">
        <x:v>L1-SE-IntentAPI-014</x:v>
      </x:c>
    </x:row>
    <x:row r="9" ht="15" hidden="0" customHeight="1">
      <x:c r="A9" s="81" t="str">
        <x:v>SF-01/IR-01-01/SR-01-01-01/022</x:v>
      </x:c>
      <x:c r="B9" s="81" t="n">
        <x:v>4</x:v>
      </x:c>
      <x:c r="C9" s="81" t="str">
        <x:v>AR</x:v>
      </x:c>
      <x:c r="D9" s="81" t="str">
        <x:v>AR-L2-CONN-API-STD-001</x:v>
      </x:c>
      <x:c r="E9" s="81" t="str">
        <x:v>SR-01-01-01</x:v>
      </x:c>
      <x:c r="F9" s="81" t="str">
        <x:v>            └─ AR-L2-CONN-API-STD-001</x:v>
      </x:c>
      <x:c r="G9" s="81" t="str">
        <x:v>统一接口标准化</x:v>
      </x:c>
      <x:c r="H9" s="81" t="n">
        <x:v>1</x:v>
      </x:c>
      <x:c r="I9" s="81" t="str">
        <x:v>L2 KVConnector层</x:v>
      </x:c>
      <x:c r="J9" s="81" t="str">
        <x:v>L2-CONN-API-STD-001</x:v>
      </x:c>
    </x:row>
    <x:row r="10" ht="15" hidden="0" customHeight="1">
      <x:c r="A10" s="81" t="str">
        <x:v>SF-01/IR-01-01/SR-01-01-01/038</x:v>
      </x:c>
      <x:c r="B10" s="81" t="n">
        <x:v>4</x:v>
      </x:c>
      <x:c r="C10" s="81" t="str">
        <x:v>AR</x:v>
      </x:c>
      <x:c r="D10" s="81" t="str">
        <x:v>AR-L2-KV-SemanticIdentity-036</x:v>
      </x:c>
      <x:c r="E10" s="81" t="str">
        <x:v>SR-01-01-01</x:v>
      </x:c>
      <x:c r="F10" s="81" t="str">
        <x:v>            └─ AR-L2-KV-SemanticIdentity-036</x:v>
      </x:c>
      <x:c r="G10" s="81" t="str">
        <x:v>防止语义不兼容 KV 被误复用</x:v>
      </x:c>
      <x:c r="H10" s="81" t="n">
        <x:v>1</x:v>
      </x:c>
      <x:c r="I10" s="81" t="str">
        <x:v>L2 KVConnector层</x:v>
      </x:c>
      <x:c r="J10" s="81" t="str">
        <x:v>L2-KV-SemanticIdentity-036</x:v>
      </x:c>
    </x:row>
    <x:row r="11" ht="15" hidden="0" customHeight="1">
      <x:c r="A11" s="76" t="str">
        <x:v>SF-01/IR-01-01/SR-01-01-02</x:v>
      </x:c>
      <x:c r="B11" s="76" t="n">
        <x:v>3</x:v>
      </x:c>
      <x:c r="C11" s="76" t="str">
        <x:v>SR</x:v>
      </x:c>
      <x:c r="D11" s="76" t="str">
        <x:v>SR-01-01-02</x:v>
      </x:c>
      <x:c r="E11" s="76" t="str">
        <x:v>IR-01-01</x:v>
      </x:c>
      <x:c r="F11" s="76" t="str">
        <x:v>        ├─ SR-01-01-02 发布、Attach与Buffer权责契约</x:v>
      </x:c>
      <x:c r="G11" s="76" t="str">
        <x:v>系统应定义KV发布、目标buffer提供方、attach handle及消费边界。</x:v>
      </x:c>
      <x:c r="H11" s="76" t="n">
        <x:f>COUNTIF('AR全量追溯'!$G$5:$G$148,D11)</x:f>
        <x:v>3</x:v>
      </x:c>
      <x:c r="I11" s="76" t="str">
        <x:v>L2</x:v>
      </x:c>
      <x:c r="J11" s="76" t="str">
        <x:v>本版定义</x:v>
      </x:c>
    </x:row>
    <x:row r="12" ht="15" hidden="0" customHeight="1">
      <x:c r="A12" s="81" t="str">
        <x:v>SF-01/IR-01-01/SR-01-01-02/035</x:v>
      </x:c>
      <x:c r="B12" s="81" t="n">
        <x:v>4</x:v>
      </x:c>
      <x:c r="C12" s="81" t="str">
        <x:v>AR</x:v>
      </x:c>
      <x:c r="D12" s="81" t="str">
        <x:v>AR-L2-KV-PublishCommit-033</x:v>
      </x:c>
      <x:c r="E12" s="81" t="str">
        <x:v>SR-01-01-02</x:v>
      </x:c>
      <x:c r="F12" s="81" t="str">
        <x:v>            └─ AR-L2-KV-PublishCommit-033</x:v>
      </x:c>
      <x:c r="G12" s="81" t="str">
        <x:v>NPU/GPU 生成 KV 后进入统一 KV 内存池</x:v>
      </x:c>
      <x:c r="H12" s="81" t="n">
        <x:v>1</x:v>
      </x:c>
      <x:c r="I12" s="81" t="str">
        <x:v>L2 KVConnector层</x:v>
      </x:c>
      <x:c r="J12" s="81" t="str">
        <x:v>L2-KV-PublishCommit-033</x:v>
      </x:c>
    </x:row>
    <x:row r="13" ht="15" hidden="0" customHeight="1">
      <x:c r="A13" s="81" t="str">
        <x:v>SF-01/IR-01-01/SR-01-01-02/036</x:v>
      </x:c>
      <x:c r="B13" s="81" t="n">
        <x:v>4</x:v>
      </x:c>
      <x:c r="C13" s="81" t="str">
        <x:v>AR</x:v>
      </x:c>
      <x:c r="D13" s="81" t="str">
        <x:v>AR-L2-KV-AttachHandle-034</x:v>
      </x:c>
      <x:c r="E13" s="81" t="str">
        <x:v>SR-01-01-02</x:v>
      </x:c>
      <x:c r="F13" s="81" t="str">
        <x:v>            └─ AR-L2-KV-AttachHandle-034</x:v>
      </x:c>
      <x:c r="G13" s="81" t="str">
        <x:v>前缀命中后 KV 安全消费</x:v>
      </x:c>
      <x:c r="H13" s="81" t="n">
        <x:v>1</x:v>
      </x:c>
      <x:c r="I13" s="81" t="str">
        <x:v>L2 KVConnector层</x:v>
      </x:c>
      <x:c r="J13" s="81" t="str">
        <x:v>L2-KV-AttachHandle-034</x:v>
      </x:c>
    </x:row>
    <x:row r="14" ht="15" hidden="0" customHeight="1">
      <x:c r="A14" s="81" t="str">
        <x:v>SF-01/IR-01-01/SR-01-01-02/042</x:v>
      </x:c>
      <x:c r="B14" s="81" t="n">
        <x:v>4</x:v>
      </x:c>
      <x:c r="C14" s="81" t="str">
        <x:v>AR</x:v>
      </x:c>
      <x:c r="D14" s="81" t="str">
        <x:v>AR-L2-CONN-BufferContract-040</x:v>
      </x:c>
      <x:c r="E14" s="81" t="str">
        <x:v>SR-01-01-02</x:v>
      </x:c>
      <x:c r="F14" s="81" t="str">
        <x:v>            └─ AR-L2-CONN-BufferContract-040</x:v>
      </x:c>
      <x:c r="G14" s="81" t="str">
        <x:v>算力执行内存与存储池内存管理解耦</x:v>
      </x:c>
      <x:c r="H14" s="81" t="n">
        <x:v>1</x:v>
      </x:c>
      <x:c r="I14" s="81" t="str">
        <x:v>L2 KVConnector层</x:v>
      </x:c>
      <x:c r="J14" s="81" t="str">
        <x:v>L2-CONN-BufferContract-040</x:v>
      </x:c>
    </x:row>
    <x:row r="15" ht="15" hidden="0" customHeight="1">
      <x:c r="A15" s="76" t="str">
        <x:v>SF-01/IR-01-01/SR-01-01-03</x:v>
      </x:c>
      <x:c r="B15" s="76" t="n">
        <x:v>3</x:v>
      </x:c>
      <x:c r="C15" s="76" t="str">
        <x:v>SR</x:v>
      </x:c>
      <x:c r="D15" s="76" t="str">
        <x:v>SR-01-01-03</x:v>
      </x:c>
      <x:c r="E15" s="76" t="str">
        <x:v>IR-01-01</x:v>
      </x:c>
      <x:c r="F15" s="76" t="str">
        <x:v>        ├─ SR-01-01-03 状态错误、成本返回与Fallback契约</x:v>
      </x:c>
      <x:c r="G15" s="76" t="str">
        <x:v>系统应把底层状态转换为上层可执行的retry/wait/load/recompute/miss。</x:v>
      </x:c>
      <x:c r="H15" s="76" t="n">
        <x:f>COUNTIF('AR全量追溯'!$G$5:$G$148,D15)</x:f>
        <x:v>3</x:v>
      </x:c>
      <x:c r="I15" s="76" t="str">
        <x:v>L2</x:v>
      </x:c>
      <x:c r="J15" s="76" t="str">
        <x:v>本版定义</x:v>
      </x:c>
    </x:row>
    <x:row r="16" ht="15" hidden="0" customHeight="1">
      <x:c r="A16" s="81" t="str">
        <x:v>SF-01/IR-01-01/SR-01-01-03/029</x:v>
      </x:c>
      <x:c r="B16" s="81" t="n">
        <x:v>4</x:v>
      </x:c>
      <x:c r="C16" s="81" t="str">
        <x:v>AR</x:v>
      </x:c>
      <x:c r="D16" s="81" t="str">
        <x:v>AR-L2-FT-FallbackContract-029</x:v>
      </x:c>
      <x:c r="E16" s="81" t="str">
        <x:v>SR-01-01-03</x:v>
      </x:c>
      <x:c r="F16" s="81" t="str">
        <x:v>            └─ AR-L2-FT-FallbackContract-029</x:v>
      </x:c>
      <x:c r="G16" s="81" t="str">
        <x:v>KV 加载失败快速降级恢复</x:v>
      </x:c>
      <x:c r="H16" s="81" t="n">
        <x:v>1</x:v>
      </x:c>
      <x:c r="I16" s="81" t="str">
        <x:v>L2 KVConnector层</x:v>
      </x:c>
      <x:c r="J16" s="81" t="str">
        <x:v>L2-FT-FallbackContract-029</x:v>
      </x:c>
    </x:row>
    <x:row r="17" ht="15" hidden="0" customHeight="1">
      <x:c r="A17" s="81" t="str">
        <x:v>SF-01/IR-01-01/SR-01-01-03/039</x:v>
      </x:c>
      <x:c r="B17" s="81" t="n">
        <x:v>4</x:v>
      </x:c>
      <x:c r="C17" s="81" t="str">
        <x:v>AR</x:v>
      </x:c>
      <x:c r="D17" s="81" t="str">
        <x:v>AR-L2-KV-StateErrorCode-037</x:v>
      </x:c>
      <x:c r="E17" s="81" t="str">
        <x:v>SR-01-01-03</x:v>
      </x:c>
      <x:c r="F17" s="81" t="str">
        <x:v>            └─ AR-L2-KV-StateErrorCode-037</x:v>
      </x:c>
      <x:c r="G17" s="81" t="str">
        <x:v>KV 状态复杂场景下的快速降级与恢复</x:v>
      </x:c>
      <x:c r="H17" s="81" t="n">
        <x:v>1</x:v>
      </x:c>
      <x:c r="I17" s="81" t="str">
        <x:v>L2 KVConnector层</x:v>
      </x:c>
      <x:c r="J17" s="81" t="str">
        <x:v>L2-KV-StateErrorCode-037</x:v>
      </x:c>
    </x:row>
    <x:row r="18" ht="15" hidden="0" customHeight="1">
      <x:c r="A18" s="81" t="str">
        <x:v>SF-01/IR-01-01/SR-01-01-03/041</x:v>
      </x:c>
      <x:c r="B18" s="81" t="n">
        <x:v>4</x:v>
      </x:c>
      <x:c r="C18" s="81" t="str">
        <x:v>AR</x:v>
      </x:c>
      <x:c r="D18" s="81" t="str">
        <x:v>AR-L2-CONN-CostAwareReturn-039</x:v>
      </x:c>
      <x:c r="E18" s="81" t="str">
        <x:v>SR-01-01-03</x:v>
      </x:c>
      <x:c r="F18" s="81" t="str">
        <x:v>            └─ AR-L2-CONN-CostAwareReturn-039</x:v>
      </x:c>
      <x:c r="G18" s="81" t="str">
        <x:v>拥塞链路下的前缀命中低效绕行</x:v>
      </x:c>
      <x:c r="H18" s="81" t="n">
        <x:v>1</x:v>
      </x:c>
      <x:c r="I18" s="81" t="str">
        <x:v>L2 KVConnector层</x:v>
      </x:c>
      <x:c r="J18" s="81" t="str">
        <x:v>L2-CONN-CostAwareReturn-039</x:v>
      </x:c>
    </x:row>
    <x:row r="19" ht="15" hidden="0" customHeight="1">
      <x:c r="A19" s="72" t="str">
        <x:v>SF-01/IR-01-02</x:v>
      </x:c>
      <x:c r="B19" s="72" t="n">
        <x:v>2</x:v>
      </x:c>
      <x:c r="C19" s="72" t="str">
        <x:v>IR</x:v>
      </x:c>
      <x:c r="D19" s="72" t="str">
        <x:v>IR-01-02</x:v>
      </x:c>
      <x:c r="E19" s="72" t="str">
        <x:v>SF-01</x:v>
      </x:c>
      <x:c r="F19" s="72" t="str">
        <x:v>    ├─ IR-01-02 缓存感知调度与收益准入</x:v>
      </x:c>
      <x:c r="G19" s="72" t="str">
        <x:v>请求命中后必须依据deadline、加载代价、重算收益和位置选择是否复用。</x:v>
      </x:c>
      <x:c r="H19" s="72" t="n">
        <x:f>COUNTIF('AR全量追溯'!$E$5:$E$148,D19)</x:f>
        <x:v>11</x:v>
      </x:c>
      <x:c r="I19" s="72" t="str">
        <x:v>L1/L2/L3</x:v>
      </x:c>
      <x:c r="J19" s="72" t="str">
        <x:v>本版定义</x:v>
      </x:c>
    </x:row>
    <x:row r="20" ht="15" hidden="0" customHeight="1">
      <x:c r="A20" s="76" t="str">
        <x:v>SF-01/IR-01-02/SR-01-02-01</x:v>
      </x:c>
      <x:c r="B20" s="76" t="n">
        <x:v>3</x:v>
      </x:c>
      <x:c r="C20" s="76" t="str">
        <x:v>SR</x:v>
      </x:c>
      <x:c r="D20" s="76" t="str">
        <x:v>SR-01-02-01</x:v>
      </x:c>
      <x:c r="E20" s="76" t="str">
        <x:v>IR-01-02</x:v>
      </x:c>
      <x:c r="F20" s="76" t="str">
        <x:v>        ├─ SR-01-02-01 前缀预算、收益准入与亲和路由</x:v>
      </x:c>
      <x:c r="G20" s="76" t="str">
        <x:v>系统应在预算内比较load与recompute并优先路由到低成本可用副本。</x:v>
      </x:c>
      <x:c r="H20" s="76" t="n">
        <x:f>COUNTIF('AR全量追溯'!$G$5:$G$148,D20)</x:f>
        <x:v>4</x:v>
      </x:c>
      <x:c r="I20" s="76" t="str">
        <x:v>L1</x:v>
      </x:c>
      <x:c r="J20" s="76" t="str">
        <x:v>本版定义</x:v>
      </x:c>
    </x:row>
    <x:row r="21" ht="15" hidden="0" customHeight="1">
      <x:c r="A21" s="81" t="str">
        <x:v>SF-01/IR-01-02/SR-01-02-01/001</x:v>
      </x:c>
      <x:c r="B21" s="81" t="n">
        <x:v>4</x:v>
      </x:c>
      <x:c r="C21" s="81" t="str">
        <x:v>AR</x:v>
      </x:c>
      <x:c r="D21" s="81" t="str">
        <x:v>AR-L1-PM-PrefixBudget-001</x:v>
      </x:c>
      <x:c r="E21" s="81" t="str">
        <x:v>SR-01-02-01</x:v>
      </x:c>
      <x:c r="F21" s="81" t="str">
        <x:v>            └─ AR-L1-PM-PrefixBudget-001</x:v>
      </x:c>
      <x:c r="G21" s="81" t="str">
        <x:v>共享前缀命中快速判定</x:v>
      </x:c>
      <x:c r="H21" s="81" t="n">
        <x:v>1</x:v>
      </x:c>
      <x:c r="I21" s="81" t="str">
        <x:v>L1 推理调度层</x:v>
      </x:c>
      <x:c r="J21" s="81" t="str">
        <x:v>L1-PM-PrefixBudget-001</x:v>
      </x:c>
    </x:row>
    <x:row r="22" ht="15" hidden="0" customHeight="1">
      <x:c r="A22" s="81" t="str">
        <x:v>SF-01/IR-01-02/SR-01-02-01/002</x:v>
      </x:c>
      <x:c r="B22" s="81" t="n">
        <x:v>4</x:v>
      </x:c>
      <x:c r="C22" s="81" t="str">
        <x:v>AR</x:v>
      </x:c>
      <x:c r="D22" s="81" t="str">
        <x:v>AR-L1-RT-Admission-007</x:v>
      </x:c>
      <x:c r="E22" s="81" t="str">
        <x:v>SR-01-02-01</x:v>
      </x:c>
      <x:c r="F22" s="81" t="str">
        <x:v>            └─ AR-L1-RT-Admission-007</x:v>
      </x:c>
      <x:c r="G22" s="81" t="str">
        <x:v>命中 KV 加载收益判定</x:v>
      </x:c>
      <x:c r="H22" s="81" t="n">
        <x:v>1</x:v>
      </x:c>
      <x:c r="I22" s="81" t="str">
        <x:v>L1 推理调度层</x:v>
      </x:c>
      <x:c r="J22" s="81" t="str">
        <x:v>L1-RT-Admission-007</x:v>
      </x:c>
    </x:row>
    <x:row r="23" ht="15" hidden="0" customHeight="1">
      <x:c r="A23" s="81" t="str">
        <x:v>SF-01/IR-01-02/SR-01-02-01/003</x:v>
      </x:c>
      <x:c r="B23" s="81" t="n">
        <x:v>4</x:v>
      </x:c>
      <x:c r="C23" s="81" t="str">
        <x:v>AR</x:v>
      </x:c>
      <x:c r="D23" s="81" t="str">
        <x:v>AR-L1-RT-CacheAwareRouting-006</x:v>
      </x:c>
      <x:c r="E23" s="81" t="str">
        <x:v>SR-01-02-01</x:v>
      </x:c>
      <x:c r="F23" s="81" t="str">
        <x:v>            └─ AR-L1-RT-CacheAwareRouting-006</x:v>
      </x:c>
      <x:c r="G23" s="81" t="str">
        <x:v>KVCache 亲和路由调度</x:v>
      </x:c>
      <x:c r="H23" s="81" t="n">
        <x:v>1</x:v>
      </x:c>
      <x:c r="I23" s="81" t="str">
        <x:v>L1 推理调度层</x:v>
      </x:c>
      <x:c r="J23" s="81" t="str">
        <x:v>L1-RT-CacheAwareRouting-006</x:v>
      </x:c>
    </x:row>
    <x:row r="24" ht="15" hidden="0" customHeight="1">
      <x:c r="A24" s="81" t="str">
        <x:v>SF-01/IR-01-02/SR-01-02-01/004</x:v>
      </x:c>
      <x:c r="B24" s="81" t="n">
        <x:v>4</x:v>
      </x:c>
      <x:c r="C24" s="81" t="str">
        <x:v>AR</x:v>
      </x:c>
      <x:c r="D24" s="81" t="str">
        <x:v>AR-L1-VLLM-HIER-SCHED-002</x:v>
      </x:c>
      <x:c r="E24" s="81" t="str">
        <x:v>SR-01-02-01</x:v>
      </x:c>
      <x:c r="F24" s="81" t="str">
        <x:v>            └─ AR-L1-VLLM-HIER-SCHED-002</x:v>
      </x:c>
      <x:c r="G24" s="81" t="str">
        <x:v>多层异构存储调度</x:v>
      </x:c>
      <x:c r="H24" s="81" t="n">
        <x:v>1</x:v>
      </x:c>
      <x:c r="I24" s="81" t="str">
        <x:v>L1 推理调度层</x:v>
      </x:c>
      <x:c r="J24" s="81" t="str">
        <x:v>L1-VLLM-HIER-SCHED-002</x:v>
      </x:c>
    </x:row>
    <x:row r="25" ht="15" hidden="0" customHeight="1">
      <x:c r="A25" s="76" t="str">
        <x:v>SF-01/IR-01-02/SR-01-02-02</x:v>
      </x:c>
      <x:c r="B25" s="76" t="n">
        <x:v>3</x:v>
      </x:c>
      <x:c r="C25" s="76" t="str">
        <x:v>SR</x:v>
      </x:c>
      <x:c r="D25" s="76" t="str">
        <x:v>SR-01-02-02</x:v>
      </x:c>
      <x:c r="E25" s="76" t="str">
        <x:v>IR-01-02</x:v>
      </x:c>
      <x:c r="F25" s="76" t="str">
        <x:v>        ├─ SR-01-02-02 部分命中、View/Copy与重算边界</x:v>
      </x:c>
      <x:c r="G25" s="76" t="str">
        <x:v>系统应基于命中长度、布局和成本决定部分加载、direct view、copy-to-HBM或重算。</x:v>
      </x:c>
      <x:c r="H25" s="76" t="n">
        <x:f>COUNTIF('AR全量追溯'!$G$5:$G$148,D25)</x:f>
        <x:v>4</x:v>
      </x:c>
      <x:c r="I25" s="76" t="str">
        <x:v>L1/L2/L3</x:v>
      </x:c>
      <x:c r="J25" s="76" t="str">
        <x:v>本版定义</x:v>
      </x:c>
    </x:row>
    <x:row r="26" ht="15" hidden="0" customHeight="1">
      <x:c r="A26" s="81" t="str">
        <x:v>SF-01/IR-01-02/SR-01-02-02/013</x:v>
      </x:c>
      <x:c r="B26" s="81" t="n">
        <x:v>4</x:v>
      </x:c>
      <x:c r="C26" s="81" t="str">
        <x:v>AR</x:v>
      </x:c>
      <x:c r="D26" s="81" t="str">
        <x:v>AR-L1-OL-PartialBoundary-012</x:v>
      </x:c>
      <x:c r="E26" s="81" t="str">
        <x:v>SR-01-02-02</x:v>
      </x:c>
      <x:c r="F26" s="81" t="str">
        <x:v>            └─ AR-L1-OL-PartialBoundary-012</x:v>
      </x:c>
      <x:c r="G26" s="81" t="str">
        <x:v>部分前缀命中复用</x:v>
      </x:c>
      <x:c r="H26" s="81" t="n">
        <x:v>1</x:v>
      </x:c>
      <x:c r="I26" s="81" t="str">
        <x:v>L1 推理调度层</x:v>
      </x:c>
      <x:c r="J26" s="81" t="str">
        <x:v>L1-OL-PartialBoundary-012</x:v>
      </x:c>
    </x:row>
    <x:row r="27" ht="15" hidden="0" customHeight="1">
      <x:c r="A27" s="81" t="str">
        <x:v>SF-01/IR-01-02/SR-01-02-02/014</x:v>
      </x:c>
      <x:c r="B27" s="81" t="n">
        <x:v>4</x:v>
      </x:c>
      <x:c r="C27" s="81" t="str">
        <x:v>AR</x:v>
      </x:c>
      <x:c r="D27" s="81" t="str">
        <x:v>AR-L1-OL-ViewVsCopy-011</x:v>
      </x:c>
      <x:c r="E27" s="81" t="str">
        <x:v>SR-01-02-02</x:v>
      </x:c>
      <x:c r="F27" s="81" t="str">
        <x:v>            └─ AR-L1-OL-ViewVsCopy-011</x:v>
      </x:c>
      <x:c r="G27" s="81" t="str">
        <x:v>热 KV 近端访问与 HBM 回填选择</x:v>
      </x:c>
      <x:c r="H27" s="81" t="n">
        <x:v>1</x:v>
      </x:c>
      <x:c r="I27" s="81" t="str">
        <x:v>L1 推理调度层</x:v>
      </x:c>
      <x:c r="J27" s="81" t="str">
        <x:v>L1-OL-ViewVsCopy-011</x:v>
      </x:c>
    </x:row>
    <x:row r="28" ht="15" hidden="0" customHeight="1">
      <x:c r="A28" s="81" t="str">
        <x:v>SF-01/IR-01-02/SR-01-02-02/040</x:v>
      </x:c>
      <x:c r="B28" s="81" t="n">
        <x:v>4</x:v>
      </x:c>
      <x:c r="C28" s="81" t="str">
        <x:v>AR</x:v>
      </x:c>
      <x:c r="D28" s="81" t="str">
        <x:v>AR-L2-KV-PartialAttachPlan-038</x:v>
      </x:c>
      <x:c r="E28" s="81" t="str">
        <x:v>SR-01-02-02</x:v>
      </x:c>
      <x:c r="F28" s="81" t="str">
        <x:v>            └─ AR-L2-KV-PartialAttachPlan-038</x:v>
      </x:c>
      <x:c r="G28" s="81" t="str">
        <x:v>部分前缀命中复用</x:v>
      </x:c>
      <x:c r="H28" s="81" t="n">
        <x:v>1</x:v>
      </x:c>
      <x:c r="I28" s="81" t="str">
        <x:v>L2 KVConnector层</x:v>
      </x:c>
      <x:c r="J28" s="81" t="str">
        <x:v>L2-KV-PartialAttachPlan-038</x:v>
      </x:c>
    </x:row>
    <x:row r="29" ht="15" hidden="0" customHeight="1">
      <x:c r="A29" s="81" t="str">
        <x:v>SF-01/IR-01-02/SR-01-02-02/061</x:v>
      </x:c>
      <x:c r="B29" s="81" t="n">
        <x:v>4</x:v>
      </x:c>
      <x:c r="C29" s="81" t="str">
        <x:v>AR</x:v>
      </x:c>
      <x:c r="D29" s="81" t="str">
        <x:v>AR-L3-SE-ViewCopyCostModel-034</x:v>
      </x:c>
      <x:c r="E29" s="81" t="str">
        <x:v>SR-01-02-02</x:v>
      </x:c>
      <x:c r="F29" s="81" t="str">
        <x:v>            └─ AR-L3-SE-ViewCopyCostModel-034</x:v>
      </x:c>
      <x:c r="G29" s="81" t="str">
        <x:v>近端热 KV 直访与回填优化</x:v>
      </x:c>
      <x:c r="H29" s="81" t="n">
        <x:v>1</x:v>
      </x:c>
      <x:c r="I29" s="81" t="str">
        <x:v>L3 传输管理层</x:v>
      </x:c>
      <x:c r="J29" s="81" t="str">
        <x:v>L3-SE-ViewCopyCostModel-034</x:v>
      </x:c>
    </x:row>
    <x:row r="30" ht="15" hidden="0" customHeight="1">
      <x:c r="A30" s="76" t="str">
        <x:v>SF-01/IR-01-02/SR-01-02-03</x:v>
      </x:c>
      <x:c r="B30" s="76" t="n">
        <x:v>3</x:v>
      </x:c>
      <x:c r="C30" s="76" t="str">
        <x:v>SR</x:v>
      </x:c>
      <x:c r="D30" s="76" t="str">
        <x:v>SR-01-02-03</x:v>
      </x:c>
      <x:c r="E30" s="76" t="str">
        <x:v>IR-01-02</x:v>
      </x:c>
      <x:c r="F30" s="76" t="str">
        <x:v>        ├─ SR-01-02-03 可消费判定与QueryPlan快速路径</x:v>
      </x:c>
      <x:c r="G30" s="76" t="str">
        <x:v>系统应在一次决策中校验版本、layout、ready、lease、路径、deadline和成本。</x:v>
      </x:c>
      <x:c r="H30" s="76" t="n">
        <x:f>COUNTIF('AR全量追溯'!$G$5:$G$148,D30)</x:f>
        <x:v>3</x:v>
      </x:c>
      <x:c r="I30" s="76" t="str">
        <x:v>L2/L3</x:v>
      </x:c>
      <x:c r="J30" s="76" t="str">
        <x:v>本版定义</x:v>
      </x:c>
    </x:row>
    <x:row r="31" ht="15" hidden="0" customHeight="1">
      <x:c r="A31" s="81" t="str">
        <x:v>SF-01/IR-01-02/SR-01-02-03/037</x:v>
      </x:c>
      <x:c r="B31" s="81" t="n">
        <x:v>4</x:v>
      </x:c>
      <x:c r="C31" s="81" t="str">
        <x:v>AR</x:v>
      </x:c>
      <x:c r="D31" s="81" t="str">
        <x:v>AR-L2-KV-ConsumeEligibility-035</x:v>
      </x:c>
      <x:c r="E31" s="81" t="str">
        <x:v>SR-01-02-03</x:v>
      </x:c>
      <x:c r="F31" s="81" t="str">
        <x:v>            └─ AR-L2-KV-ConsumeEligibility-035</x:v>
      </x:c>
      <x:c r="G31" s="81" t="str">
        <x:v>前缀命中后的可消费状态判定</x:v>
      </x:c>
      <x:c r="H31" s="81" t="n">
        <x:v>1</x:v>
      </x:c>
      <x:c r="I31" s="81" t="str">
        <x:v>L2 KVConnector层</x:v>
      </x:c>
      <x:c r="J31" s="81" t="str">
        <x:v>L2-KV-ConsumeEligibility-035</x:v>
      </x:c>
    </x:row>
    <x:row r="32" ht="15" hidden="0" customHeight="1">
      <x:c r="A32" s="81" t="str">
        <x:v>SF-01/IR-01-02/SR-01-02-03/078</x:v>
      </x:c>
      <x:c r="B32" s="81" t="n">
        <x:v>4</x:v>
      </x:c>
      <x:c r="C32" s="81" t="str">
        <x:v>AR</x:v>
      </x:c>
      <x:c r="D32" s="81" t="str">
        <x:v>AR-L3-MS-ConsumeEligibility-060</x:v>
      </x:c>
      <x:c r="E32" s="81" t="str">
        <x:v>SR-01-02-03</x:v>
      </x:c>
      <x:c r="F32" s="81" t="str">
        <x:v>            └─ AR-L3-MS-ConsumeEligibility-060</x:v>
      </x:c>
      <x:c r="G32" s="81" t="str">
        <x:v>Prefix hit 后能否转化为 usable hit</x:v>
      </x:c>
      <x:c r="H32" s="81" t="n">
        <x:v>1</x:v>
      </x:c>
      <x:c r="I32" s="81" t="str">
        <x:v>L3 传输管理层</x:v>
      </x:c>
      <x:c r="J32" s="81" t="str">
        <x:v>L3-MS-ConsumeEligibility-060</x:v>
      </x:c>
    </x:row>
    <x:row r="33" ht="15" hidden="0" customHeight="1">
      <x:c r="A33" s="81" t="str">
        <x:v>SF-01/IR-01-02/SR-01-02-03/090</x:v>
      </x:c>
      <x:c r="B33" s="81" t="n">
        <x:v>4</x:v>
      </x:c>
      <x:c r="C33" s="81" t="str">
        <x:v>AR</x:v>
      </x:c>
      <x:c r="D33" s="81" t="str">
        <x:v>AR-L3-SE-QueryPlanFastPath-072</x:v>
      </x:c>
      <x:c r="E33" s="81" t="str">
        <x:v>SR-01-02-03</x:v>
      </x:c>
      <x:c r="F33" s="81" t="str">
        <x:v>            └─ AR-L3-SE-QueryPlanFastPath-072</x:v>
      </x:c>
      <x:c r="G33" s="81" t="str">
        <x:v>TTFT 关键路径上的单次查询决策</x:v>
      </x:c>
      <x:c r="H33" s="81" t="n">
        <x:v>1</x:v>
      </x:c>
      <x:c r="I33" s="81" t="str">
        <x:v>L3 传输管理层</x:v>
      </x:c>
      <x:c r="J33" s="81" t="str">
        <x:v>L3-SE-QueryPlanFastPath-072</x:v>
      </x:c>
    </x:row>
    <x:row r="34" ht="15" hidden="0" customHeight="1">
      <x:c r="A34" s="72" t="str">
        <x:v>SF-01/IR-01-03</x:v>
      </x:c>
      <x:c r="B34" s="72" t="n">
        <x:v>2</x:v>
      </x:c>
      <x:c r="C34" s="72" t="str">
        <x:v>IR</x:v>
      </x:c>
      <x:c r="D34" s="72" t="str">
        <x:v>IR-01-03</x:v>
      </x:c>
      <x:c r="E34" s="72" t="str">
        <x:v>SF-01</x:v>
      </x:c>
      <x:c r="F34" s="72" t="str">
        <x:v>    ├─ IR-01-03 多卡一致消费与专家控制</x:v>
      </x:c>
      <x:c r="G34" s="72" t="str">
        <x:v>TP/PP/P-D分离场景需形成安全前缀共识，并为受控实验提供显式策略覆盖。</x:v>
      </x:c>
      <x:c r="H34" s="72" t="n">
        <x:f>COUNTIF('AR全量追溯'!$E$5:$E$148,D34)</x:f>
        <x:v>4</x:v>
      </x:c>
      <x:c r="I34" s="72" t="str">
        <x:v>L1/L2/L3</x:v>
      </x:c>
      <x:c r="J34" s="72" t="str">
        <x:v>本版定义</x:v>
      </x:c>
    </x:row>
    <x:row r="35" ht="15" hidden="0" customHeight="1">
      <x:c r="A35" s="76" t="str">
        <x:v>SF-01/IR-01-03/SR-01-03-01</x:v>
      </x:c>
      <x:c r="B35" s="76" t="n">
        <x:v>3</x:v>
      </x:c>
      <x:c r="C35" s="76" t="str">
        <x:v>SR</x:v>
      </x:c>
      <x:c r="D35" s="76" t="str">
        <x:v>SR-01-03-01</x:v>
      </x:c>
      <x:c r="E35" s="76" t="str">
        <x:v>IR-01-03</x:v>
      </x:c>
      <x:c r="F35" s="76" t="str">
        <x:v>        ├─ SR-01-03-01 多Rank前缀共识与多消费者</x:v>
      </x:c>
      <x:c r="G35" s="76" t="str">
        <x:v>系统应协调多rank、多consumer对安全prefix和副本状态达成一致。</x:v>
      </x:c>
      <x:c r="H35" s="76" t="n">
        <x:f>COUNTIF('AR全量追溯'!$G$5:$G$148,D35)</x:f>
        <x:v>2</x:v>
      </x:c>
      <x:c r="I35" s="76" t="str">
        <x:v>L1/L2</x:v>
      </x:c>
      <x:c r="J35" s="76" t="str">
        <x:v>本版定义</x:v>
      </x:c>
    </x:row>
    <x:row r="36" ht="15" hidden="0" customHeight="1">
      <x:c r="A36" s="81" t="str">
        <x:v>SF-01/IR-01-03/SR-01-03-01/018</x:v>
      </x:c>
      <x:c r="B36" s="81" t="n">
        <x:v>4</x:v>
      </x:c>
      <x:c r="C36" s="81" t="str">
        <x:v>AR</x:v>
      </x:c>
      <x:c r="D36" s="81" t="str">
        <x:v>AR-L1-PD-RankConsensus-013</x:v>
      </x:c>
      <x:c r="E36" s="81" t="str">
        <x:v>SR-01-03-01</x:v>
      </x:c>
      <x:c r="F36" s="81" t="str">
        <x:v>            └─ AR-L1-PD-RankConsensus-013</x:v>
      </x:c>
      <x:c r="G36" s="81" t="str">
        <x:v>多卡共享前缀一致复用</x:v>
      </x:c>
      <x:c r="H36" s="81" t="n">
        <x:v>1</x:v>
      </x:c>
      <x:c r="I36" s="81" t="str">
        <x:v>L1 推理调度层</x:v>
      </x:c>
      <x:c r="J36" s="81" t="str">
        <x:v>L1-PD-RankConsensus-013</x:v>
      </x:c>
    </x:row>
    <x:row r="37" ht="15" hidden="0" customHeight="1">
      <x:c r="A37" s="81" t="str">
        <x:v>SF-01/IR-01-03/SR-01-03-01/032</x:v>
      </x:c>
      <x:c r="B37" s="81" t="n">
        <x:v>4</x:v>
      </x:c>
      <x:c r="C37" s="81" t="str">
        <x:v>AR</x:v>
      </x:c>
      <x:c r="D37" s="81" t="str">
        <x:v>AR-L2-MM-MultiConsumer-027</x:v>
      </x:c>
      <x:c r="E37" s="81" t="str">
        <x:v>SR-01-03-01</x:v>
      </x:c>
      <x:c r="F37" s="81" t="str">
        <x:v>            └─ AR-L2-MM-MultiConsumer-027</x:v>
      </x:c>
      <x:c r="G37" s="81" t="str">
        <x:v>共享前缀 KVCache 批量广播</x:v>
      </x:c>
      <x:c r="H37" s="81" t="n">
        <x:v>1</x:v>
      </x:c>
      <x:c r="I37" s="81" t="str">
        <x:v>L2 KVConnector层</x:v>
      </x:c>
      <x:c r="J37" s="81" t="str">
        <x:v>L2-MM-MultiConsumer-027</x:v>
      </x:c>
    </x:row>
    <x:row r="38" ht="15" hidden="0" customHeight="1">
      <x:c r="A38" s="76" t="str">
        <x:v>SF-01/IR-01-03/SR-01-03-02</x:v>
      </x:c>
      <x:c r="B38" s="76" t="n">
        <x:v>3</x:v>
      </x:c>
      <x:c r="C38" s="76" t="str">
        <x:v>SR</x:v>
      </x:c>
      <x:c r="D38" s="76" t="str">
        <x:v>SR-01-03-02</x:v>
      </x:c>
      <x:c r="E38" s="76" t="str">
        <x:v>IR-01-03</x:v>
      </x:c>
      <x:c r="F38" s="76" t="str">
        <x:v>        ├─ SR-01-03-02 策略引擎与专家级Override</x:v>
      </x:c>
      <x:c r="G38" s="76" t="str">
        <x:v>系统应提供默认策略和受权限控制的显式路径/语义覆盖。</x:v>
      </x:c>
      <x:c r="H38" s="76" t="n">
        <x:f>COUNTIF('AR全量追溯'!$G$5:$G$148,D38)</x:f>
        <x:v>2</x:v>
      </x:c>
      <x:c r="I38" s="76" t="str">
        <x:v>L1/L3</x:v>
      </x:c>
      <x:c r="J38" s="76" t="str">
        <x:v>本版定义</x:v>
      </x:c>
    </x:row>
    <x:row r="39" ht="15" hidden="0" customHeight="1">
      <x:c r="A39" s="81" t="str">
        <x:v>SF-01/IR-01-03/SR-01-03-02/019</x:v>
      </x:c>
      <x:c r="B39" s="81" t="n">
        <x:v>4</x:v>
      </x:c>
      <x:c r="C39" s="81" t="str">
        <x:v>AR</x:v>
      </x:c>
      <x:c r="D39" s="81" t="str">
        <x:v>AR-L1-SE-ExpertOverride-015</x:v>
      </x:c>
      <x:c r="E39" s="81" t="str">
        <x:v>SR-01-03-02</x:v>
      </x:c>
      <x:c r="F39" s="81" t="str">
        <x:v>            └─ AR-L1-SE-ExpertOverride-015</x:v>
      </x:c>
      <x:c r="G39" s="81" t="str">
        <x:v>专家级 KV 传输策略控制</x:v>
      </x:c>
      <x:c r="H39" s="81" t="n">
        <x:v>1</x:v>
      </x:c>
      <x:c r="I39" s="81" t="str">
        <x:v>L1 推理调度层</x:v>
      </x:c>
      <x:c r="J39" s="81" t="str">
        <x:v>L1-SE-ExpertOverride-015</x:v>
      </x:c>
    </x:row>
    <x:row r="40" ht="15" hidden="0" customHeight="1">
      <x:c r="A40" s="81" t="str">
        <x:v>SF-01/IR-01-03/SR-01-03-02/056</x:v>
      </x:c>
      <x:c r="B40" s="81" t="n">
        <x:v>4</x:v>
      </x:c>
      <x:c r="C40" s="81" t="str">
        <x:v>AR</x:v>
      </x:c>
      <x:c r="D40" s="81" t="str">
        <x:v>AR-L3-SE-PolicyEngine-032</x:v>
      </x:c>
      <x:c r="E40" s="81" t="str">
        <x:v>SR-01-03-02</x:v>
      </x:c>
      <x:c r="F40" s="81" t="str">
        <x:v>            └─ AR-L3-SE-PolicyEngine-032</x:v>
      </x:c>
      <x:c r="G40" s="81" t="str">
        <x:v>统一 KVCache 存储池智能路径选择</x:v>
      </x:c>
      <x:c r="H40" s="81" t="n">
        <x:v>1</x:v>
      </x:c>
      <x:c r="I40" s="81" t="str">
        <x:v>L3 传输管理层</x:v>
      </x:c>
      <x:c r="J40" s="81" t="str">
        <x:v>L3-SE-PolicyEngine-032</x:v>
      </x:c>
    </x:row>
    <x:row r="41" ht="24" hidden="0" customHeight="1">
      <x:c r="A41" s="68" t="str">
        <x:v>SF-02</x:v>
      </x:c>
      <x:c r="B41" s="68" t="n">
        <x:v>1</x:v>
      </x:c>
      <x:c r="C41" s="68" t="str">
        <x:v>SF</x:v>
      </x:c>
      <x:c r="D41" s="68" t="str">
        <x:v>SF-02</x:v>
      </x:c>
      <x:c r="E41" s="68" t="str">
        <x:v>ROOT</x:v>
      </x:c>
      <x:c r="F41" s="68" t="str">
        <x:v>● SF-02 全局前缀目录与分布式元数据服务</x:v>
      </x:c>
      <x:c r="G41" s="68" t="str">
        <x:v>提供低时延前缀匹配、全局KV位置索引、元数据发布与失效治理，使raw hit能够安全转化为usable hit。</x:v>
      </x:c>
      <x:c r="H41" s="68" t="n">
        <x:f>COUNTIF('AR全量追溯'!$C$5:$C$148,D41)</x:f>
        <x:v>22</x:v>
      </x:c>
      <x:c r="I41" s="68" t="str">
        <x:v>L2/L3</x:v>
      </x:c>
      <x:c r="J41" s="68" t="str">
        <x:v>本版定义</x:v>
      </x:c>
    </x:row>
    <x:row r="42" ht="15" hidden="0" customHeight="1">
      <x:c r="A42" s="72" t="str">
        <x:v>SF-02/IR-02-01</x:v>
      </x:c>
      <x:c r="B42" s="72" t="n">
        <x:v>2</x:v>
      </x:c>
      <x:c r="C42" s="72" t="str">
        <x:v>IR</x:v>
      </x:c>
      <x:c r="D42" s="72" t="str">
        <x:v>IR-02-01</x:v>
      </x:c>
      <x:c r="E42" s="72" t="str">
        <x:v>SF-02</x:v>
      </x:c>
      <x:c r="F42" s="72" t="str">
        <x:v>    ├─ IR-02-01 低时延前缀计算与批量查询</x:v>
      </x:c>
      <x:c r="G42" s="72" t="str">
        <x:v>前缀哈希、LPM、本地索引和批量查询不得成为TTFT主要串行瓶颈。</x:v>
      </x:c>
      <x:c r="H42" s="72" t="n">
        <x:f>COUNTIF('AR全量追溯'!$E$5:$E$148,D42)</x:f>
        <x:v>9</x:v>
      </x:c>
      <x:c r="I42" s="72" t="str">
        <x:v>L1/L2/L3</x:v>
      </x:c>
      <x:c r="J42" s="72" t="str">
        <x:v>本版定义</x:v>
      </x:c>
    </x:row>
    <x:row r="43" ht="15" hidden="0" customHeight="1">
      <x:c r="A43" s="76" t="str">
        <x:v>SF-02/IR-02-01/SR-02-01-01</x:v>
      </x:c>
      <x:c r="B43" s="76" t="n">
        <x:v>3</x:v>
      </x:c>
      <x:c r="C43" s="76" t="str">
        <x:v>SR</x:v>
      </x:c>
      <x:c r="D43" s="76" t="str">
        <x:v>SR-02-01-01</x:v>
      </x:c>
      <x:c r="E43" s="76" t="str">
        <x:v>IR-02-01</x:v>
      </x:c>
      <x:c r="F43" s="76" t="str">
        <x:v>        ├─ SR-02-01-01 框架侧前缀计算与关键路径解耦</x:v>
      </x:c>
      <x:c r="G43" s="76" t="str">
        <x:v>系统应加速LPM/哈希并把远端确认从Scheduler同步串行路径解耦。</x:v>
      </x:c>
      <x:c r="H43" s="76" t="n">
        <x:f>COUNTIF('AR全量追溯'!$G$5:$G$148,D43)</x:f>
        <x:v>3</x:v>
      </x:c>
      <x:c r="I43" s="76" t="str">
        <x:v>L1</x:v>
      </x:c>
      <x:c r="J43" s="76" t="str">
        <x:v>本版定义</x:v>
      </x:c>
    </x:row>
    <x:row r="44" ht="15" hidden="0" customHeight="1">
      <x:c r="A44" s="81" t="str">
        <x:v>SF-02/IR-02-01/SR-02-01-01/005</x:v>
      </x:c>
      <x:c r="B44" s="81" t="n">
        <x:v>4</x:v>
      </x:c>
      <x:c r="C44" s="81" t="str">
        <x:v>AR</x:v>
      </x:c>
      <x:c r="D44" s="81" t="str">
        <x:v>AR-L1-SGL-PFX-IDX-003</x:v>
      </x:c>
      <x:c r="E44" s="81" t="str">
        <x:v>SR-02-01-01</x:v>
      </x:c>
      <x:c r="F44" s="81" t="str">
        <x:v>            └─ AR-L1-SGL-PFX-IDX-003</x:v>
      </x:c>
      <x:c r="G44" s="81" t="str">
        <x:v>前缀匹配关键路径加速</x:v>
      </x:c>
      <x:c r="H44" s="81" t="n">
        <x:v>1</x:v>
      </x:c>
      <x:c r="I44" s="81" t="str">
        <x:v>L1 推理调度层</x:v>
      </x:c>
      <x:c r="J44" s="81" t="str">
        <x:v>L1-SGL-PFX-IDX-003</x:v>
      </x:c>
    </x:row>
    <x:row r="45" ht="15" hidden="0" customHeight="1">
      <x:c r="A45" s="81" t="str">
        <x:v>SF-02/IR-02-01/SR-02-01-01/006</x:v>
      </x:c>
      <x:c r="B45" s="81" t="n">
        <x:v>4</x:v>
      </x:c>
      <x:c r="C45" s="81" t="str">
        <x:v>AR</x:v>
      </x:c>
      <x:c r="D45" s="81" t="str">
        <x:v>AR-L1-VLLM-PFX-SCHED-006</x:v>
      </x:c>
      <x:c r="E45" s="81" t="str">
        <x:v>SR-02-01-01</x:v>
      </x:c>
      <x:c r="F45" s="81" t="str">
        <x:v>            └─ AR-L1-VLLM-PFX-SCHED-006</x:v>
      </x:c>
      <x:c r="G45" s="81" t="str">
        <x:v>前缀匹配关键路径解耦</x:v>
      </x:c>
      <x:c r="H45" s="81" t="n">
        <x:v>1</x:v>
      </x:c>
      <x:c r="I45" s="81" t="str">
        <x:v>L1 推理调度层</x:v>
      </x:c>
      <x:c r="J45" s="81" t="str">
        <x:v>L1-VLLM-PFX-SCHED-006</x:v>
      </x:c>
    </x:row>
    <x:row r="46" ht="15" hidden="0" customHeight="1">
      <x:c r="A46" s="81" t="str">
        <x:v>SF-02/IR-02-01/SR-02-01-01/007</x:v>
      </x:c>
      <x:c r="B46" s="81" t="n">
        <x:v>4</x:v>
      </x:c>
      <x:c r="C46" s="81" t="str">
        <x:v>AR</x:v>
      </x:c>
      <x:c r="D46" s="81" t="str">
        <x:v>AR-L1-VLLM-PFX-IDX-005</x:v>
      </x:c>
      <x:c r="E46" s="81" t="str">
        <x:v>SR-02-01-01</x:v>
      </x:c>
      <x:c r="F46" s="81" t="str">
        <x:v>            └─ AR-L1-VLLM-PFX-IDX-005</x:v>
      </x:c>
      <x:c r="G46" s="81" t="str">
        <x:v>前缀匹配关键路径</x:v>
      </x:c>
      <x:c r="H46" s="81" t="n">
        <x:v>1</x:v>
      </x:c>
      <x:c r="I46" s="81" t="str">
        <x:v>L1 推理调度层</x:v>
      </x:c>
      <x:c r="J46" s="81" t="str">
        <x:v>L1-VLLM-PFX-IDX-005</x:v>
      </x:c>
    </x:row>
    <x:row r="47" ht="15" hidden="0" customHeight="1">
      <x:c r="A47" s="76" t="str">
        <x:v>SF-02/IR-02-01/SR-02-01-02</x:v>
      </x:c>
      <x:c r="B47" s="76" t="n">
        <x:v>3</x:v>
      </x:c>
      <x:c r="C47" s="76" t="str">
        <x:v>SR</x:v>
      </x:c>
      <x:c r="D47" s="76" t="str">
        <x:v>SR-02-01-02</x:v>
      </x:c>
      <x:c r="E47" s="76" t="str">
        <x:v>IR-02-01</x:v>
      </x:c>
      <x:c r="F47" s="76" t="str">
        <x:v>        ├─ SR-02-01-02 本地热索引、批量与范围查询</x:v>
      </x:c>
      <x:c r="G47" s="76" t="str">
        <x:v>系统应支持本地快速判断、批量lookup和长前缀范围查询。</x:v>
      </x:c>
      <x:c r="H47" s="76" t="n">
        <x:f>COUNTIF('AR全量追溯'!$G$5:$G$148,D47)</x:f>
        <x:v>6</x:v>
      </x:c>
      <x:c r="I47" s="76" t="str">
        <x:v>L2/L3</x:v>
      </x:c>
      <x:c r="J47" s="76" t="str">
        <x:v>本版定义</x:v>
      </x:c>
    </x:row>
    <x:row r="48" ht="15" hidden="0" customHeight="1">
      <x:c r="A48" s="81" t="str">
        <x:v>SF-02/IR-02-01/SR-02-01-02/024</x:v>
      </x:c>
      <x:c r="B48" s="81" t="n">
        <x:v>4</x:v>
      </x:c>
      <x:c r="C48" s="81" t="str">
        <x:v>AR</x:v>
      </x:c>
      <x:c r="D48" s="81" t="str">
        <x:v>AR-L2-CONN-META-CACHE-004</x:v>
      </x:c>
      <x:c r="E48" s="81" t="str">
        <x:v>SR-02-01-02</x:v>
      </x:c>
      <x:c r="F48" s="81" t="str">
        <x:v>            └─ AR-L2-CONN-META-CACHE-004</x:v>
      </x:c>
      <x:c r="G48" s="81" t="str">
        <x:v>前缀命中快速决策</x:v>
      </x:c>
      <x:c r="H48" s="81" t="n">
        <x:v>1</x:v>
      </x:c>
      <x:c r="I48" s="81" t="str">
        <x:v>L2 KVConnector层</x:v>
      </x:c>
      <x:c r="J48" s="81" t="str">
        <x:v>L2-CONN-META-CACHE-004</x:v>
      </x:c>
    </x:row>
    <x:row r="49" ht="15" hidden="0" customHeight="1">
      <x:c r="A49" s="81" t="str">
        <x:v>SF-02/IR-02-01/SR-02-01-02/025</x:v>
      </x:c>
      <x:c r="B49" s="81" t="n">
        <x:v>4</x:v>
      </x:c>
      <x:c r="C49" s="81" t="str">
        <x:v>AR</x:v>
      </x:c>
      <x:c r="D49" s="81" t="str">
        <x:v>AR-L2-PM-BatchLookup-021</x:v>
      </x:c>
      <x:c r="E49" s="81" t="str">
        <x:v>SR-02-01-02</x:v>
      </x:c>
      <x:c r="F49" s="81" t="str">
        <x:v>            └─ AR-L2-PM-BatchLookup-021</x:v>
      </x:c>
      <x:c r="G49" s="81" t="str">
        <x:v>共享前缀 KVCache 批量查询</x:v>
      </x:c>
      <x:c r="H49" s="81" t="n">
        <x:v>1</x:v>
      </x:c>
      <x:c r="I49" s="81" t="str">
        <x:v>L2 KVConnector层</x:v>
      </x:c>
      <x:c r="J49" s="81" t="str">
        <x:v>L2-PM-BatchLookup-021</x:v>
      </x:c>
    </x:row>
    <x:row r="50" ht="15" hidden="0" customHeight="1">
      <x:c r="A50" s="81" t="str">
        <x:v>SF-02/IR-02-01/SR-02-01-02/052</x:v>
      </x:c>
      <x:c r="B50" s="81" t="n">
        <x:v>4</x:v>
      </x:c>
      <x:c r="C50" s="81" t="str">
        <x:v>AR</x:v>
      </x:c>
      <x:c r="D50" s="81" t="str">
        <x:v>AR-L3-MC-PFX-IDX-003</x:v>
      </x:c>
      <x:c r="E50" s="81" t="str">
        <x:v>SR-02-01-02</x:v>
      </x:c>
      <x:c r="F50" s="81" t="str">
        <x:v>            └─ AR-L3-MC-PFX-IDX-003</x:v>
      </x:c>
      <x:c r="G50" s="81" t="str">
        <x:v>前缀命中判断加速</x:v>
      </x:c>
      <x:c r="H50" s="81" t="n">
        <x:v>1</x:v>
      </x:c>
      <x:c r="I50" s="81" t="str">
        <x:v>L3 传输管理层</x:v>
      </x:c>
      <x:c r="J50" s="81" t="str">
        <x:v>L3-MC-PFX-IDX-003</x:v>
      </x:c>
    </x:row>
    <x:row r="51" ht="15" hidden="0" customHeight="1">
      <x:c r="A51" s="81" t="str">
        <x:v>SF-02/IR-02-01/SR-02-01-02/088</x:v>
      </x:c>
      <x:c r="B51" s="81" t="n">
        <x:v>4</x:v>
      </x:c>
      <x:c r="C51" s="81" t="str">
        <x:v>AR</x:v>
      </x:c>
      <x:c r="D51" s="81" t="str">
        <x:v>AR-L3-MS-HotLocalIndex-070</x:v>
      </x:c>
      <x:c r="E51" s="81" t="str">
        <x:v>SR-02-01-02</x:v>
      </x:c>
      <x:c r="F51" s="81" t="str">
        <x:v>            └─ AR-L3-MS-HotLocalIndex-070</x:v>
      </x:c>
      <x:c r="G51" s="81" t="str">
        <x:v>Prefix lookup 避免远端 RTT 进入 TTFT</x:v>
      </x:c>
      <x:c r="H51" s="81" t="n">
        <x:v>1</x:v>
      </x:c>
      <x:c r="I51" s="81" t="str">
        <x:v>L3 传输管理层</x:v>
      </x:c>
      <x:c r="J51" s="81" t="str">
        <x:v>L3-MS-HotLocalIndex-070</x:v>
      </x:c>
    </x:row>
    <x:row r="52" ht="15" hidden="0" customHeight="1">
      <x:c r="A52" s="81" t="str">
        <x:v>SF-02/IR-02-01/SR-02-01-02/089</x:v>
      </x:c>
      <x:c r="B52" s="81" t="n">
        <x:v>4</x:v>
      </x:c>
      <x:c r="C52" s="81" t="str">
        <x:v>AR</x:v>
      </x:c>
      <x:c r="D52" s="81" t="str">
        <x:v>AR-L3-MS-RangeBatchLookup-071</x:v>
      </x:c>
      <x:c r="E52" s="81" t="str">
        <x:v>SR-02-01-02</x:v>
      </x:c>
      <x:c r="F52" s="81" t="str">
        <x:v>            └─ AR-L3-MS-RangeBatchLookup-071</x:v>
      </x:c>
      <x:c r="G52" s="81" t="str">
        <x:v>长前缀批量命中判定</x:v>
      </x:c>
      <x:c r="H52" s="81" t="n">
        <x:v>1</x:v>
      </x:c>
      <x:c r="I52" s="81" t="str">
        <x:v>L3 传输管理层</x:v>
      </x:c>
      <x:c r="J52" s="81" t="str">
        <x:v>L3-MS-RangeBatchLookup-071</x:v>
      </x:c>
    </x:row>
    <x:row r="53" ht="15" hidden="0" customHeight="1">
      <x:c r="A53" s="81" t="str">
        <x:v>SF-02/IR-02-01/SR-02-01-02/109</x:v>
      </x:c>
      <x:c r="B53" s="81" t="n">
        <x:v>4</x:v>
      </x:c>
      <x:c r="C53" s="81" t="str">
        <x:v>AR</x:v>
      </x:c>
      <x:c r="D53" s="81" t="str">
        <x:v>AR-L3-CONN-PFX-IDX-005</x:v>
      </x:c>
      <x:c r="E53" s="81" t="str">
        <x:v>SR-02-01-02</x:v>
      </x:c>
      <x:c r="F53" s="81" t="str">
        <x:v>            └─ AR-L3-CONN-PFX-IDX-005</x:v>
      </x:c>
      <x:c r="G53" s="81" t="str">
        <x:v>前缀命中快速判断</x:v>
      </x:c>
      <x:c r="H53" s="81" t="n">
        <x:v>1</x:v>
      </x:c>
      <x:c r="I53" s="81" t="str">
        <x:v>L3 传输管理层</x:v>
      </x:c>
      <x:c r="J53" s="81" t="str">
        <x:v>L3-CONN-PFX-IDX-005</x:v>
      </x:c>
    </x:row>
    <x:row r="54" ht="15" hidden="0" customHeight="1">
      <x:c r="A54" s="72" t="str">
        <x:v>SF-02/IR-02-02</x:v>
      </x:c>
      <x:c r="B54" s="72" t="n">
        <x:v>2</x:v>
      </x:c>
      <x:c r="C54" s="72" t="str">
        <x:v>IR</x:v>
      </x:c>
      <x:c r="D54" s="72" t="str">
        <x:v>IR-02-02</x:v>
      </x:c>
      <x:c r="E54" s="72" t="str">
        <x:v>SF-02</x:v>
      </x:c>
      <x:c r="F54" s="72" t="str">
        <x:v>    ├─ IR-02-02 分布式目录、分片与多副本位置</x:v>
      </x:c>
      <x:c r="G54" s="72" t="str">
        <x:v>集群需维护前缀到KV对象、位置、副本、版本和状态的可扩展目录。</x:v>
      </x:c>
      <x:c r="H54" s="72" t="n">
        <x:f>COUNTIF('AR全量追溯'!$E$5:$E$148,D54)</x:f>
        <x:v>7</x:v>
      </x:c>
      <x:c r="I54" s="72" t="str">
        <x:v>L3</x:v>
      </x:c>
      <x:c r="J54" s="72" t="str">
        <x:v>本版定义</x:v>
      </x:c>
    </x:row>
    <x:row r="55" ht="15" hidden="0" customHeight="1">
      <x:c r="A55" s="76" t="str">
        <x:v>SF-02/IR-02-02/SR-02-02-01</x:v>
      </x:c>
      <x:c r="B55" s="76" t="n">
        <x:v>3</x:v>
      </x:c>
      <x:c r="C55" s="76" t="str">
        <x:v>SR</x:v>
      </x:c>
      <x:c r="D55" s="76" t="str">
        <x:v>SR-02-02-01</x:v>
      </x:c>
      <x:c r="E55" s="76" t="str">
        <x:v>IR-02-02</x:v>
      </x:c>
      <x:c r="F55" s="76" t="str">
        <x:v>        ├─ SR-02-02-01 目录Schema、分片、镜像与复制</x:v>
      </x:c>
      <x:c r="G55" s="76" t="str">
        <x:v>系统应定义PrefixDirectorySchema并支持分片、本地镜像和索引高可用。</x:v>
      </x:c>
      <x:c r="H55" s="76" t="n">
        <x:f>COUNTIF('AR全量追溯'!$G$5:$G$148,D55)</x:f>
        <x:v>4</x:v>
      </x:c>
      <x:c r="I55" s="76" t="str">
        <x:v>L3</x:v>
      </x:c>
      <x:c r="J55" s="76" t="str">
        <x:v>本版定义</x:v>
      </x:c>
    </x:row>
    <x:row r="56" ht="15" hidden="0" customHeight="1">
      <x:c r="A56" s="81" t="str">
        <x:v>SF-02/IR-02-02/SR-02-02-01/050</x:v>
      </x:c>
      <x:c r="B56" s="81" t="n">
        <x:v>4</x:v>
      </x:c>
      <x:c r="C56" s="81" t="str">
        <x:v>AR</x:v>
      </x:c>
      <x:c r="D56" s="81" t="str">
        <x:v>AR-L3-MS-DirectoryMirror-036</x:v>
      </x:c>
      <x:c r="E56" s="81" t="str">
        <x:v>SR-02-02-01</x:v>
      </x:c>
      <x:c r="F56" s="81" t="str">
        <x:v>            └─ AR-L3-MS-DirectoryMirror-036</x:v>
      </x:c>
      <x:c r="G56" s="81" t="str">
        <x:v>节点级 KVCache 目录镜像加速</x:v>
      </x:c>
      <x:c r="H56" s="81" t="n">
        <x:v>1</x:v>
      </x:c>
      <x:c r="I56" s="81" t="str">
        <x:v>L3 传输管理层</x:v>
      </x:c>
      <x:c r="J56" s="81" t="str">
        <x:v>L3-MS-DirectoryMirror-036</x:v>
      </x:c>
    </x:row>
    <x:row r="57" ht="15" hidden="0" customHeight="1">
      <x:c r="A57" s="81" t="str">
        <x:v>SF-02/IR-02-02/SR-02-02-01/053</x:v>
      </x:c>
      <x:c r="B57" s="81" t="n">
        <x:v>4</x:v>
      </x:c>
      <x:c r="C57" s="81" t="str">
        <x:v>AR</x:v>
      </x:c>
      <x:c r="D57" s="81" t="str">
        <x:v>AR-L3-MC-PFX-REPL-004</x:v>
      </x:c>
      <x:c r="E57" s="81" t="str">
        <x:v>SR-02-02-01</x:v>
      </x:c>
      <x:c r="F57" s="81" t="str">
        <x:v>            └─ AR-L3-MC-PFX-REPL-004</x:v>
      </x:c>
      <x:c r="G57" s="81" t="str">
        <x:v>分布式索引高可用</x:v>
      </x:c>
      <x:c r="H57" s="81" t="n">
        <x:v>1</x:v>
      </x:c>
      <x:c r="I57" s="81" t="str">
        <x:v>L3 传输管理层</x:v>
      </x:c>
      <x:c r="J57" s="81" t="str">
        <x:v>L3-MC-PFX-REPL-004</x:v>
      </x:c>
    </x:row>
    <x:row r="58" ht="15" hidden="0" customHeight="1">
      <x:c r="A58" s="81" t="str">
        <x:v>SF-02/IR-02-02/SR-02-02-01/087</x:v>
      </x:c>
      <x:c r="B58" s="81" t="n">
        <x:v>4</x:v>
      </x:c>
      <x:c r="C58" s="81" t="str">
        <x:v>AR</x:v>
      </x:c>
      <x:c r="D58" s="81" t="str">
        <x:v>AR-L3-MS-PrefixDirectorySchema-069</x:v>
      </x:c>
      <x:c r="E58" s="81" t="str">
        <x:v>SR-02-02-01</x:v>
      </x:c>
      <x:c r="F58" s="81" t="str">
        <x:v>            └─ AR-L3-MS-PrefixDirectorySchema-069</x:v>
      </x:c>
      <x:c r="G58" s="81" t="str">
        <x:v>前缀匹配元数据结构设计</x:v>
      </x:c>
      <x:c r="H58" s="81" t="n">
        <x:v>1</x:v>
      </x:c>
      <x:c r="I58" s="81" t="str">
        <x:v>L3 传输管理层</x:v>
      </x:c>
      <x:c r="J58" s="81" t="str">
        <x:v>L3-MS-PrefixDirectorySchema-069</x:v>
      </x:c>
    </x:row>
    <x:row r="59" ht="15" hidden="0" customHeight="1">
      <x:c r="A59" s="81" t="str">
        <x:v>SF-02/IR-02-02/SR-02-02-01/091</x:v>
      </x:c>
      <x:c r="B59" s="81" t="n">
        <x:v>4</x:v>
      </x:c>
      <x:c r="C59" s="81" t="str">
        <x:v>AR</x:v>
      </x:c>
      <x:c r="D59" s="81" t="str">
        <x:v>AR-L3-MS-DirectoryShardPolicy-073</x:v>
      </x:c>
      <x:c r="E59" s="81" t="str">
        <x:v>SR-02-02-01</x:v>
      </x:c>
      <x:c r="F59" s="81" t="str">
        <x:v>            └─ AR-L3-MS-DirectoryShardPolicy-073</x:v>
      </x:c>
      <x:c r="G59" s="81" t="str">
        <x:v>热点前缀目录分片与镜像</x:v>
      </x:c>
      <x:c r="H59" s="81" t="n">
        <x:v>1</x:v>
      </x:c>
      <x:c r="I59" s="81" t="str">
        <x:v>L3 传输管理层</x:v>
      </x:c>
      <x:c r="J59" s="81" t="str">
        <x:v>L3-MS-DirectoryShardPolicy-073</x:v>
      </x:c>
    </x:row>
    <x:row r="60" ht="15" hidden="0" customHeight="1">
      <x:c r="A60" s="76" t="str">
        <x:v>SF-02/IR-02-02/SR-02-02-02</x:v>
      </x:c>
      <x:c r="B60" s="76" t="n">
        <x:v>3</x:v>
      </x:c>
      <x:c r="C60" s="76" t="str">
        <x:v>SR</x:v>
      </x:c>
      <x:c r="D60" s="76" t="str">
        <x:v>SR-02-02-02</x:v>
      </x:c>
      <x:c r="E60" s="76" t="str">
        <x:v>IR-02-02</x:v>
      </x:c>
      <x:c r="F60" s="76" t="str">
        <x:v>        ├─ SR-02-02-02 多副本目录、位置状态与解析</x:v>
      </x:c>
      <x:c r="G60" s="76" t="str">
        <x:v>系统应维护多副本位置/状态并选择可用、低成本、健康的读取源。</x:v>
      </x:c>
      <x:c r="H60" s="76" t="n">
        <x:f>COUNTIF('AR全量追溯'!$G$5:$G$148,D60)</x:f>
        <x:v>3</x:v>
      </x:c>
      <x:c r="I60" s="76" t="str">
        <x:v>L3</x:v>
      </x:c>
      <x:c r="J60" s="76" t="str">
        <x:v>本版定义</x:v>
      </x:c>
    </x:row>
    <x:row r="61" ht="15" hidden="0" customHeight="1">
      <x:c r="A61" s="81" t="str">
        <x:v>SF-02/IR-02-02/SR-02-02-02/054</x:v>
      </x:c>
      <x:c r="B61" s="81" t="n">
        <x:v>4</x:v>
      </x:c>
      <x:c r="C61" s="81" t="str">
        <x:v>AR</x:v>
      </x:c>
      <x:c r="D61" s="81" t="str">
        <x:v>AR-L3-MS-MultiReplicaDirectory-037</x:v>
      </x:c>
      <x:c r="E61" s="81" t="str">
        <x:v>SR-02-02-02</x:v>
      </x:c>
      <x:c r="F61" s="81" t="str">
        <x:v>            └─ AR-L3-MS-MultiReplicaDirectory-037</x:v>
      </x:c>
      <x:c r="G61" s="81" t="str">
        <x:v>多副本 KVCache 全局目录管理</x:v>
      </x:c>
      <x:c r="H61" s="81" t="n">
        <x:v>1</x:v>
      </x:c>
      <x:c r="I61" s="81" t="str">
        <x:v>L3 传输管理层</x:v>
      </x:c>
      <x:c r="J61" s="81" t="str">
        <x:v>L3-MS-MultiReplicaDirectory-037</x:v>
      </x:c>
    </x:row>
    <x:row r="62" ht="15" hidden="0" customHeight="1">
      <x:c r="A62" s="81" t="str">
        <x:v>SF-02/IR-02-02/SR-02-02-02/077</x:v>
      </x:c>
      <x:c r="B62" s="81" t="n">
        <x:v>4</x:v>
      </x:c>
      <x:c r="C62" s="81" t="str">
        <x:v>AR</x:v>
      </x:c>
      <x:c r="D62" s="81" t="str">
        <x:v>AR-L3-MS-ReplicaPlacementState-059</x:v>
      </x:c>
      <x:c r="E62" s="81" t="str">
        <x:v>SR-02-02-02</x:v>
      </x:c>
      <x:c r="F62" s="81" t="str">
        <x:v>            └─ AR-L3-MS-ReplicaPlacementState-059</x:v>
      </x:c>
      <x:c r="G62" s="81" t="str">
        <x:v>多副本 KV 的位置与状态管理</x:v>
      </x:c>
      <x:c r="H62" s="81" t="n">
        <x:v>1</x:v>
      </x:c>
      <x:c r="I62" s="81" t="str">
        <x:v>L3 传输管理层</x:v>
      </x:c>
      <x:c r="J62" s="81" t="str">
        <x:v>L3-MS-ReplicaPlacementState-059</x:v>
      </x:c>
    </x:row>
    <x:row r="63" ht="15" hidden="0" customHeight="1">
      <x:c r="A63" s="81" t="str">
        <x:v>SF-02/IR-02-02/SR-02-02-02/106</x:v>
      </x:c>
      <x:c r="B63" s="81" t="n">
        <x:v>4</x:v>
      </x:c>
      <x:c r="C63" s="81" t="str">
        <x:v>AR</x:v>
      </x:c>
      <x:c r="D63" s="81" t="str">
        <x:v>AR-L3-SE-MultiReplicaResolver-089</x:v>
      </x:c>
      <x:c r="E63" s="81" t="str">
        <x:v>SR-02-02-02</x:v>
      </x:c>
      <x:c r="F63" s="81" t="str">
        <x:v>            └─ AR-L3-SE-MultiReplicaResolver-089</x:v>
      </x:c>
      <x:c r="G63" s="81" t="str">
        <x:v>异构分布式多副本的最优路径路由决策</x:v>
      </x:c>
      <x:c r="H63" s="81" t="n">
        <x:v>1</x:v>
      </x:c>
      <x:c r="I63" s="81" t="str">
        <x:v>L3 传输管理层</x:v>
      </x:c>
      <x:c r="J63" s="81" t="str">
        <x:v>L3-SE-MultiReplicaResolver-089</x:v>
      </x:c>
    </x:row>
    <x:row r="64" ht="15" hidden="0" customHeight="1">
      <x:c r="A64" s="72" t="str">
        <x:v>SF-02/IR-02-03</x:v>
      </x:c>
      <x:c r="B64" s="72" t="n">
        <x:v>2</x:v>
      </x:c>
      <x:c r="C64" s="72" t="str">
        <x:v>IR</x:v>
      </x:c>
      <x:c r="D64" s="72" t="str">
        <x:v>IR-02-03</x:v>
      </x:c>
      <x:c r="E64" s="72" t="str">
        <x:v>SF-02</x:v>
      </x:c>
      <x:c r="F64" s="72" t="str">
        <x:v>    ├─ IR-02-03 元数据内存语义与发布一致性</x:v>
      </x:c>
      <x:c r="G64" s="72" t="str">
        <x:v>高频元数据访问需探索内存语义并保证发布、失效和stale防护。</x:v>
      </x:c>
      <x:c r="H64" s="72" t="n">
        <x:f>COUNTIF('AR全量追溯'!$E$5:$E$148,D64)</x:f>
        <x:v>6</x:v>
      </x:c>
      <x:c r="I64" s="72" t="str">
        <x:v>L3</x:v>
      </x:c>
      <x:c r="J64" s="72" t="str">
        <x:v>本版定义</x:v>
      </x:c>
    </x:row>
    <x:row r="65" ht="15" hidden="0" customHeight="1">
      <x:c r="A65" s="76" t="str">
        <x:v>SF-02/IR-02-03/SR-02-03-01</x:v>
      </x:c>
      <x:c r="B65" s="76" t="n">
        <x:v>3</x:v>
      </x:c>
      <x:c r="C65" s="76" t="str">
        <x:v>SR</x:v>
      </x:c>
      <x:c r="D65" s="76" t="str">
        <x:v>SR-02-03-01</x:v>
      </x:c>
      <x:c r="E65" s="76" t="str">
        <x:v>IR-02-03</x:v>
      </x:c>
      <x:c r="F65" s="76" t="str">
        <x:v>        ├─ SR-02-03-01 元数据热路径与紧凑检索布局</x:v>
      </x:c>
      <x:c r="G65" s="76" t="str">
        <x:v>系统应探索UBMEM/共享内存语义并优化PrefixDirectory/block table热访问布局。</x:v>
      </x:c>
      <x:c r="H65" s="76" t="n">
        <x:f>COUNTIF('AR全量追溯'!$G$5:$G$148,D65)</x:f>
        <x:v>3</x:v>
      </x:c>
      <x:c r="I65" s="76" t="str">
        <x:v>L3</x:v>
      </x:c>
      <x:c r="J65" s="76" t="str">
        <x:v>本版定义</x:v>
      </x:c>
    </x:row>
    <x:row r="66" ht="15" hidden="0" customHeight="1">
      <x:c r="A66" s="81" t="str">
        <x:v>SF-02/IR-02-03/SR-02-03-01/051</x:v>
      </x:c>
      <x:c r="B66" s="81" t="n">
        <x:v>4</x:v>
      </x:c>
      <x:c r="C66" s="81" t="str">
        <x:v>AR</x:v>
      </x:c>
      <x:c r="D66" s="81" t="str">
        <x:v>AR-L3-MS-MetadataDataPlane-035</x:v>
      </x:c>
      <x:c r="E66" s="81" t="str">
        <x:v>SR-02-03-01</x:v>
      </x:c>
      <x:c r="F66" s="81" t="str">
        <x:v>            └─ AR-L3-MS-MetadataDataPlane-035</x:v>
      </x:c>
      <x:c r="G66" s="81" t="str">
        <x:v>KVCache 元数据热路径加速</x:v>
      </x:c>
      <x:c r="H66" s="81" t="n">
        <x:v>1</x:v>
      </x:c>
      <x:c r="I66" s="81" t="str">
        <x:v>L3 传输管理层</x:v>
      </x:c>
      <x:c r="J66" s="81" t="str">
        <x:v>L3-MS-MetadataDataPlane-035</x:v>
      </x:c>
    </x:row>
    <x:row r="67" ht="15" hidden="0" customHeight="1">
      <x:c r="A67" s="81" t="str">
        <x:v>SF-02/IR-02-03/SR-02-03-01/092</x:v>
      </x:c>
      <x:c r="B67" s="81" t="n">
        <x:v>4</x:v>
      </x:c>
      <x:c r="C67" s="81" t="str">
        <x:v>AR</x:v>
      </x:c>
      <x:c r="D67" s="81" t="str">
        <x:v>AR-L3-MS-MetadataCompactLayout-074</x:v>
      </x:c>
      <x:c r="E67" s="81" t="str">
        <x:v>SR-02-03-01</x:v>
      </x:c>
      <x:c r="F67" s="81" t="str">
        <x:v>            └─ AR-L3-MS-MetadataCompactLayout-074</x:v>
      </x:c>
      <x:c r="G67" s="81" t="str">
        <x:v>前缀元数据查询结构优化</x:v>
      </x:c>
      <x:c r="H67" s="81" t="n">
        <x:v>1</x:v>
      </x:c>
      <x:c r="I67" s="81" t="str">
        <x:v>L3 传输管理层</x:v>
      </x:c>
      <x:c r="J67" s="81" t="str">
        <x:v>L3-MS-MetadataCompactLayout-074</x:v>
      </x:c>
    </x:row>
    <x:row r="68" ht="15" hidden="0" customHeight="1">
      <x:c r="A68" s="81" t="str">
        <x:v>SF-02/IR-02-03/SR-02-03-01/105</x:v>
      </x:c>
      <x:c r="B68" s="81" t="n">
        <x:v>4</x:v>
      </x:c>
      <x:c r="C68" s="81" t="str">
        <x:v>AR</x:v>
      </x:c>
      <x:c r="D68" s="81" t="str">
        <x:v>AR-L3-MS-TTFTIndexLayout-088</x:v>
      </x:c>
      <x:c r="E68" s="81" t="str">
        <x:v>SR-02-03-01</x:v>
      </x:c>
      <x:c r="F68" s="81" t="str">
        <x:v>            └─ AR-L3-MS-TTFTIndexLayout-088</x:v>
      </x:c>
      <x:c r="G68" s="81" t="str">
        <x:v>TTFT 关键路径高性能元数据检索</x:v>
      </x:c>
      <x:c r="H68" s="81" t="n">
        <x:v>1</x:v>
      </x:c>
      <x:c r="I68" s="81" t="str">
        <x:v>L3 传输管理层</x:v>
      </x:c>
      <x:c r="J68" s="81" t="str">
        <x:v>L3-MS-TTFTIndexLayout-088</x:v>
      </x:c>
    </x:row>
    <x:row r="69" ht="15" hidden="0" customHeight="1">
      <x:c r="A69" s="76" t="str">
        <x:v>SF-02/IR-02-03/SR-02-03-02</x:v>
      </x:c>
      <x:c r="B69" s="76" t="n">
        <x:v>3</x:v>
      </x:c>
      <x:c r="C69" s="76" t="str">
        <x:v>SR</x:v>
      </x:c>
      <x:c r="D69" s="76" t="str">
        <x:v>SR-02-03-02</x:v>
      </x:c>
      <x:c r="E69" s="76" t="str">
        <x:v>IR-02-03</x:v>
      </x:c>
      <x:c r="F69" s="76" t="str">
        <x:v>        ├─ SR-02-03-02 元数据原子发布、失效与Stale防护</x:v>
      </x:c>
      <x:c r="G69" s="76" t="str">
        <x:v>系统应以原子可见性、tombstone和版本校验防止旧对象复活或误命中。</x:v>
      </x:c>
      <x:c r="H69" s="76" t="n">
        <x:f>COUNTIF('AR全量追溯'!$G$5:$G$148,D69)</x:f>
        <x:v>3</x:v>
      </x:c>
      <x:c r="I69" s="76" t="str">
        <x:v>L3</x:v>
      </x:c>
      <x:c r="J69" s="76" t="str">
        <x:v>本版定义</x:v>
      </x:c>
    </x:row>
    <x:row r="70" ht="15" hidden="0" customHeight="1">
      <x:c r="A70" s="81" t="str">
        <x:v>SF-02/IR-02-03/SR-02-03-02/084</x:v>
      </x:c>
      <x:c r="B70" s="81" t="n">
        <x:v>4</x:v>
      </x:c>
      <x:c r="C70" s="81" t="str">
        <x:v>AR</x:v>
      </x:c>
      <x:c r="D70" s="81" t="str">
        <x:v>AR-L3-MS-InvalidationTombstone-066</x:v>
      </x:c>
      <x:c r="E70" s="81" t="str">
        <x:v>SR-02-03-02</x:v>
      </x:c>
      <x:c r="F70" s="81" t="str">
        <x:v>            └─ AR-L3-MS-InvalidationTombstone-066</x:v>
      </x:c>
      <x:c r="G70" s="81" t="str">
        <x:v>旧 KV 副本复活与 stale hit 防护</x:v>
      </x:c>
      <x:c r="H70" s="81" t="n">
        <x:v>1</x:v>
      </x:c>
      <x:c r="I70" s="81" t="str">
        <x:v>L3 传输管理层</x:v>
      </x:c>
      <x:c r="J70" s="81" t="str">
        <x:v>L3-MS-InvalidationTombstone-066</x:v>
      </x:c>
    </x:row>
    <x:row r="71" ht="15" hidden="0" customHeight="1">
      <x:c r="A71" s="81" t="str">
        <x:v>SF-02/IR-02-03/SR-02-03-02/085</x:v>
      </x:c>
      <x:c r="B71" s="81" t="n">
        <x:v>4</x:v>
      </x:c>
      <x:c r="C71" s="81" t="str">
        <x:v>AR</x:v>
      </x:c>
      <x:c r="D71" s="81" t="str">
        <x:v>AR-L3-MS-StaleHitGuard-067</x:v>
      </x:c>
      <x:c r="E71" s="81" t="str">
        <x:v>SR-02-03-02</x:v>
      </x:c>
      <x:c r="F71" s="81" t="str">
        <x:v>            └─ AR-L3-MS-StaleHitGuard-067</x:v>
      </x:c>
      <x:c r="G71" s="81" t="str">
        <x:v>本地元数据缓存过期导致误命中</x:v>
      </x:c>
      <x:c r="H71" s="81" t="n">
        <x:v>1</x:v>
      </x:c>
      <x:c r="I71" s="81" t="str">
        <x:v>L3 传输管理层</x:v>
      </x:c>
      <x:c r="J71" s="81" t="str">
        <x:v>L3-MS-StaleHitGuard-067</x:v>
      </x:c>
    </x:row>
    <x:row r="72" ht="15" hidden="0" customHeight="1">
      <x:c r="A72" s="81" t="str">
        <x:v>SF-02/IR-02-03/SR-02-03-02/104</x:v>
      </x:c>
      <x:c r="B72" s="81" t="n">
        <x:v>4</x:v>
      </x:c>
      <x:c r="C72" s="81" t="str">
        <x:v>AR</x:v>
      </x:c>
      <x:c r="D72" s="81" t="str">
        <x:v>AR-L3-MS-AtomicPublishVisibility-087</x:v>
      </x:c>
      <x:c r="E72" s="81" t="str">
        <x:v>SR-02-03-02</x:v>
      </x:c>
      <x:c r="F72" s="81" t="str">
        <x:v>            └─ AR-L3-MS-AtomicPublishVisibility-087</x:v>
      </x:c>
      <x:c r="G72" s="81" t="str">
        <x:v>高吞吐低时延元数据发布一致性</x:v>
      </x:c>
      <x:c r="H72" s="81" t="n">
        <x:v>1</x:v>
      </x:c>
      <x:c r="I72" s="81" t="str">
        <x:v>L3 传输管理层</x:v>
      </x:c>
      <x:c r="J72" s="81" t="str">
        <x:v>L3-MS-AtomicPublishVisibility-087</x:v>
      </x:c>
    </x:row>
    <x:row r="73" ht="24" hidden="0" customHeight="1">
      <x:c r="A73" s="68" t="str">
        <x:v>SF-03</x:v>
      </x:c>
      <x:c r="B73" s="68" t="n">
        <x:v>1</x:v>
      </x:c>
      <x:c r="C73" s="68" t="str">
        <x:v>SF</x:v>
      </x:c>
      <x:c r="D73" s="68" t="str">
        <x:v>SF-03</x:v>
      </x:c>
      <x:c r="E73" s="68" t="str">
        <x:v>ROOT</x:v>
      </x:c>
      <x:c r="F73" s="68" t="str">
        <x:v>● SF-03 统一KV对象与异构存储池管理</x:v>
      </x:c>
      <x:c r="G73" s="68" t="str">
        <x:v>把HBM、DDR、SSD和远端资源组织为统一KV对象、extent、布局、状态、位置、生命周期和成本模型。</x:v>
      </x:c>
      <x:c r="H73" s="68" t="n">
        <x:f>COUNTIF('AR全量追溯'!$C$5:$C$148,D73)</x:f>
        <x:v>30</x:v>
      </x:c>
      <x:c r="I73" s="68" t="str">
        <x:v>L3</x:v>
      </x:c>
      <x:c r="J73" s="68" t="str">
        <x:v>本版定义</x:v>
      </x:c>
    </x:row>
    <x:row r="74" ht="15" hidden="0" customHeight="1">
      <x:c r="A74" s="72" t="str">
        <x:v>SF-03/IR-03-01</x:v>
      </x:c>
      <x:c r="B74" s="72" t="n">
        <x:v>2</x:v>
      </x:c>
      <x:c r="C74" s="72" t="str">
        <x:v>IR</x:v>
      </x:c>
      <x:c r="D74" s="72" t="str">
        <x:v>IR-03-01</x:v>
      </x:c>
      <x:c r="E74" s="72" t="str">
        <x:v>SF-03</x:v>
      </x:c>
      <x:c r="F74" s="72" t="str">
        <x:v>    ├─ IR-03-01 KV对象、存储布局与统一寻址</x:v>
      </x:c>
      <x:c r="G74" s="72" t="str">
        <x:v>KVCache需形成跨模型、框架、介质和节点可解释的对象与extent描述。</x:v>
      </x:c>
      <x:c r="H74" s="72" t="n">
        <x:f>COUNTIF('AR全量追溯'!$E$5:$E$148,D74)</x:f>
        <x:v>9</x:v>
      </x:c>
      <x:c r="I74" s="72" t="str">
        <x:v>L1/L2/L3/L4</x:v>
      </x:c>
      <x:c r="J74" s="72" t="str">
        <x:v>本版定义</x:v>
      </x:c>
    </x:row>
    <x:row r="75" ht="24" hidden="0" customHeight="1">
      <x:c r="A75" s="76" t="str">
        <x:v>SF-03/IR-03-01/SR-03-01-01</x:v>
      </x:c>
      <x:c r="B75" s="76" t="n">
        <x:v>3</x:v>
      </x:c>
      <x:c r="C75" s="76" t="str">
        <x:v>SR</x:v>
      </x:c>
      <x:c r="D75" s="76" t="str">
        <x:v>SR-03-01-01</x:v>
      </x:c>
      <x:c r="E75" s="76" t="str">
        <x:v>IR-03-01</x:v>
      </x:c>
      <x:c r="F75" s="76" t="str">
        <x:v>        ├─ SR-03-01-01 KV容量规格、Block Schema与Extent Manifest</x:v>
      </x:c>
      <x:c r="G75" s="76" t="str">
        <x:v>系统应依据模型/layout计算footprint并描述离散KV block到extent的映射。</x:v>
      </x:c>
      <x:c r="H75" s="76" t="n">
        <x:f>COUNTIF('AR全量追溯'!$G$5:$G$148,D75)</x:f>
        <x:v>3</x:v>
      </x:c>
      <x:c r="I75" s="76" t="str">
        <x:v>L1/L3</x:v>
      </x:c>
      <x:c r="J75" s="76" t="str">
        <x:v>本版定义</x:v>
      </x:c>
    </x:row>
    <x:row r="76" ht="15" hidden="0" customHeight="1">
      <x:c r="A76" s="81" t="str">
        <x:v>SF-03/IR-03-01/SR-03-01-01/011</x:v>
      </x:c>
      <x:c r="B76" s="81" t="n">
        <x:v>4</x:v>
      </x:c>
      <x:c r="C76" s="81" t="str">
        <x:v>AR</x:v>
      </x:c>
      <x:c r="D76" s="81" t="str">
        <x:v>AR-L1-MM-KVSizing-008</x:v>
      </x:c>
      <x:c r="E76" s="81" t="str">
        <x:v>SR-03-01-01</x:v>
      </x:c>
      <x:c r="F76" s="81" t="str">
        <x:v>            └─ AR-L1-MM-KVSizing-008</x:v>
      </x:c>
      <x:c r="G76" s="81" t="str">
        <x:v>模型 KVCache 容量规格化</x:v>
      </x:c>
      <x:c r="H76" s="81" t="n">
        <x:v>1</x:v>
      </x:c>
      <x:c r="I76" s="81" t="str">
        <x:v>L1 推理调度层</x:v>
      </x:c>
      <x:c r="J76" s="81" t="str">
        <x:v>L1-MM-KVSizing-008</x:v>
      </x:c>
    </x:row>
    <x:row r="77" ht="15" hidden="0" customHeight="1">
      <x:c r="A77" s="81" t="str">
        <x:v>SF-03/IR-03-01/SR-03-01-01/093</x:v>
      </x:c>
      <x:c r="B77" s="81" t="n">
        <x:v>4</x:v>
      </x:c>
      <x:c r="C77" s="81" t="str">
        <x:v>AR</x:v>
      </x:c>
      <x:c r="D77" s="81" t="str">
        <x:v>AR-L3-MC-KVBlockStorageSchema-075</x:v>
      </x:c>
      <x:c r="E77" s="81" t="str">
        <x:v>SR-03-01-01</x:v>
      </x:c>
      <x:c r="F77" s="81" t="str">
        <x:v>            └─ AR-L3-MC-KVBlockStorageSchema-075</x:v>
      </x:c>
      <x:c r="G77" s="81" t="str">
        <x:v>KV 块跨介质统一存储结构</x:v>
      </x:c>
      <x:c r="H77" s="81" t="n">
        <x:v>1</x:v>
      </x:c>
      <x:c r="I77" s="81" t="str">
        <x:v>L3 传输管理层</x:v>
      </x:c>
      <x:c r="J77" s="81" t="str">
        <x:v>L3-MC-KVBlockStorageSchema-075</x:v>
      </x:c>
    </x:row>
    <x:row r="78" ht="15" hidden="0" customHeight="1">
      <x:c r="A78" s="81" t="str">
        <x:v>SF-03/IR-03-01/SR-03-01-01/094</x:v>
      </x:c>
      <x:c r="B78" s="81" t="n">
        <x:v>4</x:v>
      </x:c>
      <x:c r="C78" s="81" t="str">
        <x:v>AR</x:v>
      </x:c>
      <x:c r="D78" s="81" t="str">
        <x:v>AR-L3-MC-ExtentManifest-076</x:v>
      </x:c>
      <x:c r="E78" s="81" t="str">
        <x:v>SR-03-01-01</x:v>
      </x:c>
      <x:c r="F78" s="81" t="str">
        <x:v>            └─ AR-L3-MC-ExtentManifest-076</x:v>
      </x:c>
      <x:c r="G78" s="81" t="str">
        <x:v>非连续 KV 块存储与批量传输</x:v>
      </x:c>
      <x:c r="H78" s="81" t="n">
        <x:v>1</x:v>
      </x:c>
      <x:c r="I78" s="81" t="str">
        <x:v>L3 传输管理层</x:v>
      </x:c>
      <x:c r="J78" s="81" t="str">
        <x:v>L3-MC-ExtentManifest-076</x:v>
      </x:c>
    </x:row>
    <x:row r="79" ht="24" hidden="0" customHeight="1">
      <x:c r="A79" s="76" t="str">
        <x:v>SF-03/IR-03-01/SR-03-01-02</x:v>
      </x:c>
      <x:c r="B79" s="76" t="n">
        <x:v>3</x:v>
      </x:c>
      <x:c r="C79" s="76" t="str">
        <x:v>SR</x:v>
      </x:c>
      <x:c r="D79" s="76" t="str">
        <x:v>SR-03-01-02</x:v>
      </x:c>
      <x:c r="E79" s="76" t="str">
        <x:v>IR-03-01</x:v>
      </x:c>
      <x:c r="F79" s="76" t="str">
        <x:v>        ├─ SR-03-01-02 Layout协商、转换计划与Descriptor生成</x:v>
      </x:c>
      <x:c r="G79" s="76" t="str">
        <x:v>系统应协商源/目标布局并从manifest生成硬件可执行descriptor。</x:v>
      </x:c>
      <x:c r="H79" s="76" t="n">
        <x:f>COUNTIF('AR全量追溯'!$G$5:$G$148,D79)</x:f>
        <x:v>4</x:v>
      </x:c>
      <x:c r="I79" s="76" t="str">
        <x:v>L2/L3/L4</x:v>
      </x:c>
      <x:c r="J79" s="76" t="str">
        <x:v>本版定义</x:v>
      </x:c>
    </x:row>
    <x:row r="80" ht="15" hidden="0" customHeight="1">
      <x:c r="A80" s="81" t="str">
        <x:v>SF-03/IR-03-01/SR-03-01-02/028</x:v>
      </x:c>
      <x:c r="B80" s="81" t="n">
        <x:v>4</x:v>
      </x:c>
      <x:c r="C80" s="81" t="str">
        <x:v>AR</x:v>
      </x:c>
      <x:c r="D80" s="81" t="str">
        <x:v>AR-L2-OL-LayoutNegotiation-024</x:v>
      </x:c>
      <x:c r="E80" s="81" t="str">
        <x:v>SR-03-01-02</x:v>
      </x:c>
      <x:c r="F80" s="81" t="str">
        <x:v>            └─ AR-L2-OL-LayoutNegotiation-024</x:v>
      </x:c>
      <x:c r="G80" s="81" t="str">
        <x:v>KVCache 高效传输布局协商</x:v>
      </x:c>
      <x:c r="H80" s="81" t="n">
        <x:v>1</x:v>
      </x:c>
      <x:c r="I80" s="81" t="str">
        <x:v>L2 KVConnector层</x:v>
      </x:c>
      <x:c r="J80" s="81" t="str">
        <x:v>L2-OL-LayoutNegotiation-024</x:v>
      </x:c>
    </x:row>
    <x:row r="81" ht="15" hidden="0" customHeight="1">
      <x:c r="A81" s="81" t="str">
        <x:v>SF-03/IR-03-01/SR-03-01-02/096</x:v>
      </x:c>
      <x:c r="B81" s="81" t="n">
        <x:v>4</x:v>
      </x:c>
      <x:c r="C81" s="81" t="str">
        <x:v>AR</x:v>
      </x:c>
      <x:c r="D81" s="81" t="str">
        <x:v>AR-L3-MC-LayoutTransformPlan-078</x:v>
      </x:c>
      <x:c r="E81" s="81" t="str">
        <x:v>SR-03-01-02</x:v>
      </x:c>
      <x:c r="F81" s="81" t="str">
        <x:v>            └─ AR-L3-MC-LayoutTransformPlan-078</x:v>
      </x:c>
      <x:c r="G81" s="81" t="str">
        <x:v>HND/NHD/page-first/cross-layer 布局兼容</x:v>
      </x:c>
      <x:c r="H81" s="81" t="n">
        <x:v>1</x:v>
      </x:c>
      <x:c r="I81" s="81" t="str">
        <x:v>L3 传输管理层</x:v>
      </x:c>
      <x:c r="J81" s="81" t="str">
        <x:v>L3-MC-LayoutTransformPlan-078</x:v>
      </x:c>
    </x:row>
    <x:row r="82" ht="15" hidden="0" customHeight="1">
      <x:c r="A82" s="81" t="str">
        <x:v>SF-03/IR-03-01/SR-03-01-02/097</x:v>
      </x:c>
      <x:c r="B82" s="81" t="n">
        <x:v>4</x:v>
      </x:c>
      <x:c r="C82" s="81" t="str">
        <x:v>AR</x:v>
      </x:c>
      <x:c r="D82" s="81" t="str">
        <x:v>AR-L3-SE-DescriptorFromManifest-079</x:v>
      </x:c>
      <x:c r="E82" s="81" t="str">
        <x:v>SR-03-01-02</x:v>
      </x:c>
      <x:c r="F82" s="81" t="str">
        <x:v>            └─ AR-L3-SE-DescriptorFromManifest-079</x:v>
      </x:c>
      <x:c r="G82" s="81" t="str">
        <x:v>从 KV 存储结构自动生成高效传输描述符</x:v>
      </x:c>
      <x:c r="H82" s="81" t="n">
        <x:v>1</x:v>
      </x:c>
      <x:c r="I82" s="81" t="str">
        <x:v>L3 传输管理层</x:v>
      </x:c>
      <x:c r="J82" s="81" t="str">
        <x:v>L3-SE-DescriptorFromManifest-079</x:v>
      </x:c>
    </x:row>
    <x:row r="83" ht="15" hidden="0" customHeight="1">
      <x:c r="A83" s="81" t="str">
        <x:v>SF-03/IR-03-01/SR-03-01-02/134</x:v>
      </x:c>
      <x:c r="B83" s="81" t="n">
        <x:v>4</x:v>
      </x:c>
      <x:c r="C83" s="81" t="str">
        <x:v>AR</x:v>
      </x:c>
      <x:c r="D83" s="81" t="str">
        <x:v>AR-L4-HW-StorageLayoutCapability-067</x:v>
      </x:c>
      <x:c r="E83" s="81" t="str">
        <x:v>SR-03-01-02</x:v>
      </x:c>
      <x:c r="F83" s="81" t="str">
        <x:v>            └─ AR-L4-HW-StorageLayoutCapability-067</x:v>
      </x:c>
      <x:c r="G83" s="81" t="str">
        <x:v>KV 存储布局与底层能力匹配</x:v>
      </x:c>
      <x:c r="H83" s="81" t="n">
        <x:v>1</x:v>
      </x:c>
      <x:c r="I83" s="81" t="str">
        <x:v>L4 底层传输层</x:v>
      </x:c>
      <x:c r="J83" s="81" t="str">
        <x:v>L4-HW-StorageLayoutCapability-067</x:v>
      </x:c>
    </x:row>
    <x:row r="84" ht="15" hidden="0" customHeight="1">
      <x:c r="A84" s="76" t="str">
        <x:v>SF-03/IR-03-01/SR-03-01-03</x:v>
      </x:c>
      <x:c r="B84" s="76" t="n">
        <x:v>3</x:v>
      </x:c>
      <x:c r="C84" s="76" t="str">
        <x:v>SR</x:v>
      </x:c>
      <x:c r="D84" s="76" t="str">
        <x:v>SR-03-01-03</x:v>
      </x:c>
      <x:c r="E84" s="76" t="str">
        <x:v>IR-03-01</x:v>
      </x:c>
      <x:c r="F84" s="76" t="str">
        <x:v>        ├─ SR-03-01-03 持久与远端Extent统一Handle</x:v>
      </x:c>
      <x:c r="G84" s="76" t="str">
        <x:v>系统应为SSD/object和远端内存副本提供安全、可失效的统一寻址句柄。</x:v>
      </x:c>
      <x:c r="H84" s="76" t="n">
        <x:f>COUNTIF('AR全量追溯'!$G$5:$G$148,D84)</x:f>
        <x:v>2</x:v>
      </x:c>
      <x:c r="I84" s="76" t="str">
        <x:v>L4</x:v>
      </x:c>
      <x:c r="J84" s="76" t="str">
        <x:v>本版定义</x:v>
      </x:c>
    </x:row>
    <x:row r="85" ht="15" hidden="0" customHeight="1">
      <x:c r="A85" s="81" t="str">
        <x:v>SF-03/IR-03-01/SR-03-01-03/137</x:v>
      </x:c>
      <x:c r="B85" s="81" t="n">
        <x:v>4</x:v>
      </x:c>
      <x:c r="C85" s="81" t="str">
        <x:v>AR</x:v>
      </x:c>
      <x:c r="D85" s="81" t="str">
        <x:v>AR-L4-MC-PersistentExtentHandle-070</x:v>
      </x:c>
      <x:c r="E85" s="81" t="str">
        <x:v>SR-03-01-03</x:v>
      </x:c>
      <x:c r="F85" s="81" t="str">
        <x:v>            └─ AR-L4-MC-PersistentExtentHandle-070</x:v>
      </x:c>
      <x:c r="G85" s="81" t="str">
        <x:v>SSD/object KV 副本统一寻址</x:v>
      </x:c>
      <x:c r="H85" s="81" t="n">
        <x:v>1</x:v>
      </x:c>
      <x:c r="I85" s="81" t="str">
        <x:v>L4 底层传输层</x:v>
      </x:c>
      <x:c r="J85" s="81" t="str">
        <x:v>L4-MC-PersistentExtentHandle-070</x:v>
      </x:c>
    </x:row>
    <x:row r="86" ht="15" hidden="0" customHeight="1">
      <x:c r="A86" s="81" t="str">
        <x:v>SF-03/IR-03-01/SR-03-01-03/138</x:v>
      </x:c>
      <x:c r="B86" s="81" t="n">
        <x:v>4</x:v>
      </x:c>
      <x:c r="C86" s="81" t="str">
        <x:v>AR</x:v>
      </x:c>
      <x:c r="D86" s="81" t="str">
        <x:v>AR-L4-RDMA-RemoteExtentHandle-071</x:v>
      </x:c>
      <x:c r="E86" s="81" t="str">
        <x:v>SR-03-01-03</x:v>
      </x:c>
      <x:c r="F86" s="81" t="str">
        <x:v>            └─ AR-L4-RDMA-RemoteExtentHandle-071</x:v>
      </x:c>
      <x:c r="G86" s="81" t="str">
        <x:v>远端 KV 副本安全寻址</x:v>
      </x:c>
      <x:c r="H86" s="81" t="n">
        <x:v>1</x:v>
      </x:c>
      <x:c r="I86" s="81" t="str">
        <x:v>L4 底层传输层</x:v>
      </x:c>
      <x:c r="J86" s="81" t="str">
        <x:v>L4-RDMA-RemoteExtentHandle-071</x:v>
      </x:c>
    </x:row>
    <x:row r="87" ht="15" hidden="0" customHeight="1">
      <x:c r="A87" s="72" t="str">
        <x:v>SF-03/IR-03-02</x:v>
      </x:c>
      <x:c r="B87" s="72" t="n">
        <x:v>2</x:v>
      </x:c>
      <x:c r="C87" s="72" t="str">
        <x:v>IR</x:v>
      </x:c>
      <x:c r="D87" s="72" t="str">
        <x:v>IR-03-02</x:v>
      </x:c>
      <x:c r="E87" s="72" t="str">
        <x:v>SF-03</x:v>
      </x:c>
      <x:c r="F87" s="72" t="str">
        <x:v>    ├─ IR-03-02 异构池分配、分层与介质角色</x:v>
      </x:c>
      <x:c r="G87" s="72" t="str">
        <x:v>SSD承担容量主体，DDR不作为必经跳板并按净收益承担选择性角色。</x:v>
      </x:c>
      <x:c r="H87" s="72" t="n">
        <x:f>COUNTIF('AR全量追溯'!$E$5:$E$148,D87)</x:f>
        <x:v>9</x:v>
      </x:c>
      <x:c r="I87" s="72" t="str">
        <x:v>L1/L3</x:v>
      </x:c>
      <x:c r="J87" s="72" t="str">
        <x:v>本版定义</x:v>
      </x:c>
    </x:row>
    <x:row r="88" ht="24" hidden="0" customHeight="1">
      <x:c r="A88" s="76" t="str">
        <x:v>SF-03/IR-03-02/SR-03-02-01</x:v>
      </x:c>
      <x:c r="B88" s="76" t="n">
        <x:v>3</x:v>
      </x:c>
      <x:c r="C88" s="76" t="str">
        <x:v>SR</x:v>
      </x:c>
      <x:c r="D88" s="76" t="str">
        <x:v>SR-03-02-01</x:v>
      </x:c>
      <x:c r="E88" s="76" t="str">
        <x:v>IR-03-02</x:v>
      </x:c>
      <x:c r="F88" s="76" t="str">
        <x:v>        ├─ SR-03-02-01 全局池、NUMA/UB分配与Extent分配器</x:v>
      </x:c>
      <x:c r="G88" s="76" t="str">
        <x:v>系统应统一管理容量并按NUMA、UB域、页/extent约束分配。</x:v>
      </x:c>
      <x:c r="H88" s="76" t="n">
        <x:f>COUNTIF('AR全量追溯'!$G$5:$G$148,D88)</x:f>
        <x:v>4</x:v>
      </x:c>
      <x:c r="I88" s="76" t="str">
        <x:v>L3</x:v>
      </x:c>
      <x:c r="J88" s="76" t="str">
        <x:v>本版定义</x:v>
      </x:c>
    </x:row>
    <x:row r="89" ht="15" hidden="0" customHeight="1">
      <x:c r="A89" s="81" t="str">
        <x:v>SF-03/IR-03-02/SR-03-02-01/044</x:v>
      </x:c>
      <x:c r="B89" s="81" t="n">
        <x:v>4</x:v>
      </x:c>
      <x:c r="C89" s="81" t="str">
        <x:v>AR</x:v>
      </x:c>
      <x:c r="D89" s="81" t="str">
        <x:v>AR-L3-MC-POOL-GLOBAL-001</x:v>
      </x:c>
      <x:c r="E89" s="81" t="str">
        <x:v>SR-03-02-01</x:v>
      </x:c>
      <x:c r="F89" s="81" t="str">
        <x:v>            └─ AR-L3-MC-POOL-GLOBAL-001</x:v>
      </x:c>
      <x:c r="G89" s="81" t="str">
        <x:v>集群KVCache统一管理</x:v>
      </x:c>
      <x:c r="H89" s="81" t="n">
        <x:v>1</x:v>
      </x:c>
      <x:c r="I89" s="81" t="str">
        <x:v>L3 传输管理层</x:v>
      </x:c>
      <x:c r="J89" s="81" t="str">
        <x:v>L3-MC-POOL-GLOBAL-001</x:v>
      </x:c>
    </x:row>
    <x:row r="90" ht="15" hidden="0" customHeight="1">
      <x:c r="A90" s="81" t="str">
        <x:v>SF-03/IR-03-02/SR-03-02-01/048</x:v>
      </x:c>
      <x:c r="B90" s="81" t="n">
        <x:v>4</x:v>
      </x:c>
      <x:c r="C90" s="81" t="str">
        <x:v>AR</x:v>
      </x:c>
      <x:c r="D90" s="81" t="str">
        <x:v>AR-L3-MC-POOL-ALLOC-005</x:v>
      </x:c>
      <x:c r="E90" s="81" t="str">
        <x:v>SR-03-02-01</x:v>
      </x:c>
      <x:c r="F90" s="81" t="str">
        <x:v>            └─ AR-L3-MC-POOL-ALLOC-005</x:v>
      </x:c>
      <x:c r="G90" s="81" t="str">
        <x:v>NUMA亲和性KV分配</x:v>
      </x:c>
      <x:c r="H90" s="81" t="n">
        <x:v>1</x:v>
      </x:c>
      <x:c r="I90" s="81" t="str">
        <x:v>L3 传输管理层</x:v>
      </x:c>
      <x:c r="J90" s="81" t="str">
        <x:v>L3-MC-POOL-ALLOC-005</x:v>
      </x:c>
    </x:row>
    <x:row r="91" ht="15" hidden="0" customHeight="1">
      <x:c r="A91" s="81" t="str">
        <x:v>SF-03/IR-03-02/SR-03-02-01/049</x:v>
      </x:c>
      <x:c r="B91" s="81" t="n">
        <x:v>4</x:v>
      </x:c>
      <x:c r="C91" s="81" t="str">
        <x:v>AR</x:v>
      </x:c>
      <x:c r="D91" s="81" t="str">
        <x:v>AR-L3-MC-UBAllocator-049</x:v>
      </x:c>
      <x:c r="E91" s="81" t="str">
        <x:v>SR-03-02-01</x:v>
      </x:c>
      <x:c r="F91" s="81" t="str">
        <x:v>            └─ AR-L3-MC-UBAllocator-049</x:v>
      </x:c>
      <x:c r="G91" s="81" t="str">
        <x:v>UB 共享 KV 热存储池管理</x:v>
      </x:c>
      <x:c r="H91" s="81" t="n">
        <x:v>1</x:v>
      </x:c>
      <x:c r="I91" s="81" t="str">
        <x:v>L3 传输管理层</x:v>
      </x:c>
      <x:c r="J91" s="81" t="str">
        <x:v>L3-MC-UBAllocator-049</x:v>
      </x:c>
    </x:row>
    <x:row r="92" ht="15" hidden="0" customHeight="1">
      <x:c r="A92" s="81" t="str">
        <x:v>SF-03/IR-03-02/SR-03-02-01/095</x:v>
      </x:c>
      <x:c r="B92" s="81" t="n">
        <x:v>4</x:v>
      </x:c>
      <x:c r="C92" s="81" t="str">
        <x:v>AR</x:v>
      </x:c>
      <x:c r="D92" s="81" t="str">
        <x:v>AR-L3-MC-PageExtentAllocator-077</x:v>
      </x:c>
      <x:c r="E92" s="81" t="str">
        <x:v>SR-03-02-01</x:v>
      </x:c>
      <x:c r="F92" s="81" t="str">
        <x:v>            └─ AR-L3-MC-PageExtentAllocator-077</x:v>
      </x:c>
      <x:c r="G92" s="81" t="str">
        <x:v>长周期运行下 KV 存储碎片控制</x:v>
      </x:c>
      <x:c r="H92" s="81" t="n">
        <x:v>1</x:v>
      </x:c>
      <x:c r="I92" s="81" t="str">
        <x:v>L3 传输管理层</x:v>
      </x:c>
      <x:c r="J92" s="81" t="str">
        <x:v>L3-MC-PageExtentAllocator-077</x:v>
      </x:c>
    </x:row>
    <x:row r="93" ht="15" hidden="0" customHeight="1">
      <x:c r="A93" s="76" t="str">
        <x:v>SF-03/IR-03-02/SR-03-02-02</x:v>
      </x:c>
      <x:c r="B93" s="76" t="n">
        <x:v>3</x:v>
      </x:c>
      <x:c r="C93" s="76" t="str">
        <x:v>SR</x:v>
      </x:c>
      <x:c r="D93" s="76" t="str">
        <x:v>SR-03-02-02</x:v>
      </x:c>
      <x:c r="E93" s="76" t="str">
        <x:v>IR-03-02</x:v>
      </x:c>
      <x:c r="F93" s="76" t="str">
        <x:v>        ├─ SR-03-02-02 图式分层、DDR旁路与角色化准入</x:v>
      </x:c>
      <x:c r="G93" s="76" t="str">
        <x:v>系统应支持tier bypass，以SSD为容量主体，并按角色/净收益启用DDR。</x:v>
      </x:c>
      <x:c r="H93" s="76" t="n">
        <x:f>COUNTIF('AR全量追溯'!$G$5:$G$148,D93)</x:f>
        <x:v>5</x:v>
      </x:c>
      <x:c r="I93" s="76" t="str">
        <x:v>L1/L3</x:v>
      </x:c>
      <x:c r="J93" s="76" t="str">
        <x:v>本版定义</x:v>
      </x:c>
    </x:row>
    <x:row r="94" ht="15" hidden="0" customHeight="1">
      <x:c r="A94" s="81" t="str">
        <x:v>SF-03/IR-03-02/SR-03-02-02/012</x:v>
      </x:c>
      <x:c r="B94" s="81" t="n">
        <x:v>4</x:v>
      </x:c>
      <x:c r="C94" s="81" t="str">
        <x:v>AR</x:v>
      </x:c>
      <x:c r="D94" s="81" t="str">
        <x:v>AR-L1-OL-ActiveWarmClass-010</x:v>
      </x:c>
      <x:c r="E94" s="81" t="str">
        <x:v>SR-03-02-02</x:v>
      </x:c>
      <x:c r="F94" s="81" t="str">
        <x:v>            └─ AR-L1-OL-ActiveWarmClass-010</x:v>
      </x:c>
      <x:c r="G94" s="81" t="str">
        <x:v>活跃 KV 与热 KV 分层驻留</x:v>
      </x:c>
      <x:c r="H94" s="81" t="n">
        <x:v>1</x:v>
      </x:c>
      <x:c r="I94" s="81" t="str">
        <x:v>L1 推理调度层</x:v>
      </x:c>
      <x:c r="J94" s="81" t="str">
        <x:v>L1-OL-ActiveWarmClass-010</x:v>
      </x:c>
    </x:row>
    <x:row r="95" ht="15" hidden="0" customHeight="1">
      <x:c r="A95" s="81" t="str">
        <x:v>SF-03/IR-03-02/SR-03-02-02/045</x:v>
      </x:c>
      <x:c r="B95" s="81" t="n">
        <x:v>4</x:v>
      </x:c>
      <x:c r="C95" s="81" t="str">
        <x:v>AR</x:v>
      </x:c>
      <x:c r="D95" s="81" t="str">
        <x:v>AR-L3-MS-Tiering-038</x:v>
      </x:c>
      <x:c r="E95" s="81" t="str">
        <x:v>SR-03-02-02</x:v>
      </x:c>
      <x:c r="F95" s="81" t="str">
        <x:v>            └─ AR-L3-MS-Tiering-038</x:v>
      </x:c>
      <x:c r="G95" s="81" t="str">
        <x:v>KV 热存储容量扩展</x:v>
      </x:c>
      <x:c r="H95" s="81" t="n">
        <x:v>1</x:v>
      </x:c>
      <x:c r="I95" s="81" t="str">
        <x:v>L3 传输管理层</x:v>
      </x:c>
      <x:c r="J95" s="81" t="str">
        <x:v>L3-MS-Tiering-038</x:v>
      </x:c>
    </x:row>
    <x:row r="96" ht="15" hidden="0" customHeight="1">
      <x:c r="A96" s="81" t="str">
        <x:v>SF-03/IR-03-02/SR-03-02-02/046</x:v>
      </x:c>
      <x:c r="B96" s="81" t="n">
        <x:v>4</x:v>
      </x:c>
      <x:c r="C96" s="81" t="str">
        <x:v>AR</x:v>
      </x:c>
      <x:c r="D96" s="81" t="str">
        <x:v>AR-L3-MC-HIER-STORE-002</x:v>
      </x:c>
      <x:c r="E96" s="81" t="str">
        <x:v>SR-03-02-02</x:v>
      </x:c>
      <x:c r="F96" s="81" t="str">
        <x:v>            └─ AR-L3-MC-HIER-STORE-002</x:v>
      </x:c>
      <x:c r="G96" s="81" t="str">
        <x:v>DDR 成本受限、SSD 容量主力、热点 KV 与远端 DDR 加速</x:v>
      </x:c>
      <x:c r="H96" s="81" t="n">
        <x:v>1</x:v>
      </x:c>
      <x:c r="I96" s="81" t="str">
        <x:v>L3 传输管理层</x:v>
      </x:c>
      <x:c r="J96" s="81" t="str">
        <x:v>L3-MC-HIER-STORE-002</x:v>
      </x:c>
    </x:row>
    <x:row r="97" ht="15" hidden="0" customHeight="1">
      <x:c r="A97" s="81" t="str">
        <x:v>SF-03/IR-03-02/SR-03-02-02/110</x:v>
      </x:c>
      <x:c r="B97" s="81" t="n">
        <x:v>4</x:v>
      </x:c>
      <x:c r="C97" s="81" t="str">
        <x:v>AR</x:v>
      </x:c>
      <x:c r="D97" s="81" t="str">
        <x:v>AR-L3-SE-TierBypassPolicy-091</x:v>
      </x:c>
      <x:c r="E97" s="81" t="str">
        <x:v>SR-03-02-02</x:v>
      </x:c>
      <x:c r="F97" s="81" t="str">
        <x:v>            └─ AR-L3-SE-TierBypassPolicy-091</x:v>
      </x:c>
      <x:c r="G97" s="81" t="str">
        <x:v>DDR成本约束、SSD容量主路径、异构路径动态选择</x:v>
      </x:c>
      <x:c r="H97" s="81" t="n">
        <x:v>1</x:v>
      </x:c>
      <x:c r="I97" s="81" t="str">
        <x:v>L3 传输管理层</x:v>
      </x:c>
      <x:c r="J97" s="81" t="str">
        <x:v>L3-SE-TierBypassPolicy-091</x:v>
      </x:c>
    </x:row>
    <x:row r="98" ht="15" hidden="0" customHeight="1">
      <x:c r="A98" s="81" t="str">
        <x:v>SF-03/IR-03-02/SR-03-02-02/111</x:v>
      </x:c>
      <x:c r="B98" s="81" t="n">
        <x:v>4</x:v>
      </x:c>
      <x:c r="C98" s="81" t="str">
        <x:v>AR</x:v>
      </x:c>
      <x:c r="D98" s="81" t="str">
        <x:v>AR-L3-MS-DDRRolePolicy-092</x:v>
      </x:c>
      <x:c r="E98" s="81" t="str">
        <x:v>SR-03-02-02</x:v>
      </x:c>
      <x:c r="F98" s="81" t="str">
        <x:v>            └─ AR-L3-MS-DDRRolePolicy-092</x:v>
      </x:c>
      <x:c r="G98" s="81" t="str">
        <x:v>热点 KV、远端低时延容量、预取与SSD尾时延屏蔽</x:v>
      </x:c>
      <x:c r="H98" s="81" t="n">
        <x:v>1</x:v>
      </x:c>
      <x:c r="I98" s="81" t="str">
        <x:v>L3 传输管理层</x:v>
      </x:c>
      <x:c r="J98" s="81" t="str">
        <x:v>L3-MS-DDRRolePolicy-092</x:v>
      </x:c>
    </x:row>
    <x:row r="99" ht="15" hidden="0" customHeight="1">
      <x:c r="A99" s="72" t="str">
        <x:v>SF-03/IR-03-03</x:v>
      </x:c>
      <x:c r="B99" s="72" t="n">
        <x:v>2</x:v>
      </x:c>
      <x:c r="C99" s="72" t="str">
        <x:v>IR</x:v>
      </x:c>
      <x:c r="D99" s="72" t="str">
        <x:v>IR-03-03</x:v>
      </x:c>
      <x:c r="E99" s="72" t="str">
        <x:v>SF-03</x:v>
      </x:c>
      <x:c r="F99" s="72" t="str">
        <x:v>    ├─ IR-03-03 生命周期、放置、淘汰与迁移</x:v>
      </x:c>
      <x:c r="G99" s="72" t="str">
        <x:v>KV对象需在长稳运行中安全分配、迁移、紧凑、淘汰和回收。</x:v>
      </x:c>
      <x:c r="H99" s="72" t="n">
        <x:f>COUNTIF('AR全量追溯'!$E$5:$E$148,D99)</x:f>
        <x:v>12</x:v>
      </x:c>
      <x:c r="I99" s="72" t="str">
        <x:v>L1/L2/L3</x:v>
      </x:c>
      <x:c r="J99" s="72" t="str">
        <x:v>本版定义</x:v>
      </x:c>
    </x:row>
    <x:row r="100" ht="24" hidden="0" customHeight="1">
      <x:c r="A100" s="76" t="str">
        <x:v>SF-03/IR-03-03/SR-03-03-01</x:v>
      </x:c>
      <x:c r="B100" s="76" t="n">
        <x:v>3</x:v>
      </x:c>
      <x:c r="C100" s="76" t="str">
        <x:v>SR</x:v>
      </x:c>
      <x:c r="D100" s="76" t="str">
        <x:v>SR-03-03-01</x:v>
      </x:c>
      <x:c r="E100" s="76" t="str">
        <x:v>IR-03-03</x:v>
      </x:c>
      <x:c r="F100" s="76" t="str">
        <x:v>        ├─ SR-03-03-01 KV对象状态机、生命周期与状态感知淘汰</x:v>
      </x:c>
      <x:c r="G100" s="76" t="str">
        <x:v>系统应管理对象从创建、发布、驻留、迁移到回收的完整状态。</x:v>
      </x:c>
      <x:c r="H100" s="76" t="n">
        <x:f>COUNTIF('AR全量追溯'!$G$5:$G$148,D100)</x:f>
        <x:v>3</x:v>
      </x:c>
      <x:c r="I100" s="76" t="str">
        <x:v>L3</x:v>
      </x:c>
      <x:c r="J100" s="76" t="str">
        <x:v>本版定义</x:v>
      </x:c>
    </x:row>
    <x:row r="101" ht="15" hidden="0" customHeight="1">
      <x:c r="A101" s="81" t="str">
        <x:v>SF-03/IR-03-03/SR-03-03-01/076</x:v>
      </x:c>
      <x:c r="B101" s="81" t="n">
        <x:v>4</x:v>
      </x:c>
      <x:c r="C101" s="81" t="str">
        <x:v>AR</x:v>
      </x:c>
      <x:c r="D101" s="81" t="str">
        <x:v>AR-L3-MS-KVObjectStateMachine-058</x:v>
      </x:c>
      <x:c r="E101" s="81" t="str">
        <x:v>SR-03-03-01</x:v>
      </x:c>
      <x:c r="F101" s="81" t="str">
        <x:v>            └─ AR-L3-MS-KVObjectStateMachine-058</x:v>
      </x:c>
      <x:c r="G101" s="81" t="str">
        <x:v>KV 全生命周期状态一致性管理</x:v>
      </x:c>
      <x:c r="H101" s="81" t="n">
        <x:v>1</x:v>
      </x:c>
      <x:c r="I101" s="81" t="str">
        <x:v>L3 传输管理层</x:v>
      </x:c>
      <x:c r="J101" s="81" t="str">
        <x:v>L3-MS-KVObjectStateMachine-058</x:v>
      </x:c>
    </x:row>
    <x:row r="102" ht="15" hidden="0" customHeight="1">
      <x:c r="A102" s="81" t="str">
        <x:v>SF-03/IR-03-03/SR-03-03-01/100</x:v>
      </x:c>
      <x:c r="B102" s="81" t="n">
        <x:v>4</x:v>
      </x:c>
      <x:c r="C102" s="81" t="str">
        <x:v>AR</x:v>
      </x:c>
      <x:c r="D102" s="81" t="str">
        <x:v>AR-L3-MS-StateAwareEviction-082</x:v>
      </x:c>
      <x:c r="E102" s="81" t="str">
        <x:v>SR-03-03-01</x:v>
      </x:c>
      <x:c r="F102" s="81" t="str">
        <x:v>            └─ AR-L3-MS-StateAwareEviction-082</x:v>
      </x:c>
      <x:c r="G102" s="81" t="str">
        <x:v>防止活跃 KV 被误淘汰</x:v>
      </x:c>
      <x:c r="H102" s="81" t="n">
        <x:v>1</x:v>
      </x:c>
      <x:c r="I102" s="81" t="str">
        <x:v>L3 传输管理层</x:v>
      </x:c>
      <x:c r="J102" s="81" t="str">
        <x:v>L3-MS-StateAwareEviction-082</x:v>
      </x:c>
    </x:row>
    <x:row r="103" ht="15" hidden="0" customHeight="1">
      <x:c r="A103" s="81" t="str">
        <x:v>SF-03/IR-03-03/SR-03-03-01/108</x:v>
      </x:c>
      <x:c r="B103" s="81" t="n">
        <x:v>4</x:v>
      </x:c>
      <x:c r="C103" s="81" t="str">
        <x:v>AR</x:v>
      </x:c>
      <x:c r="D103" s="81" t="str">
        <x:v>AR-L3-MM-Lifecycle-009</x:v>
      </x:c>
      <x:c r="E103" s="81" t="str">
        <x:v>SR-03-03-01</x:v>
      </x:c>
      <x:c r="F103" s="81" t="str">
        <x:v>            └─ AR-L3-MM-Lifecycle-009</x:v>
      </x:c>
      <x:c r="G103" s="81" t="str">
        <x:v>KVCache 生命周期一致性管理</x:v>
      </x:c>
      <x:c r="H103" s="81" t="n">
        <x:v>1</x:v>
      </x:c>
      <x:c r="I103" s="81" t="str">
        <x:v>L3 传输管理层</x:v>
      </x:c>
      <x:c r="J103" s="81" t="str">
        <x:v>L3-MM-Lifecycle-009</x:v>
      </x:c>
    </x:row>
    <x:row r="104" ht="24" hidden="0" customHeight="1">
      <x:c r="A104" s="76" t="str">
        <x:v>SF-03/IR-03-03/SR-03-03-02</x:v>
      </x:c>
      <x:c r="B104" s="76" t="n">
        <x:v>3</x:v>
      </x:c>
      <x:c r="C104" s="76" t="str">
        <x:v>SR</x:v>
      </x:c>
      <x:c r="D104" s="76" t="str">
        <x:v>SR-03-03-02</x:v>
      </x:c>
      <x:c r="E104" s="76" t="str">
        <x:v>IR-03-03</x:v>
      </x:c>
      <x:c r="F104" s="76" t="str">
        <x:v>        ├─ SR-03-03-02 成本淘汰、命中质量与Placement Resolver</x:v>
      </x:c>
      <x:c r="G104" s="76" t="str">
        <x:v>系统应结合复用价值、加载成本、介质水位和拓扑决定保留、迁移或淘汰。</x:v>
      </x:c>
      <x:c r="H104" s="76" t="n">
        <x:f>COUNTIF('AR全量追溯'!$G$5:$G$148,D104)</x:f>
        <x:v>3</x:v>
      </x:c>
      <x:c r="I104" s="76" t="str">
        <x:v>L3</x:v>
      </x:c>
      <x:c r="J104" s="76" t="str">
        <x:v>本版定义</x:v>
      </x:c>
    </x:row>
    <x:row r="105" ht="15" hidden="0" customHeight="1">
      <x:c r="A105" s="81" t="str">
        <x:v>SF-03/IR-03-03/SR-03-03-02/047</x:v>
      </x:c>
      <x:c r="B105" s="81" t="n">
        <x:v>4</x:v>
      </x:c>
      <x:c r="C105" s="81" t="str">
        <x:v>AR</x:v>
      </x:c>
      <x:c r="D105" s="81" t="str">
        <x:v>AR-L3-MS-CostEviction-039</x:v>
      </x:c>
      <x:c r="E105" s="81" t="str">
        <x:v>SR-03-03-02</x:v>
      </x:c>
      <x:c r="F105" s="81" t="str">
        <x:v>            └─ AR-L3-MS-CostEviction-039</x:v>
      </x:c>
      <x:c r="G105" s="81" t="str">
        <x:v>KVCache 成本感知淘汰与降级</x:v>
      </x:c>
      <x:c r="H105" s="81" t="n">
        <x:v>1</x:v>
      </x:c>
      <x:c r="I105" s="81" t="str">
        <x:v>L3 传输管理层</x:v>
      </x:c>
      <x:c r="J105" s="81" t="str">
        <x:v>L3-MS-CostEviction-039</x:v>
      </x:c>
    </x:row>
    <x:row r="106" ht="15" hidden="0" customHeight="1">
      <x:c r="A106" s="81" t="str">
        <x:v>SF-03/IR-03-03/SR-03-03-02/055</x:v>
      </x:c>
      <x:c r="B106" s="81" t="n">
        <x:v>4</x:v>
      </x:c>
      <x:c r="C106" s="81" t="str">
        <x:v>AR</x:v>
      </x:c>
      <x:c r="D106" s="81" t="str">
        <x:v>AR-L3-PM-HitQuality-023</x:v>
      </x:c>
      <x:c r="E106" s="81" t="str">
        <x:v>SR-03-03-02</x:v>
      </x:c>
      <x:c r="F106" s="81" t="str">
        <x:v>            └─ AR-L3-PM-HitQuality-023</x:v>
      </x:c>
      <x:c r="G106" s="81" t="str">
        <x:v>命中 KV 加载价值评估</x:v>
      </x:c>
      <x:c r="H106" s="81" t="n">
        <x:v>1</x:v>
      </x:c>
      <x:c r="I106" s="81" t="str">
        <x:v>L3 传输管理层</x:v>
      </x:c>
      <x:c r="J106" s="81" t="str">
        <x:v>L3-PM-HitQuality-023</x:v>
      </x:c>
    </x:row>
    <x:row r="107" ht="15" hidden="0" customHeight="1">
      <x:c r="A107" s="81" t="str">
        <x:v>SF-03/IR-03-03/SR-03-03-02/079</x:v>
      </x:c>
      <x:c r="B107" s="81" t="n">
        <x:v>4</x:v>
      </x:c>
      <x:c r="C107" s="81" t="str">
        <x:v>AR</x:v>
      </x:c>
      <x:c r="D107" s="81" t="str">
        <x:v>AR-L3-SE-PlacementResolver-061</x:v>
      </x:c>
      <x:c r="E107" s="81" t="str">
        <x:v>SR-03-03-02</x:v>
      </x:c>
      <x:c r="F107" s="81" t="str">
        <x:v>            └─ AR-L3-SE-PlacementResolver-061</x:v>
      </x:c>
      <x:c r="G107" s="81" t="str">
        <x:v>多位置 KV 副本的最优读取源选择</x:v>
      </x:c>
      <x:c r="H107" s="81" t="n">
        <x:v>1</x:v>
      </x:c>
      <x:c r="I107" s="81" t="str">
        <x:v>L3 传输管理层</x:v>
      </x:c>
      <x:c r="J107" s="81" t="str">
        <x:v>L3-SE-PlacementResolver-061</x:v>
      </x:c>
    </x:row>
    <x:row r="108" ht="15" hidden="0" customHeight="1">
      <x:c r="A108" s="76" t="str">
        <x:v>SF-03/IR-03-03/SR-03-03-03</x:v>
      </x:c>
      <x:c r="B108" s="76" t="n">
        <x:v>3</x:v>
      </x:c>
      <x:c r="C108" s="76" t="str">
        <x:v>SR</x:v>
      </x:c>
      <x:c r="D108" s="76" t="str">
        <x:v>SR-03-03-03</x:v>
      </x:c>
      <x:c r="E108" s="76" t="str">
        <x:v>IR-03-03</x:v>
      </x:c>
      <x:c r="F108" s="76" t="str">
        <x:v>        ├─ SR-03-03-03 Compaction、智能迁移与互锁</x:v>
      </x:c>
      <x:c r="G108" s="76" t="str">
        <x:v>系统应在不中断活动消费的条件下完成碎片整理和跨介质迁移。</x:v>
      </x:c>
      <x:c r="H108" s="76" t="n">
        <x:f>COUNTIF('AR全量追溯'!$G$5:$G$148,D108)</x:f>
        <x:v>6</x:v>
      </x:c>
      <x:c r="I108" s="76" t="str">
        <x:v>L1/L2/L3</x:v>
      </x:c>
      <x:c r="J108" s="76" t="str">
        <x:v>本版定义</x:v>
      </x:c>
    </x:row>
    <x:row r="109" ht="15" hidden="0" customHeight="1">
      <x:c r="A109" s="81" t="str">
        <x:v>SF-03/IR-03-03/SR-03-03-03/020</x:v>
      </x:c>
      <x:c r="B109" s="81" t="n">
        <x:v>4</x:v>
      </x:c>
      <x:c r="C109" s="81" t="str">
        <x:v>AR</x:v>
      </x:c>
      <x:c r="D109" s="81" t="str">
        <x:v>AR-L1-MM-DefragAware-023</x:v>
      </x:c>
      <x:c r="E109" s="81" t="str">
        <x:v>SR-03-03-03</x:v>
      </x:c>
      <x:c r="F109" s="81" t="str">
        <x:v>            └─ AR-L1-MM-DefragAware-023</x:v>
      </x:c>
      <x:c r="G109" s="81" t="str">
        <x:v>内存高碎片率推理不中断</x:v>
      </x:c>
      <x:c r="H109" s="81" t="n">
        <x:v>1</x:v>
      </x:c>
      <x:c r="I109" s="81" t="str">
        <x:v>L1 推理调度层</x:v>
      </x:c>
      <x:c r="J109" s="81" t="str">
        <x:v>L1-MM-DefragAware-023</x:v>
      </x:c>
    </x:row>
    <x:row r="110" ht="15" hidden="0" customHeight="1">
      <x:c r="A110" s="81" t="str">
        <x:v>SF-03/IR-03-03/SR-03-03-03/033</x:v>
      </x:c>
      <x:c r="B110" s="81" t="n">
        <x:v>4</x:v>
      </x:c>
      <x:c r="C110" s="81" t="str">
        <x:v>AR</x:v>
      </x:c>
      <x:c r="D110" s="81" t="str">
        <x:v>AR-L2-CONN-DefragPause-031</x:v>
      </x:c>
      <x:c r="E110" s="81" t="str">
        <x:v>SR-03-03-03</x:v>
      </x:c>
      <x:c r="F110" s="81" t="str">
        <x:v>            └─ AR-L2-CONN-DefragPause-031</x:v>
      </x:c>
      <x:c r="G110" s="81" t="str">
        <x:v>活跃租约下内存无感整理</x:v>
      </x:c>
      <x:c r="H110" s="81" t="n">
        <x:v>1</x:v>
      </x:c>
      <x:c r="I110" s="81" t="str">
        <x:v>L2 KVConnector层</x:v>
      </x:c>
      <x:c r="J110" s="81" t="str">
        <x:v>L2-CONN-DefragPause-031</x:v>
      </x:c>
    </x:row>
    <x:row r="111" ht="15" hidden="0" customHeight="1">
      <x:c r="A111" s="81" t="str">
        <x:v>SF-03/IR-03-03/SR-03-03-03/074</x:v>
      </x:c>
      <x:c r="B111" s="81" t="n">
        <x:v>4</x:v>
      </x:c>
      <x:c r="C111" s="81" t="str">
        <x:v>AR</x:v>
      </x:c>
      <x:c r="D111" s="81" t="str">
        <x:v>AR-L3-MC-CompactionEngine-056</x:v>
      </x:c>
      <x:c r="E111" s="81" t="str">
        <x:v>SR-03-03-03</x:v>
      </x:c>
      <x:c r="F111" s="81" t="str">
        <x:v>            └─ AR-L3-MC-CompactionEngine-056</x:v>
      </x:c>
      <x:c r="G111" s="81" t="str">
        <x:v>长周期运行内存紧凑整理</x:v>
      </x:c>
      <x:c r="H111" s="81" t="n">
        <x:v>1</x:v>
      </x:c>
      <x:c r="I111" s="81" t="str">
        <x:v>L3 传输管理层</x:v>
      </x:c>
      <x:c r="J111" s="81" t="str">
        <x:v>L3-MC-CompactionEngine-056</x:v>
      </x:c>
    </x:row>
    <x:row r="112" ht="15" hidden="0" customHeight="1">
      <x:c r="A112" s="81" t="str">
        <x:v>SF-03/IR-03-03/SR-03-03-03/075</x:v>
      </x:c>
      <x:c r="B112" s="81" t="n">
        <x:v>4</x:v>
      </x:c>
      <x:c r="C112" s="81" t="str">
        <x:v>AR</x:v>
      </x:c>
      <x:c r="D112" s="81" t="str">
        <x:v>AR-L3-MC-IntelligentMigration-057</x:v>
      </x:c>
      <x:c r="E112" s="81" t="str">
        <x:v>SR-03-03-03</x:v>
      </x:c>
      <x:c r="F112" s="81" t="str">
        <x:v>            └─ AR-L3-MC-IntelligentMigration-057</x:v>
      </x:c>
      <x:c r="G112" s="81" t="str">
        <x:v>跨异构介质智能主动搬移</x:v>
      </x:c>
      <x:c r="H112" s="81" t="n">
        <x:v>1</x:v>
      </x:c>
      <x:c r="I112" s="81" t="str">
        <x:v>L3 传输管理层</x:v>
      </x:c>
      <x:c r="J112" s="81" t="str">
        <x:v>L3-MC-IntelligentMigration-057</x:v>
      </x:c>
    </x:row>
    <x:row r="113" ht="15" hidden="0" customHeight="1">
      <x:c r="A113" s="81" t="str">
        <x:v>SF-03/IR-03-03/SR-03-03-03/080</x:v>
      </x:c>
      <x:c r="B113" s="81" t="n">
        <x:v>4</x:v>
      </x:c>
      <x:c r="C113" s="81" t="str">
        <x:v>AR</x:v>
      </x:c>
      <x:c r="D113" s="81" t="str">
        <x:v>AR-L3-MS-MigrationInterlock-062</x:v>
      </x:c>
      <x:c r="E113" s="81" t="str">
        <x:v>SR-03-03-03</x:v>
      </x:c>
      <x:c r="F113" s="81" t="str">
        <x:v>            └─ AR-L3-MS-MigrationInterlock-062</x:v>
      </x:c>
      <x:c r="G113" s="81" t="str">
        <x:v>KV 升降级/碎片整理期间的安全消费</x:v>
      </x:c>
      <x:c r="H113" s="81" t="n">
        <x:v>1</x:v>
      </x:c>
      <x:c r="I113" s="81" t="str">
        <x:v>L3 传输管理层</x:v>
      </x:c>
      <x:c r="J113" s="81" t="str">
        <x:v>L3-MS-MigrationInterlock-062</x:v>
      </x:c>
    </x:row>
    <x:row r="114" ht="15" hidden="0" customHeight="1">
      <x:c r="A114" s="81" t="str">
        <x:v>SF-03/IR-03-03/SR-03-03-03/107</x:v>
      </x:c>
      <x:c r="B114" s="81" t="n">
        <x:v>4</x:v>
      </x:c>
      <x:c r="C114" s="81" t="str">
        <x:v>AR</x:v>
      </x:c>
      <x:c r="D114" s="81" t="str">
        <x:v>AR-L3-CO-MigrationRCULock-090</x:v>
      </x:c>
      <x:c r="E114" s="81" t="str">
        <x:v>SR-03-03-03</x:v>
      </x:c>
      <x:c r="F114" s="81" t="str">
        <x:v>            └─ AR-L3-CO-MigrationRCULock-090</x:v>
      </x:c>
      <x:c r="G114" s="81" t="str">
        <x:v>动态升降级与碎片整理期间的并发无感消费</x:v>
      </x:c>
      <x:c r="H114" s="81" t="n">
        <x:v>1</x:v>
      </x:c>
      <x:c r="I114" s="81" t="str">
        <x:v>L3 传输管理层</x:v>
      </x:c>
      <x:c r="J114" s="81" t="str">
        <x:v>L3-CO-MigrationRCULock-090</x:v>
      </x:c>
    </x:row>
    <x:row r="115" ht="24" hidden="0" customHeight="1">
      <x:c r="A115" s="68" t="str">
        <x:v>SF-04</x:v>
      </x:c>
      <x:c r="B115" s="68" t="n">
        <x:v>1</x:v>
      </x:c>
      <x:c r="C115" s="68" t="str">
        <x:v>SF</x:v>
      </x:c>
      <x:c r="D115" s="68" t="str">
        <x:v>SF-04</x:v>
      </x:c>
      <x:c r="E115" s="68" t="str">
        <x:v>ROOT</x:v>
      </x:c>
      <x:c r="F115" s="68" t="str">
        <x:v>● SF-04 传输创新底座与多介质数据路径</x:v>
      </x:c>
      <x:c r="G115" s="68" t="str">
        <x:v>以UBMEM内存语义、URMA/RDMA传输语义、Direct Storage及设备能力实现可择路、低Host参与的数据面。</x:v>
      </x:c>
      <x:c r="H115" s="68" t="n">
        <x:f>COUNTIF('AR全量追溯'!$C$5:$C$148,D115)</x:f>
        <x:v>37</x:v>
      </x:c>
      <x:c r="I115" s="68" t="str">
        <x:v>L3/L4</x:v>
      </x:c>
      <x:c r="J115" s="68" t="str">
        <x:v>本版定义</x:v>
      </x:c>
    </x:row>
    <x:row r="116" ht="15" hidden="0" customHeight="1">
      <x:c r="A116" s="72" t="str">
        <x:v>SF-04/IR-04-01</x:v>
      </x:c>
      <x:c r="B116" s="72" t="n">
        <x:v>2</x:v>
      </x:c>
      <x:c r="C116" s="72" t="str">
        <x:v>IR</x:v>
      </x:c>
      <x:c r="D116" s="72" t="str">
        <x:v>IR-04-01</x:v>
      </x:c>
      <x:c r="E116" s="72" t="str">
        <x:v>SF-04</x:v>
      </x:c>
      <x:c r="F116" s="72" t="str">
        <x:v>    ├─ IR-04-01 能力抽象、路径探测与描述符编译</x:v>
      </x:c>
      <x:c r="G116" s="72" t="str">
        <x:v>系统需统一表达不同内存/传输/存储路径的能力、限制、完成和错误语义。</x:v>
      </x:c>
      <x:c r="H116" s="72" t="n">
        <x:f>COUNTIF('AR全量追溯'!$E$5:$E$148,D116)</x:f>
        <x:v>11</x:v>
      </x:c>
      <x:c r="I116" s="72" t="str">
        <x:v>L2/L3/L4</x:v>
      </x:c>
      <x:c r="J116" s="72" t="str">
        <x:v>本版定义</x:v>
      </x:c>
    </x:row>
    <x:row r="117" ht="15" hidden="0" customHeight="1">
      <x:c r="A117" s="76" t="str">
        <x:v>SF-04/IR-04-01/SR-04-01-01</x:v>
      </x:c>
      <x:c r="B117" s="76" t="n">
        <x:v>3</x:v>
      </x:c>
      <x:c r="C117" s="76" t="str">
        <x:v>SR</x:v>
      </x:c>
      <x:c r="D117" s="76" t="str">
        <x:v>SR-04-01-01</x:v>
      </x:c>
      <x:c r="E117" s="76" t="str">
        <x:v>IR-04-01</x:v>
      </x:c>
      <x:c r="F117" s="76" t="str">
        <x:v>        ├─ SR-04-01-01 传输Capability与语义抽象</x:v>
      </x:c>
      <x:c r="G117" s="76" t="str">
        <x:v>系统应统一表达不同平台的带宽、时延、注册、完成、fence、错误和fallback能力。</x:v>
      </x:c>
      <x:c r="H117" s="76" t="n">
        <x:f>COUNTIF('AR全量追溯'!$G$5:$G$148,D117)</x:f>
        <x:v>3</x:v>
      </x:c>
      <x:c r="I117" s="76" t="str">
        <x:v>L3/L4</x:v>
      </x:c>
      <x:c r="J117" s="76" t="str">
        <x:v>本版定义</x:v>
      </x:c>
    </x:row>
    <x:row r="118" ht="15" hidden="0" customHeight="1">
      <x:c r="A118" s="81" t="str">
        <x:v>SF-04/IR-04-01/SR-04-01-01/058</x:v>
      </x:c>
      <x:c r="B118" s="81" t="n">
        <x:v>4</x:v>
      </x:c>
      <x:c r="C118" s="81" t="str">
        <x:v>AR</x:v>
      </x:c>
      <x:c r="D118" s="81" t="str">
        <x:v>AR-L3-TRANS-CAP-API-002</x:v>
      </x:c>
      <x:c r="E118" s="81" t="str">
        <x:v>SR-04-01-01</x:v>
      </x:c>
      <x:c r="F118" s="81" t="str">
        <x:v>            └─ AR-L3-TRANS-CAP-API-002</x:v>
      </x:c>
      <x:c r="G118" s="81" t="str">
        <x:v>平台无关能力感知</x:v>
      </x:c>
      <x:c r="H118" s="81" t="n">
        <x:v>1</x:v>
      </x:c>
      <x:c r="I118" s="81" t="str">
        <x:v>L3 传输管理层</x:v>
      </x:c>
      <x:c r="J118" s="81" t="str">
        <x:v>L3-TRANS-CAP-API-002</x:v>
      </x:c>
    </x:row>
    <x:row r="119" ht="15" hidden="0" customHeight="1">
      <x:c r="A119" s="81" t="str">
        <x:v>SF-04/IR-04-01/SR-04-01-01/059</x:v>
      </x:c>
      <x:c r="B119" s="81" t="n">
        <x:v>4</x:v>
      </x:c>
      <x:c r="C119" s="81" t="str">
        <x:v>AR</x:v>
      </x:c>
      <x:c r="D119" s="81" t="str">
        <x:v>AR-L3-TRANS-SEM-ENGINE-001</x:v>
      </x:c>
      <x:c r="E119" s="81" t="str">
        <x:v>SR-04-01-01</x:v>
      </x:c>
      <x:c r="F119" s="81" t="str">
        <x:v>            └─ AR-L3-TRANS-SEM-ENGINE-001</x:v>
      </x:c>
      <x:c r="G119" s="81" t="str">
        <x:v>多平台统一传输管理</x:v>
      </x:c>
      <x:c r="H119" s="81" t="n">
        <x:v>1</x:v>
      </x:c>
      <x:c r="I119" s="81" t="str">
        <x:v>L3 传输管理层</x:v>
      </x:c>
      <x:c r="J119" s="81" t="str">
        <x:v>L3-TRANS-SEM-ENGINE-001</x:v>
      </x:c>
    </x:row>
    <x:row r="120" ht="15" hidden="0" customHeight="1">
      <x:c r="A120" s="81" t="str">
        <x:v>SF-04/IR-04-01/SR-04-01-01/123</x:v>
      </x:c>
      <x:c r="B120" s="81" t="n">
        <x:v>4</x:v>
      </x:c>
      <x:c r="C120" s="81" t="str">
        <x:v>AR</x:v>
      </x:c>
      <x:c r="D120" s="81" t="str">
        <x:v>AR-L4-HW-SemCapTable-050</x:v>
      </x:c>
      <x:c r="E120" s="81" t="str">
        <x:v>SR-04-01-01</x:v>
      </x:c>
      <x:c r="F120" s="81" t="str">
        <x:v>            └─ AR-L4-HW-SemCapTable-050</x:v>
      </x:c>
      <x:c r="G120" s="81" t="str">
        <x:v>异构 KV 传输硬件能力建模</x:v>
      </x:c>
      <x:c r="H120" s="81" t="n">
        <x:v>1</x:v>
      </x:c>
      <x:c r="I120" s="81" t="str">
        <x:v>L4 底层传输层</x:v>
      </x:c>
      <x:c r="J120" s="81" t="str">
        <x:v>L4-HW-SemCapTable-050</x:v>
      </x:c>
    </x:row>
    <x:row r="121" ht="24" hidden="0" customHeight="1">
      <x:c r="A121" s="76" t="str">
        <x:v>SF-04/IR-04-01/SR-04-01-02</x:v>
      </x:c>
      <x:c r="B121" s="76" t="n">
        <x:v>3</x:v>
      </x:c>
      <x:c r="C121" s="76" t="str">
        <x:v>SR</x:v>
      </x:c>
      <x:c r="D121" s="76" t="str">
        <x:v>SR-04-01-02</x:v>
      </x:c>
      <x:c r="E121" s="76" t="str">
        <x:v>IR-04-01</x:v>
      </x:c>
      <x:c r="F121" s="76" t="str">
        <x:v>        ├─ SR-04-01-02 拓扑探测、动态路由与统一Fabric Router</x:v>
      </x:c>
      <x:c r="G121" s="76" t="str">
        <x:v>系统应根据实时路径质量、水位和拓扑选择传输后端。</x:v>
      </x:c>
      <x:c r="H121" s="76" t="n">
        <x:f>COUNTIF('AR全量追溯'!$G$5:$G$148,D121)</x:f>
        <x:v>5</x:v>
      </x:c>
      <x:c r="I121" s="76" t="str">
        <x:v>L2/L3/L4</x:v>
      </x:c>
      <x:c r="J121" s="76" t="str">
        <x:v>本版定义</x:v>
      </x:c>
    </x:row>
    <x:row r="122" ht="15" hidden="0" customHeight="1">
      <x:c r="A122" s="81" t="str">
        <x:v>SF-04/IR-04-01/SR-04-01-02/023</x:v>
      </x:c>
      <x:c r="B122" s="81" t="n">
        <x:v>4</x:v>
      </x:c>
      <x:c r="C122" s="81" t="str">
        <x:v>AR</x:v>
      </x:c>
      <x:c r="D122" s="81" t="str">
        <x:v>AR-L2-CONN-TOPO-ROUTE-002</x:v>
      </x:c>
      <x:c r="E122" s="81" t="str">
        <x:v>SR-04-01-02</x:v>
      </x:c>
      <x:c r="F122" s="81" t="str">
        <x:v>            └─ AR-L2-CONN-TOPO-ROUTE-002</x:v>
      </x:c>
      <x:c r="G122" s="81" t="str">
        <x:v>动态传输路径路由</x:v>
      </x:c>
      <x:c r="H122" s="81" t="n">
        <x:v>1</x:v>
      </x:c>
      <x:c r="I122" s="81" t="str">
        <x:v>L2 KVConnector层</x:v>
      </x:c>
      <x:c r="J122" s="81" t="str">
        <x:v>L2-CONN-TOPO-ROUTE-002</x:v>
      </x:c>
    </x:row>
    <x:row r="123" ht="15" hidden="0" customHeight="1">
      <x:c r="A123" s="81" t="str">
        <x:v>SF-04/IR-04-01/SR-04-01-02/034</x:v>
      </x:c>
      <x:c r="B123" s="81" t="n">
        <x:v>4</x:v>
      </x:c>
      <x:c r="C123" s="81" t="str">
        <x:v>AR</x:v>
      </x:c>
      <x:c r="D123" s="81" t="str">
        <x:v>AR-L2-CONN-WatermarkQuery-032</x:v>
      </x:c>
      <x:c r="E123" s="81" t="str">
        <x:v>SR-04-01-02</x:v>
      </x:c>
      <x:c r="F123" s="81" t="str">
        <x:v>            └─ AR-L2-CONN-WatermarkQuery-032</x:v>
      </x:c>
      <x:c r="G123" s="81" t="str">
        <x:v>动态拓扑水位路径规避</x:v>
      </x:c>
      <x:c r="H123" s="81" t="n">
        <x:v>1</x:v>
      </x:c>
      <x:c r="I123" s="81" t="str">
        <x:v>L2 KVConnector层</x:v>
      </x:c>
      <x:c r="J123" s="81" t="str">
        <x:v>L2-CONN-WatermarkQuery-032</x:v>
      </x:c>
    </x:row>
    <x:row r="124" ht="15" hidden="0" customHeight="1">
      <x:c r="A124" s="81" t="str">
        <x:v>SF-04/IR-04-01/SR-04-01-02/062</x:v>
      </x:c>
      <x:c r="B124" s="81" t="n">
        <x:v>4</x:v>
      </x:c>
      <x:c r="C124" s="81" t="str">
        <x:v>AR</x:v>
      </x:c>
      <x:c r="D124" s="81" t="str">
        <x:v>AR-L3-TRANS-TOPO-SENSE-004</x:v>
      </x:c>
      <x:c r="E124" s="81" t="str">
        <x:v>SR-04-01-02</x:v>
      </x:c>
      <x:c r="F124" s="81" t="str">
        <x:v>            └─ AR-L3-TRANS-TOPO-SENSE-004</x:v>
      </x:c>
      <x:c r="G124" s="81" t="str">
        <x:v>动态传输质量适应</x:v>
      </x:c>
      <x:c r="H124" s="81" t="n">
        <x:v>1</x:v>
      </x:c>
      <x:c r="I124" s="81" t="str">
        <x:v>L3 传输管理层</x:v>
      </x:c>
      <x:c r="J124" s="81" t="str">
        <x:v>L3-TRANS-TOPO-SENSE-004</x:v>
      </x:c>
    </x:row>
    <x:row r="125" ht="15" hidden="0" customHeight="1">
      <x:c r="A125" s="81" t="str">
        <x:v>SF-04/IR-04-01/SR-04-01-02/067</x:v>
      </x:c>
      <x:c r="B125" s="81" t="n">
        <x:v>4</x:v>
      </x:c>
      <x:c r="C125" s="81" t="str">
        <x:v>AR</x:v>
      </x:c>
      <x:c r="D125" s="81" t="str">
        <x:v>AR-L3-UB-TOPO-ROUTE-001</x:v>
      </x:c>
      <x:c r="E125" s="81" t="str">
        <x:v>SR-04-01-02</x:v>
      </x:c>
      <x:c r="F125" s="81" t="str">
        <x:v>            └─ AR-L3-UB-TOPO-ROUTE-001</x:v>
      </x:c>
      <x:c r="G125" s="81" t="str">
        <x:v>机内NPU KVCache P2P高速传输</x:v>
      </x:c>
      <x:c r="H125" s="81" t="n">
        <x:v>1</x:v>
      </x:c>
      <x:c r="I125" s="81" t="str">
        <x:v>L3 传输管理层</x:v>
      </x:c>
      <x:c r="J125" s="81" t="str">
        <x:v>L3-UB-TOPO-ROUTE-001</x:v>
      </x:c>
    </x:row>
    <x:row r="126" ht="15" hidden="0" customHeight="1">
      <x:c r="A126" s="81" t="str">
        <x:v>SF-04/IR-04-01/SR-04-01-02/122</x:v>
      </x:c>
      <x:c r="B126" s="81" t="n">
        <x:v>4</x:v>
      </x:c>
      <x:c r="C126" s="81" t="str">
        <x:v>AR</x:v>
      </x:c>
      <x:c r="D126" s="81" t="str">
        <x:v>AR-L4-FABRIC-ROUTER-001</x:v>
      </x:c>
      <x:c r="E126" s="81" t="str">
        <x:v>SR-04-01-02</x:v>
      </x:c>
      <x:c r="F126" s="81" t="str">
        <x:v>            └─ AR-L4-FABRIC-ROUTER-001</x:v>
      </x:c>
      <x:c r="G126" s="81" t="str">
        <x:v>多语义底层传输统一路由</x:v>
      </x:c>
      <x:c r="H126" s="81" t="n">
        <x:v>1</x:v>
      </x:c>
      <x:c r="I126" s="81" t="str">
        <x:v>L4 底层传输层</x:v>
      </x:c>
      <x:c r="J126" s="81" t="str">
        <x:v>L4-FABRIC-ROUTER-001</x:v>
      </x:c>
    </x:row>
    <x:row r="127" ht="15" hidden="0" customHeight="1">
      <x:c r="A127" s="76" t="str">
        <x:v>SF-04/IR-04-01/SR-04-01-03</x:v>
      </x:c>
      <x:c r="B127" s="76" t="n">
        <x:v>3</x:v>
      </x:c>
      <x:c r="C127" s="76" t="str">
        <x:v>SR</x:v>
      </x:c>
      <x:c r="D127" s="76" t="str">
        <x:v>SR-04-01-03</x:v>
      </x:c>
      <x:c r="E127" s="76" t="str">
        <x:v>IR-04-01</x:v>
      </x:c>
      <x:c r="F127" s="76" t="str">
        <x:v>        ├─ SR-04-01-03 统一Descriptor、粒度分流与批量描述</x:v>
      </x:c>
      <x:c r="G127" s="76" t="str">
        <x:v>系统应把元数据/数据、离散页和批量任务编译为适配底层队列的descriptor。</x:v>
      </x:c>
      <x:c r="H127" s="76" t="n">
        <x:f>COUNTIF('AR全量追溯'!$G$5:$G$148,D127)</x:f>
        <x:v>3</x:v>
      </x:c>
      <x:c r="I127" s="76" t="str">
        <x:v>L2/L3</x:v>
      </x:c>
      <x:c r="J127" s="76" t="str">
        <x:v>本版定义</x:v>
      </x:c>
    </x:row>
    <x:row r="128" ht="15" hidden="0" customHeight="1">
      <x:c r="A128" s="81" t="str">
        <x:v>SF-04/IR-04-01/SR-04-01-03/027</x:v>
      </x:c>
      <x:c r="B128" s="81" t="n">
        <x:v>4</x:v>
      </x:c>
      <x:c r="C128" s="81" t="str">
        <x:v>AR</x:v>
      </x:c>
      <x:c r="D128" s="81" t="str">
        <x:v>AR-L2-OL-BulkDescriptor-025</x:v>
      </x:c>
      <x:c r="E128" s="81" t="str">
        <x:v>SR-04-01-03</x:v>
      </x:c>
      <x:c r="F128" s="81" t="str">
        <x:v>            └─ AR-L2-OL-BulkDescriptor-025</x:v>
      </x:c>
      <x:c r="G128" s="81" t="str">
        <x:v>KVCache 批量卸载与批量加载</x:v>
      </x:c>
      <x:c r="H128" s="81" t="n">
        <x:v>1</x:v>
      </x:c>
      <x:c r="I128" s="81" t="str">
        <x:v>L2 KVConnector层</x:v>
      </x:c>
      <x:c r="J128" s="81" t="str">
        <x:v>L2-OL-BulkDescriptor-025</x:v>
      </x:c>
    </x:row>
    <x:row r="129" ht="15" hidden="0" customHeight="1">
      <x:c r="A129" s="81" t="str">
        <x:v>SF-04/IR-04-01/SR-04-01-03/057</x:v>
      </x:c>
      <x:c r="B129" s="81" t="n">
        <x:v>4</x:v>
      </x:c>
      <x:c r="C129" s="81" t="str">
        <x:v>AR</x:v>
      </x:c>
      <x:c r="D129" s="81" t="str">
        <x:v>AR-L3-SE-UnifiedDescriptor-018</x:v>
      </x:c>
      <x:c r="E129" s="81" t="str">
        <x:v>SR-04-01-03</x:v>
      </x:c>
      <x:c r="F129" s="81" t="str">
        <x:v>            └─ AR-L3-SE-UnifiedDescriptor-018</x:v>
      </x:c>
      <x:c r="G129" s="81" t="str">
        <x:v>跨框架 KVCache 传输任务统一编排</x:v>
      </x:c>
      <x:c r="H129" s="81" t="n">
        <x:v>1</x:v>
      </x:c>
      <x:c r="I129" s="81" t="str">
        <x:v>L3 传输管理层</x:v>
      </x:c>
      <x:c r="J129" s="81" t="str">
        <x:v>L3-SE-UnifiedDescriptor-018</x:v>
      </x:c>
    </x:row>
    <x:row r="130" ht="15" hidden="0" customHeight="1">
      <x:c r="A130" s="81" t="str">
        <x:v>SF-04/IR-04-01/SR-04-01-03/060</x:v>
      </x:c>
      <x:c r="B130" s="81" t="n">
        <x:v>4</x:v>
      </x:c>
      <x:c r="C130" s="81" t="str">
        <x:v>AR</x:v>
      </x:c>
      <x:c r="D130" s="81" t="str">
        <x:v>AR-L3-SE-GranularityDispatch-033</x:v>
      </x:c>
      <x:c r="E130" s="81" t="str">
        <x:v>SR-04-01-03</x:v>
      </x:c>
      <x:c r="F130" s="81" t="str">
        <x:v>            └─ AR-L3-SE-GranularityDispatch-033</x:v>
      </x:c>
      <x:c r="G130" s="81" t="str">
        <x:v>KV 元数据与 KV 数据分流传输</x:v>
      </x:c>
      <x:c r="H130" s="81" t="n">
        <x:v>1</x:v>
      </x:c>
      <x:c r="I130" s="81" t="str">
        <x:v>L3 传输管理层</x:v>
      </x:c>
      <x:c r="J130" s="81" t="str">
        <x:v>L3-SE-GranularityDispatch-033</x:v>
      </x:c>
    </x:row>
    <x:row r="131" ht="15" hidden="0" customHeight="1">
      <x:c r="A131" s="72" t="str">
        <x:v>SF-04/IR-04-02</x:v>
      </x:c>
      <x:c r="B131" s="72" t="n">
        <x:v>2</x:v>
      </x:c>
      <x:c r="C131" s="72" t="str">
        <x:v>IR</x:v>
      </x:c>
      <x:c r="D131" s="72" t="str">
        <x:v>IR-04-02</x:v>
      </x:c>
      <x:c r="E131" s="72" t="str">
        <x:v>SF-04</x:v>
      </x:c>
      <x:c r="F131" s="72" t="str">
        <x:v>    ├─ IR-04-02 Direct与零拷贝代表路径</x:v>
      </x:c>
      <x:c r="G131" s="72" t="str">
        <x:v>关键容量路径应尽量不触碰CPU Payload，并支持注册内存、RDMA、UB/C2C等代表能力。</x:v>
      </x:c>
      <x:c r="H131" s="72" t="n">
        <x:f>COUNTIF('AR全量追溯'!$E$5:$E$148,D131)</x:f>
        <x:v>11</x:v>
      </x:c>
      <x:c r="I131" s="72" t="str">
        <x:v>L3/L4</x:v>
      </x:c>
      <x:c r="J131" s="72" t="str">
        <x:v>本版定义</x:v>
      </x:c>
    </x:row>
    <x:row r="132" ht="15" hidden="0" customHeight="1">
      <x:c r="A132" s="76" t="str">
        <x:v>SF-04/IR-04-02/SR-04-02-01</x:v>
      </x:c>
      <x:c r="B132" s="76" t="n">
        <x:v>3</x:v>
      </x:c>
      <x:c r="C132" s="76" t="str">
        <x:v>SR</x:v>
      </x:c>
      <x:c r="D132" s="76" t="str">
        <x:v>SR-04-02-01</x:v>
      </x:c>
      <x:c r="E132" s="76" t="str">
        <x:v>IR-04-02</x:v>
      </x:c>
      <x:c r="F132" s="76" t="str">
        <x:v>        ├─ SR-04-02-01 HBM↔SSD Direct容量主路径</x:v>
      </x:c>
      <x:c r="G132" s="76" t="str">
        <x:v>系统应打通SSD容量路径并量化是否真实绕开CPU/DDR Payload处理。</x:v>
      </x:c>
      <x:c r="H132" s="76" t="n">
        <x:f>COUNTIF('AR全量追溯'!$G$5:$G$148,D132)</x:f>
        <x:v>2</x:v>
      </x:c>
      <x:c r="I132" s="76" t="str">
        <x:v>L4</x:v>
      </x:c>
      <x:c r="J132" s="76" t="str">
        <x:v>本版定义</x:v>
      </x:c>
    </x:row>
    <x:row r="133" ht="15" hidden="0" customHeight="1">
      <x:c r="A133" s="81" t="str">
        <x:v>SF-04/IR-04-02/SR-04-02-01/118</x:v>
      </x:c>
      <x:c r="B133" s="81" t="n">
        <x:v>4</x:v>
      </x:c>
      <x:c r="C133" s="81" t="str">
        <x:v>AR</x:v>
      </x:c>
      <x:c r="D133" s="81" t="str">
        <x:v>AR-L4-MC-HIER-STORE-001</x:v>
      </x:c>
      <x:c r="E133" s="81" t="str">
        <x:v>SR-04-02-01</x:v>
      </x:c>
      <x:c r="F133" s="81" t="str">
        <x:v>            └─ AR-L4-MC-HIER-STORE-001</x:v>
      </x:c>
      <x:c r="G133" s="81" t="str">
        <x:v>SSD 作为 KVCache 存储主力、DDR 可旁路、降低 Host 干预</x:v>
      </x:c>
      <x:c r="H133" s="81" t="n">
        <x:v>1</x:v>
      </x:c>
      <x:c r="I133" s="81" t="str">
        <x:v>L4 底层传输层</x:v>
      </x:c>
      <x:c r="J133" s="81" t="str">
        <x:v>L4-MC-HIER-STORE-001</x:v>
      </x:c>
    </x:row>
    <x:row r="134" ht="15" hidden="0" customHeight="1">
      <x:c r="A134" s="81" t="str">
        <x:v>SF-04/IR-04-02/SR-04-02-01/143</x:v>
      </x:c>
      <x:c r="B134" s="81" t="n">
        <x:v>4</x:v>
      </x:c>
      <x:c r="C134" s="81" t="str">
        <x:v>AR</x:v>
      </x:c>
      <x:c r="D134" s="81" t="str">
        <x:v>AR-L4-HW-HostPayloadTouchBudget-076</x:v>
      </x:c>
      <x:c r="E134" s="81" t="str">
        <x:v>SR-04-02-01</x:v>
      </x:c>
      <x:c r="F134" s="81" t="str">
        <x:v>            └─ AR-L4-HW-HostPayloadTouchBudget-076</x:v>
      </x:c>
      <x:c r="G134" s="81" t="str">
        <x:v>识别 direct 路径真实性，防止名义 direct 实际绕行 CPU/DDR</x:v>
      </x:c>
      <x:c r="H134" s="81" t="n">
        <x:v>1</x:v>
      </x:c>
      <x:c r="I134" s="81" t="str">
        <x:v>L4 底层传输层</x:v>
      </x:c>
      <x:c r="J134" s="81" t="str">
        <x:v>L4-HW-HostPayloadTouchBudget-076</x:v>
      </x:c>
    </x:row>
    <x:row r="135" ht="15" hidden="0" customHeight="1">
      <x:c r="A135" s="76" t="str">
        <x:v>SF-04/IR-04-02/SR-04-02-02</x:v>
      </x:c>
      <x:c r="B135" s="76" t="n">
        <x:v>3</x:v>
      </x:c>
      <x:c r="C135" s="76" t="str">
        <x:v>SR</x:v>
      </x:c>
      <x:c r="D135" s="76" t="str">
        <x:v>SR-04-02-02</x:v>
      </x:c>
      <x:c r="E135" s="76" t="str">
        <x:v>IR-04-02</x:v>
      </x:c>
      <x:c r="F135" s="76" t="str">
        <x:v>        ├─ SR-04-02-02 Registered Pool与跨节点RDMA直达</x:v>
      </x:c>
      <x:c r="G135" s="76" t="str">
        <x:v>系统应池化注册内存并支持远端NPU/HBM之间的高效传输。</x:v>
      </x:c>
      <x:c r="H135" s="76" t="n">
        <x:f>COUNTIF('AR全量追溯'!$G$5:$G$148,D135)</x:f>
        <x:v>2</x:v>
      </x:c>
      <x:c r="I135" s="76" t="str">
        <x:v>L4</x:v>
      </x:c>
      <x:c r="J135" s="76" t="str">
        <x:v>本版定义</x:v>
      </x:c>
    </x:row>
    <x:row r="136" ht="15" hidden="0" customHeight="1">
      <x:c r="A136" s="81" t="str">
        <x:v>SF-04/IR-04-02/SR-04-02-02/112</x:v>
      </x:c>
      <x:c r="B136" s="81" t="n">
        <x:v>4</x:v>
      </x:c>
      <x:c r="C136" s="81" t="str">
        <x:v>AR</x:v>
      </x:c>
      <x:c r="D136" s="81" t="str">
        <x:v>AR-L4-OL-RegisteredPool-053</x:v>
      </x:c>
      <x:c r="E136" s="81" t="str">
        <x:v>SR-04-02-02</x:v>
      </x:c>
      <x:c r="F136" s="81" t="str">
        <x:v>            └─ AR-L4-OL-RegisteredPool-053</x:v>
      </x:c>
      <x:c r="G136" s="81" t="str">
        <x:v>高频 KV 传输注册内存池化</x:v>
      </x:c>
      <x:c r="H136" s="81" t="n">
        <x:v>1</x:v>
      </x:c>
      <x:c r="I136" s="81" t="str">
        <x:v>L4 底层传输层</x:v>
      </x:c>
      <x:c r="J136" s="81" t="str">
        <x:v>L4-OL-RegisteredPool-053</x:v>
      </x:c>
    </x:row>
    <x:row r="137" ht="15" hidden="0" customHeight="1">
      <x:c r="A137" s="81" t="str">
        <x:v>SF-04/IR-04-02/SR-04-02-02/113</x:v>
      </x:c>
      <x:c r="B137" s="81" t="n">
        <x:v>4</x:v>
      </x:c>
      <x:c r="C137" s="81" t="str">
        <x:v>AR</x:v>
      </x:c>
      <x:c r="D137" s="81" t="str">
        <x:v>AR-L4-RDMA-P2P-NPU-001</x:v>
      </x:c>
      <x:c r="E137" s="81" t="str">
        <x:v>SR-04-02-02</x:v>
      </x:c>
      <x:c r="F137" s="81" t="str">
        <x:v>            └─ AR-L4-RDMA-P2P-NPU-001</x:v>
      </x:c>
      <x:c r="G137" s="81" t="str">
        <x:v>跨节点KVCache零拷贝传输</x:v>
      </x:c>
      <x:c r="H137" s="81" t="n">
        <x:v>1</x:v>
      </x:c>
      <x:c r="I137" s="81" t="str">
        <x:v>L4 底层传输层</x:v>
      </x:c>
      <x:c r="J137" s="81" t="str">
        <x:v>L4-RDMA-P2P-NPU-001</x:v>
      </x:c>
    </x:row>
    <x:row r="138" ht="15" hidden="0" customHeight="1">
      <x:c r="A138" s="76" t="str">
        <x:v>SF-04/IR-04-02/SR-04-02-03</x:v>
      </x:c>
      <x:c r="B138" s="76" t="n">
        <x:v>3</x:v>
      </x:c>
      <x:c r="C138" s="76" t="str">
        <x:v>SR</x:v>
      </x:c>
      <x:c r="D138" s="76" t="str">
        <x:v>SR-04-02-03</x:v>
      </x:c>
      <x:c r="E138" s="76" t="str">
        <x:v>IR-04-02</x:v>
      </x:c>
      <x:c r="F138" s="76" t="str">
        <x:v>        ├─ SR-04-02-03 UB/C2C统一内存与Memory View</x:v>
      </x:c>
      <x:c r="G138" s="76" t="str">
        <x:v>系统应探索机内/跨节点内存语义、地址转换和安全direct view。</x:v>
      </x:c>
      <x:c r="H138" s="76" t="n">
        <x:f>COUNTIF('AR全量追溯'!$G$5:$G$148,D138)</x:f>
        <x:v>7</x:v>
      </x:c>
      <x:c r="I138" s="76" t="str">
        <x:v>L3/L4</x:v>
      </x:c>
      <x:c r="J138" s="76" t="str">
        <x:v>本版定义</x:v>
      </x:c>
    </x:row>
    <x:row r="139" ht="15" hidden="0" customHeight="1">
      <x:c r="A139" s="81" t="str">
        <x:v>SF-04/IR-04-02/SR-04-02-03/065</x:v>
      </x:c>
      <x:c r="B139" s="81" t="n">
        <x:v>4</x:v>
      </x:c>
      <x:c r="C139" s="81" t="str">
        <x:v>AR</x:v>
      </x:c>
      <x:c r="D139" s="81" t="str">
        <x:v>AR-L3-C2C-POOL-SCHED-002</x:v>
      </x:c>
      <x:c r="E139" s="81" t="str">
        <x:v>SR-04-02-03</x:v>
      </x:c>
      <x:c r="F139" s="81" t="str">
        <x:v>            └─ AR-L3-C2C-POOL-SCHED-002</x:v>
      </x:c>
      <x:c r="G139" s="81" t="str">
        <x:v>C2C统一内存热度调度</x:v>
      </x:c>
      <x:c r="H139" s="81" t="n">
        <x:v>1</x:v>
      </x:c>
      <x:c r="I139" s="81" t="str">
        <x:v>L3 传输管理层</x:v>
      </x:c>
      <x:c r="J139" s="81" t="str">
        <x:v>L3-C2C-POOL-SCHED-002</x:v>
      </x:c>
    </x:row>
    <x:row r="140" ht="15" hidden="0" customHeight="1">
      <x:c r="A140" s="81" t="str">
        <x:v>SF-04/IR-04-02/SR-04-02-03/073</x:v>
      </x:c>
      <x:c r="B140" s="81" t="n">
        <x:v>4</x:v>
      </x:c>
      <x:c r="C140" s="81" t="str">
        <x:v>AR</x:v>
      </x:c>
      <x:c r="D140" s="81" t="str">
        <x:v>AR-L3-MS-UBC2CTier-055</x:v>
      </x:c>
      <x:c r="E140" s="81" t="str">
        <x:v>SR-04-02-03</x:v>
      </x:c>
      <x:c r="F140" s="81" t="str">
        <x:v>            └─ AR-L3-MS-UBC2CTier-055</x:v>
      </x:c>
      <x:c r="G140" s="81" t="str">
        <x:v>UBlink-C2C 近端热 KV 存储扩展</x:v>
      </x:c>
      <x:c r="H140" s="81" t="n">
        <x:v>1</x:v>
      </x:c>
      <x:c r="I140" s="81" t="str">
        <x:v>L3 传输管理层</x:v>
      </x:c>
      <x:c r="J140" s="81" t="str">
        <x:v>L3-MS-UBC2CTier-055</x:v>
      </x:c>
    </x:row>
    <x:row r="141" ht="15" hidden="0" customHeight="1">
      <x:c r="A141" s="81" t="str">
        <x:v>SF-04/IR-04-02/SR-04-02-03/115</x:v>
      </x:c>
      <x:c r="B141" s="81" t="n">
        <x:v>4</x:v>
      </x:c>
      <x:c r="C141" s="81" t="str">
        <x:v>AR</x:v>
      </x:c>
      <x:c r="D141" s="81" t="str">
        <x:v>AR-L4-C2C-UNIFY-POOL-001</x:v>
      </x:c>
      <x:c r="E141" s="81" t="str">
        <x:v>SR-04-02-03</x:v>
      </x:c>
      <x:c r="F141" s="81" t="str">
        <x:v>            └─ AR-L4-C2C-UNIFY-POOL-001</x:v>
      </x:c>
      <x:c r="G141" s="81" t="str">
        <x:v>CPU/NPU统一内存池</x:v>
      </x:c>
      <x:c r="H141" s="81" t="n">
        <x:v>1</x:v>
      </x:c>
      <x:c r="I141" s="81" t="str">
        <x:v>L4 底层传输层</x:v>
      </x:c>
      <x:c r="J141" s="81" t="str">
        <x:v>L4-C2C-UNIFY-POOL-001</x:v>
      </x:c>
    </x:row>
    <x:row r="142" ht="15" hidden="0" customHeight="1">
      <x:c r="A142" s="81" t="str">
        <x:v>SF-04/IR-04-02/SR-04-02-03/116</x:v>
      </x:c>
      <x:c r="B142" s="81" t="n">
        <x:v>4</x:v>
      </x:c>
      <x:c r="C142" s="81" t="str">
        <x:v>AR</x:v>
      </x:c>
      <x:c r="D142" s="81" t="str">
        <x:v>AR-L4-UB-C2C-UNIFY-002</x:v>
      </x:c>
      <x:c r="E142" s="81" t="str">
        <x:v>SR-04-02-03</x:v>
      </x:c>
      <x:c r="F142" s="81" t="str">
        <x:v>            └─ AR-L4-UB-C2C-UNIFY-002</x:v>
      </x:c>
      <x:c r="G142" s="81" t="str">
        <x:v>内存语义零拷贝KV访问</x:v>
      </x:c>
      <x:c r="H142" s="81" t="n">
        <x:v>1</x:v>
      </x:c>
      <x:c r="I142" s="81" t="str">
        <x:v>L4 底层传输层</x:v>
      </x:c>
      <x:c r="J142" s="81" t="str">
        <x:v>L4-UB-C2C-UNIFY-002</x:v>
      </x:c>
    </x:row>
    <x:row r="143" ht="15" hidden="0" customHeight="1">
      <x:c r="A143" s="81" t="str">
        <x:v>SF-04/IR-04-02/SR-04-02-03/117</x:v>
      </x:c>
      <x:c r="B143" s="81" t="n">
        <x:v>4</x:v>
      </x:c>
      <x:c r="C143" s="81" t="str">
        <x:v>AR</x:v>
      </x:c>
      <x:c r="D143" s="81" t="str">
        <x:v>AR-L4-UB-P2P-FABRIC-003</x:v>
      </x:c>
      <x:c r="E143" s="81" t="str">
        <x:v>SR-04-02-03</x:v>
      </x:c>
      <x:c r="F143" s="81" t="str">
        <x:v>            └─ AR-L4-UB-P2P-FABRIC-003</x:v>
      </x:c>
      <x:c r="G143" s="81" t="str">
        <x:v>跨节点内存语义KV访问</x:v>
      </x:c>
      <x:c r="H143" s="81" t="n">
        <x:v>1</x:v>
      </x:c>
      <x:c r="I143" s="81" t="str">
        <x:v>L4 底层传输层</x:v>
      </x:c>
      <x:c r="J143" s="81" t="str">
        <x:v>L4-UB-P2P-FABRIC-003</x:v>
      </x:c>
    </x:row>
    <x:row r="144" ht="15" hidden="0" customHeight="1">
      <x:c r="A144" s="81" t="str">
        <x:v>SF-04/IR-04-02/SR-04-02-03/124</x:v>
      </x:c>
      <x:c r="B144" s="81" t="n">
        <x:v>4</x:v>
      </x:c>
      <x:c r="C144" s="81" t="str">
        <x:v>AR</x:v>
      </x:c>
      <x:c r="D144" s="81" t="str">
        <x:v>AR-L4-HW-AddrTrans-051</x:v>
      </x:c>
      <x:c r="E144" s="81" t="str">
        <x:v>SR-04-02-03</x:v>
      </x:c>
      <x:c r="F144" s="81" t="str">
        <x:v>            └─ AR-L4-HW-AddrTrans-051</x:v>
      </x:c>
      <x:c r="G144" s="81" t="str">
        <x:v>共享内存 KV 访问地址转换优化</x:v>
      </x:c>
      <x:c r="H144" s="81" t="n">
        <x:v>1</x:v>
      </x:c>
      <x:c r="I144" s="81" t="str">
        <x:v>L4 底层传输层</x:v>
      </x:c>
      <x:c r="J144" s="81" t="str">
        <x:v>L4-HW-AddrTrans-051</x:v>
      </x:c>
    </x:row>
    <x:row r="145" ht="15" hidden="0" customHeight="1">
      <x:c r="A145" s="81" t="str">
        <x:v>SF-04/IR-04-02/SR-04-02-03/139</x:v>
      </x:c>
      <x:c r="B145" s="81" t="n">
        <x:v>4</x:v>
      </x:c>
      <x:c r="C145" s="81" t="str">
        <x:v>AR</x:v>
      </x:c>
      <x:c r="D145" s="81" t="str">
        <x:v>AR-L4-UB-DirectViewGuard-072</x:v>
      </x:c>
      <x:c r="E145" s="81" t="str">
        <x:v>SR-04-02-03</x:v>
      </x:c>
      <x:c r="F145" s="81" t="str">
        <x:v>            └─ AR-L4-UB-DirectViewGuard-072</x:v>
      </x:c>
      <x:c r="G145" s="81" t="str">
        <x:v>近端/远端 memory view 安全消费</x:v>
      </x:c>
      <x:c r="H145" s="81" t="n">
        <x:v>1</x:v>
      </x:c>
      <x:c r="I145" s="81" t="str">
        <x:v>L4 底层传输层</x:v>
      </x:c>
      <x:c r="J145" s="81" t="str">
        <x:v>L4-UB-DirectViewGuard-072</x:v>
      </x:c>
    </x:row>
    <x:row r="146" ht="15" hidden="0" customHeight="1">
      <x:c r="A146" s="72" t="str">
        <x:v>SF-04/IR-04-03</x:v>
      </x:c>
      <x:c r="B146" s="72" t="n">
        <x:v>2</x:v>
      </x:c>
      <x:c r="C146" s="72" t="str">
        <x:v>IR</x:v>
      </x:c>
      <x:c r="D146" s="72" t="str">
        <x:v>IR-04-03</x:v>
      </x:c>
      <x:c r="E146" s="72" t="str">
        <x:v>SF-04</x:v>
      </x:c>
      <x:c r="F146" s="72" t="str">
        <x:v>    ├─ IR-04-03 批量传输、预取、流式恢复与广播</x:v>
      </x:c>
      <x:c r="G146" s="72" t="str">
        <x:v>数据面需用批量、流水、预取和一对多分发隐藏传输时延并控制放大。</x:v>
      </x:c>
      <x:c r="H146" s="72" t="n">
        <x:f>COUNTIF('AR全量追溯'!$E$5:$E$148,D146)</x:f>
        <x:v>10</x:v>
      </x:c>
      <x:c r="I146" s="72" t="str">
        <x:v>L1/L2/L3/L4</x:v>
      </x:c>
      <x:c r="J146" s="72" t="str">
        <x:v>本版定义</x:v>
      </x:c>
    </x:row>
    <x:row r="147" ht="15" hidden="0" customHeight="1">
      <x:c r="A147" s="76" t="str">
        <x:v>SF-04/IR-04-03/SR-04-03-01</x:v>
      </x:c>
      <x:c r="B147" s="76" t="n">
        <x:v>3</x:v>
      </x:c>
      <x:c r="C147" s="76" t="str">
        <x:v>SR</x:v>
      </x:c>
      <x:c r="D147" s="76" t="str">
        <x:v>SR-04-03-01</x:v>
      </x:c>
      <x:c r="E147" s="76" t="str">
        <x:v>IR-04-03</x:v>
      </x:c>
      <x:c r="F147" s="76" t="str">
        <x:v>        ├─ SR-04-03-01 Swap批量与流式加载Pipeline</x:v>
      </x:c>
      <x:c r="G147" s="76" t="str">
        <x:v>系统应批量传输KV并允许分层就绪与计算重叠。</x:v>
      </x:c>
      <x:c r="H147" s="76" t="n">
        <x:f>COUNTIF('AR全量追溯'!$G$5:$G$148,D147)</x:f>
        <x:v>2</x:v>
      </x:c>
      <x:c r="I147" s="76" t="str">
        <x:v>L1/L2</x:v>
      </x:c>
      <x:c r="J147" s="76" t="str">
        <x:v>本版定义</x:v>
      </x:c>
    </x:row>
    <x:row r="148" ht="15" hidden="0" customHeight="1">
      <x:c r="A148" s="81" t="str">
        <x:v>SF-04/IR-04-03/SR-04-03-01/009</x:v>
      </x:c>
      <x:c r="B148" s="81" t="n">
        <x:v>4</x:v>
      </x:c>
      <x:c r="C148" s="81" t="str">
        <x:v>AR</x:v>
      </x:c>
      <x:c r="D148" s="81" t="str">
        <x:v>AR-L1-SGL-SWP-XFER-002</x:v>
      </x:c>
      <x:c r="E148" s="81" t="str">
        <x:v>SR-04-03-01</x:v>
      </x:c>
      <x:c r="F148" s="81" t="str">
        <x:v>            └─ AR-L1-SGL-SWP-XFER-002</x:v>
      </x:c>
      <x:c r="G148" s="81" t="str">
        <x:v>流式KV加载Pipeline</x:v>
      </x:c>
      <x:c r="H148" s="81" t="n">
        <x:v>1</x:v>
      </x:c>
      <x:c r="I148" s="81" t="str">
        <x:v>L1 推理调度层</x:v>
      </x:c>
      <x:c r="J148" s="81" t="str">
        <x:v>L1-SGL-SWP-XFER-002</x:v>
      </x:c>
    </x:row>
    <x:row r="149" ht="15" hidden="0" customHeight="1">
      <x:c r="A149" s="81" t="str">
        <x:v>SF-04/IR-04-03/SR-04-03-01/043</x:v>
      </x:c>
      <x:c r="B149" s="81" t="n">
        <x:v>4</x:v>
      </x:c>
      <x:c r="C149" s="81" t="str">
        <x:v>AR</x:v>
      </x:c>
      <x:c r="D149" s="81" t="str">
        <x:v>AR-L2-CONN-SWP-XFER-003</x:v>
      </x:c>
      <x:c r="E149" s="81" t="str">
        <x:v>SR-04-03-01</x:v>
      </x:c>
      <x:c r="F149" s="81" t="str">
        <x:v>            └─ AR-L2-CONN-SWP-XFER-003</x:v>
      </x:c>
      <x:c r="G149" s="81" t="str">
        <x:v>Swap批量传输优化</x:v>
      </x:c>
      <x:c r="H149" s="81" t="n">
        <x:v>1</x:v>
      </x:c>
      <x:c r="I149" s="81" t="str">
        <x:v>L2 KVConnector层</x:v>
      </x:c>
      <x:c r="J149" s="81" t="str">
        <x:v>L2-CONN-SWP-XFER-003</x:v>
      </x:c>
    </x:row>
    <x:row r="150" ht="15" hidden="0" customHeight="1">
      <x:c r="A150" s="76" t="str">
        <x:v>SF-04/IR-04-03/SR-04-03-02</x:v>
      </x:c>
      <x:c r="B150" s="76" t="n">
        <x:v>3</x:v>
      </x:c>
      <x:c r="C150" s="76" t="str">
        <x:v>SR</x:v>
      </x:c>
      <x:c r="D150" s="76" t="str">
        <x:v>SR-04-03-02</x:v>
      </x:c>
      <x:c r="E150" s="76" t="str">
        <x:v>IR-04-03</x:v>
      </x:c>
      <x:c r="F150" s="76" t="str">
        <x:v>        ├─ SR-04-03-02 状态感知预取与时延隐藏</x:v>
      </x:c>
      <x:c r="G150" s="76" t="str">
        <x:v>系统应在调度等待期或预测窗口内预取，并在状态变化时取消或降级。</x:v>
      </x:c>
      <x:c r="H150" s="76" t="n">
        <x:f>COUNTIF('AR全量追溯'!$G$5:$G$148,D150)</x:f>
        <x:v>5</x:v>
      </x:c>
      <x:c r="I150" s="76" t="str">
        <x:v>L1/L2/L3</x:v>
      </x:c>
      <x:c r="J150" s="76" t="str">
        <x:v>本版定义</x:v>
      </x:c>
    </x:row>
    <x:row r="151" ht="15" hidden="0" customHeight="1">
      <x:c r="A151" s="81" t="str">
        <x:v>SF-04/IR-04-03/SR-04-03-02/008</x:v>
      </x:c>
      <x:c r="B151" s="81" t="n">
        <x:v>4</x:v>
      </x:c>
      <x:c r="C151" s="81" t="str">
        <x:v>AR</x:v>
      </x:c>
      <x:c r="D151" s="81" t="str">
        <x:v>AR-L1-SGL-PRFCH-SCHED-004</x:v>
      </x:c>
      <x:c r="E151" s="81" t="str">
        <x:v>SR-04-03-02</x:v>
      </x:c>
      <x:c r="F151" s="81" t="str">
        <x:v>            └─ AR-L1-SGL-PRFCH-SCHED-004</x:v>
      </x:c>
      <x:c r="G151" s="81" t="str">
        <x:v>投机性前缀预取</x:v>
      </x:c>
      <x:c r="H151" s="81" t="n">
        <x:v>1</x:v>
      </x:c>
      <x:c r="I151" s="81" t="str">
        <x:v>L1 推理调度层</x:v>
      </x:c>
      <x:c r="J151" s="81" t="str">
        <x:v>L1-SGL-PRFCH-SCHED-004</x:v>
      </x:c>
    </x:row>
    <x:row r="152" ht="15" hidden="0" customHeight="1">
      <x:c r="A152" s="81" t="str">
        <x:v>SF-04/IR-04-03/SR-04-03-02/010</x:v>
      </x:c>
      <x:c r="B152" s="81" t="n">
        <x:v>4</x:v>
      </x:c>
      <x:c r="C152" s="81" t="str">
        <x:v>AR</x:v>
      </x:c>
      <x:c r="D152" s="81" t="str">
        <x:v>AR-L1-VLLM-PRFCH-SCHED-004</x:v>
      </x:c>
      <x:c r="E152" s="81" t="str">
        <x:v>SR-04-03-02</x:v>
      </x:c>
      <x:c r="F152" s="81" t="str">
        <x:v>            └─ AR-L1-VLLM-PRFCH-SCHED-004</x:v>
      </x:c>
      <x:c r="G152" s="81" t="str">
        <x:v>请求调度预取优化</x:v>
      </x:c>
      <x:c r="H152" s="81" t="n">
        <x:v>1</x:v>
      </x:c>
      <x:c r="I152" s="81" t="str">
        <x:v>L1 推理调度层</x:v>
      </x:c>
      <x:c r="J152" s="81" t="str">
        <x:v>L1-VLLM-PRFCH-SCHED-004</x:v>
      </x:c>
    </x:row>
    <x:row r="153" ht="15" hidden="0" customHeight="1">
      <x:c r="A153" s="81" t="str">
        <x:v>SF-04/IR-04-03/SR-04-03-02/026</x:v>
      </x:c>
      <x:c r="B153" s="81" t="n">
        <x:v>4</x:v>
      </x:c>
      <x:c r="C153" s="81" t="str">
        <x:v>AR</x:v>
      </x:c>
      <x:c r="D153" s="81" t="str">
        <x:v>AR-L2-CONN-PRFCH-ENGINE-007</x:v>
      </x:c>
      <x:c r="E153" s="81" t="str">
        <x:v>SR-04-03-02</x:v>
      </x:c>
      <x:c r="F153" s="81" t="str">
        <x:v>            └─ AR-L2-CONN-PRFCH-ENGINE-007</x:v>
      </x:c>
      <x:c r="G153" s="81" t="str">
        <x:v>前缀KV隐藏加载时延</x:v>
      </x:c>
      <x:c r="H153" s="81" t="n">
        <x:v>1</x:v>
      </x:c>
      <x:c r="I153" s="81" t="str">
        <x:v>L2 KVConnector层</x:v>
      </x:c>
      <x:c r="J153" s="81" t="str">
        <x:v>L2-CONN-PRFCH-ENGINE-007</x:v>
      </x:c>
    </x:row>
    <x:row r="154" ht="15" hidden="0" customHeight="1">
      <x:c r="A154" s="81" t="str">
        <x:v>SF-04/IR-04-03/SR-04-03-02/066</x:v>
      </x:c>
      <x:c r="B154" s="81" t="n">
        <x:v>4</x:v>
      </x:c>
      <x:c r="C154" s="81" t="str">
        <x:v>AR</x:v>
      </x:c>
      <x:c r="D154" s="81" t="str">
        <x:v>AR-L3-LMC-PRFCH-ENGINE-001</x:v>
      </x:c>
      <x:c r="E154" s="81" t="str">
        <x:v>SR-04-03-02</x:v>
      </x:c>
      <x:c r="F154" s="81" t="str">
        <x:v>            └─ AR-L3-LMC-PRFCH-ENGINE-001</x:v>
      </x:c>
      <x:c r="G154" s="81" t="str">
        <x:v>冷KVCache预取加热</x:v>
      </x:c>
      <x:c r="H154" s="81" t="n">
        <x:v>1</x:v>
      </x:c>
      <x:c r="I154" s="81" t="str">
        <x:v>L3 传输管理层</x:v>
      </x:c>
      <x:c r="J154" s="81" t="str">
        <x:v>L3-LMC-PRFCH-ENGINE-001</x:v>
      </x:c>
    </x:row>
    <x:row r="155" ht="15" hidden="0" customHeight="1">
      <x:c r="A155" s="81" t="str">
        <x:v>SF-04/IR-04-03/SR-04-03-02/099</x:v>
      </x:c>
      <x:c r="B155" s="81" t="n">
        <x:v>4</x:v>
      </x:c>
      <x:c r="C155" s="81" t="str">
        <x:v>AR</x:v>
      </x:c>
      <x:c r="D155" s="81" t="str">
        <x:v>AR-L3-MS-StateAwarePrefetch-081</x:v>
      </x:c>
      <x:c r="E155" s="81" t="str">
        <x:v>SR-04-03-02</x:v>
      </x:c>
      <x:c r="F155" s="81" t="str">
        <x:v>            └─ AR-L3-MS-StateAwarePrefetch-081</x:v>
      </x:c>
      <x:c r="G155" s="81" t="str">
        <x:v>状态感知的 KV 预取</x:v>
      </x:c>
      <x:c r="H155" s="81" t="n">
        <x:v>1</x:v>
      </x:c>
      <x:c r="I155" s="81" t="str">
        <x:v>L3 传输管理层</x:v>
      </x:c>
      <x:c r="J155" s="81" t="str">
        <x:v>L3-MS-StateAwarePrefetch-081</x:v>
      </x:c>
    </x:row>
    <x:row r="156" ht="15" hidden="0" customHeight="1">
      <x:c r="A156" s="76" t="str">
        <x:v>SF-04/IR-04-03/SR-04-03-03</x:v>
      </x:c>
      <x:c r="B156" s="76" t="n">
        <x:v>3</x:v>
      </x:c>
      <x:c r="C156" s="76" t="str">
        <x:v>SR</x:v>
      </x:c>
      <x:c r="D156" s="76" t="str">
        <x:v>SR-04-03-03</x:v>
      </x:c>
      <x:c r="E156" s="76" t="str">
        <x:v>IR-04-03</x:v>
      </x:c>
      <x:c r="F156" s="76" t="str">
        <x:v>        ├─ SR-04-03-03 热点复制与一对多广播</x:v>
      </x:c>
      <x:c r="G156" s="76" t="str">
        <x:v>系统应为共享前缀提供受控复制和高效多播/广播。</x:v>
      </x:c>
      <x:c r="H156" s="76" t="n">
        <x:f>COUNTIF('AR全量追溯'!$G$5:$G$148,D156)</x:f>
        <x:v>3</x:v>
      </x:c>
      <x:c r="I156" s="76" t="str">
        <x:v>L3/L4</x:v>
      </x:c>
      <x:c r="J156" s="76" t="str">
        <x:v>本版定义</x:v>
      </x:c>
    </x:row>
    <x:row r="157" ht="15" hidden="0" customHeight="1">
      <x:c r="A157" s="81" t="str">
        <x:v>SF-04/IR-04-03/SR-04-03-03/063</x:v>
      </x:c>
      <x:c r="B157" s="81" t="n">
        <x:v>4</x:v>
      </x:c>
      <x:c r="C157" s="81" t="str">
        <x:v>AR</x:v>
      </x:c>
      <x:c r="D157" s="81" t="str">
        <x:v>AR-L3-MS-HotReplication-040</x:v>
      </x:c>
      <x:c r="E157" s="81" t="str">
        <x:v>SR-04-03-03</x:v>
      </x:c>
      <x:c r="F157" s="81" t="str">
        <x:v>            └─ AR-L3-MS-HotReplication-040</x:v>
      </x:c>
      <x:c r="G157" s="81" t="str">
        <x:v>热点前缀 KVCache 多副本扩散</x:v>
      </x:c>
      <x:c r="H157" s="81" t="n">
        <x:v>1</x:v>
      </x:c>
      <x:c r="I157" s="81" t="str">
        <x:v>L3 传输管理层</x:v>
      </x:c>
      <x:c r="J157" s="81" t="str">
        <x:v>L3-MS-HotReplication-040</x:v>
      </x:c>
    </x:row>
    <x:row r="158" ht="15" hidden="0" customHeight="1">
      <x:c r="A158" s="81" t="str">
        <x:v>SF-04/IR-04-03/SR-04-03-03/064</x:v>
      </x:c>
      <x:c r="B158" s="81" t="n">
        <x:v>4</x:v>
      </x:c>
      <x:c r="C158" s="81" t="str">
        <x:v>AR</x:v>
      </x:c>
      <x:c r="D158" s="81" t="str">
        <x:v>AR-L3-TRANS-MUL-ENGINE-003</x:v>
      </x:c>
      <x:c r="E158" s="81" t="str">
        <x:v>SR-04-03-03</x:v>
      </x:c>
      <x:c r="F158" s="81" t="str">
        <x:v>            └─ AR-L3-TRANS-MUL-ENGINE-003</x:v>
      </x:c>
      <x:c r="G158" s="81" t="str">
        <x:v>一对多KVCache高效分发</x:v>
      </x:c>
      <x:c r="H158" s="81" t="n">
        <x:v>1</x:v>
      </x:c>
      <x:c r="I158" s="81" t="str">
        <x:v>L3 传输管理层</x:v>
      </x:c>
      <x:c r="J158" s="81" t="str">
        <x:v>L3-TRANS-MUL-ENGINE-003</x:v>
      </x:c>
    </x:row>
    <x:row r="159" ht="15" hidden="0" customHeight="1">
      <x:c r="A159" s="81" t="str">
        <x:v>SF-04/IR-04-03/SR-04-03-03/114</x:v>
      </x:c>
      <x:c r="B159" s="81" t="n">
        <x:v>4</x:v>
      </x:c>
      <x:c r="C159" s="81" t="str">
        <x:v>AR</x:v>
      </x:c>
      <x:c r="D159" s="81" t="str">
        <x:v>AR-L4-RDMA-MUL-FABRIC-002</x:v>
      </x:c>
      <x:c r="E159" s="81" t="str">
        <x:v>SR-04-03-03</x:v>
      </x:c>
      <x:c r="F159" s="81" t="str">
        <x:v>            └─ AR-L4-RDMA-MUL-FABRIC-002</x:v>
      </x:c>
      <x:c r="G159" s="81" t="str">
        <x:v>共享前缀KVCache批量广播</x:v>
      </x:c>
      <x:c r="H159" s="81" t="n">
        <x:v>1</x:v>
      </x:c>
      <x:c r="I159" s="81" t="str">
        <x:v>L4 底层传输层</x:v>
      </x:c>
      <x:c r="J159" s="81" t="str">
        <x:v>L4-RDMA-MUL-FABRIC-002</x:v>
      </x:c>
    </x:row>
    <x:row r="160" ht="15" hidden="0" customHeight="1">
      <x:c r="A160" s="72" t="str">
        <x:v>SF-04/IR-04-04</x:v>
      </x:c>
      <x:c r="B160" s="72" t="n">
        <x:v>2</x:v>
      </x:c>
      <x:c r="C160" s="72" t="str">
        <x:v>IR</x:v>
      </x:c>
      <x:c r="D160" s="72" t="str">
        <x:v>IR-04-04</x:v>
      </x:c>
      <x:c r="E160" s="72" t="str">
        <x:v>SF-04</x:v>
      </x:c>
      <x:c r="F160" s="72" t="str">
        <x:v>    ├─ IR-04-04 条件硬件卸载与高级迁移原语</x:v>
      </x:c>
      <x:c r="G160" s="72" t="str">
        <x:v>DPU、硬件codec和原子页迁移只在能力存在且净收益成立时启用。</x:v>
      </x:c>
      <x:c r="H160" s="72" t="n">
        <x:f>COUNTIF('AR全量追溯'!$E$5:$E$148,D160)</x:f>
        <x:v>5</x:v>
      </x:c>
      <x:c r="I160" s="72" t="str">
        <x:v>L4</x:v>
      </x:c>
      <x:c r="J160" s="72" t="str">
        <x:v>本版定义</x:v>
      </x:c>
    </x:row>
    <x:row r="161" ht="15" hidden="0" customHeight="1">
      <x:c r="A161" s="76" t="str">
        <x:v>SF-04/IR-04-04/SR-04-04-01</x:v>
      </x:c>
      <x:c r="B161" s="76" t="n">
        <x:v>3</x:v>
      </x:c>
      <x:c r="C161" s="76" t="str">
        <x:v>SR</x:v>
      </x:c>
      <x:c r="D161" s="76" t="str">
        <x:v>SR-04-04-01</x:v>
      </x:c>
      <x:c r="E161" s="76" t="str">
        <x:v>IR-04-04</x:v>
      </x:c>
      <x:c r="F161" s="76" t="str">
        <x:v>        ├─ SR-04-04-01 DPU卸载与硬件Codec条件能力</x:v>
      </x:c>
      <x:c r="G161" s="76" t="str">
        <x:v>系统仅在DPU/NPU/SSD原生能力与净收益成立时启用卸载、压缩和解压。</x:v>
      </x:c>
      <x:c r="H161" s="76" t="n">
        <x:f>COUNTIF('AR全量追溯'!$G$5:$G$148,D161)</x:f>
        <x:v>3</x:v>
      </x:c>
      <x:c r="I161" s="76" t="str">
        <x:v>L4</x:v>
      </x:c>
      <x:c r="J161" s="76" t="str">
        <x:v>本版定义</x:v>
      </x:c>
    </x:row>
    <x:row r="162" ht="15" hidden="0" customHeight="1">
      <x:c r="A162" s="81" t="str">
        <x:v>SF-04/IR-04-04/SR-04-04-01/119</x:v>
      </x:c>
      <x:c r="B162" s="81" t="n">
        <x:v>4</x:v>
      </x:c>
      <x:c r="C162" s="81" t="str">
        <x:v>AR</x:v>
      </x:c>
      <x:c r="D162" s="81" t="str">
        <x:v>AR-L4-MC-HIER-STORE-002</x:v>
      </x:c>
      <x:c r="E162" s="81" t="str">
        <x:v>SR-04-04-01</x:v>
      </x:c>
      <x:c r="F162" s="81" t="str">
        <x:v>            └─ AR-L4-MC-HIER-STORE-002</x:v>
      </x:c>
      <x:c r="G162" s="81" t="str">
        <x:v>硬件原生压缩条件能力；不属于当前关键路径基线</x:v>
      </x:c>
      <x:c r="H162" s="81" t="n">
        <x:v>1</x:v>
      </x:c>
      <x:c r="I162" s="81" t="str">
        <x:v>L4 底层传输层</x:v>
      </x:c>
      <x:c r="J162" s="81" t="str">
        <x:v>L4-MC-HIER-STORE-002</x:v>
      </x:c>
    </x:row>
    <x:row r="163" ht="15" hidden="0" customHeight="1">
      <x:c r="A163" s="81" t="str">
        <x:v>SF-04/IR-04-04/SR-04-04-01/120</x:v>
      </x:c>
      <x:c r="B163" s="81" t="n">
        <x:v>4</x:v>
      </x:c>
      <x:c r="C163" s="81" t="str">
        <x:v>AR</x:v>
      </x:c>
      <x:c r="D163" s="81" t="str">
        <x:v>AR-L4-MC-HIER-STORE-003</x:v>
      </x:c>
      <x:c r="E163" s="81" t="str">
        <x:v>SR-04-04-01</x:v>
      </x:c>
      <x:c r="F163" s="81" t="str">
        <x:v>            └─ AR-L4-MC-HIER-STORE-003</x:v>
      </x:c>
      <x:c r="G163" s="81" t="str">
        <x:v>硬件原生解压条件能力；不属于当前关键路径基线</x:v>
      </x:c>
      <x:c r="H163" s="81" t="n">
        <x:v>1</x:v>
      </x:c>
      <x:c r="I163" s="81" t="str">
        <x:v>L4 底层传输层</x:v>
      </x:c>
      <x:c r="J163" s="81" t="str">
        <x:v>L4-MC-HIER-STORE-003</x:v>
      </x:c>
    </x:row>
    <x:row r="164" ht="15" hidden="0" customHeight="1">
      <x:c r="A164" s="81" t="str">
        <x:v>SF-04/IR-04-04/SR-04-04-01/121</x:v>
      </x:c>
      <x:c r="B164" s="81" t="n">
        <x:v>4</x:v>
      </x:c>
      <x:c r="C164" s="81" t="str">
        <x:v>AR</x:v>
      </x:c>
      <x:c r="D164" s="81" t="str">
        <x:v>AR-L4-NET-OFFLOAD-DPU-001</x:v>
      </x:c>
      <x:c r="E164" s="81" t="str">
        <x:v>SR-04-04-01</x:v>
      </x:c>
      <x:c r="F164" s="81" t="str">
        <x:v>            └─ AR-L4-NET-OFFLOAD-DPU-001</x:v>
      </x:c>
      <x:c r="G164" s="81" t="str">
        <x:v>传输数据路径CPU卸载</x:v>
      </x:c>
      <x:c r="H164" s="81" t="n">
        <x:v>1</x:v>
      </x:c>
      <x:c r="I164" s="81" t="str">
        <x:v>L4 底层传输层</x:v>
      </x:c>
      <x:c r="J164" s="81" t="str">
        <x:v>L4-NET-OFFLOAD-DPU-001</x:v>
      </x:c>
    </x:row>
    <x:row r="165" ht="15" hidden="0" customHeight="1">
      <x:c r="A165" s="76" t="str">
        <x:v>SF-04/IR-04-04/SR-04-04-02</x:v>
      </x:c>
      <x:c r="B165" s="76" t="n">
        <x:v>3</x:v>
      </x:c>
      <x:c r="C165" s="76" t="str">
        <x:v>SR</x:v>
      </x:c>
      <x:c r="D165" s="76" t="str">
        <x:v>SR-04-04-02</x:v>
      </x:c>
      <x:c r="E165" s="76" t="str">
        <x:v>IR-04-04</x:v>
      </x:c>
      <x:c r="F165" s="76" t="str">
        <x:v>        ├─ SR-04-04-02 硬件页迁移与原子重映射</x:v>
      </x:c>
      <x:c r="G165" s="76" t="str">
        <x:v>系统可条件使用页迁移/原子remap降低整理期间复制和停顿。</x:v>
      </x:c>
      <x:c r="H165" s="76" t="n">
        <x:f>COUNTIF('AR全量追溯'!$G$5:$G$148,D165)</x:f>
        <x:v>2</x:v>
      </x:c>
      <x:c r="I165" s="76" t="str">
        <x:v>L4</x:v>
      </x:c>
      <x:c r="J165" s="76" t="str">
        <x:v>本版定义</x:v>
      </x:c>
    </x:row>
    <x:row r="166" ht="15" hidden="0" customHeight="1">
      <x:c r="A166" s="81" t="str">
        <x:v>SF-04/IR-04-04/SR-04-04-02/130</x:v>
      </x:c>
      <x:c r="B166" s="81" t="n">
        <x:v>4</x:v>
      </x:c>
      <x:c r="C166" s="81" t="str">
        <x:v>AR</x:v>
      </x:c>
      <x:c r="D166" s="81" t="str">
        <x:v>AR-L4-CO-PageMigration-063</x:v>
      </x:c>
      <x:c r="E166" s="81" t="str">
        <x:v>SR-04-04-02</x:v>
      </x:c>
      <x:c r="F166" s="81" t="str">
        <x:v>            └─ AR-L4-CO-PageMigration-063</x:v>
      </x:c>
      <x:c r="G166" s="81" t="str">
        <x:v>硬件级零拷贝内存重组</x:v>
      </x:c>
      <x:c r="H166" s="81" t="n">
        <x:v>1</x:v>
      </x:c>
      <x:c r="I166" s="81" t="str">
        <x:v>L4 底层传输层</x:v>
      </x:c>
      <x:c r="J166" s="81" t="str">
        <x:v>L4-CO-PageMigration-063</x:v>
      </x:c>
    </x:row>
    <x:row r="167" ht="15" hidden="0" customHeight="1">
      <x:c r="A167" s="81" t="str">
        <x:v>SF-04/IR-04-04/SR-04-04-02/132</x:v>
      </x:c>
      <x:c r="B167" s="81" t="n">
        <x:v>4</x:v>
      </x:c>
      <x:c r="C167" s="81" t="str">
        <x:v>AR</x:v>
      </x:c>
      <x:c r="D167" s="81" t="str">
        <x:v>AR-L4-CO-AtomicRemapPrimitive-065</x:v>
      </x:c>
      <x:c r="E167" s="81" t="str">
        <x:v>SR-04-04-02</x:v>
      </x:c>
      <x:c r="F167" s="81" t="str">
        <x:v>            └─ AR-L4-CO-AtomicRemapPrimitive-065</x:v>
      </x:c>
      <x:c r="G167" s="81" t="str">
        <x:v>KV 迁移/紧凑整理期间地址无感切换</x:v>
      </x:c>
      <x:c r="H167" s="81" t="n">
        <x:v>1</x:v>
      </x:c>
      <x:c r="I167" s="81" t="str">
        <x:v>L4 底层传输层</x:v>
      </x:c>
      <x:c r="J167" s="81" t="str">
        <x:v>L4-CO-AtomicRemapPrimitive-065</x:v>
      </x:c>
    </x:row>
    <x:row r="168" ht="15" hidden="0" customHeight="1">
      <x:c r="A168" s="68" t="str">
        <x:v>SF-05</x:v>
      </x:c>
      <x:c r="B168" s="68" t="n">
        <x:v>1</x:v>
      </x:c>
      <x:c r="C168" s="68" t="str">
        <x:v>SF</x:v>
      </x:c>
      <x:c r="D168" s="68" t="str">
        <x:v>SF-05</x:v>
      </x:c>
      <x:c r="E168" s="68" t="str">
        <x:v>ROOT</x:v>
      </x:c>
      <x:c r="F168" s="68" t="str">
        <x:v>● SF-05 一致性、安全、完整性与故障恢复</x:v>
      </x:c>
      <x:c r="G168" s="68" t="str">
        <x:v>确保未完成、过期、损坏、越权或迁移中的KV对象不会被误消费，并在异常时安全回退。</x:v>
      </x:c>
      <x:c r="H168" s="68" t="n">
        <x:f>COUNTIF('AR全量追溯'!$C$5:$C$148,D168)</x:f>
        <x:v>19</x:v>
      </x:c>
      <x:c r="I168" s="68" t="str">
        <x:v>L2/L3/L4</x:v>
      </x:c>
      <x:c r="J168" s="68" t="str">
        <x:v>本版定义</x:v>
      </x:c>
    </x:row>
    <x:row r="169" ht="15" hidden="0" customHeight="1">
      <x:c r="A169" s="72" t="str">
        <x:v>SF-05/IR-05-01</x:v>
      </x:c>
      <x:c r="B169" s="72" t="n">
        <x:v>2</x:v>
      </x:c>
      <x:c r="C169" s="72" t="str">
        <x:v>IR</x:v>
      </x:c>
      <x:c r="D169" s="72" t="str">
        <x:v>IR-05-01</x:v>
      </x:c>
      <x:c r="E169" s="72" t="str">
        <x:v>SF-05</x:v>
      </x:c>
      <x:c r="F169" s="72" t="str">
        <x:v>    ├─ IR-05-01 发布、完成、可见性与Ready边界</x:v>
      </x:c>
      <x:c r="G169" s="72" t="str">
        <x:v>KV数据、元数据和位置记录必须在满足完成与完整性策略后才对消费者可见。</x:v>
      </x:c>
      <x:c r="H169" s="72" t="n">
        <x:f>COUNTIF('AR全量追溯'!$E$5:$E$148,D169)</x:f>
        <x:v>5</x:v>
      </x:c>
      <x:c r="I169" s="72" t="str">
        <x:v>L2/L3/L4</x:v>
      </x:c>
      <x:c r="J169" s="72" t="str">
        <x:v>本版定义</x:v>
      </x:c>
    </x:row>
    <x:row r="170" ht="24" hidden="0" customHeight="1">
      <x:c r="A170" s="76" t="str">
        <x:v>SF-05/IR-05-01/SR-05-01-01</x:v>
      </x:c>
      <x:c r="B170" s="76" t="n">
        <x:v>3</x:v>
      </x:c>
      <x:c r="C170" s="76" t="str">
        <x:v>SR</x:v>
      </x:c>
      <x:c r="D170" s="76" t="str">
        <x:v>SR-05-01-01</x:v>
      </x:c>
      <x:c r="E170" s="76" t="str">
        <x:v>IR-05-01</x:v>
      </x:c>
      <x:c r="F170" s="76" t="str">
        <x:v>        ├─ SR-05-01-01 版本发布、Commit Log与Ready Bitmap</x:v>
      </x:c>
      <x:c r="G170" s="76" t="str">
        <x:v>系统应以version、commit和ready bitmap控制对象发布状态。</x:v>
      </x:c>
      <x:c r="H170" s="76" t="n">
        <x:f>COUNTIF('AR全量追溯'!$G$5:$G$148,D170)</x:f>
        <x:v>3</x:v>
      </x:c>
      <x:c r="I170" s="76" t="str">
        <x:v>L3</x:v>
      </x:c>
      <x:c r="J170" s="76" t="str">
        <x:v>本版定义</x:v>
      </x:c>
    </x:row>
    <x:row r="171" ht="15" hidden="0" customHeight="1">
      <x:c r="A171" s="81" t="str">
        <x:v>SF-05/IR-05-01/SR-05-01-01/068</x:v>
      </x:c>
      <x:c r="B171" s="81" t="n">
        <x:v>4</x:v>
      </x:c>
      <x:c r="C171" s="81" t="str">
        <x:v>AR</x:v>
      </x:c>
      <x:c r="D171" s="81" t="str">
        <x:v>AR-L3-CO-VersionPublish-043</x:v>
      </x:c>
      <x:c r="E171" s="81" t="str">
        <x:v>SR-05-01-01</x:v>
      </x:c>
      <x:c r="F171" s="81" t="str">
        <x:v>            └─ AR-L3-CO-VersionPublish-043</x:v>
      </x:c>
      <x:c r="G171" s="81" t="str">
        <x:v>KVCache 对象一致发布</x:v>
      </x:c>
      <x:c r="H171" s="81" t="n">
        <x:v>1</x:v>
      </x:c>
      <x:c r="I171" s="81" t="str">
        <x:v>L3 传输管理层</x:v>
      </x:c>
      <x:c r="J171" s="81" t="str">
        <x:v>L3-CO-VersionPublish-043</x:v>
      </x:c>
    </x:row>
    <x:row r="172" ht="15" hidden="0" customHeight="1">
      <x:c r="A172" s="81" t="str">
        <x:v>SF-05/IR-05-01/SR-05-01-01/082</x:v>
      </x:c>
      <x:c r="B172" s="81" t="n">
        <x:v>4</x:v>
      </x:c>
      <x:c r="C172" s="81" t="str">
        <x:v>AR</x:v>
      </x:c>
      <x:c r="D172" s="81" t="str">
        <x:v>AR-L3-CO-VisibilityReadyBitmap-064</x:v>
      </x:c>
      <x:c r="E172" s="81" t="str">
        <x:v>SR-05-01-01</x:v>
      </x:c>
      <x:c r="F172" s="81" t="str">
        <x:v>            └─ AR-L3-CO-VisibilityReadyBitmap-064</x:v>
      </x:c>
      <x:c r="G172" s="81" t="str">
        <x:v>KV 写入完成与可见性边界控制</x:v>
      </x:c>
      <x:c r="H172" s="81" t="n">
        <x:v>1</x:v>
      </x:c>
      <x:c r="I172" s="81" t="str">
        <x:v>L3 传输管理层</x:v>
      </x:c>
      <x:c r="J172" s="81" t="str">
        <x:v>L3-CO-VisibilityReadyBitmap-064</x:v>
      </x:c>
    </x:row>
    <x:row r="173" ht="15" hidden="0" customHeight="1">
      <x:c r="A173" s="81" t="str">
        <x:v>SF-05/IR-05-01/SR-05-01-01/083</x:v>
      </x:c>
      <x:c r="B173" s="81" t="n">
        <x:v>4</x:v>
      </x:c>
      <x:c r="C173" s="81" t="str">
        <x:v>AR</x:v>
      </x:c>
      <x:c r="D173" s="81" t="str">
        <x:v>AR-L3-CO-PublishCommitLog-065</x:v>
      </x:c>
      <x:c r="E173" s="81" t="str">
        <x:v>SR-05-01-01</x:v>
      </x:c>
      <x:c r="F173" s="81" t="str">
        <x:v>            └─ AR-L3-CO-PublishCommitLog-065</x:v>
      </x:c>
      <x:c r="G173" s="81" t="str">
        <x:v>KV 发布过程异常恢复</x:v>
      </x:c>
      <x:c r="H173" s="81" t="n">
        <x:v>1</x:v>
      </x:c>
      <x:c r="I173" s="81" t="str">
        <x:v>L3 传输管理层</x:v>
      </x:c>
      <x:c r="J173" s="81" t="str">
        <x:v>L3-CO-PublishCommitLog-065</x:v>
      </x:c>
    </x:row>
    <x:row r="174" ht="15" hidden="0" customHeight="1">
      <x:c r="A174" s="76" t="str">
        <x:v>SF-05/IR-05-01/SR-05-01-02</x:v>
      </x:c>
      <x:c r="B174" s="76" t="n">
        <x:v>3</x:v>
      </x:c>
      <x:c r="C174" s="76" t="str">
        <x:v>SR</x:v>
      </x:c>
      <x:c r="D174" s="76" t="str">
        <x:v>SR-05-01-02</x:v>
      </x:c>
      <x:c r="E174" s="76" t="str">
        <x:v>IR-05-01</x:v>
      </x:c>
      <x:c r="F174" s="76" t="str">
        <x:v>        ├─ SR-05-01-02 跨设备Fence与Extent可见性</x:v>
      </x:c>
      <x:c r="G174" s="76" t="str">
        <x:v>系统应把底层completion/fence转换为block/extent可消费边界。</x:v>
      </x:c>
      <x:c r="H174" s="76" t="n">
        <x:f>COUNTIF('AR全量追溯'!$G$5:$G$148,D174)</x:f>
        <x:v>2</x:v>
      </x:c>
      <x:c r="I174" s="76" t="str">
        <x:v>L4</x:v>
      </x:c>
      <x:c r="J174" s="76" t="str">
        <x:v>本版定义</x:v>
      </x:c>
    </x:row>
    <x:row r="175" ht="15" hidden="0" customHeight="1">
      <x:c r="A175" s="81" t="str">
        <x:v>SF-05/IR-05-01/SR-05-01-02/125</x:v>
      </x:c>
      <x:c r="B175" s="81" t="n">
        <x:v>4</x:v>
      </x:c>
      <x:c r="C175" s="81" t="str">
        <x:v>AR</x:v>
      </x:c>
      <x:c r="D175" s="81" t="str">
        <x:v>AR-L4-CO-FencePrimitive-052</x:v>
      </x:c>
      <x:c r="E175" s="81" t="str">
        <x:v>SR-05-01-02</x:v>
      </x:c>
      <x:c r="F175" s="81" t="str">
        <x:v>            └─ AR-L4-CO-FencePrimitive-052</x:v>
      </x:c>
      <x:c r="G175" s="81" t="str">
        <x:v>跨设备 KVCache 可见性同步</x:v>
      </x:c>
      <x:c r="H175" s="81" t="n">
        <x:v>1</x:v>
      </x:c>
      <x:c r="I175" s="81" t="str">
        <x:v>L4 底层传输层</x:v>
      </x:c>
      <x:c r="J175" s="81" t="str">
        <x:v>L4-CO-FencePrimitive-052</x:v>
      </x:c>
    </x:row>
    <x:row r="176" ht="15" hidden="0" customHeight="1">
      <x:c r="A176" s="81" t="str">
        <x:v>SF-05/IR-05-01/SR-05-01-02/133</x:v>
      </x:c>
      <x:c r="B176" s="81" t="n">
        <x:v>4</x:v>
      </x:c>
      <x:c r="C176" s="81" t="str">
        <x:v>AR</x:v>
      </x:c>
      <x:c r="D176" s="81" t="str">
        <x:v>AR-L4-CO-ExtentVisibilityFence-066</x:v>
      </x:c>
      <x:c r="E176" s="81" t="str">
        <x:v>SR-05-01-02</x:v>
      </x:c>
      <x:c r="F176" s="81" t="str">
        <x:v>            └─ AR-L4-CO-ExtentVisibilityFence-066</x:v>
      </x:c>
      <x:c r="G176" s="81" t="str">
        <x:v>KV block/page 可见性同步</x:v>
      </x:c>
      <x:c r="H176" s="81" t="n">
        <x:v>1</x:v>
      </x:c>
      <x:c r="I176" s="81" t="str">
        <x:v>L4 底层传输层</x:v>
      </x:c>
      <x:c r="J176" s="81" t="str">
        <x:v>L4-CO-ExtentVisibilityFence-066</x:v>
      </x:c>
    </x:row>
    <x:row r="177" ht="15" hidden="0" customHeight="1">
      <x:c r="A177" s="72" t="str">
        <x:v>SF-05/IR-05-02</x:v>
      </x:c>
      <x:c r="B177" s="72" t="n">
        <x:v>2</x:v>
      </x:c>
      <x:c r="C177" s="72" t="str">
        <x:v>IR</x:v>
      </x:c>
      <x:c r="D177" s="72" t="str">
        <x:v>IR-05-02</x:v>
      </x:c>
      <x:c r="E177" s="72" t="str">
        <x:v>SF-05</x:v>
      </x:c>
      <x:c r="F177" s="72" t="str">
        <x:v>    ├─ IR-05-02 租约、引用计数与并发所有权</x:v>
      </x:c>
      <x:c r="G177" s="72" t="str">
        <x:v>活动消费者使用KV期间不得被迁移、释放或错误复用。</x:v>
      </x:c>
      <x:c r="H177" s="72" t="n">
        <x:f>COUNTIF('AR全量追溯'!$E$5:$E$148,D177)</x:f>
        <x:v>5</x:v>
      </x:c>
      <x:c r="I177" s="72" t="str">
        <x:v>L2/L3/L4</x:v>
      </x:c>
      <x:c r="J177" s="72" t="str">
        <x:v>本版定义</x:v>
      </x:c>
    </x:row>
    <x:row r="178" ht="24" hidden="0" customHeight="1">
      <x:c r="A178" s="76" t="str">
        <x:v>SF-05/IR-05-02/SR-05-02-01</x:v>
      </x:c>
      <x:c r="B178" s="76" t="n">
        <x:v>3</x:v>
      </x:c>
      <x:c r="C178" s="76" t="str">
        <x:v>SR</x:v>
      </x:c>
      <x:c r="D178" s="76" t="str">
        <x:v>SR-05-02-01</x:v>
      </x:c>
      <x:c r="E178" s="76" t="str">
        <x:v>IR-05-02</x:v>
      </x:c>
      <x:c r="F178" s="76" t="str">
        <x:v>        ├─ SR-05-02-01 Lease、RefCount、Ownership GC与安全下线</x:v>
      </x:c>
      <x:c r="G178" s="76" t="str">
        <x:v>系统应保护活动对象并在异常所有者/节点退出后安全回收。</x:v>
      </x:c>
      <x:c r="H178" s="76" t="n">
        <x:f>COUNTIF('AR全量追溯'!$G$5:$G$148,D178)</x:f>
        <x:v>5</x:v>
      </x:c>
      <x:c r="I178" s="76" t="str">
        <x:v>L2/L3/L4</x:v>
      </x:c>
      <x:c r="J178" s="76" t="str">
        <x:v>本版定义</x:v>
      </x:c>
    </x:row>
    <x:row r="179" ht="15" hidden="0" customHeight="1">
      <x:c r="A179" s="81" t="str">
        <x:v>SF-05/IR-05-02/SR-05-02-01/030</x:v>
      </x:c>
      <x:c r="B179" s="81" t="n">
        <x:v>4</x:v>
      </x:c>
      <x:c r="C179" s="81" t="str">
        <x:v>AR</x:v>
      </x:c>
      <x:c r="D179" s="81" t="str">
        <x:v>AR-L2-MM-ViewLease-028</x:v>
      </x:c>
      <x:c r="E179" s="81" t="str">
        <x:v>SR-05-02-01</x:v>
      </x:c>
      <x:c r="F179" s="81" t="str">
        <x:v>            └─ AR-L2-MM-ViewLease-028</x:v>
      </x:c>
      <x:c r="G179" s="81" t="str">
        <x:v>共享内存 KVCache 安全租约访问</x:v>
      </x:c>
      <x:c r="H179" s="81" t="n">
        <x:v>1</x:v>
      </x:c>
      <x:c r="I179" s="81" t="str">
        <x:v>L2 KVConnector层</x:v>
      </x:c>
      <x:c r="J179" s="81" t="str">
        <x:v>L2-MM-ViewLease-028</x:v>
      </x:c>
    </x:row>
    <x:row r="180" ht="15" hidden="0" customHeight="1">
      <x:c r="A180" s="81" t="str">
        <x:v>SF-05/IR-05-02/SR-05-02-01/081</x:v>
      </x:c>
      <x:c r="B180" s="81" t="n">
        <x:v>4</x:v>
      </x:c>
      <x:c r="C180" s="81" t="str">
        <x:v>AR</x:v>
      </x:c>
      <x:c r="D180" s="81" t="str">
        <x:v>AR-L3-CO-AttachDetachLease-063</x:v>
      </x:c>
      <x:c r="E180" s="81" t="str">
        <x:v>SR-05-02-01</x:v>
      </x:c>
      <x:c r="F180" s="81" t="str">
        <x:v>            └─ AR-L3-CO-AttachDetachLease-063</x:v>
      </x:c>
      <x:c r="G180" s="81" t="str">
        <x:v>Decode 使用 KV 期间防止被迁移或释放</x:v>
      </x:c>
      <x:c r="H180" s="81" t="n">
        <x:v>1</x:v>
      </x:c>
      <x:c r="I180" s="81" t="str">
        <x:v>L3 传输管理层</x:v>
      </x:c>
      <x:c r="J180" s="81" t="str">
        <x:v>L3-CO-AttachDetachLease-063</x:v>
      </x:c>
    </x:row>
    <x:row r="181" ht="15" hidden="0" customHeight="1">
      <x:c r="A181" s="81" t="str">
        <x:v>SF-05/IR-05-02/SR-05-02-01/098</x:v>
      </x:c>
      <x:c r="B181" s="81" t="n">
        <x:v>4</x:v>
      </x:c>
      <x:c r="C181" s="81" t="str">
        <x:v>AR</x:v>
      </x:c>
      <x:c r="D181" s="81" t="str">
        <x:v>AR-L3-CO-KVOwnershipGC-080</x:v>
      </x:c>
      <x:c r="E181" s="81" t="str">
        <x:v>SR-05-02-01</x:v>
      </x:c>
      <x:c r="F181" s="81" t="str">
        <x:v>            └─ AR-L3-CO-KVOwnershipGC-080</x:v>
      </x:c>
      <x:c r="G181" s="81" t="str">
        <x:v>KV 对象所有权与异常回收</x:v>
      </x:c>
      <x:c r="H181" s="81" t="n">
        <x:v>1</x:v>
      </x:c>
      <x:c r="I181" s="81" t="str">
        <x:v>L3 传输管理层</x:v>
      </x:c>
      <x:c r="J181" s="81" t="str">
        <x:v>L3-CO-KVOwnershipGC-080</x:v>
      </x:c>
    </x:row>
    <x:row r="182" ht="15" hidden="0" customHeight="1">
      <x:c r="A182" s="81" t="str">
        <x:v>SF-05/IR-05-02/SR-05-02-01/103</x:v>
      </x:c>
      <x:c r="B182" s="81" t="n">
        <x:v>4</x:v>
      </x:c>
      <x:c r="C182" s="81" t="str">
        <x:v>AR</x:v>
      </x:c>
      <x:c r="D182" s="81" t="str">
        <x:v>AR-L3-CO-RefCountLifecycle-086</x:v>
      </x:c>
      <x:c r="E182" s="81" t="str">
        <x:v>SR-05-02-01</x:v>
      </x:c>
      <x:c r="F182" s="81" t="str">
        <x:v>            └─ AR-L3-CO-RefCountLifecycle-086</x:v>
      </x:c>
      <x:c r="G182" s="81" t="str">
        <x:v>活动计算流中 KVCache 块的驱逐保护</x:v>
      </x:c>
      <x:c r="H182" s="81" t="n">
        <x:v>1</x:v>
      </x:c>
      <x:c r="I182" s="81" t="str">
        <x:v>L3 传输管理层</x:v>
      </x:c>
      <x:c r="J182" s="81" t="str">
        <x:v>L3-CO-RefCountLifecycle-086</x:v>
      </x:c>
    </x:row>
    <x:row r="183" ht="15" hidden="0" customHeight="1">
      <x:c r="A183" s="81" t="str">
        <x:v>SF-05/IR-05-02/SR-05-02-01/140</x:v>
      </x:c>
      <x:c r="B183" s="81" t="n">
        <x:v>4</x:v>
      </x:c>
      <x:c r="C183" s="81" t="str">
        <x:v>AR</x:v>
      </x:c>
      <x:c r="D183" s="81" t="str">
        <x:v>AR-L4-CO-DrainAndQuiesce-073</x:v>
      </x:c>
      <x:c r="E183" s="81" t="str">
        <x:v>SR-05-02-01</x:v>
      </x:c>
      <x:c r="F183" s="81" t="str">
        <x:v>            └─ AR-L4-CO-DrainAndQuiesce-073</x:v>
      </x:c>
      <x:c r="G183" s="81" t="str">
        <x:v>后端资源切换与节点下线</x:v>
      </x:c>
      <x:c r="H183" s="81" t="n">
        <x:v>1</x:v>
      </x:c>
      <x:c r="I183" s="81" t="str">
        <x:v>L4 底层传输层</x:v>
      </x:c>
      <x:c r="J183" s="81" t="str">
        <x:v>L4-CO-DrainAndQuiesce-073</x:v>
      </x:c>
    </x:row>
    <x:row r="184" ht="15" hidden="0" customHeight="1">
      <x:c r="A184" s="72" t="str">
        <x:v>SF-05/IR-05-03</x:v>
      </x:c>
      <x:c r="B184" s="72" t="n">
        <x:v>2</x:v>
      </x:c>
      <x:c r="C184" s="72" t="str">
        <x:v>IR</x:v>
      </x:c>
      <x:c r="D184" s="72" t="str">
        <x:v>IR-05-03</x:v>
      </x:c>
      <x:c r="E184" s="72" t="str">
        <x:v>SF-05</x:v>
      </x:c>
      <x:c r="F184" s="72" t="str">
        <x:v>    ├─ IR-05-03 分路径完整性、RAS与故障降级</x:v>
      </x:c>
      <x:c r="G184" s="72" t="str">
        <x:v>完整性目标必选，实现按本地DDR、远端内存、SSD/object的风险选择。</x:v>
      </x:c>
      <x:c r="H184" s="72" t="n">
        <x:f>COUNTIF('AR全量追溯'!$E$5:$E$148,D184)</x:f>
        <x:v>5</x:v>
      </x:c>
      <x:c r="I184" s="72" t="str">
        <x:v>L3/L4</x:v>
      </x:c>
      <x:c r="J184" s="72" t="str">
        <x:v>本版定义</x:v>
      </x:c>
    </x:row>
    <x:row r="185" ht="15" hidden="0" customHeight="1">
      <x:c r="A185" s="76" t="str">
        <x:v>SF-05/IR-05-03/SR-05-03-01</x:v>
      </x:c>
      <x:c r="B185" s="76" t="n">
        <x:v>3</x:v>
      </x:c>
      <x:c r="C185" s="76" t="str">
        <x:v>SR</x:v>
      </x:c>
      <x:c r="D185" s="76" t="str">
        <x:v>SR-05-03-01</x:v>
      </x:c>
      <x:c r="E185" s="76" t="str">
        <x:v>IR-05-03</x:v>
      </x:c>
      <x:c r="F185" s="76" t="str">
        <x:v>        ├─ SR-05-03-01 分路径Integrity Policy与副本校验</x:v>
      </x:c>
      <x:c r="G185" s="76" t="str">
        <x:v>系统应按介质/链路配置ECC/RAS、completion、backend checksum或硬件E2E证据。</x:v>
      </x:c>
      <x:c r="H185" s="76" t="n">
        <x:f>COUNTIF('AR全量追溯'!$G$5:$G$148,D185)</x:f>
        <x:v>2</x:v>
      </x:c>
      <x:c r="I185" s="76" t="str">
        <x:v>L4</x:v>
      </x:c>
      <x:c r="J185" s="76" t="str">
        <x:v>本版定义</x:v>
      </x:c>
    </x:row>
    <x:row r="186" ht="15" hidden="0" customHeight="1">
      <x:c r="A186" s="81" t="str">
        <x:v>SF-05/IR-05-03/SR-05-03-01/136</x:v>
      </x:c>
      <x:c r="B186" s="81" t="n">
        <x:v>4</x:v>
      </x:c>
      <x:c r="C186" s="81" t="str">
        <x:v>AR</x:v>
      </x:c>
      <x:c r="D186" s="81" t="str">
        <x:v>AR-L4-FT-ReplicaIntegrityCheck-069</x:v>
      </x:c>
      <x:c r="E186" s="81" t="str">
        <x:v>SR-05-03-01</x:v>
      </x:c>
      <x:c r="F186" s="81" t="str">
        <x:v>            └─ AR-L4-FT-ReplicaIntegrityCheck-069</x:v>
      </x:c>
      <x:c r="G186" s="81" t="str">
        <x:v>本地 DDR、远端内存、SSD/object 的差异化完整性与故障处理</x:v>
      </x:c>
      <x:c r="H186" s="81" t="n">
        <x:v>1</x:v>
      </x:c>
      <x:c r="I186" s="81" t="str">
        <x:v>L4 底层传输层</x:v>
      </x:c>
      <x:c r="J186" s="81" t="str">
        <x:v>L4-FT-ReplicaIntegrityCheck-069</x:v>
      </x:c>
    </x:row>
    <x:row r="187" ht="15" hidden="0" customHeight="1">
      <x:c r="A187" s="81" t="str">
        <x:v>SF-05/IR-05-03/SR-05-03-01/144</x:v>
      </x:c>
      <x:c r="B187" s="81" t="n">
        <x:v>4</x:v>
      </x:c>
      <x:c r="C187" s="81" t="str">
        <x:v>AR</x:v>
      </x:c>
      <x:c r="D187" s="81" t="str">
        <x:v>AR-L4-FT-PathIntegrityPolicy-077</x:v>
      </x:c>
      <x:c r="E187" s="81" t="str">
        <x:v>SR-05-03-01</x:v>
      </x:c>
      <x:c r="F187" s="81" t="str">
        <x:v>            └─ AR-L4-FT-PathIntegrityPolicy-077</x:v>
      </x:c>
      <x:c r="G187" s="81" t="str">
        <x:v>在不引入CPU Payload扫描的前提下保证错误KV不被消费</x:v>
      </x:c>
      <x:c r="H187" s="81" t="n">
        <x:v>1</x:v>
      </x:c>
      <x:c r="I187" s="81" t="str">
        <x:v>L4 底层传输层</x:v>
      </x:c>
      <x:c r="J187" s="81" t="str">
        <x:v>L4-FT-PathIntegrityPolicy-077</x:v>
      </x:c>
    </x:row>
    <x:row r="188" ht="15" hidden="0" customHeight="1">
      <x:c r="A188" s="76" t="str">
        <x:v>SF-05/IR-05-03/SR-05-03-02</x:v>
      </x:c>
      <x:c r="B188" s="76" t="n">
        <x:v>3</x:v>
      </x:c>
      <x:c r="C188" s="76" t="str">
        <x:v>SR</x:v>
      </x:c>
      <x:c r="D188" s="76" t="str">
        <x:v>SR-05-03-02</x:v>
      </x:c>
      <x:c r="E188" s="76" t="str">
        <x:v>IR-05-03</x:v>
      </x:c>
      <x:c r="F188" s="76" t="str">
        <x:v>        ├─ SR-05-03-02 副本隔离与RAS错误映射</x:v>
      </x:c>
      <x:c r="G188" s="76" t="str">
        <x:v>系统应隔离异常副本并把硬件错误映射为可执行恢复动作。</x:v>
      </x:c>
      <x:c r="H188" s="76" t="n">
        <x:f>COUNTIF('AR全量追溯'!$G$5:$G$148,D188)</x:f>
        <x:v>2</x:v>
      </x:c>
      <x:c r="I188" s="76" t="str">
        <x:v>L3/L4</x:v>
      </x:c>
      <x:c r="J188" s="76" t="str">
        <x:v>本版定义</x:v>
      </x:c>
    </x:row>
    <x:row r="189" ht="15" hidden="0" customHeight="1">
      <x:c r="A189" s="81" t="str">
        <x:v>SF-05/IR-05-03/SR-05-03-02/086</x:v>
      </x:c>
      <x:c r="B189" s="81" t="n">
        <x:v>4</x:v>
      </x:c>
      <x:c r="C189" s="81" t="str">
        <x:v>AR</x:v>
      </x:c>
      <x:c r="D189" s="81" t="str">
        <x:v>AR-L3-CO-ReplicaQuarantine-068</x:v>
      </x:c>
      <x:c r="E189" s="81" t="str">
        <x:v>SR-05-03-02</x:v>
      </x:c>
      <x:c r="F189" s="81" t="str">
        <x:v>            └─ AR-L3-CO-ReplicaQuarantine-068</x:v>
      </x:c>
      <x:c r="G189" s="81" t="str">
        <x:v>异常 KV 副本隔离</x:v>
      </x:c>
      <x:c r="H189" s="81" t="n">
        <x:v>1</x:v>
      </x:c>
      <x:c r="I189" s="81" t="str">
        <x:v>L3 传输管理层</x:v>
      </x:c>
      <x:c r="J189" s="81" t="str">
        <x:v>L3-CO-ReplicaQuarantine-068</x:v>
      </x:c>
    </x:row>
    <x:row r="190" ht="15" hidden="0" customHeight="1">
      <x:c r="A190" s="81" t="str">
        <x:v>SF-05/IR-05-03/SR-05-03-02/126</x:v>
      </x:c>
      <x:c r="B190" s="81" t="n">
        <x:v>4</x:v>
      </x:c>
      <x:c r="C190" s="81" t="str">
        <x:v>AR</x:v>
      </x:c>
      <x:c r="D190" s="81" t="str">
        <x:v>AR-L4-FT-RASErrorMap-061</x:v>
      </x:c>
      <x:c r="E190" s="81" t="str">
        <x:v>SR-05-03-02</x:v>
      </x:c>
      <x:c r="F190" s="81" t="str">
        <x:v>            └─ AR-L4-FT-RASErrorMap-061</x:v>
      </x:c>
      <x:c r="G190" s="81" t="str">
        <x:v>KVCache 硬件故障统一恢复</x:v>
      </x:c>
      <x:c r="H190" s="81" t="n">
        <x:v>1</x:v>
      </x:c>
      <x:c r="I190" s="81" t="str">
        <x:v>L4 底层传输层</x:v>
      </x:c>
      <x:c r="J190" s="81" t="str">
        <x:v>L4-FT-RASErrorMap-061</x:v>
      </x:c>
    </x:row>
    <x:row r="191" ht="15" hidden="0" customHeight="1">
      <x:c r="A191" s="76" t="str">
        <x:v>SF-05/IR-05-03/SR-05-03-03</x:v>
      </x:c>
      <x:c r="B191" s="76" t="n">
        <x:v>3</x:v>
      </x:c>
      <x:c r="C191" s="76" t="str">
        <x:v>SR</x:v>
      </x:c>
      <x:c r="D191" s="76" t="str">
        <x:v>SR-05-03-03</x:v>
      </x:c>
      <x:c r="E191" s="76" t="str">
        <x:v>IR-05-03</x:v>
      </x:c>
      <x:c r="F191" s="76" t="str">
        <x:v>        ├─ SR-05-03-03 Fallback故障链路追踪</x:v>
      </x:c>
      <x:c r="G191" s="76" t="str">
        <x:v>系统应完整记录故障、决策、降级目标和最终结果。</x:v>
      </x:c>
      <x:c r="H191" s="76" t="n">
        <x:f>COUNTIF('AR全量追溯'!$G$5:$G$148,D191)</x:f>
        <x:v>1</x:v>
      </x:c>
      <x:c r="I191" s="76" t="str">
        <x:v>L3</x:v>
      </x:c>
      <x:c r="J191" s="76" t="str">
        <x:v>本版定义</x:v>
      </x:c>
    </x:row>
    <x:row r="192" ht="15" hidden="0" customHeight="1">
      <x:c r="A192" s="81" t="str">
        <x:v>SF-05/IR-05-03/SR-05-03-03/072</x:v>
      </x:c>
      <x:c r="B192" s="81" t="n">
        <x:v>4</x:v>
      </x:c>
      <x:c r="C192" s="81" t="str">
        <x:v>AR</x:v>
      </x:c>
      <x:c r="D192" s="81" t="str">
        <x:v>AR-L3-FT-FallbackTrace-046</x:v>
      </x:c>
      <x:c r="E192" s="81" t="str">
        <x:v>SR-05-03-03</x:v>
      </x:c>
      <x:c r="F192" s="81" t="str">
        <x:v>            └─ AR-L3-FT-FallbackTrace-046</x:v>
      </x:c>
      <x:c r="G192" s="81" t="str">
        <x:v>KVCache 降级链路故障追踪</x:v>
      </x:c>
      <x:c r="H192" s="81" t="n">
        <x:v>1</x:v>
      </x:c>
      <x:c r="I192" s="81" t="str">
        <x:v>L3 传输管理层</x:v>
      </x:c>
      <x:c r="J192" s="81" t="str">
        <x:v>L3-FT-FallbackTrace-046</x:v>
      </x:c>
    </x:row>
    <x:row r="193" ht="15" hidden="0" customHeight="1">
      <x:c r="A193" s="72" t="str">
        <x:v>SF-05/IR-05-04</x:v>
      </x:c>
      <x:c r="B193" s="72" t="n">
        <x:v>2</x:v>
      </x:c>
      <x:c r="C193" s="72" t="str">
        <x:v>IR</x:v>
      </x:c>
      <x:c r="D193" s="72" t="str">
        <x:v>IR-05-04</x:v>
      </x:c>
      <x:c r="E193" s="72" t="str">
        <x:v>SF-05</x:v>
      </x:c>
      <x:c r="F193" s="72" t="str">
        <x:v>    ├─ IR-05-04 多租户隔离与安全共享</x:v>
      </x:c>
      <x:c r="G193" s="72" t="str">
        <x:v>KV身份、资源池和物理extent需防止跨租户误命中、越权访问和数据残留。</x:v>
      </x:c>
      <x:c r="H193" s="72" t="n">
        <x:f>COUNTIF('AR全量追溯'!$E$5:$E$148,D193)</x:f>
        <x:v>4</x:v>
      </x:c>
      <x:c r="I193" s="72" t="str">
        <x:v>L1/L3/L4</x:v>
      </x:c>
      <x:c r="J193" s="72" t="str">
        <x:v>本版定义</x:v>
      </x:c>
    </x:row>
    <x:row r="194" ht="15" hidden="0" customHeight="1">
      <x:c r="A194" s="76" t="str">
        <x:v>SF-05/IR-05-04/SR-05-04-01</x:v>
      </x:c>
      <x:c r="B194" s="76" t="n">
        <x:v>3</x:v>
      </x:c>
      <x:c r="C194" s="76" t="str">
        <x:v>SR</x:v>
      </x:c>
      <x:c r="D194" s="76" t="str">
        <x:v>SR-05-04-01</x:v>
      </x:c>
      <x:c r="E194" s="76" t="str">
        <x:v>IR-05-04</x:v>
      </x:c>
      <x:c r="F194" s="76" t="str">
        <x:v>        ├─ SR-05-04-01 租户身份与存储池资源隔离</x:v>
      </x:c>
      <x:c r="G194" s="76" t="str">
        <x:v>系统应在key、配额、位置和共享策略上隔离租户与安全域。</x:v>
      </x:c>
      <x:c r="H194" s="76" t="n">
        <x:f>COUNTIF('AR全量追溯'!$G$5:$G$148,D194)</x:f>
        <x:v>2</x:v>
      </x:c>
      <x:c r="I194" s="76" t="str">
        <x:v>L1/L3</x:v>
      </x:c>
      <x:c r="J194" s="76" t="str">
        <x:v>本版定义</x:v>
      </x:c>
    </x:row>
    <x:row r="195" ht="15" hidden="0" customHeight="1">
      <x:c r="A195" s="81" t="str">
        <x:v>SF-05/IR-05-04/SR-05-04-01/015</x:v>
      </x:c>
      <x:c r="B195" s="81" t="n">
        <x:v>4</x:v>
      </x:c>
      <x:c r="C195" s="81" t="str">
        <x:v>AR</x:v>
      </x:c>
      <x:c r="D195" s="81" t="str">
        <x:v>AR-L1-SC-TenantIsolation-017</x:v>
      </x:c>
      <x:c r="E195" s="81" t="str">
        <x:v>SR-05-04-01</x:v>
      </x:c>
      <x:c r="F195" s="81" t="str">
        <x:v>            └─ AR-L1-SC-TenantIsolation-017</x:v>
      </x:c>
      <x:c r="G195" s="81" t="str">
        <x:v>多租户 KVCache 隔离共享</x:v>
      </x:c>
      <x:c r="H195" s="81" t="n">
        <x:v>1</x:v>
      </x:c>
      <x:c r="I195" s="81" t="str">
        <x:v>L1 推理调度层</x:v>
      </x:c>
      <x:c r="J195" s="81" t="str">
        <x:v>L1-SC-TenantIsolation-017</x:v>
      </x:c>
    </x:row>
    <x:row r="196" ht="15" hidden="0" customHeight="1">
      <x:c r="A196" s="81" t="str">
        <x:v>SF-05/IR-05-04/SR-05-04-01/070</x:v>
      </x:c>
      <x:c r="B196" s="81" t="n">
        <x:v>4</x:v>
      </x:c>
      <x:c r="C196" s="81" t="str">
        <x:v>AR</x:v>
      </x:c>
      <x:c r="D196" s="81" t="str">
        <x:v>AR-L3-SC-PoolIsolation-048</x:v>
      </x:c>
      <x:c r="E196" s="81" t="str">
        <x:v>SR-05-04-01</x:v>
      </x:c>
      <x:c r="F196" s="81" t="str">
        <x:v>            └─ AR-L3-SC-PoolIsolation-048</x:v>
      </x:c>
      <x:c r="G196" s="81" t="str">
        <x:v>多租户统一 KV 存储池资源隔离</x:v>
      </x:c>
      <x:c r="H196" s="81" t="n">
        <x:v>1</x:v>
      </x:c>
      <x:c r="I196" s="81" t="str">
        <x:v>L3 传输管理层</x:v>
      </x:c>
      <x:c r="J196" s="81" t="str">
        <x:v>L3-SC-PoolIsolation-048</x:v>
      </x:c>
    </x:row>
    <x:row r="197" ht="15" hidden="0" customHeight="1">
      <x:c r="A197" s="76" t="str">
        <x:v>SF-05/IR-05-04/SR-05-04-02</x:v>
      </x:c>
      <x:c r="B197" s="76" t="n">
        <x:v>3</x:v>
      </x:c>
      <x:c r="C197" s="76" t="str">
        <x:v>SR</x:v>
      </x:c>
      <x:c r="D197" s="76" t="str">
        <x:v>SR-05-04-02</x:v>
      </x:c>
      <x:c r="E197" s="76" t="str">
        <x:v>IR-05-04</x:v>
      </x:c>
      <x:c r="F197" s="76" t="str">
        <x:v>        ├─ SR-05-04-02 Memory View保护与Extent安全释放</x:v>
      </x:c>
      <x:c r="G197" s="76" t="str">
        <x:v>系统应验证view权限，并在物理空间复用前清除旧对象可访问性。</x:v>
      </x:c>
      <x:c r="H197" s="76" t="n">
        <x:f>COUNTIF('AR全量追溯'!$G$5:$G$148,D197)</x:f>
        <x:v>2</x:v>
      </x:c>
      <x:c r="I197" s="76" t="str">
        <x:v>L4</x:v>
      </x:c>
      <x:c r="J197" s="76" t="str">
        <x:v>本版定义</x:v>
      </x:c>
    </x:row>
    <x:row r="198" ht="15" hidden="0" customHeight="1">
      <x:c r="A198" s="81" t="str">
        <x:v>SF-05/IR-05-04/SR-05-04-02/128</x:v>
      </x:c>
      <x:c r="B198" s="81" t="n">
        <x:v>4</x:v>
      </x:c>
      <x:c r="C198" s="81" t="str">
        <x:v>AR</x:v>
      </x:c>
      <x:c r="D198" s="81" t="str">
        <x:v>AR-L4-SC-ViewProtection-062</x:v>
      </x:c>
      <x:c r="E198" s="81" t="str">
        <x:v>SR-05-04-02</x:v>
      </x:c>
      <x:c r="F198" s="81" t="str">
        <x:v>            └─ AR-L4-SC-ViewProtection-062</x:v>
      </x:c>
      <x:c r="G198" s="81" t="str">
        <x:v>共享内存 KVCache 安全访问保护</x:v>
      </x:c>
      <x:c r="H198" s="81" t="n">
        <x:v>1</x:v>
      </x:c>
      <x:c r="I198" s="81" t="str">
        <x:v>L4 底层传输层</x:v>
      </x:c>
      <x:c r="J198" s="81" t="str">
        <x:v>L4-SC-ViewProtection-062</x:v>
      </x:c>
    </x:row>
    <x:row r="199" ht="15" hidden="0" customHeight="1">
      <x:c r="A199" s="81" t="str">
        <x:v>SF-05/IR-05-04/SR-05-04-02/141</x:v>
      </x:c>
      <x:c r="B199" s="81" t="n">
        <x:v>4</x:v>
      </x:c>
      <x:c r="C199" s="81" t="str">
        <x:v>AR</x:v>
      </x:c>
      <x:c r="D199" s="81" t="str">
        <x:v>AR-L4-SC-SecureExtentRelease-074</x:v>
      </x:c>
      <x:c r="E199" s="81" t="str">
        <x:v>SR-05-04-02</x:v>
      </x:c>
      <x:c r="F199" s="81" t="str">
        <x:v>            └─ AR-L4-SC-SecureExtentRelease-074</x:v>
      </x:c>
      <x:c r="G199" s="81" t="str">
        <x:v>KV 物理空间安全复用</x:v>
      </x:c>
      <x:c r="H199" s="81" t="n">
        <x:v>1</x:v>
      </x:c>
      <x:c r="I199" s="81" t="str">
        <x:v>L4 底层传输层</x:v>
      </x:c>
      <x:c r="J199" s="81" t="str">
        <x:v>L4-SC-SecureExtentRelease-074</x:v>
      </x:c>
    </x:row>
    <x:row r="200" ht="24" hidden="0" customHeight="1">
      <x:c r="A200" s="68" t="str">
        <x:v>SF-06</x:v>
      </x:c>
      <x:c r="B200" s="68" t="n">
        <x:v>1</x:v>
      </x:c>
      <x:c r="C200" s="68" t="str">
        <x:v>SF</x:v>
      </x:c>
      <x:c r="D200" s="68" t="str">
        <x:v>SF-06</x:v>
      </x:c>
      <x:c r="E200" s="68" t="str">
        <x:v>ROOT</x:v>
      </x:c>
      <x:c r="F200" s="68" t="str">
        <x:v>● SF-06 性能QoS、收益闭环与平台演进</x:v>
      </x:c>
      <x:c r="G200" s="68" t="str">
        <x:v>在容量扩展的同时控制TTFT、TPOT和后台流量干扰，以可观测证据驱动策略、运维和软硬件演进。</x:v>
      </x:c>
      <x:c r="H200" s="68" t="n">
        <x:f>COUNTIF('AR全量追溯'!$C$5:$C$148,D200)</x:f>
        <x:v>12</x:v>
      </x:c>
      <x:c r="I200" s="68" t="str">
        <x:v>L1/L3/L4</x:v>
      </x:c>
      <x:c r="J200" s="68" t="str">
        <x:v>本版定义</x:v>
      </x:c>
    </x:row>
    <x:row r="201" ht="15" hidden="0" customHeight="1">
      <x:c r="A201" s="72" t="str">
        <x:v>SF-06/IR-06-01</x:v>
      </x:c>
      <x:c r="B201" s="72" t="n">
        <x:v>2</x:v>
      </x:c>
      <x:c r="C201" s="72" t="str">
        <x:v>IR</x:v>
      </x:c>
      <x:c r="D201" s="72" t="str">
        <x:v>IR-06-01</x:v>
      </x:c>
      <x:c r="E201" s="72" t="str">
        <x:v>SF-06</x:v>
      </x:c>
      <x:c r="F201" s="72" t="str">
        <x:v>    ├─ IR-06-01 前后台流量与迁移QoS</x:v>
      </x:c>
      <x:c r="G201" s="72" t="str">
        <x:v>前台decode/restore流量需与后台迁移、预取、复制和整理流量隔离。</x:v>
      </x:c>
      <x:c r="H201" s="72" t="n">
        <x:f>COUNTIF('AR全量追溯'!$E$5:$E$148,D201)</x:f>
        <x:v>4</x:v>
      </x:c>
      <x:c r="I201" s="72" t="str">
        <x:v>L3/L4</x:v>
      </x:c>
      <x:c r="J201" s="72" t="str">
        <x:v>本版定义</x:v>
      </x:c>
    </x:row>
    <x:row r="202" ht="15" hidden="0" customHeight="1">
      <x:c r="A202" s="76" t="str">
        <x:v>SF-06/IR-06-01/SR-06-01-01</x:v>
      </x:c>
      <x:c r="B202" s="76" t="n">
        <x:v>3</x:v>
      </x:c>
      <x:c r="C202" s="76" t="str">
        <x:v>SR</x:v>
      </x:c>
      <x:c r="D202" s="76" t="str">
        <x:v>SR-06-01-01</x:v>
      </x:c>
      <x:c r="E202" s="76" t="str">
        <x:v>IR-06-01</x:v>
      </x:c>
      <x:c r="F202" s="76" t="str">
        <x:v>        ├─ SR-06-01-01 语义QoS与硬件Traffic Class</x:v>
      </x:c>
      <x:c r="G202" s="76" t="str">
        <x:v>系统应区分前台load/decode与后台复制、预取、回源流量。</x:v>
      </x:c>
      <x:c r="H202" s="76" t="n">
        <x:f>COUNTIF('AR全量追溯'!$G$5:$G$148,D202)</x:f>
        <x:v>2</x:v>
      </x:c>
      <x:c r="I202" s="76" t="str">
        <x:v>L3/L4</x:v>
      </x:c>
      <x:c r="J202" s="76" t="str">
        <x:v>本版定义</x:v>
      </x:c>
    </x:row>
    <x:row r="203" ht="15" hidden="0" customHeight="1">
      <x:c r="A203" s="81" t="str">
        <x:v>SF-06/IR-06-01/SR-06-01-01/069</x:v>
      </x:c>
      <x:c r="B203" s="81" t="n">
        <x:v>4</x:v>
      </x:c>
      <x:c r="C203" s="81" t="str">
        <x:v>AR</x:v>
      </x:c>
      <x:c r="D203" s="81" t="str">
        <x:v>AR-L3-QO-SemanticQoS-045</x:v>
      </x:c>
      <x:c r="E203" s="81" t="str">
        <x:v>SR-06-01-01</x:v>
      </x:c>
      <x:c r="F203" s="81" t="str">
        <x:v>            └─ AR-L3-QO-SemanticQoS-045</x:v>
      </x:c>
      <x:c r="G203" s="81" t="str">
        <x:v>前台推理与后台 KV 任务流量隔离</x:v>
      </x:c>
      <x:c r="H203" s="81" t="n">
        <x:v>1</x:v>
      </x:c>
      <x:c r="I203" s="81" t="str">
        <x:v>L3 传输管理层</x:v>
      </x:c>
      <x:c r="J203" s="81" t="str">
        <x:v>L3-QO-SemanticQoS-045</x:v>
      </x:c>
    </x:row>
    <x:row r="204" ht="15" hidden="0" customHeight="1">
      <x:c r="A204" s="81" t="str">
        <x:v>SF-06/IR-06-01/SR-06-01-01/127</x:v>
      </x:c>
      <x:c r="B204" s="81" t="n">
        <x:v>4</x:v>
      </x:c>
      <x:c r="C204" s="81" t="str">
        <x:v>AR</x:v>
      </x:c>
      <x:c r="D204" s="81" t="str">
        <x:v>AR-L4-QO-TrafficClass-056</x:v>
      </x:c>
      <x:c r="E204" s="81" t="str">
        <x:v>SR-06-01-01</x:v>
      </x:c>
      <x:c r="F204" s="81" t="str">
        <x:v>            └─ AR-L4-QO-TrafficClass-056</x:v>
      </x:c>
      <x:c r="G204" s="81" t="str">
        <x:v>KVCache 多类业务流量硬件隔离</x:v>
      </x:c>
      <x:c r="H204" s="81" t="n">
        <x:v>1</x:v>
      </x:c>
      <x:c r="I204" s="81" t="str">
        <x:v>L4 底层传输层</x:v>
      </x:c>
      <x:c r="J204" s="81" t="str">
        <x:v>L4-QO-TrafficClass-056</x:v>
      </x:c>
    </x:row>
    <x:row r="205" ht="15" hidden="0" customHeight="1">
      <x:c r="A205" s="76" t="str">
        <x:v>SF-06/IR-06-01/SR-06-01-02</x:v>
      </x:c>
      <x:c r="B205" s="76" t="n">
        <x:v>3</x:v>
      </x:c>
      <x:c r="C205" s="76" t="str">
        <x:v>SR</x:v>
      </x:c>
      <x:c r="D205" s="76" t="str">
        <x:v>SR-06-01-02</x:v>
      </x:c>
      <x:c r="E205" s="76" t="str">
        <x:v>IR-06-01</x:v>
      </x:c>
      <x:c r="F205" s="76" t="str">
        <x:v>        ├─ SR-06-01-02 迁移与状态感知流量隔离</x:v>
      </x:c>
      <x:c r="G205" s="76" t="str">
        <x:v>系统应对migration/compaction等状态流量提供独立QoS。</x:v>
      </x:c>
      <x:c r="H205" s="76" t="n">
        <x:f>COUNTIF('AR全量追溯'!$G$5:$G$148,D205)</x:f>
        <x:v>2</x:v>
      </x:c>
      <x:c r="I205" s="76" t="str">
        <x:v>L4</x:v>
      </x:c>
      <x:c r="J205" s="76" t="str">
        <x:v>本版定义</x:v>
      </x:c>
    </x:row>
    <x:row r="206" ht="15" hidden="0" customHeight="1">
      <x:c r="A206" s="81" t="str">
        <x:v>SF-06/IR-06-01/SR-06-01-02/131</x:v>
      </x:c>
      <x:c r="B206" s="81" t="n">
        <x:v>4</x:v>
      </x:c>
      <x:c r="C206" s="81" t="str">
        <x:v>AR</x:v>
      </x:c>
      <x:c r="D206" s="81" t="str">
        <x:v>AR-L4-QO-MigrationQoS-064</x:v>
      </x:c>
      <x:c r="E206" s="81" t="str">
        <x:v>SR-06-01-02</x:v>
      </x:c>
      <x:c r="F206" s="81" t="str">
        <x:v>            └─ AR-L4-QO-MigrationQoS-064</x:v>
      </x:c>
      <x:c r="G206" s="81" t="str">
        <x:v>主动迁移流量硬件隔离保障</x:v>
      </x:c>
      <x:c r="H206" s="81" t="n">
        <x:v>1</x:v>
      </x:c>
      <x:c r="I206" s="81" t="str">
        <x:v>L4 底层传输层</x:v>
      </x:c>
      <x:c r="J206" s="81" t="str">
        <x:v>L4-QO-MigrationQoS-064</x:v>
      </x:c>
    </x:row>
    <x:row r="207" ht="15" hidden="0" customHeight="1">
      <x:c r="A207" s="81" t="str">
        <x:v>SF-06/IR-06-01/SR-06-01-02/135</x:v>
      </x:c>
      <x:c r="B207" s="81" t="n">
        <x:v>4</x:v>
      </x:c>
      <x:c r="C207" s="81" t="str">
        <x:v>AR</x:v>
      </x:c>
      <x:c r="D207" s="81" t="str">
        <x:v>AR-L4-QO-StateAwareTrafficClass-068</x:v>
      </x:c>
      <x:c r="E207" s="81" t="str">
        <x:v>SR-06-01-02</x:v>
      </x:c>
      <x:c r="F207" s="81" t="str">
        <x:v>            └─ AR-L4-QO-StateAwareTrafficClass-068</x:v>
      </x:c>
      <x:c r="G207" s="81" t="str">
        <x:v>KV 状态迁移流量隔离</x:v>
      </x:c>
      <x:c r="H207" s="81" t="n">
        <x:v>1</x:v>
      </x:c>
      <x:c r="I207" s="81" t="str">
        <x:v>L4 底层传输层</x:v>
      </x:c>
      <x:c r="J207" s="81" t="str">
        <x:v>L4-QO-StateAwareTrafficClass-068</x:v>
      </x:c>
    </x:row>
    <x:row r="208" ht="15" hidden="0" customHeight="1">
      <x:c r="A208" s="72" t="str">
        <x:v>SF-06/IR-06-02</x:v>
      </x:c>
      <x:c r="B208" s="72" t="n">
        <x:v>2</x:v>
      </x:c>
      <x:c r="C208" s="72" t="str">
        <x:v>IR</x:v>
      </x:c>
      <x:c r="D208" s="72" t="str">
        <x:v>IR-06-02</x:v>
      </x:c>
      <x:c r="E208" s="72" t="str">
        <x:v>SF-06</x:v>
      </x:c>
      <x:c r="F208" s="72" t="str">
        <x:v>    ├─ IR-06-02 容量水位、反压与稳定性保护</x:v>
      </x:c>
      <x:c r="G208" s="72" t="str">
        <x:v>系统需基于HBM/DDR/SSD水位和碎片状态保护执行面不发生OOM或失控抖动。</x:v>
      </x:c>
      <x:c r="H208" s="72" t="n">
        <x:f>COUNTIF('AR全量追溯'!$E$5:$E$148,D208)</x:f>
        <x:v>1</x:v>
      </x:c>
      <x:c r="I208" s="72" t="str">
        <x:v>L1/L2/L3</x:v>
      </x:c>
      <x:c r="J208" s="72" t="str">
        <x:v>本版定义</x:v>
      </x:c>
    </x:row>
    <x:row r="209" ht="15" hidden="0" customHeight="1">
      <x:c r="A209" s="76" t="str">
        <x:v>SF-06/IR-06-02/SR-06-02-01</x:v>
      </x:c>
      <x:c r="B209" s="76" t="n">
        <x:v>3</x:v>
      </x:c>
      <x:c r="C209" s="76" t="str">
        <x:v>SR</x:v>
      </x:c>
      <x:c r="D209" s="76" t="str">
        <x:v>SR-06-02-01</x:v>
      </x:c>
      <x:c r="E209" s="76" t="str">
        <x:v>IR-06-02</x:v>
      </x:c>
      <x:c r="F209" s="76" t="str">
        <x:v>        ├─ SR-06-02-01 级联水位反压与Admission保护</x:v>
      </x:c>
      <x:c r="G209" s="76" t="str">
        <x:v>系统应在critical水位阻断低价值加载并保护活动执行。</x:v>
      </x:c>
      <x:c r="H209" s="76" t="n">
        <x:f>COUNTIF('AR全量追溯'!$G$5:$G$148,D209)</x:f>
        <x:v>1</x:v>
      </x:c>
      <x:c r="I209" s="76" t="str">
        <x:v>L1</x:v>
      </x:c>
      <x:c r="J209" s="76" t="str">
        <x:v>本版定义</x:v>
      </x:c>
    </x:row>
    <x:row r="210" ht="15" hidden="0" customHeight="1">
      <x:c r="A210" s="81" t="str">
        <x:v>SF-06/IR-06-02/SR-06-02-01/021</x:v>
      </x:c>
      <x:c r="B210" s="81" t="n">
        <x:v>4</x:v>
      </x:c>
      <x:c r="C210" s="81" t="str">
        <x:v>AR</x:v>
      </x:c>
      <x:c r="D210" s="81" t="str">
        <x:v>AR-L1-RT-WatermarkAdmission-024</x:v>
      </x:c>
      <x:c r="E210" s="81" t="str">
        <x:v>SR-06-02-01</x:v>
      </x:c>
      <x:c r="F210" s="81" t="str">
        <x:v>            └─ AR-L1-RT-WatermarkAdmission-024</x:v>
      </x:c>
      <x:c r="G210" s="81" t="str">
        <x:v>级联水位高压反压准入</x:v>
      </x:c>
      <x:c r="H210" s="81" t="n">
        <x:v>1</x:v>
      </x:c>
      <x:c r="I210" s="81" t="str">
        <x:v>L1 推理调度层</x:v>
      </x:c>
      <x:c r="J210" s="81" t="str">
        <x:v>L1-RT-WatermarkAdmission-024</x:v>
      </x:c>
    </x:row>
    <x:row r="211" ht="15" hidden="0" customHeight="1">
      <x:c r="A211" s="72" t="str">
        <x:v>SF-06/IR-06-03</x:v>
      </x:c>
      <x:c r="B211" s="72" t="n">
        <x:v>2</x:v>
      </x:c>
      <x:c r="C211" s="72" t="str">
        <x:v>IR</x:v>
      </x:c>
      <x:c r="D211" s="72" t="str">
        <x:v>IR-06-03</x:v>
      </x:c>
      <x:c r="E211" s="72" t="str">
        <x:v>SF-06</x:v>
      </x:c>
      <x:c r="F211" s="72" t="str">
        <x:v>    ├─ IR-06-03 端到端可观测与收益对账</x:v>
      </x:c>
      <x:c r="G211" s="72" t="str">
        <x:v>每次命中、放弃、路径选择、迁移和故障需关联到统一trace与收益指标。</x:v>
      </x:c>
      <x:c r="H211" s="72" t="n">
        <x:f>COUNTIF('AR全量追溯'!$E$5:$E$148,D211)</x:f>
        <x:v>6</x:v>
      </x:c>
      <x:c r="I211" s="72" t="str">
        <x:v>L1/L2/L3/L4</x:v>
      </x:c>
      <x:c r="J211" s="72" t="str">
        <x:v>本版定义</x:v>
      </x:c>
    </x:row>
    <x:row r="212" ht="15" hidden="0" customHeight="1">
      <x:c r="A212" s="76" t="str">
        <x:v>SF-06/IR-06-03/SR-06-03-01</x:v>
      </x:c>
      <x:c r="B212" s="76" t="n">
        <x:v>3</x:v>
      </x:c>
      <x:c r="C212" s="76" t="str">
        <x:v>SR</x:v>
      </x:c>
      <x:c r="D212" s="76" t="str">
        <x:v>SR-06-03-01</x:v>
      </x:c>
      <x:c r="E212" s="76" t="str">
        <x:v>IR-06-03</x:v>
      </x:c>
      <x:c r="F212" s="76" t="str">
        <x:v>        ├─ SR-06-03-01 语义化命中指标与Path Trace</x:v>
      </x:c>
      <x:c r="G212" s="76" t="str">
        <x:v>系统应区分raw/usable/local/abandoned等命中并关联传输路径。</x:v>
      </x:c>
      <x:c r="H212" s="76" t="n">
        <x:f>COUNTIF('AR全量追溯'!$G$5:$G$148,D212)</x:f>
        <x:v>2</x:v>
      </x:c>
      <x:c r="I212" s="76" t="str">
        <x:v>L1/L2</x:v>
      </x:c>
      <x:c r="J212" s="76" t="str">
        <x:v>本版定义</x:v>
      </x:c>
    </x:row>
    <x:row r="213" ht="15" hidden="0" customHeight="1">
      <x:c r="A213" s="81" t="str">
        <x:v>SF-06/IR-06-03/SR-06-03-01/017</x:v>
      </x:c>
      <x:c r="B213" s="81" t="n">
        <x:v>4</x:v>
      </x:c>
      <x:c r="C213" s="81" t="str">
        <x:v>AR</x:v>
      </x:c>
      <x:c r="D213" s="81" t="str">
        <x:v>AR-L1-OB-SemanticMetrics-016</x:v>
      </x:c>
      <x:c r="E213" s="81" t="str">
        <x:v>SR-06-03-01</x:v>
      </x:c>
      <x:c r="F213" s="81" t="str">
        <x:v>            └─ AR-L1-OB-SemanticMetrics-016</x:v>
      </x:c>
      <x:c r="G213" s="81" t="str">
        <x:v>KVCache 命中收益可观测</x:v>
      </x:c>
      <x:c r="H213" s="81" t="n">
        <x:v>1</x:v>
      </x:c>
      <x:c r="I213" s="81" t="str">
        <x:v>L1 推理调度层</x:v>
      </x:c>
      <x:c r="J213" s="81" t="str">
        <x:v>L1-OB-SemanticMetrics-016</x:v>
      </x:c>
    </x:row>
    <x:row r="214" ht="15" hidden="0" customHeight="1">
      <x:c r="A214" s="81" t="str">
        <x:v>SF-06/IR-06-03/SR-06-03-01/031</x:v>
      </x:c>
      <x:c r="B214" s="81" t="n">
        <x:v>4</x:v>
      </x:c>
      <x:c r="C214" s="81" t="str">
        <x:v>AR</x:v>
      </x:c>
      <x:c r="D214" s="81" t="str">
        <x:v>AR-L2-OB-PathTrace-030</x:v>
      </x:c>
      <x:c r="E214" s="81" t="str">
        <x:v>SR-06-03-01</x:v>
      </x:c>
      <x:c r="F214" s="81" t="str">
        <x:v>            └─ AR-L2-OB-PathTrace-030</x:v>
      </x:c>
      <x:c r="G214" s="81" t="str">
        <x:v>KVCache 传输路径可追踪运维</x:v>
      </x:c>
      <x:c r="H214" s="81" t="n">
        <x:v>1</x:v>
      </x:c>
      <x:c r="I214" s="81" t="str">
        <x:v>L2 KVConnector层</x:v>
      </x:c>
      <x:c r="J214" s="81" t="str">
        <x:v>L2-OB-PathTrace-030</x:v>
      </x:c>
    </x:row>
    <x:row r="215" ht="15" hidden="0" customHeight="1">
      <x:c r="A215" s="76" t="str">
        <x:v>SF-06/IR-06-03/SR-06-03-02</x:v>
      </x:c>
      <x:c r="B215" s="76" t="n">
        <x:v>3</x:v>
      </x:c>
      <x:c r="C215" s="76" t="str">
        <x:v>SR</x:v>
      </x:c>
      <x:c r="D215" s="76" t="str">
        <x:v>SR-06-03-02</x:v>
      </x:c>
      <x:c r="E215" s="76" t="str">
        <x:v>IR-06-03</x:v>
      </x:c>
      <x:c r="F215" s="76" t="str">
        <x:v>        ├─ SR-06-03-02 逐路径Telemetry与远端访问计数</x:v>
      </x:c>
      <x:c r="G215" s="76" t="str">
        <x:v>系统应采集路径带宽、时延、Host参与、队列和远端访问次数。</x:v>
      </x:c>
      <x:c r="H215" s="76" t="n">
        <x:f>COUNTIF('AR全量追溯'!$G$5:$G$148,D215)</x:f>
        <x:v>2</x:v>
      </x:c>
      <x:c r="I215" s="76" t="str">
        <x:v>L3/L4</x:v>
      </x:c>
      <x:c r="J215" s="76" t="str">
        <x:v>本版定义</x:v>
      </x:c>
    </x:row>
    <x:row r="216" ht="15" hidden="0" customHeight="1">
      <x:c r="A216" s="81" t="str">
        <x:v>SF-06/IR-06-03/SR-06-03-02/071</x:v>
      </x:c>
      <x:c r="B216" s="81" t="n">
        <x:v>4</x:v>
      </x:c>
      <x:c r="C216" s="81" t="str">
        <x:v>AR</x:v>
      </x:c>
      <x:c r="D216" s="81" t="str">
        <x:v>AR-L3-OB-PerPathTelemetry-047</x:v>
      </x:c>
      <x:c r="E216" s="81" t="str">
        <x:v>SR-06-03-02</x:v>
      </x:c>
      <x:c r="F216" s="81" t="str">
        <x:v>            └─ AR-L3-OB-PerPathTelemetry-047</x:v>
      </x:c>
      <x:c r="G216" s="81" t="str">
        <x:v>KVCache 全路径性能观测</x:v>
      </x:c>
      <x:c r="H216" s="81" t="n">
        <x:v>1</x:v>
      </x:c>
      <x:c r="I216" s="81" t="str">
        <x:v>L3 传输管理层</x:v>
      </x:c>
      <x:c r="J216" s="81" t="str">
        <x:v>L3-OB-PerPathTelemetry-047</x:v>
      </x:c>
    </x:row>
    <x:row r="217" ht="15" hidden="0" customHeight="1">
      <x:c r="A217" s="81" t="str">
        <x:v>SF-06/IR-06-03/SR-06-03-02/129</x:v>
      </x:c>
      <x:c r="B217" s="81" t="n">
        <x:v>4</x:v>
      </x:c>
      <x:c r="C217" s="81" t="str">
        <x:v>AR</x:v>
      </x:c>
      <x:c r="D217" s="81" t="str">
        <x:v>AR-L4-OB-RemoteAccessCounter-057</x:v>
      </x:c>
      <x:c r="E217" s="81" t="str">
        <x:v>SR-06-03-02</x:v>
      </x:c>
      <x:c r="F217" s="81" t="str">
        <x:v>            └─ AR-L4-OB-RemoteAccessCounter-057</x:v>
      </x:c>
      <x:c r="G217" s="81" t="str">
        <x:v>近端共享内存 KV 访问性能观测</x:v>
      </x:c>
      <x:c r="H217" s="81" t="n">
        <x:v>1</x:v>
      </x:c>
      <x:c r="I217" s="81" t="str">
        <x:v>L4 底层传输层</x:v>
      </x:c>
      <x:c r="J217" s="81" t="str">
        <x:v>L4-OB-RemoteAccessCounter-057</x:v>
      </x:c>
    </x:row>
    <x:row r="218" ht="15" hidden="0" customHeight="1">
      <x:c r="A218" s="76" t="str">
        <x:v>SF-06/IR-06-03/SR-06-03-03</x:v>
      </x:c>
      <x:c r="B218" s="76" t="n">
        <x:v>3</x:v>
      </x:c>
      <x:c r="C218" s="76" t="str">
        <x:v>SR</x:v>
      </x:c>
      <x:c r="D218" s="76" t="str">
        <x:v>SR-06-03-03</x:v>
      </x:c>
      <x:c r="E218" s="76" t="str">
        <x:v>IR-06-03</x:v>
      </x:c>
      <x:c r="F218" s="76" t="str">
        <x:v>        ├─ SR-06-03-03 KV状态Trace与运维Inspect API</x:v>
      </x:c>
      <x:c r="G218" s="76" t="str">
        <x:v>系统应提供对象状态、位置、版本、lease和迁移历史查询。</x:v>
      </x:c>
      <x:c r="H218" s="76" t="n">
        <x:f>COUNTIF('AR全量追溯'!$G$5:$G$148,D218)</x:f>
        <x:v>2</x:v>
      </x:c>
      <x:c r="I218" s="76" t="str">
        <x:v>L3</x:v>
      </x:c>
      <x:c r="J218" s="76" t="str">
        <x:v>本版定义</x:v>
      </x:c>
    </x:row>
    <x:row r="219" ht="15" hidden="0" customHeight="1">
      <x:c r="A219" s="81" t="str">
        <x:v>SF-06/IR-06-03/SR-06-03-03/101</x:v>
      </x:c>
      <x:c r="B219" s="81" t="n">
        <x:v>4</x:v>
      </x:c>
      <x:c r="C219" s="81" t="str">
        <x:v>AR</x:v>
      </x:c>
      <x:c r="D219" s="81" t="str">
        <x:v>AR-L3-OB-KVStateTrace-083</x:v>
      </x:c>
      <x:c r="E219" s="81" t="str">
        <x:v>SR-06-03-03</x:v>
      </x:c>
      <x:c r="F219" s="81" t="str">
        <x:v>            └─ AR-L3-OB-KVStateTrace-083</x:v>
      </x:c>
      <x:c r="G219" s="81" t="str">
        <x:v>KV 状态迁移可追踪</x:v>
      </x:c>
      <x:c r="H219" s="81" t="n">
        <x:v>1</x:v>
      </x:c>
      <x:c r="I219" s="81" t="str">
        <x:v>L3 传输管理层</x:v>
      </x:c>
      <x:c r="J219" s="81" t="str">
        <x:v>L3-OB-KVStateTrace-083</x:v>
      </x:c>
    </x:row>
    <x:row r="220" ht="15" hidden="0" customHeight="1">
      <x:c r="A220" s="81" t="str">
        <x:v>SF-06/IR-06-03/SR-06-03-03/102</x:v>
      </x:c>
      <x:c r="B220" s="81" t="n">
        <x:v>4</x:v>
      </x:c>
      <x:c r="C220" s="81" t="str">
        <x:v>AR</x:v>
      </x:c>
      <x:c r="D220" s="81" t="str">
        <x:v>AR-L3-CTRL-KVInspectAPI-084</x:v>
      </x:c>
      <x:c r="E220" s="81" t="str">
        <x:v>SR-06-03-03</x:v>
      </x:c>
      <x:c r="F220" s="81" t="str">
        <x:v>            └─ AR-L3-CTRL-KVInspectAPI-084</x:v>
      </x:c>
      <x:c r="G220" s="81" t="str">
        <x:v>统一 KV 内存池运维排障</x:v>
      </x:c>
      <x:c r="H220" s="81" t="n">
        <x:v>1</x:v>
      </x:c>
      <x:c r="I220" s="81" t="str">
        <x:v>L3 传输管理层</x:v>
      </x:c>
      <x:c r="J220" s="81" t="str">
        <x:v>L3-CTRL-KVInspectAPI-084</x:v>
      </x:c>
    </x:row>
    <x:row r="221" ht="15" hidden="0" customHeight="1">
      <x:c r="A221" s="72" t="str">
        <x:v>SF-06/IR-06-04</x:v>
      </x:c>
      <x:c r="B221" s="72" t="n">
        <x:v>2</x:v>
      </x:c>
      <x:c r="C221" s="72" t="str">
        <x:v>IR</x:v>
      </x:c>
      <x:c r="D221" s="72" t="str">
        <x:v>IR-06-04</x:v>
      </x:c>
      <x:c r="E221" s="72" t="str">
        <x:v>SF-06</x:v>
      </x:c>
      <x:c r="F221" s="72" t="str">
        <x:v>    ├─ IR-06-04 规模化硬件规格约束与演进证据</x:v>
      </x:c>
      <x:c r="G221" s="72" t="str">
        <x:v>项目需识别NIC、NPU、SSD、DDR、互联和软件栈的能力边界，为后续规格改进提供依据。</x:v>
      </x:c>
      <x:c r="H221" s="72" t="n">
        <x:f>COUNTIF('AR全量追溯'!$E$5:$E$148,D221)</x:f>
        <x:v>1</x:v>
      </x:c>
      <x:c r="I221" s="72" t="str">
        <x:v>L4</x:v>
      </x:c>
      <x:c r="J221" s="72" t="str">
        <x:v>本版定义</x:v>
      </x:c>
    </x:row>
    <x:row r="222" ht="15" hidden="0" customHeight="1">
      <x:c r="A222" s="76" t="str">
        <x:v>SF-06/IR-06-04/SR-06-04-01</x:v>
      </x:c>
      <x:c r="B222" s="76" t="n">
        <x:v>3</x:v>
      </x:c>
      <x:c r="C222" s="76" t="str">
        <x:v>SR</x:v>
      </x:c>
      <x:c r="D222" s="76" t="str">
        <x:v>SR-06-04-01</x:v>
      </x:c>
      <x:c r="E222" s="76" t="str">
        <x:v>IR-06-04</x:v>
      </x:c>
      <x:c r="F222" s="76" t="str">
        <x:v>        ├─ SR-06-04-01 NIC/互联规模化规格约束</x:v>
      </x:c>
      <x:c r="G222" s="76" t="str">
        <x:v>系统应识别大规模集群中NIC队列、带宽、时延和上下文能力下限。</x:v>
      </x:c>
      <x:c r="H222" s="76" t="n">
        <x:f>COUNTIF('AR全量追溯'!$G$5:$G$148,D222)</x:f>
        <x:v>1</x:v>
      </x:c>
      <x:c r="I222" s="76" t="str">
        <x:v>L4</x:v>
      </x:c>
      <x:c r="J222" s="76" t="str">
        <x:v>本版定义</x:v>
      </x:c>
    </x:row>
    <x:row r="223" ht="15" hidden="0" customHeight="1">
      <x:c r="A223" s="81" t="str">
        <x:v>SF-06/IR-06-04/SR-06-04-01/142</x:v>
      </x:c>
      <x:c r="B223" s="81" t="n">
        <x:v>4</x:v>
      </x:c>
      <x:c r="C223" s="81" t="str">
        <x:v>AR</x:v>
      </x:c>
      <x:c r="D223" s="81" t="str">
        <x:v>AR-L4-HW-NICSpecConstraint-075</x:v>
      </x:c>
      <x:c r="E223" s="81" t="str">
        <x:v>SR-06-04-01</x:v>
      </x:c>
      <x:c r="F223" s="81" t="str">
        <x:v>            └─ AR-L4-HW-NICSpecConstraint-075</x:v>
      </x:c>
      <x:c r="G223" s="81" t="str">
        <x:v>大规模集群网络软硬件协同性能兜底</x:v>
      </x:c>
      <x:c r="H223" s="81" t="n">
        <x:v>1</x:v>
      </x:c>
      <x:c r="I223" s="81" t="str">
        <x:v>L4 底层传输层</x:v>
      </x:c>
      <x:c r="J223" s="81" t="str">
        <x:v>L4-HW-NICSpecConstraint-075</x:v>
      </x:c>
    </x:row>
  </x:sheetData>
  <x:mergeCells>
    <x:mergeCell ref="A1:J1"/>
    <x:mergeCell ref="A2:J2"/>
  </x:mergeCells>
  <x:pageMargins left="0.7" right="0.7" top="0.75" bottom="0.75" header="0.3" footer="0.3"/>
  <x:tableParts count="1">
    <x:tablePart xmlns:r="http://schemas.openxmlformats.org/officeDocument/2006/relationships" r:id="Rf44babf5677545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0" hidden="0" customWidth="1"/>
    <x:col min="4" max="4" width="24" hidden="0" customWidth="1"/>
    <x:col min="5" max="5" width="12" hidden="0" customWidth="1"/>
    <x:col min="6" max="6" width="28" hidden="0" customWidth="1"/>
    <x:col min="7" max="7" width="15" hidden="0" customWidth="1"/>
    <x:col min="8" max="8" width="32" hidden="0" customWidth="1"/>
    <x:col min="9" max="9" width="31" hidden="0" customWidth="1"/>
    <x:col min="10" max="10" width="18" hidden="0" customWidth="1"/>
    <x:col min="11" max="11" width="24" hidden="0" customWidth="1"/>
    <x:col min="12" max="12" width="10" hidden="0" customWidth="1"/>
    <x:col min="13" max="13" width="18" hidden="0" customWidth="1"/>
    <x:col min="14" max="14" width="18" hidden="0" customWidth="1"/>
    <x:col min="15" max="15" width="34" hidden="0" customWidth="1"/>
    <x:col min="16" max="16" width="70" hidden="0" customWidth="1"/>
    <x:col min="17" max="17" width="34" hidden="0" customWidth="1"/>
    <x:col min="18" max="18" width="55" hidden="0" customWidth="1"/>
    <x:col min="19" max="19" width="48" hidden="0" customWidth="1"/>
    <x:col min="20" max="20" width="55" hidden="0" customWidth="1"/>
    <x:col min="21" max="21" width="12" hidden="0" customWidth="1"/>
    <x:col min="22" max="22" width="14" hidden="0" customWidth="1"/>
    <x:col min="23" max="23" width="64" hidden="0" customWidth="1"/>
  </x:cols>
  <x:sheetData>
    <x:row r="1" ht="21.600000381469727" hidden="0" customHeight="1">
      <x:c r="A1" s="4" t="str">
        <x:v>AR全量追溯矩阵</x:v>
      </x:c>
      <x:c r="B1" s="4"/>
      <x:c r="C1" s="4"/>
      <x:c r="D1" s="4"/>
      <x:c r="E1" s="4"/>
      <x:c r="F1" s="4"/>
      <x:c r="G1" s="4"/>
      <x:c r="H1" s="4"/>
      <x:c r="I1" s="4"/>
      <x:c r="J1" s="4"/>
      <x:c r="K1" s="4"/>
      <x:c r="L1" s="4"/>
      <x:c r="M1" s="4"/>
      <x:c r="N1" s="4"/>
      <x:c r="O1" s="4"/>
      <x:c r="P1" s="4"/>
      <x:c r="Q1" s="4"/>
      <x:c r="R1" s="4"/>
      <x:c r="S1" s="4"/>
      <x:c r="T1" s="4"/>
      <x:c r="U1" s="4"/>
      <x:c r="V1" s="4"/>
      <x:c r="W1" s="4"/>
    </x:row>
    <x:row r="2" ht="15" hidden="0" customHeight="1">
      <x:c r="A2" s="8" t="str">
        <x:v>每条V2.2 SRS需求一一转化为AR叶子，并保留来源ID、分配层级、阶段、优先级、验收与工程输入。</x:v>
      </x:c>
      <x:c r="B2" s="8"/>
      <x:c r="C2" s="8"/>
      <x:c r="D2" s="8"/>
      <x:c r="E2" s="8"/>
      <x:c r="F2" s="8"/>
      <x:c r="G2" s="8"/>
      <x:c r="H2" s="8"/>
      <x:c r="I2" s="8"/>
      <x:c r="J2" s="8"/>
      <x:c r="K2" s="8"/>
      <x:c r="L2" s="8"/>
      <x:c r="M2" s="8"/>
      <x:c r="N2" s="8"/>
      <x:c r="O2" s="8"/>
      <x:c r="P2" s="8"/>
      <x:c r="Q2" s="8"/>
      <x:c r="R2" s="8"/>
      <x:c r="S2" s="8"/>
      <x:c r="T2" s="8"/>
      <x:c r="U2" s="8"/>
      <x:c r="V2" s="8"/>
      <x:c r="W2" s="8"/>
    </x:row>
    <x:row r="3"/>
    <x:row r="4" ht="15" hidden="0" customHeight="1">
      <x:c r="A4" s="13" t="str">
        <x:v>序号</x:v>
      </x:c>
      <x:c r="B4" s="13" t="str">
        <x:v>AR ID</x:v>
      </x:c>
      <x:c r="C4" s="13" t="str">
        <x:v>SF ID</x:v>
      </x:c>
      <x:c r="D4" s="13" t="str">
        <x:v>SF名称</x:v>
      </x:c>
      <x:c r="E4" s="13" t="str">
        <x:v>IR ID</x:v>
      </x:c>
      <x:c r="F4" s="13" t="str">
        <x:v>IR名称</x:v>
      </x:c>
      <x:c r="G4" s="13" t="str">
        <x:v>SR ID</x:v>
      </x:c>
      <x:c r="H4" s="13" t="str">
        <x:v>SR名称</x:v>
      </x:c>
      <x:c r="I4" s="13" t="str">
        <x:v>来源SRS ID</x:v>
      </x:c>
      <x:c r="J4" s="13" t="str">
        <x:v>分配层级</x:v>
      </x:c>
      <x:c r="K4" s="13" t="str">
        <x:v>核心模块</x:v>
      </x:c>
      <x:c r="L4" s="13" t="str">
        <x:v>优先级</x:v>
      </x:c>
      <x:c r="M4" s="13" t="str">
        <x:v>阶段覆盖</x:v>
      </x:c>
      <x:c r="N4" s="13" t="str">
        <x:v>软硬归属</x:v>
      </x:c>
      <x:c r="O4" s="13" t="str">
        <x:v>场景</x:v>
      </x:c>
      <x:c r="P4" s="13" t="str">
        <x:v>AR需求陈述</x:v>
      </x:c>
      <x:c r="Q4" s="13" t="str">
        <x:v>功能/性能目标</x:v>
      </x:c>
      <x:c r="R4" s="13" t="str">
        <x:v>验收方法与指标</x:v>
      </x:c>
      <x:c r="S4" s="13" t="str">
        <x:v>技术难点</x:v>
      </x:c>
      <x:c r="T4" s="13" t="str">
        <x:v>研发实施要点</x:v>
      </x:c>
      <x:c r="U4" s="13" t="str">
        <x:v>父节点检查</x:v>
      </x:c>
      <x:c r="V4" s="13" t="str">
        <x:v>ID唯一性检查</x:v>
      </x:c>
      <x:c r="W4" s="13" t="str">
        <x:v>完整路径</x:v>
      </x:c>
    </x:row>
    <x:row r="5" ht="86.4000015258789" hidden="0" customHeight="1">
      <x:c r="A5" s="19" t="n">
        <x:v>1</x:v>
      </x:c>
      <x:c r="B5" s="19" t="str">
        <x:v>AR-L1-PM-PrefixBudget-001</x:v>
      </x:c>
      <x:c r="C5" s="19" t="str">
        <x:v>SF-01</x:v>
      </x:c>
      <x:c r="D5" s="19" t="str">
        <x:v>统一服务接入与推理消费</x:v>
      </x:c>
      <x:c r="E5" s="19" t="str">
        <x:v>IR-01-02</x:v>
      </x:c>
      <x:c r="F5" s="19" t="str">
        <x:v>缓存感知调度与收益准入</x:v>
      </x:c>
      <x:c r="G5" s="19" t="str">
        <x:v>SR-01-02-01</x:v>
      </x:c>
      <x:c r="H5" s="19" t="str">
        <x:v>前缀预算、收益准入与亲和路由</x:v>
      </x:c>
      <x:c r="I5" s="19" t="str">
        <x:v>L1-PM-PrefixBudget-001</x:v>
      </x:c>
      <x:c r="J5" s="19" t="str">
        <x:v>L1 推理调度层</x:v>
      </x:c>
      <x:c r="K5" s="19" t="str">
        <x:v>调度与路由控制</x:v>
      </x:c>
      <x:c r="L5" s="19" t="str">
        <x:v>P0</x:v>
      </x:c>
      <x:c r="M5" s="19" t="str">
        <x:v>P0</x:v>
      </x:c>
      <x:c r="N5" s="19" t="str">
        <x:v>软件主线</x:v>
      </x:c>
      <x:c r="O5" s="19" t="str">
        <x:v>共享前缀命中快速判定</x:v>
      </x:c>
      <x:c r="P5" s="19"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Q5" s="19" t="str">
        <x:v>确保 Prefix 命中不严重拖累 TTFT；usable_hit / total_requests 的转化率稳定。</x:v>
      </x:c>
      <x:c r="R5" s="19" t="str">
        <x:v>通过端到端负载测试统计 usable hit 与 raw hit，确保因 metadata/transfer 查询导致的 abandoned hit rate 控制在预期内；对比 hit_path 与 recompute_path 的 P99 TTFT，确保 benefit &gt; 0。</x:v>
      </x:c>
      <x:c r="S5" s="19" t="str">
        <x:v>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x:v>
      </x:c>
      <x:c r="T5" s="19"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x:v>
      </x:c>
      <x:c r="U5" s="19" t="str">
        <x:f>IF(COUNTIF('SF-IR-SR定义'!$B$5:$B$79,G5)=1,"PASS","CHECK")</x:f>
        <x:v>PASS</x:v>
      </x:c>
      <x:c r="V5" s="19" t="str">
        <x:f>IF(COUNTIF($B$5:$B$148,B5)=1,"PASS","DUPLICATE")</x:f>
        <x:v>PASS</x:v>
      </x:c>
      <x:c r="W5" s="19" t="str">
        <x:f>C5&amp;" / "&amp;E5&amp;" / "&amp;G5&amp;" / "&amp;B5</x:f>
        <x:v>SF-01 / IR-01-02 / SR-01-02-01 / AR-L1-PM-PrefixBudget-001</x:v>
      </x:c>
    </x:row>
    <x:row r="6" ht="86.4000015258789" hidden="0" customHeight="1">
      <x:c r="A6" s="20" t="n">
        <x:v>2</x:v>
      </x:c>
      <x:c r="B6" s="20" t="str">
        <x:v>AR-L1-RT-Admission-007</x:v>
      </x:c>
      <x:c r="C6" s="20" t="str">
        <x:v>SF-01</x:v>
      </x:c>
      <x:c r="D6" s="20" t="str">
        <x:v>统一服务接入与推理消费</x:v>
      </x:c>
      <x:c r="E6" s="20" t="str">
        <x:v>IR-01-02</x:v>
      </x:c>
      <x:c r="F6" s="20" t="str">
        <x:v>缓存感知调度与收益准入</x:v>
      </x:c>
      <x:c r="G6" s="20" t="str">
        <x:v>SR-01-02-01</x:v>
      </x:c>
      <x:c r="H6" s="20" t="str">
        <x:v>前缀预算、收益准入与亲和路由</x:v>
      </x:c>
      <x:c r="I6" s="20" t="str">
        <x:v>L1-RT-Admission-007</x:v>
      </x:c>
      <x:c r="J6" s="20" t="str">
        <x:v>L1 推理调度层</x:v>
      </x:c>
      <x:c r="K6" s="20" t="str">
        <x:v>调度与路由控制</x:v>
      </x:c>
      <x:c r="L6" s="20" t="str">
        <x:v>P0</x:v>
      </x:c>
      <x:c r="M6" s="20" t="str">
        <x:v>P0</x:v>
      </x:c>
      <x:c r="N6" s="20" t="str">
        <x:v>软件主线</x:v>
      </x:c>
      <x:c r="O6" s="20" t="str">
        <x:v>命中 KV 加载收益判定</x:v>
      </x:c>
      <x:c r="P6" s="20" t="str">
        <x:v>本需求要求 Scheduler 在 prefix hit 后执行 load-vs-recompute admission 判断：只有当 lookup + transfer + attach + rank_sync 小于 recompute_saved_time 且满足 TTFT deadline 时才允许加载 KV，否则必须直接 recompute 或 partial recompute。</x:v>
      </x:c>
      <x:c r="Q6" s="20" t="str">
        <x:v>p99 TTFT 降低 ≥20%；abandoned remote load 降低 ≥50%；</x:v>
      </x:c>
      <x:c r="R6" s="20" t="str">
        <x:v>在真实负载压测期间，全面追踪系统执行 load-vs-recompute（加载与重计算）的决策日志，并与实际执行完成的真实耗时进行比对，确保代价模型的决策符合或优于物理真实情况，误差率控制在可接受范围内。</x:v>
      </x:c>
      <x:c r="S6" s="20" t="str">
        <x:v>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x:v>
      </x:c>
      <x:c r="T6"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x:v>
      </x:c>
      <x:c r="U6" s="20" t="str">
        <x:f>IF(COUNTIF('SF-IR-SR定义'!$B$5:$B$79,G6)=1,"PASS","CHECK")</x:f>
        <x:v>PASS</x:v>
      </x:c>
      <x:c r="V6" s="20" t="str">
        <x:f>IF(COUNTIF($B$5:$B$148,B6)=1,"PASS","DUPLICATE")</x:f>
        <x:v>PASS</x:v>
      </x:c>
      <x:c r="W6" s="20" t="str">
        <x:f>C6&amp;" / "&amp;E6&amp;" / "&amp;G6&amp;" / "&amp;B6</x:f>
        <x:v>SF-01 / IR-01-02 / SR-01-02-01 / AR-L1-RT-Admission-007</x:v>
      </x:c>
    </x:row>
    <x:row r="7" ht="86.4000015258789" hidden="0" customHeight="1">
      <x:c r="A7" s="20" t="n">
        <x:v>3</x:v>
      </x:c>
      <x:c r="B7" s="20" t="str">
        <x:v>AR-L1-RT-CacheAwareRouting-006</x:v>
      </x:c>
      <x:c r="C7" s="20" t="str">
        <x:v>SF-01</x:v>
      </x:c>
      <x:c r="D7" s="20" t="str">
        <x:v>统一服务接入与推理消费</x:v>
      </x:c>
      <x:c r="E7" s="20" t="str">
        <x:v>IR-01-02</x:v>
      </x:c>
      <x:c r="F7" s="20" t="str">
        <x:v>缓存感知调度与收益准入</x:v>
      </x:c>
      <x:c r="G7" s="20" t="str">
        <x:v>SR-01-02-01</x:v>
      </x:c>
      <x:c r="H7" s="20" t="str">
        <x:v>前缀预算、收益准入与亲和路由</x:v>
      </x:c>
      <x:c r="I7" s="20" t="str">
        <x:v>L1-RT-CacheAwareRouting-006</x:v>
      </x:c>
      <x:c r="J7" s="20" t="str">
        <x:v>L1 推理调度层</x:v>
      </x:c>
      <x:c r="K7" s="20" t="str">
        <x:v>调度与路由控制</x:v>
      </x:c>
      <x:c r="L7" s="20" t="str">
        <x:v>P1</x:v>
      </x:c>
      <x:c r="M7" s="20" t="str">
        <x:v>P0 子集 + P1 完整</x:v>
      </x:c>
      <x:c r="N7" s="20" t="str">
        <x:v>软件主线</x:v>
      </x:c>
      <x:c r="O7" s="20" t="str">
        <x:v>KVCache 亲和路由调度</x:v>
      </x:c>
      <x:c r="P7" s="20"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Q7" s="20" t="str">
        <x:v>local usable hit rate 提升 ≥25%；跨节点 KV bytes/request 降低 ≥30%；</x:v>
      </x:c>
      <x:c r="R7" s="20" t="str">
        <x:v>在分布式集群环境中，使用相同的数据集并行测试 Round-Robin（轮询）与 Cache-Aware（缓存感知）两种路由策略，通过端到端监控对比两者的 Cache Hit Rate、跨节点传输数据量以及最终的 P99 TTFT，验证 Cache-Aware 的显著性能增益。</x:v>
      </x:c>
      <x:c r="S7" s="20" t="str">
        <x:v>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x:v>
      </x:c>
      <x:c r="T7"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x:v>
      </x:c>
      <x:c r="U7" s="20" t="str">
        <x:f>IF(COUNTIF('SF-IR-SR定义'!$B$5:$B$79,G7)=1,"PASS","CHECK")</x:f>
        <x:v>PASS</x:v>
      </x:c>
      <x:c r="V7" s="20" t="str">
        <x:f>IF(COUNTIF($B$5:$B$148,B7)=1,"PASS","DUPLICATE")</x:f>
        <x:v>PASS</x:v>
      </x:c>
      <x:c r="W7" s="20" t="str">
        <x:f>C7&amp;" / "&amp;E7&amp;" / "&amp;G7&amp;" / "&amp;B7</x:f>
        <x:v>SF-01 / IR-01-02 / SR-01-02-01 / AR-L1-RT-CacheAwareRouting-006</x:v>
      </x:c>
    </x:row>
    <x:row r="8" ht="97.19999694824219" hidden="0" customHeight="1">
      <x:c r="A8" s="20" t="n">
        <x:v>4</x:v>
      </x:c>
      <x:c r="B8" s="20" t="str">
        <x:v>AR-L1-VLLM-HIER-SCHED-002</x:v>
      </x:c>
      <x:c r="C8" s="20" t="str">
        <x:v>SF-01</x:v>
      </x:c>
      <x:c r="D8" s="20" t="str">
        <x:v>统一服务接入与推理消费</x:v>
      </x:c>
      <x:c r="E8" s="20" t="str">
        <x:v>IR-01-02</x:v>
      </x:c>
      <x:c r="F8" s="20" t="str">
        <x:v>缓存感知调度与收益准入</x:v>
      </x:c>
      <x:c r="G8" s="20" t="str">
        <x:v>SR-01-02-01</x:v>
      </x:c>
      <x:c r="H8" s="20" t="str">
        <x:v>前缀预算、收益准入与亲和路由</x:v>
      </x:c>
      <x:c r="I8" s="20" t="str">
        <x:v>L1-VLLM-HIER-SCHED-002</x:v>
      </x:c>
      <x:c r="J8" s="20" t="str">
        <x:v>L1 推理调度层</x:v>
      </x:c>
      <x:c r="K8" s="20" t="str">
        <x:v>调度与路由控制</x:v>
      </x:c>
      <x:c r="L8" s="20" t="str">
        <x:v>P1</x:v>
      </x:c>
      <x:c r="M8" s="20" t="str">
        <x:v>P0 子集 + P1 完整</x:v>
      </x:c>
      <x:c r="N8" s="20" t="str">
        <x:v>硬件协同</x:v>
      </x:c>
      <x:c r="O8" s="20" t="str">
        <x:v>多层异构存储调度</x:v>
      </x:c>
      <x:c r="P8" s="20"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Q8" s="20" t="str">
        <x:v>内存碎片率控制在&lt;5%，平均并发处理能力（QPS）提升≥10%。</x:v>
      </x:c>
      <x:c r="R8" s="20" t="str">
        <x:v>在vLLM环境设定HBM极限容量，以高于吞吐上限120%的压力注入128K极长Prompt请求，监控系统OOM次数，要求实现平滑拒绝（Admission Deny）而不崩溃。</x:v>
      </x:c>
      <x:c r="S8" s="20" t="str">
        <x:v>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x:v>
      </x:c>
      <x:c r="T8" s="20"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x:v>
      </x:c>
      <x:c r="U8" s="20" t="str">
        <x:f>IF(COUNTIF('SF-IR-SR定义'!$B$5:$B$79,G8)=1,"PASS","CHECK")</x:f>
        <x:v>PASS</x:v>
      </x:c>
      <x:c r="V8" s="20" t="str">
        <x:f>IF(COUNTIF($B$5:$B$148,B8)=1,"PASS","DUPLICATE")</x:f>
        <x:v>PASS</x:v>
      </x:c>
      <x:c r="W8" s="20" t="str">
        <x:f>C8&amp;" / "&amp;E8&amp;" / "&amp;G8&amp;" / "&amp;B8</x:f>
        <x:v>SF-01 / IR-01-02 / SR-01-02-01 / AR-L1-VLLM-HIER-SCHED-002</x:v>
      </x:c>
    </x:row>
    <x:row r="9" ht="86.4000015258789" hidden="0" customHeight="1">
      <x:c r="A9" s="20" t="n">
        <x:v>5</x:v>
      </x:c>
      <x:c r="B9" s="20" t="str">
        <x:v>AR-L1-SGL-PFX-IDX-003</x:v>
      </x:c>
      <x:c r="C9" s="20" t="str">
        <x:v>SF-02</x:v>
      </x:c>
      <x:c r="D9" s="20" t="str">
        <x:v>全局前缀目录与分布式元数据服务</x:v>
      </x:c>
      <x:c r="E9" s="20" t="str">
        <x:v>IR-02-01</x:v>
      </x:c>
      <x:c r="F9" s="20" t="str">
        <x:v>低时延前缀计算与批量查询</x:v>
      </x:c>
      <x:c r="G9" s="20" t="str">
        <x:v>SR-02-01-01</x:v>
      </x:c>
      <x:c r="H9" s="20" t="str">
        <x:v>框架侧前缀计算与关键路径解耦</x:v>
      </x:c>
      <x:c r="I9" s="20" t="str">
        <x:v>L1-SGL-PFX-IDX-003</x:v>
      </x:c>
      <x:c r="J9" s="20" t="str">
        <x:v>L1 推理调度层</x:v>
      </x:c>
      <x:c r="K9" s="20" t="str">
        <x:v>前缀索引与命中判定</x:v>
      </x:c>
      <x:c r="L9" s="20" t="str">
        <x:v>P1</x:v>
      </x:c>
      <x:c r="M9" s="20" t="str">
        <x:v>P0 子集 + P1 完整</x:v>
      </x:c>
      <x:c r="N9" s="20" t="str">
        <x:v>软件主线</x:v>
      </x:c>
      <x:c r="O9" s="20" t="str">
        <x:v>前缀匹配关键路径加速</x:v>
      </x:c>
      <x:c r="P9" s="20" t="str">
        <x:v>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Q9" s="20" t="str">
        <x:v>Prefix命中判定P99耗时 &lt; 200us；在Share-Prefix业务下，Usable Hit Rate提升≥15%。</x:v>
      </x:c>
      <x:c r="R9" s="20" t="str">
        <x:v>使用ShareGPT数据集构造并发度上千(1K~5K QPS)的多轮对话负载，监控/metrics接口的prefix_lookup_latency指标，要求P99小于200us为达标。</x:v>
      </x:c>
      <x:c r="S9" s="20" t="str">
        <x:v>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x:v>
      </x:c>
      <x:c r="T9"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x:v>
      </x:c>
      <x:c r="U9" s="20" t="str">
        <x:f>IF(COUNTIF('SF-IR-SR定义'!$B$5:$B$79,G9)=1,"PASS","CHECK")</x:f>
        <x:v>PASS</x:v>
      </x:c>
      <x:c r="V9" s="20" t="str">
        <x:f>IF(COUNTIF($B$5:$B$148,B9)=1,"PASS","DUPLICATE")</x:f>
        <x:v>PASS</x:v>
      </x:c>
      <x:c r="W9" s="20" t="str">
        <x:f>C9&amp;" / "&amp;E9&amp;" / "&amp;G9&amp;" / "&amp;B9</x:f>
        <x:v>SF-02 / IR-02-01 / SR-02-01-01 / AR-L1-SGL-PFX-IDX-003</x:v>
      </x:c>
    </x:row>
    <x:row r="10" ht="86.4000015258789" hidden="0" customHeight="1">
      <x:c r="A10" s="20" t="n">
        <x:v>6</x:v>
      </x:c>
      <x:c r="B10" s="20" t="str">
        <x:v>AR-L1-VLLM-PFX-SCHED-006</x:v>
      </x:c>
      <x:c r="C10" s="20" t="str">
        <x:v>SF-02</x:v>
      </x:c>
      <x:c r="D10" s="20" t="str">
        <x:v>全局前缀目录与分布式元数据服务</x:v>
      </x:c>
      <x:c r="E10" s="20" t="str">
        <x:v>IR-02-01</x:v>
      </x:c>
      <x:c r="F10" s="20" t="str">
        <x:v>低时延前缀计算与批量查询</x:v>
      </x:c>
      <x:c r="G10" s="20" t="str">
        <x:v>SR-02-01-01</x:v>
      </x:c>
      <x:c r="H10" s="20" t="str">
        <x:v>框架侧前缀计算与关键路径解耦</x:v>
      </x:c>
      <x:c r="I10" s="20" t="str">
        <x:v>L1-VLLM-PFX-SCHED-006</x:v>
      </x:c>
      <x:c r="J10" s="20" t="str">
        <x:v>L1 推理调度层</x:v>
      </x:c>
      <x:c r="K10" s="20" t="str">
        <x:v>前缀索引与命中判定</x:v>
      </x:c>
      <x:c r="L10" s="20" t="str">
        <x:v>P1</x:v>
      </x:c>
      <x:c r="M10" s="20" t="str">
        <x:v>P0 子集 + P1 完整</x:v>
      </x:c>
      <x:c r="N10" s="20" t="str">
        <x:v>软件主线</x:v>
      </x:c>
      <x:c r="O10" s="20" t="str">
        <x:v>前缀匹配关键路径解耦</x:v>
      </x:c>
      <x:c r="P10" s="20" t="str">
        <x:v>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Q10" s="20" t="str">
        <x:v>Prefix命中判定P99耗时 &lt; 200us；在Share-Prefix业务下，Usable Hit Rate提升≥15%。</x:v>
      </x:c>
      <x:c r="R10" s="20" t="str">
        <x:v>使用ShareGPT数据集构造并发度上千(1K~5K QPS)的多轮对话负载，监控/metrics接口的prefix_lookup_latency指标，要求P99小于200us为达标。</x:v>
      </x:c>
      <x:c r="S10" s="20" t="str">
        <x:v>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x:v>
      </x:c>
      <x:c r="T10"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x:v>
      </x:c>
      <x:c r="U10" s="20" t="str">
        <x:f>IF(COUNTIF('SF-IR-SR定义'!$B$5:$B$79,G10)=1,"PASS","CHECK")</x:f>
        <x:v>PASS</x:v>
      </x:c>
      <x:c r="V10" s="20" t="str">
        <x:f>IF(COUNTIF($B$5:$B$148,B10)=1,"PASS","DUPLICATE")</x:f>
        <x:v>PASS</x:v>
      </x:c>
      <x:c r="W10" s="20" t="str">
        <x:f>C10&amp;" / "&amp;E10&amp;" / "&amp;G10&amp;" / "&amp;B10</x:f>
        <x:v>SF-02 / IR-02-01 / SR-02-01-01 / AR-L1-VLLM-PFX-SCHED-006</x:v>
      </x:c>
    </x:row>
    <x:row r="11" ht="86.4000015258789" hidden="0" customHeight="1">
      <x:c r="A11" s="20" t="n">
        <x:v>7</x:v>
      </x:c>
      <x:c r="B11" s="20" t="str">
        <x:v>AR-L1-VLLM-PFX-IDX-005</x:v>
      </x:c>
      <x:c r="C11" s="20" t="str">
        <x:v>SF-02</x:v>
      </x:c>
      <x:c r="D11" s="20" t="str">
        <x:v>全局前缀目录与分布式元数据服务</x:v>
      </x:c>
      <x:c r="E11" s="20" t="str">
        <x:v>IR-02-01</x:v>
      </x:c>
      <x:c r="F11" s="20" t="str">
        <x:v>低时延前缀计算与批量查询</x:v>
      </x:c>
      <x:c r="G11" s="20" t="str">
        <x:v>SR-02-01-01</x:v>
      </x:c>
      <x:c r="H11" s="20" t="str">
        <x:v>框架侧前缀计算与关键路径解耦</x:v>
      </x:c>
      <x:c r="I11" s="20" t="str">
        <x:v>L1-VLLM-PFX-IDX-005</x:v>
      </x:c>
      <x:c r="J11" s="20" t="str">
        <x:v>L1 推理调度层</x:v>
      </x:c>
      <x:c r="K11" s="20" t="str">
        <x:v>前缀索引与命中判定</x:v>
      </x:c>
      <x:c r="L11" s="20" t="str">
        <x:v>P3</x:v>
      </x:c>
      <x:c r="M11" s="20" t="str">
        <x:v>P3</x:v>
      </x:c>
      <x:c r="N11" s="20" t="str">
        <x:v>软件主线</x:v>
      </x:c>
      <x:c r="O11" s="20" t="str">
        <x:v>前缀匹配关键路径</x:v>
      </x:c>
      <x:c r="P11" s="20" t="str">
        <x:v>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Q11" s="20" t="str">
        <x:v>Prefix命中判定P99耗时 &lt; 200us；在Share-Prefix业务下，Usable Hit Rate提升≥15%。</x:v>
      </x:c>
      <x:c r="R11" s="20" t="str">
        <x:v>使用ShareGPT数据集构造并发度上千(1K~5K QPS)的多轮对话负载，监控/metrics接口的prefix_lookup_latency指标，要求P99小于200us为达标。</x:v>
      </x:c>
      <x:c r="S11" s="20" t="str">
        <x:v>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x:v>
      </x:c>
      <x:c r="T11"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x:v>
      </x:c>
      <x:c r="U11" s="20" t="str">
        <x:f>IF(COUNTIF('SF-IR-SR定义'!$B$5:$B$79,G11)=1,"PASS","CHECK")</x:f>
        <x:v>PASS</x:v>
      </x:c>
      <x:c r="V11" s="20" t="str">
        <x:f>IF(COUNTIF($B$5:$B$148,B11)=1,"PASS","DUPLICATE")</x:f>
        <x:v>PASS</x:v>
      </x:c>
      <x:c r="W11" s="20" t="str">
        <x:f>C11&amp;" / "&amp;E11&amp;" / "&amp;G11&amp;" / "&amp;B11</x:f>
        <x:v>SF-02 / IR-02-01 / SR-02-01-01 / AR-L1-VLLM-PFX-IDX-005</x:v>
      </x:c>
    </x:row>
    <x:row r="12" ht="86.4000015258789" hidden="0" customHeight="1">
      <x:c r="A12" s="20" t="n">
        <x:v>8</x:v>
      </x:c>
      <x:c r="B12" s="20" t="str">
        <x:v>AR-L1-SGL-PRFCH-SCHED-004</x:v>
      </x:c>
      <x:c r="C12" s="20" t="str">
        <x:v>SF-04</x:v>
      </x:c>
      <x:c r="D12" s="20" t="str">
        <x:v>传输创新底座与多介质数据路径</x:v>
      </x:c>
      <x:c r="E12" s="20" t="str">
        <x:v>IR-04-03</x:v>
      </x:c>
      <x:c r="F12" s="20" t="str">
        <x:v>批量传输、预取、流式恢复与广播</x:v>
      </x:c>
      <x:c r="G12" s="20" t="str">
        <x:v>SR-04-03-02</x:v>
      </x:c>
      <x:c r="H12" s="20" t="str">
        <x:v>状态感知预取与时延隐藏</x:v>
      </x:c>
      <x:c r="I12" s="20" t="str">
        <x:v>L1-SGL-PRFCH-SCHED-004</x:v>
      </x:c>
      <x:c r="J12" s="20" t="str">
        <x:v>L1 推理调度层</x:v>
      </x:c>
      <x:c r="K12" s="20" t="str">
        <x:v>卸载/加载与预取优化</x:v>
      </x:c>
      <x:c r="L12" s="20" t="str">
        <x:v>P2</x:v>
      </x:c>
      <x:c r="M12" s="20" t="str">
        <x:v>P2</x:v>
      </x:c>
      <x:c r="N12" s="20" t="str">
        <x:v>软件主线</x:v>
      </x:c>
      <x:c r="O12" s="20" t="str">
        <x:v>投机性前缀预取</x:v>
      </x:c>
      <x:c r="P12" s="20" t="str">
        <x:v>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Q12" s="20" t="str">
        <x:v>Prefix命中判定P99耗时 &lt; 200us；在Share-Prefix业务下，Usable Hit Rate提升≥15%。</x:v>
      </x:c>
      <x:c r="R12" s="20" t="str">
        <x:v>使用ShareGPT数据集构造并发度上千(1K~5K QPS)的多轮对话负载，监控/metrics接口的prefix_lookup_latency指标，要求P99小于200us为达标。</x:v>
      </x:c>
      <x:c r="S12" s="20" t="str">
        <x:v>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x:v>
      </x:c>
      <x:c r="T12"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x:v>
      </x:c>
      <x:c r="U12" s="20" t="str">
        <x:f>IF(COUNTIF('SF-IR-SR定义'!$B$5:$B$79,G12)=1,"PASS","CHECK")</x:f>
        <x:v>PASS</x:v>
      </x:c>
      <x:c r="V12" s="20" t="str">
        <x:f>IF(COUNTIF($B$5:$B$148,B12)=1,"PASS","DUPLICATE")</x:f>
        <x:v>PASS</x:v>
      </x:c>
      <x:c r="W12" s="20" t="str">
        <x:f>C12&amp;" / "&amp;E12&amp;" / "&amp;G12&amp;" / "&amp;B12</x:f>
        <x:v>SF-04 / IR-04-03 / SR-04-03-02 / AR-L1-SGL-PRFCH-SCHED-004</x:v>
      </x:c>
    </x:row>
    <x:row r="13" ht="86.4000015258789" hidden="0" customHeight="1">
      <x:c r="A13" s="20" t="n">
        <x:v>9</x:v>
      </x:c>
      <x:c r="B13" s="20" t="str">
        <x:v>AR-L1-SGL-SWP-XFER-002</x:v>
      </x:c>
      <x:c r="C13" s="20" t="str">
        <x:v>SF-04</x:v>
      </x:c>
      <x:c r="D13" s="20" t="str">
        <x:v>传输创新底座与多介质数据路径</x:v>
      </x:c>
      <x:c r="E13" s="20" t="str">
        <x:v>IR-04-03</x:v>
      </x:c>
      <x:c r="F13" s="20" t="str">
        <x:v>批量传输、预取、流式恢复与广播</x:v>
      </x:c>
      <x:c r="G13" s="20" t="str">
        <x:v>SR-04-03-01</x:v>
      </x:c>
      <x:c r="H13" s="20" t="str">
        <x:v>Swap批量与流式加载Pipeline</x:v>
      </x:c>
      <x:c r="I13" s="20" t="str">
        <x:v>L1-SGL-SWP-XFER-002</x:v>
      </x:c>
      <x:c r="J13" s="20" t="str">
        <x:v>L1 推理调度层</x:v>
      </x:c>
      <x:c r="K13" s="20" t="str">
        <x:v>卸载/加载与预取优化</x:v>
      </x:c>
      <x:c r="L13" s="20" t="str">
        <x:v>P2</x:v>
      </x:c>
      <x:c r="M13" s="20" t="str">
        <x:v>P2</x:v>
      </x:c>
      <x:c r="N13" s="20" t="str">
        <x:v>软件主线</x:v>
      </x:c>
      <x:c r="O13" s="20" t="str">
        <x:v>流式KV加载Pipeline</x:v>
      </x:c>
      <x:c r="P13" s="20" t="str">
        <x:v>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Q13" s="20" t="str">
        <x:v>内存碎片率控制在&lt;5%，平均并发处理能力（QPS）提升≥10%。</x:v>
      </x:c>
      <x:c r="R13" s="20" t="str">
        <x:v>在vLLM环境设定HBM极限容量，以高于吞吐上限120%的压力注入128K极长Prompt请求，监控系统OOM次数，要求实现平滑拒绝（Admission Deny）而不崩溃。</x:v>
      </x:c>
      <x:c r="S13" s="20" t="str">
        <x:v>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x:v>
      </x:c>
      <x:c r="T13" s="20" t="str">
        <x:v>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x:v>
      </x:c>
      <x:c r="U13" s="20" t="str">
        <x:f>IF(COUNTIF('SF-IR-SR定义'!$B$5:$B$79,G13)=1,"PASS","CHECK")</x:f>
        <x:v>PASS</x:v>
      </x:c>
      <x:c r="V13" s="20" t="str">
        <x:f>IF(COUNTIF($B$5:$B$148,B13)=1,"PASS","DUPLICATE")</x:f>
        <x:v>PASS</x:v>
      </x:c>
      <x:c r="W13" s="20" t="str">
        <x:f>C13&amp;" / "&amp;E13&amp;" / "&amp;G13&amp;" / "&amp;B13</x:f>
        <x:v>SF-04 / IR-04-03 / SR-04-03-01 / AR-L1-SGL-SWP-XFER-002</x:v>
      </x:c>
    </x:row>
    <x:row r="14" ht="97.19999694824219" hidden="0" customHeight="1">
      <x:c r="A14" s="20" t="n">
        <x:v>10</x:v>
      </x:c>
      <x:c r="B14" s="20" t="str">
        <x:v>AR-L1-VLLM-PRFCH-SCHED-004</x:v>
      </x:c>
      <x:c r="C14" s="20" t="str">
        <x:v>SF-04</x:v>
      </x:c>
      <x:c r="D14" s="20" t="str">
        <x:v>传输创新底座与多介质数据路径</x:v>
      </x:c>
      <x:c r="E14" s="20" t="str">
        <x:v>IR-04-03</x:v>
      </x:c>
      <x:c r="F14" s="20" t="str">
        <x:v>批量传输、预取、流式恢复与广播</x:v>
      </x:c>
      <x:c r="G14" s="20" t="str">
        <x:v>SR-04-03-02</x:v>
      </x:c>
      <x:c r="H14" s="20" t="str">
        <x:v>状态感知预取与时延隐藏</x:v>
      </x:c>
      <x:c r="I14" s="20" t="str">
        <x:v>L1-VLLM-PRFCH-SCHED-004</x:v>
      </x:c>
      <x:c r="J14" s="20" t="str">
        <x:v>L1 推理调度层</x:v>
      </x:c>
      <x:c r="K14" s="20" t="str">
        <x:v>卸载/加载与预取优化</x:v>
      </x:c>
      <x:c r="L14" s="20" t="str">
        <x:v>P2</x:v>
      </x:c>
      <x:c r="M14" s="20" t="str">
        <x:v>P2</x:v>
      </x:c>
      <x:c r="N14" s="20" t="str">
        <x:v>软件主线</x:v>
      </x:c>
      <x:c r="O14" s="20" t="str">
        <x:v>请求调度预取优化</x:v>
      </x:c>
      <x:c r="P14" s="20"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Q14" s="20" t="str">
        <x:v>内存碎片率控制在&lt;5%，平均并发处理能力（QPS）提升≥10%。</x:v>
      </x:c>
      <x:c r="R14" s="20" t="str">
        <x:v>在vLLM环境设定HBM极限容量，以高于吞吐上限120%的压力注入128K极长Prompt请求，监控系统OOM次数，要求实现平滑拒绝（Admission Deny）而不崩溃。</x:v>
      </x:c>
      <x:c r="S14" s="20" t="str">
        <x:v>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x:v>
      </x:c>
      <x:c r="T14" s="20"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x:v>
      </x:c>
      <x:c r="U14" s="20" t="str">
        <x:f>IF(COUNTIF('SF-IR-SR定义'!$B$5:$B$79,G14)=1,"PASS","CHECK")</x:f>
        <x:v>PASS</x:v>
      </x:c>
      <x:c r="V14" s="20" t="str">
        <x:f>IF(COUNTIF($B$5:$B$148,B14)=1,"PASS","DUPLICATE")</x:f>
        <x:v>PASS</x:v>
      </x:c>
      <x:c r="W14" s="20" t="str">
        <x:f>C14&amp;" / "&amp;E14&amp;" / "&amp;G14&amp;" / "&amp;B14</x:f>
        <x:v>SF-04 / IR-04-03 / SR-04-03-02 / AR-L1-VLLM-PRFCH-SCHED-004</x:v>
      </x:c>
    </x:row>
    <x:row r="15" ht="97.19999694824219" hidden="0" customHeight="1">
      <x:c r="A15" s="20" t="n">
        <x:v>11</x:v>
      </x:c>
      <x:c r="B15" s="20" t="str">
        <x:v>AR-L1-MM-KVSizing-008</x:v>
      </x:c>
      <x:c r="C15" s="20" t="str">
        <x:v>SF-03</x:v>
      </x:c>
      <x:c r="D15" s="20" t="str">
        <x:v>统一KV对象与异构存储池管理</x:v>
      </x:c>
      <x:c r="E15" s="20" t="str">
        <x:v>IR-03-01</x:v>
      </x:c>
      <x:c r="F15" s="20" t="str">
        <x:v>KV对象、存储布局与统一寻址</x:v>
      </x:c>
      <x:c r="G15" s="20" t="str">
        <x:v>SR-03-01-01</x:v>
      </x:c>
      <x:c r="H15" s="20" t="str">
        <x:v>KV容量规格、Block Schema与Extent Manifest</x:v>
      </x:c>
      <x:c r="I15" s="20" t="str">
        <x:v>L1-MM-KVSizing-008</x:v>
      </x:c>
      <x:c r="J15" s="20" t="str">
        <x:v>L1 推理调度层</x:v>
      </x:c>
      <x:c r="K15" s="20" t="str">
        <x:v>容量估算与生命周期</x:v>
      </x:c>
      <x:c r="L15" s="20" t="str">
        <x:v>P1</x:v>
      </x:c>
      <x:c r="M15" s="20" t="str">
        <x:v>P1</x:v>
      </x:c>
      <x:c r="N15" s="20" t="str">
        <x:v>软硬接口/硬件协同</x:v>
      </x:c>
      <x:c r="O15" s="20" t="str">
        <x:v>模型 KVCache 容量规格化</x:v>
      </x:c>
      <x:c r="P15" s="20" t="str">
        <x:v>本需求要求提供模型结构感知的 KV block/page 容量估算 API，覆盖 MHA、GQA、MLA、sliding-window、hybrid/recurrent state、TP rank、dtype、layout version 等因素，确保 HBM/DDR/CXL/SSD 预留容量与实际 KV footprint 误差小于 5%。</x:v>
      </x:c>
      <x:c r="Q15" s="20" t="str">
        <x:v>OOM/preemption 次数降低 ≥50%；</x:v>
      </x:c>
      <x:c r="R15" s="20" t="str">
        <x:v>模拟生成多组不同 Context Length 的真实 Prompt 请求，由调度器提前估算所需的 KV 内存空间，并与实际推理框架分配的字节数（Allocated Bytes）做严格的后置比对。要求在各种边界条件下估算误差率稳定保持在 &lt;5%。</x:v>
      </x:c>
      <x:c r="S15" s="20" t="str">
        <x:v>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x:v>
      </x:c>
      <x:c r="T15" s="20"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x:v>
      </x:c>
      <x:c r="U15" s="20" t="str">
        <x:f>IF(COUNTIF('SF-IR-SR定义'!$B$5:$B$79,G15)=1,"PASS","CHECK")</x:f>
        <x:v>PASS</x:v>
      </x:c>
      <x:c r="V15" s="20" t="str">
        <x:f>IF(COUNTIF($B$5:$B$148,B15)=1,"PASS","DUPLICATE")</x:f>
        <x:v>PASS</x:v>
      </x:c>
      <x:c r="W15" s="20" t="str">
        <x:f>C15&amp;" / "&amp;E15&amp;" / "&amp;G15&amp;" / "&amp;B15</x:f>
        <x:v>SF-03 / IR-03-01 / SR-03-01-01 / AR-L1-MM-KVSizing-008</x:v>
      </x:c>
    </x:row>
    <x:row r="16" ht="86.4000015258789" hidden="0" customHeight="1">
      <x:c r="A16" s="20" t="n">
        <x:v>12</x:v>
      </x:c>
      <x:c r="B16" s="20" t="str">
        <x:v>AR-L1-OL-ActiveWarmClass-010</x:v>
      </x:c>
      <x:c r="C16" s="20" t="str">
        <x:v>SF-03</x:v>
      </x:c>
      <x:c r="D16" s="20" t="str">
        <x:v>统一KV对象与异构存储池管理</x:v>
      </x:c>
      <x:c r="E16" s="20" t="str">
        <x:v>IR-03-02</x:v>
      </x:c>
      <x:c r="F16" s="20" t="str">
        <x:v>异构池分配、分层与介质角色</x:v>
      </x:c>
      <x:c r="G16" s="20" t="str">
        <x:v>SR-03-02-02</x:v>
      </x:c>
      <x:c r="H16" s="20" t="str">
        <x:v>图式分层、DDR旁路与角色化准入</x:v>
      </x:c>
      <x:c r="I16" s="20" t="str">
        <x:v>L1-OL-ActiveWarmClass-010</x:v>
      </x:c>
      <x:c r="J16" s="20" t="str">
        <x:v>L1 推理调度层</x:v>
      </x:c>
      <x:c r="K16" s="20" t="str">
        <x:v>驻留策略与局部复用</x:v>
      </x:c>
      <x:c r="L16" s="20" t="str">
        <x:v>P1</x:v>
      </x:c>
      <x:c r="M16" s="20" t="str">
        <x:v>P1</x:v>
      </x:c>
      <x:c r="N16" s="20" t="str">
        <x:v>硬件协同</x:v>
      </x:c>
      <x:c r="O16" s="20" t="str">
        <x:v>活跃 KV 与热 KV 分层驻留</x:v>
      </x:c>
      <x:c r="P16" s="20" t="str">
        <x:v>本需求要求框架层显式区分 decode-active KV 与 warm prefix KV：decode-active KV 默认必须驻留 HBM，warm prefix KV 可驻留本地 DDR、本地DDR、本地SSD 或远端节点；系统不得把低带宽 memory tier 直接当作 HBM 扩容使用。</x:v>
      </x:c>
      <x:c r="Q16" s="20" t="str">
        <x:v>TPOT 不回退；HBM effective capacity 提升 ≥20%；</x:v>
      </x:c>
      <x:c r="R16" s="20" t="str">
        <x:v>部署相同的服务，同时开启 Direct-View（直接视图映射）与 Copy-to-HBM（显存拷贝）两种数据拉取模式的 A/B 测试。对比两种模式下系统整体的 TPOT 波动情况以及背景总线带宽占用率，确保最优策略能动态适配不同负载。</x:v>
      </x:c>
      <x:c r="S16" s="20" t="str">
        <x:v>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x:v>
      </x:c>
      <x:c r="T16"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x:v>
      </x:c>
      <x:c r="U16" s="20" t="str">
        <x:f>IF(COUNTIF('SF-IR-SR定义'!$B$5:$B$79,G16)=1,"PASS","CHECK")</x:f>
        <x:v>PASS</x:v>
      </x:c>
      <x:c r="V16" s="20" t="str">
        <x:f>IF(COUNTIF($B$5:$B$148,B16)=1,"PASS","DUPLICATE")</x:f>
        <x:v>PASS</x:v>
      </x:c>
      <x:c r="W16" s="20" t="str">
        <x:f>C16&amp;" / "&amp;E16&amp;" / "&amp;G16&amp;" / "&amp;B16</x:f>
        <x:v>SF-03 / IR-03-02 / SR-03-02-02 / AR-L1-OL-ActiveWarmClass-010</x:v>
      </x:c>
    </x:row>
    <x:row r="17" ht="86.4000015258789" hidden="0" customHeight="1">
      <x:c r="A17" s="20" t="n">
        <x:v>13</x:v>
      </x:c>
      <x:c r="B17" s="20" t="str">
        <x:v>AR-L1-OL-PartialBoundary-012</x:v>
      </x:c>
      <x:c r="C17" s="20" t="str">
        <x:v>SF-01</x:v>
      </x:c>
      <x:c r="D17" s="20" t="str">
        <x:v>统一服务接入与推理消费</x:v>
      </x:c>
      <x:c r="E17" s="20" t="str">
        <x:v>IR-01-02</x:v>
      </x:c>
      <x:c r="F17" s="20" t="str">
        <x:v>缓存感知调度与收益准入</x:v>
      </x:c>
      <x:c r="G17" s="20" t="str">
        <x:v>SR-01-02-02</x:v>
      </x:c>
      <x:c r="H17" s="20" t="str">
        <x:v>部分命中、View/Copy与重算边界</x:v>
      </x:c>
      <x:c r="I17" s="20" t="str">
        <x:v>L1-OL-PartialBoundary-012</x:v>
      </x:c>
      <x:c r="J17" s="20" t="str">
        <x:v>L1 推理调度层</x:v>
      </x:c>
      <x:c r="K17" s="20" t="str">
        <x:v>驻留策略与局部复用</x:v>
      </x:c>
      <x:c r="L17" s="20" t="str">
        <x:v>P2</x:v>
      </x:c>
      <x:c r="M17" s="20" t="str">
        <x:v>P2</x:v>
      </x:c>
      <x:c r="N17" s="20" t="str">
        <x:v>软件主线</x:v>
      </x:c>
      <x:c r="O17" s="20" t="str">
        <x:v>部分前缀命中复用</x:v>
      </x:c>
      <x:c r="P17" s="20"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Q17" s="20" t="str">
        <x:v>prefill FLOPs/request 降低 ≥15%；</x:v>
      </x:c>
      <x:c r="R17" s="20" t="str">
        <x:v>当触发 Partial Hit 时，在日志系统中精确统计复用命中的 Tokens 数（Matched Tokens）以及被迫重新计算的 Tokens 数（Recompute Tokens），验证系统的局部加载逻辑边界准确，未发生冗余重算或丢失。</x:v>
      </x:c>
      <x:c r="S17" s="20" t="str">
        <x:v>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x:v>
      </x:c>
      <x:c r="T17"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x:v>
      </x:c>
      <x:c r="U17" s="20" t="str">
        <x:f>IF(COUNTIF('SF-IR-SR定义'!$B$5:$B$79,G17)=1,"PASS","CHECK")</x:f>
        <x:v>PASS</x:v>
      </x:c>
      <x:c r="V17" s="20" t="str">
        <x:f>IF(COUNTIF($B$5:$B$148,B17)=1,"PASS","DUPLICATE")</x:f>
        <x:v>PASS</x:v>
      </x:c>
      <x:c r="W17" s="20" t="str">
        <x:f>C17&amp;" / "&amp;E17&amp;" / "&amp;G17&amp;" / "&amp;B17</x:f>
        <x:v>SF-01 / IR-01-02 / SR-01-02-02 / AR-L1-OL-PartialBoundary-012</x:v>
      </x:c>
    </x:row>
    <x:row r="18" ht="86.4000015258789" hidden="0" customHeight="1">
      <x:c r="A18" s="20" t="n">
        <x:v>14</x:v>
      </x:c>
      <x:c r="B18" s="20" t="str">
        <x:v>AR-L1-OL-ViewVsCopy-011</x:v>
      </x:c>
      <x:c r="C18" s="20" t="str">
        <x:v>SF-01</x:v>
      </x:c>
      <x:c r="D18" s="20" t="str">
        <x:v>统一服务接入与推理消费</x:v>
      </x:c>
      <x:c r="E18" s="20" t="str">
        <x:v>IR-01-02</x:v>
      </x:c>
      <x:c r="F18" s="20" t="str">
        <x:v>缓存感知调度与收益准入</x:v>
      </x:c>
      <x:c r="G18" s="20" t="str">
        <x:v>SR-01-02-02</x:v>
      </x:c>
      <x:c r="H18" s="20" t="str">
        <x:v>部分命中、View/Copy与重算边界</x:v>
      </x:c>
      <x:c r="I18" s="20" t="str">
        <x:v>L1-OL-ViewVsCopy-011</x:v>
      </x:c>
      <x:c r="J18" s="20" t="str">
        <x:v>L1 推理调度层</x:v>
      </x:c>
      <x:c r="K18" s="20" t="str">
        <x:v>驻留策略与局部复用</x:v>
      </x:c>
      <x:c r="L18" s="20" t="str">
        <x:v>P2</x:v>
      </x:c>
      <x:c r="M18" s="20" t="str">
        <x:v>P2</x:v>
      </x:c>
      <x:c r="N18" s="20" t="str">
        <x:v>硬件协同</x:v>
      </x:c>
      <x:c r="O18" s="20" t="str">
        <x:v>热 KV 近端访问与 HBM 回填选择</x:v>
      </x:c>
      <x:c r="P18" s="20" t="str">
        <x:v>本需求要求实现 direct-view eligibility 判断：当 KV 对象为 metadata、短 prefix span 或 warm preview 时允许memory view；当 KV 将进入 decode attention active path 时，默认 copy-to-HBM，除非 cost model 证明 direct view 不影响 TPOT。</x:v>
      </x:c>
      <x:c r="Q18" s="20" t="str">
        <x:v>TTFT 不劣化，TPOT p99 回退 &lt;3%；</x:v>
      </x:c>
      <x:c r="R18" s="20" t="str">
        <x:v>构建一组按 Span（跨度）长度梯度递增（例如：从 1K 逐渐扫描至 100K Tokens）的请求集，记录每一个长度节点下使用 View 和 Copy 的耗时交叉点，输出临界值曲线并验证系统能否在此临界点自动平滑切换策略。</x:v>
      </x:c>
      <x:c r="S18" s="20" t="str">
        <x:v>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x:v>
      </x:c>
      <x:c r="T18"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x:v>
      </x:c>
      <x:c r="U18" s="20" t="str">
        <x:f>IF(COUNTIF('SF-IR-SR定义'!$B$5:$B$79,G18)=1,"PASS","CHECK")</x:f>
        <x:v>PASS</x:v>
      </x:c>
      <x:c r="V18" s="20" t="str">
        <x:f>IF(COUNTIF($B$5:$B$148,B18)=1,"PASS","DUPLICATE")</x:f>
        <x:v>PASS</x:v>
      </x:c>
      <x:c r="W18" s="20" t="str">
        <x:f>C18&amp;" / "&amp;E18&amp;" / "&amp;G18&amp;" / "&amp;B18</x:f>
        <x:v>SF-01 / IR-01-02 / SR-01-02-02 / AR-L1-OL-ViewVsCopy-011</x:v>
      </x:c>
    </x:row>
    <x:row r="19" ht="97.19999694824219" hidden="0" customHeight="1">
      <x:c r="A19" s="20" t="n">
        <x:v>15</x:v>
      </x:c>
      <x:c r="B19" s="20" t="str">
        <x:v>AR-L1-SC-TenantIsolation-017</x:v>
      </x:c>
      <x:c r="C19" s="20" t="str">
        <x:v>SF-05</x:v>
      </x:c>
      <x:c r="D19" s="20" t="str">
        <x:v>一致性、安全、完整性与故障恢复</x:v>
      </x:c>
      <x:c r="E19" s="20" t="str">
        <x:v>IR-05-04</x:v>
      </x:c>
      <x:c r="F19" s="20" t="str">
        <x:v>多租户隔离与安全共享</x:v>
      </x:c>
      <x:c r="G19" s="20" t="str">
        <x:v>SR-05-04-01</x:v>
      </x:c>
      <x:c r="H19" s="20" t="str">
        <x:v>租户身份与存储池资源隔离</x:v>
      </x:c>
      <x:c r="I19" s="20" t="str">
        <x:v>L1-SC-TenantIsolation-017</x:v>
      </x:c>
      <x:c r="J19" s="20" t="str">
        <x:v>L1 推理调度层</x:v>
      </x:c>
      <x:c r="K19" s="20" t="str">
        <x:v>171</x:v>
      </x:c>
      <x:c r="L19" s="20" t="str">
        <x:v>P0</x:v>
      </x:c>
      <x:c r="M19" s="20" t="str">
        <x:v>P0</x:v>
      </x:c>
      <x:c r="N19" s="20" t="str">
        <x:v>软件主线</x:v>
      </x:c>
      <x:c r="O19" s="20" t="str">
        <x:v>多租户 KVCache 隔离共享</x:v>
      </x:c>
      <x:c r="P19" s="20" t="str">
        <x:v>本需求要求 KV key 构造必须包含 tenant、security domain、cache salt、model id、tokenizer hash、template version、layout version 等隔离字段；公共 KV 必须显式标记 shareable，私有 KV 不得跨租户命中或共享。</x:v>
      </x:c>
      <x:c r="Q19" s="20" t="str">
        <x:v>跨租户误命中 = 0；</x:v>
      </x:c>
      <x:c r="R19" s="20" t="str">
        <x:v>构造涉及多个不同租户的并发请求，其中包含极易引起哈希碰撞（Hash Collision）的内容片段。验证底层身份验证机制能否 100% 拦截跨租户的非法缓存访问（Access Control），确保租户之间数据强隔离无串模。</x:v>
      </x:c>
      <x:c r="S19" s="20" t="str">
        <x:v>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x:v>
      </x:c>
      <x:c r="T19" s="20"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x:v>
      </x:c>
      <x:c r="U19" s="20" t="str">
        <x:f>IF(COUNTIF('SF-IR-SR定义'!$B$5:$B$79,G19)=1,"PASS","CHECK")</x:f>
        <x:v>PASS</x:v>
      </x:c>
      <x:c r="V19" s="20" t="str">
        <x:f>IF(COUNTIF($B$5:$B$148,B19)=1,"PASS","DUPLICATE")</x:f>
        <x:v>PASS</x:v>
      </x:c>
      <x:c r="W19" s="20" t="str">
        <x:f>C19&amp;" / "&amp;E19&amp;" / "&amp;G19&amp;" / "&amp;B19</x:f>
        <x:v>SF-05 / IR-05-04 / SR-05-04-01 / AR-L1-SC-TenantIsolation-017</x:v>
      </x:c>
    </x:row>
    <x:row r="20" ht="97.19999694824219" hidden="0" customHeight="1">
      <x:c r="A20" s="20" t="n">
        <x:v>16</x:v>
      </x:c>
      <x:c r="B20" s="20" t="str">
        <x:v>AR-L1-SE-IntentAPI-014</x:v>
      </x:c>
      <x:c r="C20" s="20" t="str">
        <x:v>SF-01</x:v>
      </x:c>
      <x:c r="D20" s="20" t="str">
        <x:v>统一服务接入与推理消费</x:v>
      </x:c>
      <x:c r="E20" s="20" t="str">
        <x:v>IR-01-01</x:v>
      </x:c>
      <x:c r="F20" s="20" t="str">
        <x:v>统一访问意图与Connector契约</x:v>
      </x:c>
      <x:c r="G20" s="20" t="str">
        <x:v>SR-01-01-01</x:v>
      </x:c>
      <x:c r="H20" s="20" t="str">
        <x:v>访问意图、统一API与语义身份</x:v>
      </x:c>
      <x:c r="I20" s="20" t="str">
        <x:v>L1-SE-IntentAPI-014</x:v>
      </x:c>
      <x:c r="J20" s="20" t="str">
        <x:v>L1 推理调度层</x:v>
      </x:c>
      <x:c r="K20" s="20" t="str">
        <x:v>多卡协同与观测治理</x:v>
      </x:c>
      <x:c r="L20" s="20" t="str">
        <x:v>P0</x:v>
      </x:c>
      <x:c r="M20" s="20" t="str">
        <x:v>P0</x:v>
      </x:c>
      <x:c r="N20" s="20" t="str">
        <x:v>软硬接口/硬件协同</x:v>
      </x:c>
      <x:c r="O20" s="20" t="str">
        <x:v>统一 KVCache 访问意图编排</x:v>
      </x:c>
      <x:c r="P20" s="20" t="str">
        <x:v>本需求要求北向接口默认采用 KVAccessIntent 语义：上层只描述操作目的、deadline、KV 大小、reuse value、visibility、fallback policy、isolation domain，不直接绑定 UB.memory、RDMA、TCP 等具体路径，由下层 policy engine 决定执行语义。</x:v>
      </x:c>
      <x:c r="Q20" s="20" t="str">
        <x:v>上层后端无关；新增后端无需改 Scheduler；</x:v>
      </x:c>
      <x:c r="R20" s="20" t="str">
        <x:v>针对同一个语义层级的调度意图（Intent），将其分别下发至配置了 RDMA、CXL 和普通 TCP 网络的异构集群中运行。观察跨网络协议时的兼容性，以及系统是否能自动根据底层网络链路能力实现透明降级。</x:v>
      </x:c>
      <x:c r="S20" s="20" t="str">
        <x:v>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x:v>
      </x:c>
      <x:c r="T20" s="20"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x:v>
      </x:c>
      <x:c r="U20" s="20" t="str">
        <x:f>IF(COUNTIF('SF-IR-SR定义'!$B$5:$B$79,G20)=1,"PASS","CHECK")</x:f>
        <x:v>PASS</x:v>
      </x:c>
      <x:c r="V20" s="20" t="str">
        <x:f>IF(COUNTIF($B$5:$B$148,B20)=1,"PASS","DUPLICATE")</x:f>
        <x:v>PASS</x:v>
      </x:c>
      <x:c r="W20" s="20" t="str">
        <x:f>C20&amp;" / "&amp;E20&amp;" / "&amp;G20&amp;" / "&amp;B20</x:f>
        <x:v>SF-01 / IR-01-01 / SR-01-01-01 / AR-L1-SE-IntentAPI-014</x:v>
      </x:c>
    </x:row>
    <x:row r="21" ht="86.4000015258789" hidden="0" customHeight="1">
      <x:c r="A21" s="20" t="n">
        <x:v>17</x:v>
      </x:c>
      <x:c r="B21" s="20" t="str">
        <x:v>AR-L1-OB-SemanticMetrics-016</x:v>
      </x:c>
      <x:c r="C21" s="20" t="str">
        <x:v>SF-06</x:v>
      </x:c>
      <x:c r="D21" s="20" t="str">
        <x:v>性能QoS、收益闭环与平台演进</x:v>
      </x:c>
      <x:c r="E21" s="20" t="str">
        <x:v>IR-06-03</x:v>
      </x:c>
      <x:c r="F21" s="20" t="str">
        <x:v>端到端可观测与收益对账</x:v>
      </x:c>
      <x:c r="G21" s="20" t="str">
        <x:v>SR-06-03-01</x:v>
      </x:c>
      <x:c r="H21" s="20" t="str">
        <x:v>语义化命中指标与Path Trace</x:v>
      </x:c>
      <x:c r="I21" s="20" t="str">
        <x:v>L1-OB-SemanticMetrics-016</x:v>
      </x:c>
      <x:c r="J21" s="20" t="str">
        <x:v>L1 推理调度层</x:v>
      </x:c>
      <x:c r="K21" s="20" t="str">
        <x:v>多卡协同与观测治理</x:v>
      </x:c>
      <x:c r="L21" s="20" t="str">
        <x:v>P1</x:v>
      </x:c>
      <x:c r="M21" s="20" t="str">
        <x:v>P1</x:v>
      </x:c>
      <x:c r="N21" s="20" t="str">
        <x:v>软件主线</x:v>
      </x:c>
      <x:c r="O21" s="20" t="str">
        <x:v>KVCache 命中收益可观测</x:v>
      </x:c>
      <x:c r="P21" s="20" t="str">
        <x:v>本需求要求框架层输出语义化 KV 命中指标，不得只统计 prefix hit rate；必须区分 raw hit、usable hit、local usable hit、view hit、bulk-load hit、stream-restore hit、abandoned hit，并记录每次请求 prefix critical path breakdown。</x:v>
      </x:c>
      <x:c r="Q21" s="20" t="str">
        <x:v>指标覆盖率 受SLO约束的比例；</x:v>
      </x:c>
      <x:c r="R21" s="20" t="str">
        <x:v>在系统的端到端请求 Trace 中，要求每一次涉及前缀命中的推理请求均需包含详细的关键路径击穿图（Critical Path Breakdown），涵盖 Lookup、Transfer、Attach 及 Sync 等环节的时延占比，方便问题追溯。</x:v>
      </x:c>
      <x:c r="S21" s="20" t="str">
        <x:v>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x:v>
      </x:c>
      <x:c r="T21"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x:v>
      </x:c>
      <x:c r="U21" s="20" t="str">
        <x:f>IF(COUNTIF('SF-IR-SR定义'!$B$5:$B$79,G21)=1,"PASS","CHECK")</x:f>
        <x:v>PASS</x:v>
      </x:c>
      <x:c r="V21" s="20" t="str">
        <x:f>IF(COUNTIF($B$5:$B$148,B21)=1,"PASS","DUPLICATE")</x:f>
        <x:v>PASS</x:v>
      </x:c>
      <x:c r="W21" s="20" t="str">
        <x:f>C21&amp;" / "&amp;E21&amp;" / "&amp;G21&amp;" / "&amp;B21</x:f>
        <x:v>SF-06 / IR-06-03 / SR-06-03-01 / AR-L1-OB-SemanticMetrics-016</x:v>
      </x:c>
    </x:row>
    <x:row r="22" ht="86.4000015258789" hidden="0" customHeight="1">
      <x:c r="A22" s="20" t="n">
        <x:v>18</x:v>
      </x:c>
      <x:c r="B22" s="20" t="str">
        <x:v>AR-L1-PD-RankConsensus-013</x:v>
      </x:c>
      <x:c r="C22" s="20" t="str">
        <x:v>SF-01</x:v>
      </x:c>
      <x:c r="D22" s="20" t="str">
        <x:v>统一服务接入与推理消费</x:v>
      </x:c>
      <x:c r="E22" s="20" t="str">
        <x:v>IR-01-03</x:v>
      </x:c>
      <x:c r="F22" s="20" t="str">
        <x:v>多卡一致消费与专家控制</x:v>
      </x:c>
      <x:c r="G22" s="20" t="str">
        <x:v>SR-01-03-01</x:v>
      </x:c>
      <x:c r="H22" s="20" t="str">
        <x:v>多Rank前缀共识与多消费者</x:v>
      </x:c>
      <x:c r="I22" s="20" t="str">
        <x:v>L1-PD-RankConsensus-013</x:v>
      </x:c>
      <x:c r="J22" s="20" t="str">
        <x:v>L1 推理调度层</x:v>
      </x:c>
      <x:c r="K22" s="20" t="str">
        <x:v>多卡协同与观测治理</x:v>
      </x:c>
      <x:c r="L22" s="20" t="str">
        <x:v>P1</x:v>
      </x:c>
      <x:c r="M22" s="20" t="str">
        <x:v>P1</x:v>
      </x:c>
      <x:c r="N22" s="20" t="str">
        <x:v>软件主线</x:v>
      </x:c>
      <x:c r="O22" s="20" t="str">
        <x:v>多卡共享前缀一致复用</x:v>
      </x:c>
      <x:c r="P22" s="20" t="str">
        <x:v>本需求要求在 TP/PP/P-D 分离场景中实现 rank-level prefix consensus：所有参与 rank 必须对 usable prefix length、KV version、ready bitmap、layout version 达成一致后才允许 attach；若 rank 间不一致，必须取 min-safe prefix 或降级 recompute。</x:v>
      </x:c>
      <x:c r="Q22" s="20" t="str">
        <x:v>correctness fault = 0；rank wait p99 &lt;100us；</x:v>
      </x:c>
      <x:c r="R22" s="20" t="str">
        <x:v>在多卡张量并行（TP）或流水线并行（PP）的环境下，随机将某几个计算节点（Rank）人为断网或 Crash 进行故障注入。验证系统的多卡共识机制能否及时发现不一致，并安全触发 Fallback 避免全局死锁。</x:v>
      </x:c>
      <x:c r="S22" s="20" t="str">
        <x:v>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x:v>
      </x:c>
      <x:c r="T22" s="20"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x:v>
      </x:c>
      <x:c r="U22" s="20" t="str">
        <x:f>IF(COUNTIF('SF-IR-SR定义'!$B$5:$B$79,G22)=1,"PASS","CHECK")</x:f>
        <x:v>PASS</x:v>
      </x:c>
      <x:c r="V22" s="20" t="str">
        <x:f>IF(COUNTIF($B$5:$B$148,B22)=1,"PASS","DUPLICATE")</x:f>
        <x:v>PASS</x:v>
      </x:c>
      <x:c r="W22" s="20" t="str">
        <x:f>C22&amp;" / "&amp;E22&amp;" / "&amp;G22&amp;" / "&amp;B22</x:f>
        <x:v>SF-01 / IR-01-03 / SR-01-03-01 / AR-L1-PD-RankConsensus-013</x:v>
      </x:c>
    </x:row>
    <x:row r="23" ht="97.19999694824219" hidden="0" customHeight="1">
      <x:c r="A23" s="20" t="n">
        <x:v>19</x:v>
      </x:c>
      <x:c r="B23" s="20" t="str">
        <x:v>AR-L1-SE-ExpertOverride-015</x:v>
      </x:c>
      <x:c r="C23" s="20" t="str">
        <x:v>SF-01</x:v>
      </x:c>
      <x:c r="D23" s="20" t="str">
        <x:v>统一服务接入与推理消费</x:v>
      </x:c>
      <x:c r="E23" s="20" t="str">
        <x:v>IR-01-03</x:v>
      </x:c>
      <x:c r="F23" s="20" t="str">
        <x:v>多卡一致消费与专家控制</x:v>
      </x:c>
      <x:c r="G23" s="20" t="str">
        <x:v>SR-01-03-02</x:v>
      </x:c>
      <x:c r="H23" s="20" t="str">
        <x:v>策略引擎与专家级Override</x:v>
      </x:c>
      <x:c r="I23" s="20" t="str">
        <x:v>L1-SE-ExpertOverride-015</x:v>
      </x:c>
      <x:c r="J23" s="20" t="str">
        <x:v>L1 推理调度层</x:v>
      </x:c>
      <x:c r="K23" s="20" t="str">
        <x:v>多卡协同与观测治理</x:v>
      </x:c>
      <x:c r="L23" s="20" t="str">
        <x:v>P3</x:v>
      </x:c>
      <x:c r="M23" s="20" t="str">
        <x:v>P3</x:v>
      </x:c>
      <x:c r="N23" s="20" t="str">
        <x:v>软硬接口/硬件协同</x:v>
      </x:c>
      <x:c r="O23" s="20" t="str">
        <x:v>专家级 KV 传输策略控制</x:v>
      </x:c>
      <x:c r="P23" s="20" t="str">
        <x:v>本需求要求在默认 intent API 之外提供专家级 override：允许研发和运维在 A/B 实验、故障绕行、极致性能调优中显式指定 preferred semantics、forbidden semantics、force copy-to-HBM、allow direct view、forbid TCP fallback 等策略。</x:v>
      </x:c>
      <x:c r="Q23" s="20" t="str">
        <x:v>path selection 可控；</x:v>
      </x:c>
      <x:c r="R23" s="20" t="str">
        <x:v>通过北向 API 或环境变量强制覆盖底层智能决策，指定特定的传输路径（例如：强制走远端 SSD）。运行基准测试，验证系统的实际执行流是否 100% 遵从该强制配置，用于专家模式下的定向调优和 Debug。</x:v>
      </x:c>
      <x:c r="S23" s="20" t="str">
        <x:v>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x:v>
      </x:c>
      <x:c r="T23" s="20"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x:v>
      </x:c>
      <x:c r="U23" s="20" t="str">
        <x:f>IF(COUNTIF('SF-IR-SR定义'!$B$5:$B$79,G23)=1,"PASS","CHECK")</x:f>
        <x:v>PASS</x:v>
      </x:c>
      <x:c r="V23" s="20" t="str">
        <x:f>IF(COUNTIF($B$5:$B$148,B23)=1,"PASS","DUPLICATE")</x:f>
        <x:v>PASS</x:v>
      </x:c>
      <x:c r="W23" s="20" t="str">
        <x:f>C23&amp;" / "&amp;E23&amp;" / "&amp;G23&amp;" / "&amp;B23</x:f>
        <x:v>SF-01 / IR-01-03 / SR-01-03-02 / AR-L1-SE-ExpertOverride-015</x:v>
      </x:c>
    </x:row>
    <x:row r="24" ht="97.19999694824219" hidden="0" customHeight="1">
      <x:c r="A24" s="20" t="n">
        <x:v>20</x:v>
      </x:c>
      <x:c r="B24" s="20" t="str">
        <x:v>AR-L1-MM-DefragAware-023</x:v>
      </x:c>
      <x:c r="C24" s="20" t="str">
        <x:v>SF-03</x:v>
      </x:c>
      <x:c r="D24" s="20" t="str">
        <x:v>统一KV对象与异构存储池管理</x:v>
      </x:c>
      <x:c r="E24" s="20" t="str">
        <x:v>IR-03-03</x:v>
      </x:c>
      <x:c r="F24" s="20" t="str">
        <x:v>生命周期、放置、淘汰与迁移</x:v>
      </x:c>
      <x:c r="G24" s="20" t="str">
        <x:v>SR-03-03-03</x:v>
      </x:c>
      <x:c r="H24" s="20" t="str">
        <x:v>Compaction、智能迁移与互锁</x:v>
      </x:c>
      <x:c r="I24" s="20" t="str">
        <x:v>L1-MM-DefragAware-023</x:v>
      </x:c>
      <x:c r="J24" s="20" t="str">
        <x:v>L1 推理调度层</x:v>
      </x:c>
      <x:c r="K24" s="20" t="str">
        <x:v>容量估算与生命周期</x:v>
      </x:c>
      <x:c r="L24" s="20" t="str">
        <x:v>P1</x:v>
      </x:c>
      <x:c r="M24" s="20" t="str">
        <x:v>P1</x:v>
      </x:c>
      <x:c r="N24" s="20" t="str">
        <x:v>软件主线</x:v>
      </x:c>
      <x:c r="O24" s="20" t="str">
        <x:v>内存高碎片率推理不中断</x:v>
      </x:c>
      <x:c r="P24" s="20" t="str">
        <x:v>本需求要求 L调度器支持内存紧凑（Compaction）感知：当底层触发碎片整理时，调度器需动态规避正在被迁移的物理 Block，或通过热备 Block 替换机制维持当前推理序列的连续写入，避免碎片整理导致推理线程死锁或停顿。</x:v>
      </x:c>
      <x:c r="Q24" s="20" t="str">
        <x:v>内存碎片率控制在&lt;5%，平均并发处理能力（QPS）提升≥10%。</x:v>
      </x:c>
      <x:c r="R24" s="20" t="str">
        <x:v>在vLLM环境设定HBM极限容量，以高于吞吐上限120%的压力注入128K极长Prompt请求，监控系统OOM次数，要求实现平滑拒绝（Admission Deny）而不崩溃。</x:v>
      </x:c>
      <x:c r="S24" s="20" t="str">
        <x:v>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x:v>
      </x:c>
      <x:c r="T24" s="20"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x:v>
      </x:c>
      <x:c r="U24" s="20" t="str">
        <x:f>IF(COUNTIF('SF-IR-SR定义'!$B$5:$B$79,G24)=1,"PASS","CHECK")</x:f>
        <x:v>PASS</x:v>
      </x:c>
      <x:c r="V24" s="20" t="str">
        <x:f>IF(COUNTIF($B$5:$B$148,B24)=1,"PASS","DUPLICATE")</x:f>
        <x:v>PASS</x:v>
      </x:c>
      <x:c r="W24" s="20" t="str">
        <x:f>C24&amp;" / "&amp;E24&amp;" / "&amp;G24&amp;" / "&amp;B24</x:f>
        <x:v>SF-03 / IR-03-03 / SR-03-03-03 / AR-L1-MM-DefragAware-023</x:v>
      </x:c>
    </x:row>
    <x:row r="25" ht="97.19999694824219" hidden="0" customHeight="1">
      <x:c r="A25" s="20" t="n">
        <x:v>21</x:v>
      </x:c>
      <x:c r="B25" s="20" t="str">
        <x:v>AR-L1-RT-WatermarkAdmission-024</x:v>
      </x:c>
      <x:c r="C25" s="20" t="str">
        <x:v>SF-06</x:v>
      </x:c>
      <x:c r="D25" s="20" t="str">
        <x:v>性能QoS、收益闭环与平台演进</x:v>
      </x:c>
      <x:c r="E25" s="20" t="str">
        <x:v>IR-06-02</x:v>
      </x:c>
      <x:c r="F25" s="20" t="str">
        <x:v>容量水位、反压与稳定性保护</x:v>
      </x:c>
      <x:c r="G25" s="20" t="str">
        <x:v>SR-06-02-01</x:v>
      </x:c>
      <x:c r="H25" s="20" t="str">
        <x:v>级联水位反压与Admission保护</x:v>
      </x:c>
      <x:c r="I25" s="20" t="str">
        <x:v>L1-RT-WatermarkAdmission-024</x:v>
      </x:c>
      <x:c r="J25" s="20" t="str">
        <x:v>L1 推理调度层</x:v>
      </x:c>
      <x:c r="K25" s="20" t="str">
        <x:v>调度与路由控制</x:v>
      </x:c>
      <x:c r="L25" s="20" t="str">
        <x:v>P0</x:v>
      </x:c>
      <x:c r="M25" s="20" t="str">
        <x:v>P0</x:v>
      </x:c>
      <x:c r="N25" s="20" t="str">
        <x:v>软件主线</x:v>
      </x:c>
      <x:c r="O25" s="20" t="str">
        <x:v>级联水位高压反压准入</x:v>
      </x:c>
      <x:c r="P25" s="20" t="str">
        <x:v>本需求要求调度器引入水位驱动的强反压准入策略。当接收到 L的 Critical 水位告警时，立即切断低优先级请求的 KV 加载意图，强制将新请求降级为 Recompute 或执行排队减速，保护系统不发生 HBM OOM。</x:v>
      </x:c>
      <x:c r="Q25" s="20" t="str">
        <x:v>错误Load（即Load耗时 &gt; Recompute耗时）比例下降至 &lt; 1%。</x:v>
      </x:c>
      <x:c r="R25" s="20" t="str">
        <x:v>采用128K~1M极长上下文负载并限制400G/800G网络至高拥塞状态(或QoS限速模拟尾部降级)，触发大量远端加载，观测Abandoned Hit Rate，要求低于1%算达标。</x:v>
      </x:c>
      <x:c r="S25" s="20" t="str">
        <x:v>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x:v>
      </x:c>
      <x:c r="T25" s="20"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x:v>
      </x:c>
      <x:c r="U25" s="20" t="str">
        <x:f>IF(COUNTIF('SF-IR-SR定义'!$B$5:$B$79,G25)=1,"PASS","CHECK")</x:f>
        <x:v>PASS</x:v>
      </x:c>
      <x:c r="V25" s="20" t="str">
        <x:f>IF(COUNTIF($B$5:$B$148,B25)=1,"PASS","DUPLICATE")</x:f>
        <x:v>PASS</x:v>
      </x:c>
      <x:c r="W25" s="20" t="str">
        <x:f>C25&amp;" / "&amp;E25&amp;" / "&amp;G25&amp;" / "&amp;B25</x:f>
        <x:v>SF-06 / IR-06-02 / SR-06-02-01 / AR-L1-RT-WatermarkAdmission-024</x:v>
      </x:c>
    </x:row>
    <x:row r="26" ht="86.4000015258789" hidden="0" customHeight="1">
      <x:c r="A26" s="20" t="n">
        <x:v>22</x:v>
      </x:c>
      <x:c r="B26" s="20" t="str">
        <x:v>AR-L2-CONN-API-STD-001</x:v>
      </x:c>
      <x:c r="C26" s="20" t="str">
        <x:v>SF-01</x:v>
      </x:c>
      <x:c r="D26" s="20" t="str">
        <x:v>统一服务接入与推理消费</x:v>
      </x:c>
      <x:c r="E26" s="20" t="str">
        <x:v>IR-01-01</x:v>
      </x:c>
      <x:c r="F26" s="20" t="str">
        <x:v>统一访问意图与Connector契约</x:v>
      </x:c>
      <x:c r="G26" s="20" t="str">
        <x:v>SR-01-01-01</x:v>
      </x:c>
      <x:c r="H26" s="20" t="str">
        <x:v>访问意图、统一API与语义身份</x:v>
      </x:c>
      <x:c r="I26" s="20" t="str">
        <x:v>L2-CONN-API-STD-001</x:v>
      </x:c>
      <x:c r="J26" s="20" t="str">
        <x:v>L2 KVConnector层</x:v>
      </x:c>
      <x:c r="K26" s="20" t="str">
        <x:v>统一协议与标准接口</x:v>
      </x:c>
      <x:c r="L26" s="20" t="str">
        <x:v>P0</x:v>
      </x:c>
      <x:c r="M26" s="20" t="str">
        <x:v>P0</x:v>
      </x:c>
      <x:c r="N26" s="20" t="str">
        <x:v>软件主线</x:v>
      </x:c>
      <x:c r="O26" s="20" t="str">
        <x:v>统一接口标准化</x:v>
      </x:c>
      <x:c r="P26" s="20"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Q26" s="20" t="str">
        <x:v>Prefix命中判定P99耗时 &lt; 200us；在Share-Prefix业务下，Usable Hit Rate提升≥15%。</x:v>
      </x:c>
      <x:c r="R26" s="20" t="str">
        <x:v>使用ShareGPT数据集构造并发度上千(1K~5K QPS)的多轮对话负载，监控/metrics接口的prefix_lookup_latency指标，要求P99小于200us为达标。</x:v>
      </x:c>
      <x:c r="S26" s="20" t="str">
        <x:v>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x:v>
      </x:c>
      <x:c r="T26"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x:v>
      </x:c>
      <x:c r="U26" s="20" t="str">
        <x:f>IF(COUNTIF('SF-IR-SR定义'!$B$5:$B$79,G26)=1,"PASS","CHECK")</x:f>
        <x:v>PASS</x:v>
      </x:c>
      <x:c r="V26" s="20" t="str">
        <x:f>IF(COUNTIF($B$5:$B$148,B26)=1,"PASS","DUPLICATE")</x:f>
        <x:v>PASS</x:v>
      </x:c>
      <x:c r="W26" s="20" t="str">
        <x:f>C26&amp;" / "&amp;E26&amp;" / "&amp;G26&amp;" / "&amp;B26</x:f>
        <x:v>SF-01 / IR-01-01 / SR-01-01-01 / AR-L2-CONN-API-STD-001</x:v>
      </x:c>
    </x:row>
    <x:row r="27" ht="97.19999694824219" hidden="0" customHeight="1">
      <x:c r="A27" s="20" t="n">
        <x:v>23</x:v>
      </x:c>
      <x:c r="B27" s="20" t="str">
        <x:v>AR-L2-CONN-TOPO-ROUTE-002</x:v>
      </x:c>
      <x:c r="C27" s="20" t="str">
        <x:v>SF-04</x:v>
      </x:c>
      <x:c r="D27" s="20" t="str">
        <x:v>传输创新底座与多介质数据路径</x:v>
      </x:c>
      <x:c r="E27" s="20" t="str">
        <x:v>IR-04-01</x:v>
      </x:c>
      <x:c r="F27" s="20" t="str">
        <x:v>能力抽象、路径探测与描述符编译</x:v>
      </x:c>
      <x:c r="G27" s="20" t="str">
        <x:v>SR-04-01-02</x:v>
      </x:c>
      <x:c r="H27" s="20" t="str">
        <x:v>拓扑探测、动态路由与统一Fabric Router</x:v>
      </x:c>
      <x:c r="I27" s="20" t="str">
        <x:v>L2-CONN-TOPO-ROUTE-002</x:v>
      </x:c>
      <x:c r="J27" s="20" t="str">
        <x:v>L2 KVConnector层</x:v>
      </x:c>
      <x:c r="K27" s="20" t="str">
        <x:v>路径路由与能力探测</x:v>
      </x:c>
      <x:c r="L27" s="20" t="str">
        <x:v>P1</x:v>
      </x:c>
      <x:c r="M27" s="20" t="str">
        <x:v>P1</x:v>
      </x:c>
      <x:c r="N27" s="20" t="str">
        <x:v>软件主线</x:v>
      </x:c>
      <x:c r="O27" s="20" t="str">
        <x:v>动态传输路径路由</x:v>
      </x:c>
      <x:c r="P27" s="20"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Q27" s="20" t="str">
        <x:v>同机架内本地及远端DDR命中率（Local Usable Hit Rate）提升≥30%。</x:v>
      </x:c>
      <x:c r="R27" s="20" t="str">
        <x:v>部署含千卡级别的多机柜大规模集群(如16-64节点)，使用vLLM benchmark工具注入Zipf分布的热点Prompt，统计路由命中本地/本同架的比例，要求大于80%达标。</x:v>
      </x:c>
      <x:c r="S27" s="20" t="str">
        <x:v>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x:v>
      </x:c>
      <x:c r="T27" s="20"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x:v>
      </x:c>
      <x:c r="U27" s="20" t="str">
        <x:f>IF(COUNTIF('SF-IR-SR定义'!$B$5:$B$79,G27)=1,"PASS","CHECK")</x:f>
        <x:v>PASS</x:v>
      </x:c>
      <x:c r="V27" s="20" t="str">
        <x:f>IF(COUNTIF($B$5:$B$148,B27)=1,"PASS","DUPLICATE")</x:f>
        <x:v>PASS</x:v>
      </x:c>
      <x:c r="W27" s="20" t="str">
        <x:f>C27&amp;" / "&amp;E27&amp;" / "&amp;G27&amp;" / "&amp;B27</x:f>
        <x:v>SF-04 / IR-04-01 / SR-04-01-02 / AR-L2-CONN-TOPO-ROUTE-002</x:v>
      </x:c>
    </x:row>
    <x:row r="28" ht="86.4000015258789" hidden="0" customHeight="1">
      <x:c r="A28" s="20" t="n">
        <x:v>24</x:v>
      </x:c>
      <x:c r="B28" s="20" t="str">
        <x:v>AR-L2-CONN-META-CACHE-004</x:v>
      </x:c>
      <x:c r="C28" s="20" t="str">
        <x:v>SF-02</x:v>
      </x:c>
      <x:c r="D28" s="20" t="str">
        <x:v>全局前缀目录与分布式元数据服务</x:v>
      </x:c>
      <x:c r="E28" s="20" t="str">
        <x:v>IR-02-01</x:v>
      </x:c>
      <x:c r="F28" s="20" t="str">
        <x:v>低时延前缀计算与批量查询</x:v>
      </x:c>
      <x:c r="G28" s="20" t="str">
        <x:v>SR-02-01-02</x:v>
      </x:c>
      <x:c r="H28" s="20" t="str">
        <x:v>本地热索引、批量与范围查询</x:v>
      </x:c>
      <x:c r="I28" s="20" t="str">
        <x:v>L2-CONN-META-CACHE-004</x:v>
      </x:c>
      <x:c r="J28" s="20" t="str">
        <x:v>L2 KVConnector层</x:v>
      </x:c>
      <x:c r="K28" s="20" t="str">
        <x:v>本地元数据缓存与快速判定</x:v>
      </x:c>
      <x:c r="L28" s="20" t="str">
        <x:v>P1</x:v>
      </x:c>
      <x:c r="M28" s="20" t="str">
        <x:v>P1</x:v>
      </x:c>
      <x:c r="N28" s="20" t="str">
        <x:v>软件主线</x:v>
      </x:c>
      <x:c r="O28" s="20" t="str">
        <x:v>前缀命中快速决策</x:v>
      </x:c>
      <x:c r="P28" s="20" t="str">
        <x:v>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Q28" s="20" t="str">
        <x:v>Prefix命中判定P99耗时 &lt; 200us；在Share-Prefix业务下，Usable Hit Rate提升≥15%。</x:v>
      </x:c>
      <x:c r="R28" s="20" t="str">
        <x:v>使用ShareGPT数据集构造并发度上千(1K~5K QPS)的多轮对话负载，监控/metrics接口的prefix_lookup_latency指标，要求P99小于200us为达标。</x:v>
      </x:c>
      <x:c r="S28" s="20" t="str">
        <x:v>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x:v>
      </x:c>
      <x:c r="T28"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x:v>
      </x:c>
      <x:c r="U28" s="20" t="str">
        <x:f>IF(COUNTIF('SF-IR-SR定义'!$B$5:$B$79,G28)=1,"PASS","CHECK")</x:f>
        <x:v>PASS</x:v>
      </x:c>
      <x:c r="V28" s="20" t="str">
        <x:f>IF(COUNTIF($B$5:$B$148,B28)=1,"PASS","DUPLICATE")</x:f>
        <x:v>PASS</x:v>
      </x:c>
      <x:c r="W28" s="20" t="str">
        <x:f>C28&amp;" / "&amp;E28&amp;" / "&amp;G28&amp;" / "&amp;B28</x:f>
        <x:v>SF-02 / IR-02-01 / SR-02-01-02 / AR-L2-CONN-META-CACHE-004</x:v>
      </x:c>
    </x:row>
    <x:row r="29" ht="86.4000015258789" hidden="0" customHeight="1">
      <x:c r="A29" s="20" t="n">
        <x:v>25</x:v>
      </x:c>
      <x:c r="B29" s="20" t="str">
        <x:v>AR-L2-PM-BatchLookup-021</x:v>
      </x:c>
      <x:c r="C29" s="20" t="str">
        <x:v>SF-02</x:v>
      </x:c>
      <x:c r="D29" s="20" t="str">
        <x:v>全局前缀目录与分布式元数据服务</x:v>
      </x:c>
      <x:c r="E29" s="20" t="str">
        <x:v>IR-02-01</x:v>
      </x:c>
      <x:c r="F29" s="20" t="str">
        <x:v>低时延前缀计算与批量查询</x:v>
      </x:c>
      <x:c r="G29" s="20" t="str">
        <x:v>SR-02-01-02</x:v>
      </x:c>
      <x:c r="H29" s="20" t="str">
        <x:v>本地热索引、批量与范围查询</x:v>
      </x:c>
      <x:c r="I29" s="20" t="str">
        <x:v>L2-PM-BatchLookup-021</x:v>
      </x:c>
      <x:c r="J29" s="20" t="str">
        <x:v>L2 KVConnector层</x:v>
      </x:c>
      <x:c r="K29" s="20" t="str">
        <x:v>本地元数据缓存与快速判定</x:v>
      </x:c>
      <x:c r="L29" s="20" t="str">
        <x:v>P1</x:v>
      </x:c>
      <x:c r="M29" s="20" t="str">
        <x:v>P1</x:v>
      </x:c>
      <x:c r="N29" s="20" t="str">
        <x:v>软件主线</x:v>
      </x:c>
      <x:c r="O29" s="20" t="str">
        <x:v>共享前缀 KVCache 批量查询</x:v>
      </x:c>
      <x:c r="P29" s="20" t="str">
        <x:v>本需求要求 Connector 提供 batch prefix lookup API：一次提交 block hash vector、radix span 或 page hash range，返回连续命中区间、tier、location、version 和 estimated load cost，避免每个 block/page 单独访问远端目录造成 metadata RTT 风暴。</x:v>
      </x:c>
      <x:c r="Q29" s="20" t="str">
        <x:v>remote lookup QPS 降低 ≥50%；lookup p99 降低 ≥30%；</x:v>
      </x:c>
      <x:c r="R29" s="20" t="str">
        <x:v>使用极长上下文 Prompt（十万至百万级别 Tokens）将其切分为大量 Block，进行批量查询（Batch Lookup）。按 Block 数量维度对系统进行扫描测试，确保查询时间不随 Block 数量呈线性恶化，达到批处理优化预期。</x:v>
      </x:c>
      <x:c r="S29" s="20" t="str">
        <x:v>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x:v>
      </x:c>
      <x:c r="T29"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x:v>
      </x:c>
      <x:c r="U29" s="20" t="str">
        <x:f>IF(COUNTIF('SF-IR-SR定义'!$B$5:$B$79,G29)=1,"PASS","CHECK")</x:f>
        <x:v>PASS</x:v>
      </x:c>
      <x:c r="V29" s="20" t="str">
        <x:f>IF(COUNTIF($B$5:$B$148,B29)=1,"PASS","DUPLICATE")</x:f>
        <x:v>PASS</x:v>
      </x:c>
      <x:c r="W29" s="20" t="str">
        <x:f>C29&amp;" / "&amp;E29&amp;" / "&amp;G29&amp;" / "&amp;B29</x:f>
        <x:v>SF-02 / IR-02-01 / SR-02-01-02 / AR-L2-PM-BatchLookup-021</x:v>
      </x:c>
    </x:row>
    <x:row r="30" ht="86.4000015258789" hidden="0" customHeight="1">
      <x:c r="A30" s="20" t="n">
        <x:v>26</x:v>
      </x:c>
      <x:c r="B30" s="20" t="str">
        <x:v>AR-L2-CONN-PRFCH-ENGINE-007</x:v>
      </x:c>
      <x:c r="C30" s="20" t="str">
        <x:v>SF-04</x:v>
      </x:c>
      <x:c r="D30" s="20" t="str">
        <x:v>传输创新底座与多介质数据路径</x:v>
      </x:c>
      <x:c r="E30" s="20" t="str">
        <x:v>IR-04-03</x:v>
      </x:c>
      <x:c r="F30" s="20" t="str">
        <x:v>批量传输、预取、流式恢复与广播</x:v>
      </x:c>
      <x:c r="G30" s="20" t="str">
        <x:v>SR-04-03-02</x:v>
      </x:c>
      <x:c r="H30" s="20" t="str">
        <x:v>状态感知预取与时延隐藏</x:v>
      </x:c>
      <x:c r="I30" s="20" t="str">
        <x:v>L2-CONN-PRFCH-ENGINE-007</x:v>
      </x:c>
      <x:c r="J30" s="20" t="str">
        <x:v>L2 KVConnector层</x:v>
      </x:c>
      <x:c r="K30" s="20" t="str">
        <x:v>预取触发与命中评估</x:v>
      </x:c>
      <x:c r="L30" s="20" t="str">
        <x:v>P2</x:v>
      </x:c>
      <x:c r="M30" s="20" t="str">
        <x:v>P2</x:v>
      </x:c>
      <x:c r="N30" s="20" t="str">
        <x:v>软件主线</x:v>
      </x:c>
      <x:c r="O30" s="20" t="str">
        <x:v>前缀KV隐藏加载时延</x:v>
      </x:c>
      <x:c r="P30" s="20"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Q30" s="20" t="str">
        <x:v>Prefix命中判定P99耗时 &lt; 200us；在Share-Prefix业务下，Usable Hit Rate提升≥15%。</x:v>
      </x:c>
      <x:c r="R30" s="20" t="str">
        <x:v>使用ShareGPT数据集构造并发度上千(1K~5K QPS)的多轮对话负载，监控/metrics接口的prefix_lookup_latency指标，要求P99小于200us为达标。</x:v>
      </x:c>
      <x:c r="S30" s="20" t="str">
        <x:v>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x:v>
      </x:c>
      <x:c r="T30"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x:v>
      </x:c>
      <x:c r="U30" s="20" t="str">
        <x:f>IF(COUNTIF('SF-IR-SR定义'!$B$5:$B$79,G30)=1,"PASS","CHECK")</x:f>
        <x:v>PASS</x:v>
      </x:c>
      <x:c r="V30" s="20" t="str">
        <x:f>IF(COUNTIF($B$5:$B$148,B30)=1,"PASS","DUPLICATE")</x:f>
        <x:v>PASS</x:v>
      </x:c>
      <x:c r="W30" s="20" t="str">
        <x:f>C30&amp;" / "&amp;E30&amp;" / "&amp;G30&amp;" / "&amp;B30</x:f>
        <x:v>SF-04 / IR-04-03 / SR-04-03-02 / AR-L2-CONN-PRFCH-ENGINE-007</x:v>
      </x:c>
    </x:row>
    <x:row r="31" ht="97.19999694824219" hidden="0" customHeight="1">
      <x:c r="A31" s="20" t="n">
        <x:v>27</x:v>
      </x:c>
      <x:c r="B31" s="20" t="str">
        <x:v>AR-L2-OL-BulkDescriptor-025</x:v>
      </x:c>
      <x:c r="C31" s="20" t="str">
        <x:v>SF-04</x:v>
      </x:c>
      <x:c r="D31" s="20" t="str">
        <x:v>传输创新底座与多介质数据路径</x:v>
      </x:c>
      <x:c r="E31" s="20" t="str">
        <x:v>IR-04-01</x:v>
      </x:c>
      <x:c r="F31" s="20" t="str">
        <x:v>能力抽象、路径探测与描述符编译</x:v>
      </x:c>
      <x:c r="G31" s="20" t="str">
        <x:v>SR-04-01-03</x:v>
      </x:c>
      <x:c r="H31" s="20" t="str">
        <x:v>统一Descriptor、粒度分流与批量描述</x:v>
      </x:c>
      <x:c r="I31" s="20" t="str">
        <x:v>L2-OL-BulkDescriptor-025</x:v>
      </x:c>
      <x:c r="J31" s="20" t="str">
        <x:v>L2 KVConnector层</x:v>
      </x:c>
      <x:c r="K31" s="20" t="str">
        <x:v>传输描述与布局协商</x:v>
      </x:c>
      <x:c r="L31" s="20" t="str">
        <x:v>P1</x:v>
      </x:c>
      <x:c r="M31" s="20" t="str">
        <x:v>P1</x:v>
      </x:c>
      <x:c r="N31" s="20" t="str">
        <x:v>软硬接口/硬件协同</x:v>
      </x:c>
      <x:c r="O31" s="20" t="str">
        <x:v>KVCache 批量卸载与批量加载</x:v>
      </x:c>
      <x:c r="P31" s="20" t="str">
        <x:v>本需求要求 Connector 将多个不连续 KV block/page 合并为 scatter-gather bulk descriptor，支持 coalescing、max descriptor count、min transfer granularity、batch submit，避免 for-loop 式小块传输放大 CPU submit 与 DMA/RDMA setup 开销。</x:v>
      </x:c>
      <x:c r="Q31" s="20" t="str">
        <x:v>CPU submit time 降低 ≥40%；</x:v>
      </x:c>
      <x:c r="R31" s="20" t="str">
        <x:v>在高吞吐数据迁移场景下，使用 perf 或 eBPF 内核级探针深度采集 Descriptor（描述符）生成、合并与下发至网卡或 DMA 引擎的 CPU 时钟周期消耗。验证合并策略确实有效降低了 Host CPU 开销。</x:v>
      </x:c>
      <x:c r="S31" s="20" t="str">
        <x:v>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x:v>
      </x:c>
      <x:c r="T31" s="20"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x:v>
      </x:c>
      <x:c r="U31" s="20" t="str">
        <x:f>IF(COUNTIF('SF-IR-SR定义'!$B$5:$B$79,G31)=1,"PASS","CHECK")</x:f>
        <x:v>PASS</x:v>
      </x:c>
      <x:c r="V31" s="20" t="str">
        <x:f>IF(COUNTIF($B$5:$B$148,B31)=1,"PASS","DUPLICATE")</x:f>
        <x:v>PASS</x:v>
      </x:c>
      <x:c r="W31" s="20" t="str">
        <x:f>C31&amp;" / "&amp;E31&amp;" / "&amp;G31&amp;" / "&amp;B31</x:f>
        <x:v>SF-04 / IR-04-01 / SR-04-01-03 / AR-L2-OL-BulkDescriptor-025</x:v>
      </x:c>
    </x:row>
    <x:row r="32" ht="97.19999694824219" hidden="0" customHeight="1">
      <x:c r="A32" s="20" t="n">
        <x:v>28</x:v>
      </x:c>
      <x:c r="B32" s="20" t="str">
        <x:v>AR-L2-OL-LayoutNegotiation-024</x:v>
      </x:c>
      <x:c r="C32" s="20" t="str">
        <x:v>SF-03</x:v>
      </x:c>
      <x:c r="D32" s="20" t="str">
        <x:v>统一KV对象与异构存储池管理</x:v>
      </x:c>
      <x:c r="E32" s="20" t="str">
        <x:v>IR-03-01</x:v>
      </x:c>
      <x:c r="F32" s="20" t="str">
        <x:v>KV对象、存储布局与统一寻址</x:v>
      </x:c>
      <x:c r="G32" s="20" t="str">
        <x:v>SR-03-01-02</x:v>
      </x:c>
      <x:c r="H32" s="20" t="str">
        <x:v>Layout协商、转换计划与Descriptor生成</x:v>
      </x:c>
      <x:c r="I32" s="20" t="str">
        <x:v>L2-OL-LayoutNegotiation-024</x:v>
      </x:c>
      <x:c r="J32" s="20" t="str">
        <x:v>L2 KVConnector层</x:v>
      </x:c>
      <x:c r="K32" s="20" t="str">
        <x:v>传输描述与布局协商</x:v>
      </x:c>
      <x:c r="L32" s="20" t="str">
        <x:v>P1</x:v>
      </x:c>
      <x:c r="M32" s="20" t="str">
        <x:v>P1</x:v>
      </x:c>
      <x:c r="N32" s="20" t="str">
        <x:v>软硬接口/硬件协同</x:v>
      </x:c>
      <x:c r="O32" s="20" t="str">
        <x:v>KVCache 高效传输布局协商</x:v>
      </x:c>
      <x:c r="P32" s="20" t="str">
        <x:v>本需求要求 Connector 与后端协商 KV layout：对 RDMA优先选择 MB 级连续 cross-layer block，对 SGLang HiCache/L存储支持 page-first/page-first-direct，对 SSD/object 支持 segment layout，减少 relayout 和小 descriptor 传输。</x:v>
      </x:c>
      <x:c r="Q32" s="20" t="str">
        <x:v>descriptor 数降低 ≥50%；effective BW 提升 ≥30%；</x:v>
      </x:c>
      <x:c r="R32" s="20" t="str">
        <x:v>在连接层针对不同的内存布局格式（如 Paged vs Continuous, SOA vs AOS）进行微基准测试（Microbench）。观测在硬件转换和拷贝期间的吞吐量与对齐开销差异，确保协商策略选择了最优的内存格式。</x:v>
      </x:c>
      <x:c r="S32" s="20" t="str">
        <x:v>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x:v>
      </x:c>
      <x:c r="T32"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x:v>
      </x:c>
      <x:c r="U32" s="20" t="str">
        <x:f>IF(COUNTIF('SF-IR-SR定义'!$B$5:$B$79,G32)=1,"PASS","CHECK")</x:f>
        <x:v>PASS</x:v>
      </x:c>
      <x:c r="V32" s="20" t="str">
        <x:f>IF(COUNTIF($B$5:$B$148,B32)=1,"PASS","DUPLICATE")</x:f>
        <x:v>PASS</x:v>
      </x:c>
      <x:c r="W32" s="20" t="str">
        <x:f>C32&amp;" / "&amp;E32&amp;" / "&amp;G32&amp;" / "&amp;B32</x:f>
        <x:v>SF-03 / IR-03-01 / SR-03-01-02 / AR-L2-OL-LayoutNegotiation-024</x:v>
      </x:c>
    </x:row>
    <x:row r="33" ht="97.19999694824219" hidden="0" customHeight="1">
      <x:c r="A33" s="20" t="n">
        <x:v>29</x:v>
      </x:c>
      <x:c r="B33" s="20" t="str">
        <x:v>AR-L2-FT-FallbackContract-029</x:v>
      </x:c>
      <x:c r="C33" s="20" t="str">
        <x:v>SF-01</x:v>
      </x:c>
      <x:c r="D33" s="20" t="str">
        <x:v>统一服务接入与推理消费</x:v>
      </x:c>
      <x:c r="E33" s="20" t="str">
        <x:v>IR-01-01</x:v>
      </x:c>
      <x:c r="F33" s="20" t="str">
        <x:v>统一访问意图与Connector契约</x:v>
      </x:c>
      <x:c r="G33" s="20" t="str">
        <x:v>SR-01-01-03</x:v>
      </x:c>
      <x:c r="H33" s="20" t="str">
        <x:v>状态错误、成本返回与Fallback契约</x:v>
      </x:c>
      <x:c r="I33" s="20" t="str">
        <x:v>L2-FT-FallbackContract-029</x:v>
      </x:c>
      <x:c r="J33" s="20" t="str">
        <x:v>L2 KVConnector层</x:v>
      </x:c>
      <x:c r="K33" s="20" t="str">
        <x:v>共享访问与故障控制</x:v>
      </x:c>
      <x:c r="L33" s="20" t="str">
        <x:v>P0</x:v>
      </x:c>
      <x:c r="M33" s="20" t="str">
        <x:v>P0</x:v>
      </x:c>
      <x:c r="N33" s="20" t="str">
        <x:v>软硬接口/硬件协同</x:v>
      </x:c>
      <x:c r="O33" s="20" t="str">
        <x:v>KV 加载失败快速降级恢复</x:v>
      </x:c>
      <x:c r="P33" s="20" t="str">
        <x:v>本需求要求 Connector 严格执行 fallback contract：若上层 intent 禁止 TCP、SSD 或 object fallback，则 Connector 不得内部静默降级；若 deadline 到期仍未 ready，必须返回 partial hit、miss 或 recompute signal。</x:v>
      </x:c>
      <x:c r="Q33" s="20" t="str">
        <x:v>TTFT p99 outlier 降低 ≥30%；</x:v>
      </x:c>
      <x:c r="R33" s="20" t="str">
        <x:v>在线上流量压测期间，从操作系统层面或网卡层面突然切断 RDMA 链路。监控系统的降级恢复合同（Fallback Contract）是否正常触发，确保请求能够平滑回退至 TCP 或重计算路径而不断联报错。</x:v>
      </x:c>
      <x:c r="S33" s="20" t="str">
        <x:v>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x:v>
      </x:c>
      <x:c r="T33"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x:v>
      </x:c>
      <x:c r="U33" s="20" t="str">
        <x:f>IF(COUNTIF('SF-IR-SR定义'!$B$5:$B$79,G33)=1,"PASS","CHECK")</x:f>
        <x:v>PASS</x:v>
      </x:c>
      <x:c r="V33" s="20" t="str">
        <x:f>IF(COUNTIF($B$5:$B$148,B33)=1,"PASS","DUPLICATE")</x:f>
        <x:v>PASS</x:v>
      </x:c>
      <x:c r="W33" s="20" t="str">
        <x:f>C33&amp;" / "&amp;E33&amp;" / "&amp;G33&amp;" / "&amp;B33</x:f>
        <x:v>SF-01 / IR-01-01 / SR-01-01-03 / AR-L2-FT-FallbackContract-029</x:v>
      </x:c>
    </x:row>
    <x:row r="34" ht="86.4000015258789" hidden="0" customHeight="1">
      <x:c r="A34" s="20" t="n">
        <x:v>30</x:v>
      </x:c>
      <x:c r="B34" s="20" t="str">
        <x:v>AR-L2-MM-ViewLease-028</x:v>
      </x:c>
      <x:c r="C34" s="20" t="str">
        <x:v>SF-05</x:v>
      </x:c>
      <x:c r="D34" s="20" t="str">
        <x:v>一致性、安全、完整性与故障恢复</x:v>
      </x:c>
      <x:c r="E34" s="20" t="str">
        <x:v>IR-05-02</x:v>
      </x:c>
      <x:c r="F34" s="20" t="str">
        <x:v>租约、引用计数与并发所有权</x:v>
      </x:c>
      <x:c r="G34" s="20" t="str">
        <x:v>SR-05-02-01</x:v>
      </x:c>
      <x:c r="H34" s="20" t="str">
        <x:v>Lease、RefCount、Ownership GC与安全下线</x:v>
      </x:c>
      <x:c r="I34" s="20" t="str">
        <x:v>L2-MM-ViewLease-028</x:v>
      </x:c>
      <x:c r="J34" s="20" t="str">
        <x:v>L2 KVConnector层</x:v>
      </x:c>
      <x:c r="K34" s="20" t="str">
        <x:v>共享访问与故障控制</x:v>
      </x:c>
      <x:c r="L34" s="20" t="str">
        <x:v>P0</x:v>
      </x:c>
      <x:c r="M34" s="20" t="str">
        <x:v>P0</x:v>
      </x:c>
      <x:c r="N34" s="20" t="str">
        <x:v>软件主线</x:v>
      </x:c>
      <x:c r="O34" s="20" t="str">
        <x:v>共享内存 KVCache 安全租约访问</x:v>
      </x:c>
      <x:c r="P34" s="20" t="str">
        <x:v>本需求要求 memory-view 访问必须以 lease handle 形式暴露，handle 必须携带 epoch、version、refcount、expiry、revocation callback；lease 过期、被撤销或 version 不匹配时，memory view 不得继续 attach 或被 GPU/NPU 访问。</x:v>
      </x:c>
      <x:c r="Q34" s="20" t="str">
        <x:v>stale view fault = 0；</x:v>
      </x:c>
      <x:c r="R34" s="20" t="str">
        <x:v>针对内存租约机制（Lease），通过故障注入脚本人为制造过期（Expire）以及强制吊销（Revoke）事件。确保消费者进程能够捕捉到相应的异常码并正确地放弃当前非法地址的访问以防引发段错误（Segfault）。</x:v>
      </x:c>
      <x:c r="S34" s="20" t="str">
        <x:v>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x:v>
      </x:c>
      <x:c r="T34" s="20"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x:v>
      </x:c>
      <x:c r="U34" s="20" t="str">
        <x:f>IF(COUNTIF('SF-IR-SR定义'!$B$5:$B$79,G34)=1,"PASS","CHECK")</x:f>
        <x:v>PASS</x:v>
      </x:c>
      <x:c r="V34" s="20" t="str">
        <x:f>IF(COUNTIF($B$5:$B$148,B34)=1,"PASS","DUPLICATE")</x:f>
        <x:v>PASS</x:v>
      </x:c>
      <x:c r="W34" s="20" t="str">
        <x:f>C34&amp;" / "&amp;E34&amp;" / "&amp;G34&amp;" / "&amp;B34</x:f>
        <x:v>SF-05 / IR-05-02 / SR-05-02-01 / AR-L2-MM-ViewLease-028</x:v>
      </x:c>
    </x:row>
    <x:row r="35" ht="97.19999694824219" hidden="0" customHeight="1">
      <x:c r="A35" s="20" t="n">
        <x:v>31</x:v>
      </x:c>
      <x:c r="B35" s="20" t="str">
        <x:v>AR-L2-OB-PathTrace-030</x:v>
      </x:c>
      <x:c r="C35" s="20" t="str">
        <x:v>SF-06</x:v>
      </x:c>
      <x:c r="D35" s="20" t="str">
        <x:v>性能QoS、收益闭环与平台演进</x:v>
      </x:c>
      <x:c r="E35" s="20" t="str">
        <x:v>IR-06-03</x:v>
      </x:c>
      <x:c r="F35" s="20" t="str">
        <x:v>端到端可观测与收益对账</x:v>
      </x:c>
      <x:c r="G35" s="20" t="str">
        <x:v>SR-06-03-01</x:v>
      </x:c>
      <x:c r="H35" s="20" t="str">
        <x:v>语义化命中指标与Path Trace</x:v>
      </x:c>
      <x:c r="I35" s="20" t="str">
        <x:v>L2-OB-PathTrace-030</x:v>
      </x:c>
      <x:c r="J35" s="20" t="str">
        <x:v>L2 KVConnector层</x:v>
      </x:c>
      <x:c r="K35" s="20" t="str">
        <x:v>共享访问与故障控制</x:v>
      </x:c>
      <x:c r="L35" s="20" t="str">
        <x:v>P1</x:v>
      </x:c>
      <x:c r="M35" s="20" t="str">
        <x:v>P1</x:v>
      </x:c>
      <x:c r="N35" s="20" t="str">
        <x:v>软件主线</x:v>
      </x:c>
      <x:c r="O35" s="20" t="str">
        <x:v>KVCache 传输路径可追踪运维</x:v>
      </x:c>
      <x:c r="P35" s="20" t="str">
        <x:v>本需求要求 Connector 为每次 KV access 生成 path decision trace，记录 selected semantic、selected backend、source/destination tier、reason、fallback reason、latency breakdown、bytes 和 descriptor count，支持运维定位“命中了但变慢”的根因。</x:v>
      </x:c>
      <x:c r="Q35" s="20" t="str">
        <x:v>线上问题定位时间降低；</x:v>
      </x:c>
      <x:c r="R35" s="20" t="str">
        <x:v>定期执行全链路 Trace 日志采集，确保系统中涉及路径路由决策、数据迁移等关键环节的打点覆盖率达标；同时统计这些额外打点引入的开销，确保对 SLO（特别是 P50/P99 延迟）的影响被严格控制在 &lt;1%。</x:v>
      </x:c>
      <x:c r="S35" s="20" t="str">
        <x:v>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x:v>
      </x:c>
      <x:c r="T35"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x:v>
      </x:c>
      <x:c r="U35" s="20" t="str">
        <x:f>IF(COUNTIF('SF-IR-SR定义'!$B$5:$B$79,G35)=1,"PASS","CHECK")</x:f>
        <x:v>PASS</x:v>
      </x:c>
      <x:c r="V35" s="20" t="str">
        <x:f>IF(COUNTIF($B$5:$B$148,B35)=1,"PASS","DUPLICATE")</x:f>
        <x:v>PASS</x:v>
      </x:c>
      <x:c r="W35" s="20" t="str">
        <x:f>C35&amp;" / "&amp;E35&amp;" / "&amp;G35&amp;" / "&amp;B35</x:f>
        <x:v>SF-06 / IR-06-03 / SR-06-03-01 / AR-L2-OB-PathTrace-030</x:v>
      </x:c>
    </x:row>
    <x:row r="36" ht="86.4000015258789" hidden="0" customHeight="1">
      <x:c r="A36" s="20" t="n">
        <x:v>32</x:v>
      </x:c>
      <x:c r="B36" s="20" t="str">
        <x:v>AR-L2-MM-MultiConsumer-027</x:v>
      </x:c>
      <x:c r="C36" s="20" t="str">
        <x:v>SF-01</x:v>
      </x:c>
      <x:c r="D36" s="20" t="str">
        <x:v>统一服务接入与推理消费</x:v>
      </x:c>
      <x:c r="E36" s="20" t="str">
        <x:v>IR-01-03</x:v>
      </x:c>
      <x:c r="F36" s="20" t="str">
        <x:v>多卡一致消费与专家控制</x:v>
      </x:c>
      <x:c r="G36" s="20" t="str">
        <x:v>SR-01-03-01</x:v>
      </x:c>
      <x:c r="H36" s="20" t="str">
        <x:v>多Rank前缀共识与多消费者</x:v>
      </x:c>
      <x:c r="I36" s="20" t="str">
        <x:v>L2-MM-MultiConsumer-027</x:v>
      </x:c>
      <x:c r="J36" s="20" t="str">
        <x:v>L2 KVConnector层</x:v>
      </x:c>
      <x:c r="K36" s="20" t="str">
        <x:v>共享访问与故障控制</x:v>
      </x:c>
      <x:c r="L36" s="20" t="str">
        <x:v>P2</x:v>
      </x:c>
      <x:c r="M36" s="20" t="str">
        <x:v>P2</x:v>
      </x:c>
      <x:c r="N36" s="20" t="str">
        <x:v>软硬接口/硬件协同</x:v>
      </x:c>
      <x:c r="O36" s="20" t="str">
        <x:v>共享前缀 KVCache 批量广播</x:v>
      </x:c>
      <x:c r="P36" s="20" t="str">
        <x:v>本需求要求 Connector 支持 multi-consumer KV handle：同一 KV object 被多个 decode replica、TP rank 或请求消费时，应通过 refcount、consumer bitmap 和 shared visibility fence 共享一次加载结果，避免多消费者重复远端拉取。</x:v>
      </x:c>
      <x:c r="Q36" s="20" t="str">
        <x:v>重复远端拉取次数降低 ≥50%；</x:v>
      </x:c>
      <x:c r="R36" s="20" t="str">
        <x:v>使用极度倾斜的 Zipfian 热点数据源，让上千个并发请求同时命中了同一个系统提示词前缀（热门 Prefix）。执行 Fanout（扇出）性能压测，验证多消费者读共享环境下的锁竞争、带宽争抢和缓存热点应对能力。</x:v>
      </x:c>
      <x:c r="S36" s="20" t="str">
        <x:v>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x:v>
      </x:c>
      <x:c r="T36"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x:v>
      </x:c>
      <x:c r="U36" s="20" t="str">
        <x:f>IF(COUNTIF('SF-IR-SR定义'!$B$5:$B$79,G36)=1,"PASS","CHECK")</x:f>
        <x:v>PASS</x:v>
      </x:c>
      <x:c r="V36" s="20" t="str">
        <x:f>IF(COUNTIF($B$5:$B$148,B36)=1,"PASS","DUPLICATE")</x:f>
        <x:v>PASS</x:v>
      </x:c>
      <x:c r="W36" s="20" t="str">
        <x:f>C36&amp;" / "&amp;E36&amp;" / "&amp;G36&amp;" / "&amp;B36</x:f>
        <x:v>SF-01 / IR-01-03 / SR-01-03-01 / AR-L2-MM-MultiConsumer-027</x:v>
      </x:c>
    </x:row>
    <x:row r="37" ht="97.19999694824219" hidden="0" customHeight="1">
      <x:c r="A37" s="20" t="n">
        <x:v>33</x:v>
      </x:c>
      <x:c r="B37" s="20" t="str">
        <x:v>AR-L2-CONN-DefragPause-031</x:v>
      </x:c>
      <x:c r="C37" s="20" t="str">
        <x:v>SF-03</x:v>
      </x:c>
      <x:c r="D37" s="20" t="str">
        <x:v>统一KV对象与异构存储池管理</x:v>
      </x:c>
      <x:c r="E37" s="20" t="str">
        <x:v>IR-03-03</x:v>
      </x:c>
      <x:c r="F37" s="20" t="str">
        <x:v>生命周期、放置、淘汰与迁移</x:v>
      </x:c>
      <x:c r="G37" s="20" t="str">
        <x:v>SR-03-03-03</x:v>
      </x:c>
      <x:c r="H37" s="20" t="str">
        <x:v>Compaction、智能迁移与互锁</x:v>
      </x:c>
      <x:c r="I37" s="20" t="str">
        <x:v>L2-CONN-DefragPause-031</x:v>
      </x:c>
      <x:c r="J37" s="20" t="str">
        <x:v>L2 KVConnector层</x:v>
      </x:c>
      <x:c r="K37" s="20" t="str">
        <x:v>共享访问与故障控制</x:v>
      </x:c>
      <x:c r="L37" s="20" t="str">
        <x:v>P1</x:v>
      </x:c>
      <x:c r="M37" s="20" t="str">
        <x:v>P1</x:v>
      </x:c>
      <x:c r="N37" s="20" t="str">
        <x:v>软件主线</x:v>
      </x:c>
      <x:c r="O37" s="20" t="str">
        <x:v>活跃租约下内存无感整理</x:v>
      </x:c>
      <x:c r="P37" s="20" t="str">
        <x:v>本需求要求 Connector 层实现租约感知的碎片整理暂停与无感原子更替：当底层执行内存块迁移时，若涉及活跃的 Lease 句柄，必须通过 RCU（Read-Copy-Update）无锁机制延迟迁移，或在 50μs 内原子更替虚拟到物理的指针映射。</x:v>
      </x:c>
      <x:c r="Q37" s="20" t="str">
        <x:v>元数据转换和序列化开销降低至&lt;200ns/次。</x:v>
      </x:c>
      <x:c r="R37" s="20" t="str">
        <x:v>针对统一API层执行微基准测试（Microbenchmark），循环调用千万级别高并发KVMeta读写操作，要求平均耗时&lt;200ns。</x:v>
      </x:c>
      <x:c r="S37" s="20" t="str">
        <x:v>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x:v>
      </x:c>
      <x:c r="T37"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x:v>
      </x:c>
      <x:c r="U37" s="20" t="str">
        <x:f>IF(COUNTIF('SF-IR-SR定义'!$B$5:$B$79,G37)=1,"PASS","CHECK")</x:f>
        <x:v>PASS</x:v>
      </x:c>
      <x:c r="V37" s="20" t="str">
        <x:f>IF(COUNTIF($B$5:$B$148,B37)=1,"PASS","DUPLICATE")</x:f>
        <x:v>PASS</x:v>
      </x:c>
      <x:c r="W37" s="20" t="str">
        <x:f>C37&amp;" / "&amp;E37&amp;" / "&amp;G37&amp;" / "&amp;B37</x:f>
        <x:v>SF-03 / IR-03-03 / SR-03-03-03 / AR-L2-CONN-DefragPause-031</x:v>
      </x:c>
    </x:row>
    <x:row r="38" ht="97.19999694824219" hidden="0" customHeight="1">
      <x:c r="A38" s="20" t="n">
        <x:v>34</x:v>
      </x:c>
      <x:c r="B38" s="20" t="str">
        <x:v>AR-L2-CONN-WatermarkQuery-032</x:v>
      </x:c>
      <x:c r="C38" s="20" t="str">
        <x:v>SF-04</x:v>
      </x:c>
      <x:c r="D38" s="20" t="str">
        <x:v>传输创新底座与多介质数据路径</x:v>
      </x:c>
      <x:c r="E38" s="20" t="str">
        <x:v>IR-04-01</x:v>
      </x:c>
      <x:c r="F38" s="20" t="str">
        <x:v>能力抽象、路径探测与描述符编译</x:v>
      </x:c>
      <x:c r="G38" s="20" t="str">
        <x:v>SR-04-01-02</x:v>
      </x:c>
      <x:c r="H38" s="20" t="str">
        <x:v>拓扑探测、动态路由与统一Fabric Router</x:v>
      </x:c>
      <x:c r="I38" s="20" t="str">
        <x:v>L2-CONN-WatermarkQuery-032</x:v>
      </x:c>
      <x:c r="J38" s="20" t="str">
        <x:v>L2 KVConnector层</x:v>
      </x:c>
      <x:c r="K38" s="20" t="str">
        <x:v>路径路由与能力探测</x:v>
      </x:c>
      <x:c r="L38" s="20" t="str">
        <x:v>P1</x:v>
      </x:c>
      <x:c r="M38" s="20" t="str">
        <x:v>P1</x:v>
      </x:c>
      <x:c r="N38" s="20" t="str">
        <x:v>软件主线</x:v>
      </x:c>
      <x:c r="O38" s="20" t="str">
        <x:v>动态拓扑水位路径规避</x:v>
      </x:c>
      <x:c r="P38" s="20" t="str">
        <x:v>本需求要求 Connector 将节点内的容量水位提示（Watermark Hints）整合进路径质量探测流中。当目标节点处于 High 水位时，自动拉高该路径的 Cost 评分，触发路由自适应引流，规避过载节点。</x:v>
      </x:c>
      <x:c r="Q38" s="20" t="str">
        <x:v>同机架内本地及远端DDR命中率（Local Usable Hit Rate）提升≥30%。</x:v>
      </x:c>
      <x:c r="R38" s="20" t="str">
        <x:v>部署含千卡级别的多机柜大规模集群(如16-64节点)，使用vLLM benchmark工具注入Zipf分布的热点Prompt，统计路由命中本地/本同架的比例，要求大于80%达标。</x:v>
      </x:c>
      <x:c r="S38" s="20" t="str">
        <x:v>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x:v>
      </x:c>
      <x:c r="T38"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x:v>
      </x:c>
      <x:c r="U38" s="20" t="str">
        <x:f>IF(COUNTIF('SF-IR-SR定义'!$B$5:$B$79,G38)=1,"PASS","CHECK")</x:f>
        <x:v>PASS</x:v>
      </x:c>
      <x:c r="V38" s="20" t="str">
        <x:f>IF(COUNTIF($B$5:$B$148,B38)=1,"PASS","DUPLICATE")</x:f>
        <x:v>PASS</x:v>
      </x:c>
      <x:c r="W38" s="20" t="str">
        <x:f>C38&amp;" / "&amp;E38&amp;" / "&amp;G38&amp;" / "&amp;B38</x:f>
        <x:v>SF-04 / IR-04-01 / SR-04-01-02 / AR-L2-CONN-WatermarkQuery-032</x:v>
      </x:c>
    </x:row>
    <x:row r="39" ht="86.4000015258789" hidden="0" customHeight="1">
      <x:c r="A39" s="20" t="n">
        <x:v>35</x:v>
      </x:c>
      <x:c r="B39" s="20" t="str">
        <x:v>AR-L2-KV-PublishCommit-033</x:v>
      </x:c>
      <x:c r="C39" s="20" t="str">
        <x:v>SF-01</x:v>
      </x:c>
      <x:c r="D39" s="20" t="str">
        <x:v>统一服务接入与推理消费</x:v>
      </x:c>
      <x:c r="E39" s="20" t="str">
        <x:v>IR-01-01</x:v>
      </x:c>
      <x:c r="F39" s="20" t="str">
        <x:v>统一访问意图与Connector契约</x:v>
      </x:c>
      <x:c r="G39" s="20" t="str">
        <x:v>SR-01-01-02</x:v>
      </x:c>
      <x:c r="H39" s="20" t="str">
        <x:v>发布、Attach与Buffer权责契约</x:v>
      </x:c>
      <x:c r="I39" s="20" t="str">
        <x:v>L2-KV-PublishCommit-033</x:v>
      </x:c>
      <x:c r="J39" s="20" t="str">
        <x:v>L2 KVConnector层</x:v>
      </x:c>
      <x:c r="K39" s="20" t="str">
        <x:v>统一协议与标准接口</x:v>
      </x:c>
      <x:c r="L39" s="20" t="str">
        <x:v>P0</x:v>
      </x:c>
      <x:c r="M39" s="20" t="str">
        <x:v>P0</x:v>
      </x:c>
      <x:c r="N39" s="20" t="str">
        <x:v>软硬接口/硬件协同</x:v>
      </x:c>
      <x:c r="O39" s="20" t="str">
        <x:v>NPU/GPU 生成 KV 后进入统一 KV 内存池</x:v>
      </x:c>
      <x:c r="P39" s="20" t="str">
        <x:v>本需求要求 KVConnector 在 put/get/prefetch/evict 之外补充 publish_prepare、publish_commit、publish_abort 三阶段发布接口：NPU/GPU runtime 产生 KV 后先注册待发布 KV object；只有当 KV data、KVMeta、ready bitmap、placement record 以及该路径配置的 integrity evidence 均满足后才允许 commit。integrity evidence 可来自硬件 ECC/RAS、传输完成语义、存储后端校验或硬件端到端校验，不要求本地短期 DDR 路径由 CPU 扫描 Payload 计算 CRC；abort 时必须回滚半成品对象并释放临时 buffer。</x:v>
      </x:c>
      <x:c r="Q39" s="20" t="str">
        <x:v>发布状态必须与真实数据可见性一致；不得把应用层 CRC 作为所有路径统一的 commit 前置条件。</x:v>
      </x:c>
      <x:c r="R39" s="20" t="str">
        <x:v>构造本地 DDR、SSD 和远端路径的差异化 integrity policy；注入半写入、完成事件丢失、后端校验失败，验证未满足策略的对象不可见且可回滚。</x:v>
      </x:c>
      <x:c r="S39" s="20" t="str">
        <x:v>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x:v>
      </x:c>
      <x:c r="T39"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x:v>
      </x:c>
      <x:c r="U39" s="20" t="str">
        <x:f>IF(COUNTIF('SF-IR-SR定义'!$B$5:$B$79,G39)=1,"PASS","CHECK")</x:f>
        <x:v>PASS</x:v>
      </x:c>
      <x:c r="V39" s="20" t="str">
        <x:f>IF(COUNTIF($B$5:$B$148,B39)=1,"PASS","DUPLICATE")</x:f>
        <x:v>PASS</x:v>
      </x:c>
      <x:c r="W39" s="20" t="str">
        <x:f>C39&amp;" / "&amp;E39&amp;" / "&amp;G39&amp;" / "&amp;B39</x:f>
        <x:v>SF-01 / IR-01-01 / SR-01-01-02 / AR-L2-KV-PublishCommit-033</x:v>
      </x:c>
    </x:row>
    <x:row r="40" ht="86.4000015258789" hidden="0" customHeight="1">
      <x:c r="A40" s="20" t="n">
        <x:v>36</x:v>
      </x:c>
      <x:c r="B40" s="20" t="str">
        <x:v>AR-L2-KV-AttachHandle-034</x:v>
      </x:c>
      <x:c r="C40" s="20" t="str">
        <x:v>SF-01</x:v>
      </x:c>
      <x:c r="D40" s="20" t="str">
        <x:v>统一服务接入与推理消费</x:v>
      </x:c>
      <x:c r="E40" s="20" t="str">
        <x:v>IR-01-01</x:v>
      </x:c>
      <x:c r="F40" s="20" t="str">
        <x:v>统一访问意图与Connector契约</x:v>
      </x:c>
      <x:c r="G40" s="20" t="str">
        <x:v>SR-01-01-02</x:v>
      </x:c>
      <x:c r="H40" s="20" t="str">
        <x:v>发布、Attach与Buffer权责契约</x:v>
      </x:c>
      <x:c r="I40" s="20" t="str">
        <x:v>L2-KV-AttachHandle-034</x:v>
      </x:c>
      <x:c r="J40" s="20" t="str">
        <x:v>L2 KVConnector层</x:v>
      </x:c>
      <x:c r="K40" s="20" t="str">
        <x:v>共享访问与故障控制</x:v>
      </x:c>
      <x:c r="L40" s="20" t="str">
        <x:v>P0</x:v>
      </x:c>
      <x:c r="M40" s="20" t="str">
        <x:v>P0</x:v>
      </x:c>
      <x:c r="N40" s="20" t="str">
        <x:v>软件主线</x:v>
      </x:c>
      <x:c r="O40" s="20" t="str">
        <x:v>前缀命中后 KV 安全消费</x:v>
      </x:c>
      <x:c r="P40" s="20"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Q40" s="20" t="str">
        <x:v>Prefix命中判定P99耗时 &lt; 200us；在Share-Prefix业务下，Usable Hit Rate提升≥15%。</x:v>
      </x:c>
      <x:c r="R40" s="20" t="str">
        <x:v>使用ShareGPT数据集构造并发度上千(1K~5K QPS)的多轮对话负载，监控/metrics接口的prefix_lookup_latency指标，要求P99小于200us为达标。</x:v>
      </x:c>
      <x:c r="S40" s="20" t="str">
        <x:v>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x:v>
      </x:c>
      <x:c r="T40"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x:v>
      </x:c>
      <x:c r="U40" s="20" t="str">
        <x:f>IF(COUNTIF('SF-IR-SR定义'!$B$5:$B$79,G40)=1,"PASS","CHECK")</x:f>
        <x:v>PASS</x:v>
      </x:c>
      <x:c r="V40" s="20" t="str">
        <x:f>IF(COUNTIF($B$5:$B$148,B40)=1,"PASS","DUPLICATE")</x:f>
        <x:v>PASS</x:v>
      </x:c>
      <x:c r="W40" s="20" t="str">
        <x:f>C40&amp;" / "&amp;E40&amp;" / "&amp;G40&amp;" / "&amp;B40</x:f>
        <x:v>SF-01 / IR-01-01 / SR-01-01-02 / AR-L2-KV-AttachHandle-034</x:v>
      </x:c>
    </x:row>
    <x:row r="41" ht="86.4000015258789" hidden="0" customHeight="1">
      <x:c r="A41" s="20" t="n">
        <x:v>37</x:v>
      </x:c>
      <x:c r="B41" s="20" t="str">
        <x:v>AR-L2-KV-ConsumeEligibility-035</x:v>
      </x:c>
      <x:c r="C41" s="20" t="str">
        <x:v>SF-01</x:v>
      </x:c>
      <x:c r="D41" s="20" t="str">
        <x:v>统一服务接入与推理消费</x:v>
      </x:c>
      <x:c r="E41" s="20" t="str">
        <x:v>IR-01-02</x:v>
      </x:c>
      <x:c r="F41" s="20" t="str">
        <x:v>缓存感知调度与收益准入</x:v>
      </x:c>
      <x:c r="G41" s="20" t="str">
        <x:v>SR-01-02-03</x:v>
      </x:c>
      <x:c r="H41" s="20" t="str">
        <x:v>可消费判定与QueryPlan快速路径</x:v>
      </x:c>
      <x:c r="I41" s="20" t="str">
        <x:v>L2-KV-ConsumeEligibility-035</x:v>
      </x:c>
      <x:c r="J41" s="20" t="str">
        <x:v>L2 KVConnector层</x:v>
      </x:c>
      <x:c r="K41" s="20" t="str">
        <x:v>本地元数据缓存与快速判定</x:v>
      </x:c>
      <x:c r="L41" s="20" t="str">
        <x:v>P0</x:v>
      </x:c>
      <x:c r="M41" s="20" t="str">
        <x:v>P0</x:v>
      </x:c>
      <x:c r="N41" s="20" t="str">
        <x:v>软件主线</x:v>
      </x:c>
      <x:c r="O41" s="20" t="str">
        <x:v>前缀命中后的可消费状态判定</x:v>
      </x:c>
      <x:c r="P41" s="20"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Q41" s="20" t="str">
        <x:v>Prefix命中判定P99耗时 &lt; 200us；在Share-Prefix业务下，Usable Hit Rate提升≥15%。</x:v>
      </x:c>
      <x:c r="R41" s="20" t="str">
        <x:v>使用ShareGPT数据集构造并发度上千(1K~5K QPS)的多轮对话负载，监控/metrics接口的prefix_lookup_latency指标，要求P99小于200us为达标。</x:v>
      </x:c>
      <x:c r="S41" s="20" t="str">
        <x:v>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x:v>
      </x:c>
      <x:c r="T41"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x:v>
      </x:c>
      <x:c r="U41" s="20" t="str">
        <x:f>IF(COUNTIF('SF-IR-SR定义'!$B$5:$B$79,G41)=1,"PASS","CHECK")</x:f>
        <x:v>PASS</x:v>
      </x:c>
      <x:c r="V41" s="20" t="str">
        <x:f>IF(COUNTIF($B$5:$B$148,B41)=1,"PASS","DUPLICATE")</x:f>
        <x:v>PASS</x:v>
      </x:c>
      <x:c r="W41" s="20" t="str">
        <x:f>C41&amp;" / "&amp;E41&amp;" / "&amp;G41&amp;" / "&amp;B41</x:f>
        <x:v>SF-01 / IR-01-02 / SR-01-02-03 / AR-L2-KV-ConsumeEligibility-035</x:v>
      </x:c>
    </x:row>
    <x:row r="42" ht="97.19999694824219" hidden="0" customHeight="1">
      <x:c r="A42" s="20" t="n">
        <x:v>38</x:v>
      </x:c>
      <x:c r="B42" s="20" t="str">
        <x:v>AR-L2-KV-SemanticIdentity-036</x:v>
      </x:c>
      <x:c r="C42" s="20" t="str">
        <x:v>SF-01</x:v>
      </x:c>
      <x:c r="D42" s="20" t="str">
        <x:v>统一服务接入与推理消费</x:v>
      </x:c>
      <x:c r="E42" s="20" t="str">
        <x:v>IR-01-01</x:v>
      </x:c>
      <x:c r="F42" s="20" t="str">
        <x:v>统一访问意图与Connector契约</x:v>
      </x:c>
      <x:c r="G42" s="20" t="str">
        <x:v>SR-01-01-01</x:v>
      </x:c>
      <x:c r="H42" s="20" t="str">
        <x:v>访问意图、统一API与语义身份</x:v>
      </x:c>
      <x:c r="I42" s="20" t="str">
        <x:v>L2-KV-SemanticIdentity-036</x:v>
      </x:c>
      <x:c r="J42" s="20" t="str">
        <x:v>L2 KVConnector层</x:v>
      </x:c>
      <x:c r="K42" s="20" t="str">
        <x:v>统一协议与标准接口</x:v>
      </x:c>
      <x:c r="L42" s="20" t="str">
        <x:v>P1</x:v>
      </x:c>
      <x:c r="M42" s="20" t="str">
        <x:v>P1</x:v>
      </x:c>
      <x:c r="N42" s="20" t="str">
        <x:v>软件主线</x:v>
      </x:c>
      <x:c r="O42" s="20" t="str">
        <x:v>防止语义不兼容 KV 被误复用</x:v>
      </x:c>
      <x:c r="P42" s="20"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Q42" s="20" t="str">
        <x:v>元数据转换和序列化开销降低至&lt;200ns/次。</x:v>
      </x:c>
      <x:c r="R42" s="20" t="str">
        <x:v>针对统一API层执行微基准测试（Microbenchmark），循环调用千万级别高并发KVMeta读写操作，要求平均耗时&lt;200ns。</x:v>
      </x:c>
      <x:c r="S42" s="20" t="str">
        <x:v>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x:v>
      </x:c>
      <x:c r="T42" s="20"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x:v>
      </x:c>
      <x:c r="U42" s="20" t="str">
        <x:f>IF(COUNTIF('SF-IR-SR定义'!$B$5:$B$79,G42)=1,"PASS","CHECK")</x:f>
        <x:v>PASS</x:v>
      </x:c>
      <x:c r="V42" s="20" t="str">
        <x:f>IF(COUNTIF($B$5:$B$148,B42)=1,"PASS","DUPLICATE")</x:f>
        <x:v>PASS</x:v>
      </x:c>
      <x:c r="W42" s="20" t="str">
        <x:f>C42&amp;" / "&amp;E42&amp;" / "&amp;G42&amp;" / "&amp;B42</x:f>
        <x:v>SF-01 / IR-01-01 / SR-01-01-01 / AR-L2-KV-SemanticIdentity-036</x:v>
      </x:c>
    </x:row>
    <x:row r="43" ht="86.4000015258789" hidden="0" customHeight="1">
      <x:c r="A43" s="20" t="n">
        <x:v>39</x:v>
      </x:c>
      <x:c r="B43" s="20" t="str">
        <x:v>AR-L2-KV-StateErrorCode-037</x:v>
      </x:c>
      <x:c r="C43" s="20" t="str">
        <x:v>SF-01</x:v>
      </x:c>
      <x:c r="D43" s="20" t="str">
        <x:v>统一服务接入与推理消费</x:v>
      </x:c>
      <x:c r="E43" s="20" t="str">
        <x:v>IR-01-01</x:v>
      </x:c>
      <x:c r="F43" s="20" t="str">
        <x:v>统一访问意图与Connector契约</x:v>
      </x:c>
      <x:c r="G43" s="20" t="str">
        <x:v>SR-01-01-03</x:v>
      </x:c>
      <x:c r="H43" s="20" t="str">
        <x:v>状态错误、成本返回与Fallback契约</x:v>
      </x:c>
      <x:c r="I43" s="20" t="str">
        <x:v>L2-KV-StateErrorCode-037</x:v>
      </x:c>
      <x:c r="J43" s="20" t="str">
        <x:v>L2 KVConnector层</x:v>
      </x:c>
      <x:c r="K43" s="20" t="str">
        <x:v>共享访问与故障控制</x:v>
      </x:c>
      <x:c r="L43" s="20" t="str">
        <x:v>P0</x:v>
      </x:c>
      <x:c r="M43" s="20" t="str">
        <x:v>P0</x:v>
      </x:c>
      <x:c r="N43" s="20" t="str">
        <x:v>软硬接口/硬件协同</x:v>
      </x:c>
      <x:c r="O43" s="20" t="str">
        <x:v>KV 状态复杂场景下的快速降级与恢复</x:v>
      </x:c>
      <x:c r="P43" s="20" t="str">
        <x:v>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Q43" s="20" t="str">
        <x:v>元数据转换和序列化开销降低至&lt;200ns/次。</x:v>
      </x:c>
      <x:c r="R43" s="20" t="str">
        <x:v>针对统一API层执行微基准测试（Microbenchmark），循环调用千万级别高并发KVMeta读写操作，要求平均耗时&lt;200ns。</x:v>
      </x:c>
      <x:c r="S43" s="20" t="str">
        <x:v>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x:v>
      </x:c>
      <x:c r="T43" s="20"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x:v>
      </x:c>
      <x:c r="U43" s="20" t="str">
        <x:f>IF(COUNTIF('SF-IR-SR定义'!$B$5:$B$79,G43)=1,"PASS","CHECK")</x:f>
        <x:v>PASS</x:v>
      </x:c>
      <x:c r="V43" s="20" t="str">
        <x:f>IF(COUNTIF($B$5:$B$148,B43)=1,"PASS","DUPLICATE")</x:f>
        <x:v>PASS</x:v>
      </x:c>
      <x:c r="W43" s="20" t="str">
        <x:f>C43&amp;" / "&amp;E43&amp;" / "&amp;G43&amp;" / "&amp;B43</x:f>
        <x:v>SF-01 / IR-01-01 / SR-01-01-03 / AR-L2-KV-StateErrorCode-037</x:v>
      </x:c>
    </x:row>
    <x:row r="44" ht="86.4000015258789" hidden="0" customHeight="1">
      <x:c r="A44" s="20" t="n">
        <x:v>40</x:v>
      </x:c>
      <x:c r="B44" s="20" t="str">
        <x:v>AR-L2-KV-PartialAttachPlan-038</x:v>
      </x:c>
      <x:c r="C44" s="20" t="str">
        <x:v>SF-01</x:v>
      </x:c>
      <x:c r="D44" s="20" t="str">
        <x:v>统一服务接入与推理消费</x:v>
      </x:c>
      <x:c r="E44" s="20" t="str">
        <x:v>IR-01-02</x:v>
      </x:c>
      <x:c r="F44" s="20" t="str">
        <x:v>缓存感知调度与收益准入</x:v>
      </x:c>
      <x:c r="G44" s="20" t="str">
        <x:v>SR-01-02-02</x:v>
      </x:c>
      <x:c r="H44" s="20" t="str">
        <x:v>部分命中、View/Copy与重算边界</x:v>
      </x:c>
      <x:c r="I44" s="20" t="str">
        <x:v>L2-KV-PartialAttachPlan-038</x:v>
      </x:c>
      <x:c r="J44" s="20" t="str">
        <x:v>L2 KVConnector层</x:v>
      </x:c>
      <x:c r="K44" s="20" t="str">
        <x:v>传输描述与布局协商</x:v>
      </x:c>
      <x:c r="L44" s="20" t="str">
        <x:v>P1</x:v>
      </x:c>
      <x:c r="M44" s="20" t="str">
        <x:v>P1</x:v>
      </x:c>
      <x:c r="N44" s="20" t="str">
        <x:v>软件主线</x:v>
      </x:c>
      <x:c r="O44" s="20" t="str">
        <x:v>部分前缀命中复用</x:v>
      </x:c>
      <x:c r="P44" s="20"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Q44" s="20" t="str">
        <x:v>Prefix命中判定P99耗时 &lt; 200us；在Share-Prefix业务下，Usable Hit Rate提升≥15%。</x:v>
      </x:c>
      <x:c r="R44" s="20" t="str">
        <x:v>使用ShareGPT数据集构造并发度上千(1K~5K QPS)的多轮对话负载，监控/metrics接口的prefix_lookup_latency指标，要求P99小于200us为达标。</x:v>
      </x:c>
      <x:c r="S44" s="20" t="str">
        <x:v>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x:v>
      </x:c>
      <x:c r="T44"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x:v>
      </x:c>
      <x:c r="U44" s="20" t="str">
        <x:f>IF(COUNTIF('SF-IR-SR定义'!$B$5:$B$79,G44)=1,"PASS","CHECK")</x:f>
        <x:v>PASS</x:v>
      </x:c>
      <x:c r="V44" s="20" t="str">
        <x:f>IF(COUNTIF($B$5:$B$148,B44)=1,"PASS","DUPLICATE")</x:f>
        <x:v>PASS</x:v>
      </x:c>
      <x:c r="W44" s="20" t="str">
        <x:f>C44&amp;" / "&amp;E44&amp;" / "&amp;G44&amp;" / "&amp;B44</x:f>
        <x:v>SF-01 / IR-01-02 / SR-01-02-02 / AR-L2-KV-PartialAttachPlan-038</x:v>
      </x:c>
    </x:row>
    <x:row r="45" ht="86.4000015258789" hidden="0" customHeight="1">
      <x:c r="A45" s="20" t="n">
        <x:v>41</x:v>
      </x:c>
      <x:c r="B45" s="20" t="str">
        <x:v>AR-L2-CONN-CostAwareReturn-039</x:v>
      </x:c>
      <x:c r="C45" s="20" t="str">
        <x:v>SF-01</x:v>
      </x:c>
      <x:c r="D45" s="20" t="str">
        <x:v>统一服务接入与推理消费</x:v>
      </x:c>
      <x:c r="E45" s="20" t="str">
        <x:v>IR-01-01</x:v>
      </x:c>
      <x:c r="F45" s="20" t="str">
        <x:v>统一访问意图与Connector契约</x:v>
      </x:c>
      <x:c r="G45" s="20" t="str">
        <x:v>SR-01-01-03</x:v>
      </x:c>
      <x:c r="H45" s="20" t="str">
        <x:v>状态错误、成本返回与Fallback契约</x:v>
      </x:c>
      <x:c r="I45" s="20" t="str">
        <x:v>L2-CONN-CostAwareReturn-039</x:v>
      </x:c>
      <x:c r="J45" s="20" t="str">
        <x:v>L2 KVConnector层</x:v>
      </x:c>
      <x:c r="K45" s="20" t="str">
        <x:v>统一协议与标准接口</x:v>
      </x:c>
      <x:c r="L45" s="20" t="str">
        <x:v>P0</x:v>
      </x:c>
      <x:c r="M45" s="20" t="str">
        <x:v>P0</x:v>
      </x:c>
      <x:c r="N45" s="20" t="str">
        <x:v>软件主线</x:v>
      </x:c>
      <x:c r="O45" s="20" t="str">
        <x:v>拥塞链路下的前缀命中低效绕行</x:v>
      </x:c>
      <x:c r="P45" s="20"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Q45" s="20" t="str">
        <x:v>确保 L2/L3 能够向 L1 输出准确的传输和附加代价(Cost)，而不直接在连接层内丢弃请求(Drop)。</x:v>
      </x:c>
      <x:c r="R45" s="20" t="str">
        <x:v>在多物理介质层级模拟命中，验证 L2 总是向 L1 返回带代价的 QueryPlan，由 L1 基于算力池化进行统一丢弃/接受决策。验证指标为 L2 零私自抛弃率。</x:v>
      </x:c>
      <x:c r="S45" s="20" t="str">
        <x:v>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x:v>
      </x:c>
      <x:c r="T45" s="20"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x:v>
      </x:c>
      <x:c r="U45" s="20" t="str">
        <x:f>IF(COUNTIF('SF-IR-SR定义'!$B$5:$B$79,G45)=1,"PASS","CHECK")</x:f>
        <x:v>PASS</x:v>
      </x:c>
      <x:c r="V45" s="20" t="str">
        <x:f>IF(COUNTIF($B$5:$B$148,B45)=1,"PASS","DUPLICATE")</x:f>
        <x:v>PASS</x:v>
      </x:c>
      <x:c r="W45" s="20" t="str">
        <x:f>C45&amp;" / "&amp;E45&amp;" / "&amp;G45&amp;" / "&amp;B45</x:f>
        <x:v>SF-01 / IR-01-01 / SR-01-01-03 / AR-L2-CONN-CostAwareReturn-039</x:v>
      </x:c>
    </x:row>
    <x:row r="46" ht="97.19999694824219" hidden="0" customHeight="1">
      <x:c r="A46" s="20" t="n">
        <x:v>42</x:v>
      </x:c>
      <x:c r="B46" s="20" t="str">
        <x:v>AR-L2-CONN-BufferContract-040</x:v>
      </x:c>
      <x:c r="C46" s="20" t="str">
        <x:v>SF-01</x:v>
      </x:c>
      <x:c r="D46" s="20" t="str">
        <x:v>统一服务接入与推理消费</x:v>
      </x:c>
      <x:c r="E46" s="20" t="str">
        <x:v>IR-01-01</x:v>
      </x:c>
      <x:c r="F46" s="20" t="str">
        <x:v>统一访问意图与Connector契约</x:v>
      </x:c>
      <x:c r="G46" s="20" t="str">
        <x:v>SR-01-01-02</x:v>
      </x:c>
      <x:c r="H46" s="20" t="str">
        <x:v>发布、Attach与Buffer权责契约</x:v>
      </x:c>
      <x:c r="I46" s="20" t="str">
        <x:v>L2-CONN-BufferContract-040</x:v>
      </x:c>
      <x:c r="J46" s="20" t="str">
        <x:v>L2 KVConnector层</x:v>
      </x:c>
      <x:c r="K46" s="20" t="str">
        <x:v>统一协议与标准接口</x:v>
      </x:c>
      <x:c r="L46" s="20" t="str">
        <x:v>P0</x:v>
      </x:c>
      <x:c r="M46" s="20" t="str">
        <x:v>P0</x:v>
      </x:c>
      <x:c r="N46" s="20" t="str">
        <x:v>软件主线</x:v>
      </x:c>
      <x:c r="O46" s="20" t="str">
        <x:v>算力执行内存与存储池内存管理解耦</x:v>
      </x:c>
      <x:c r="P46" s="20"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Q46" s="20" t="str">
        <x:v>错误Load（即Load耗时 &gt; Recompute耗时）比例下降至 &lt; 1%。</x:v>
      </x:c>
      <x:c r="R46" s="20" t="str">
        <x:v>采用128K~1M极长上下文负载并限制400G/800G网络至高拥塞状态(或QoS限速模拟尾部降级)，触发大量远端加载，观测Abandoned Hit Rate，要求低于1%算达标。</x:v>
      </x:c>
      <x:c r="S46" s="20" t="str">
        <x:v>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x:v>
      </x:c>
      <x:c r="T46" s="20"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x:v>
      </x:c>
      <x:c r="U46" s="20" t="str">
        <x:f>IF(COUNTIF('SF-IR-SR定义'!$B$5:$B$79,G46)=1,"PASS","CHECK")</x:f>
        <x:v>PASS</x:v>
      </x:c>
      <x:c r="V46" s="20" t="str">
        <x:f>IF(COUNTIF($B$5:$B$148,B46)=1,"PASS","DUPLICATE")</x:f>
        <x:v>PASS</x:v>
      </x:c>
      <x:c r="W46" s="20" t="str">
        <x:f>C46&amp;" / "&amp;E46&amp;" / "&amp;G46&amp;" / "&amp;B46</x:f>
        <x:v>SF-01 / IR-01-01 / SR-01-01-02 / AR-L2-CONN-BufferContract-040</x:v>
      </x:c>
    </x:row>
    <x:row r="47" ht="97.19999694824219" hidden="0" customHeight="1">
      <x:c r="A47" s="20" t="n">
        <x:v>43</x:v>
      </x:c>
      <x:c r="B47" s="20" t="str">
        <x:v>AR-L2-CONN-SWP-XFER-003</x:v>
      </x:c>
      <x:c r="C47" s="20" t="str">
        <x:v>SF-04</x:v>
      </x:c>
      <x:c r="D47" s="20" t="str">
        <x:v>传输创新底座与多介质数据路径</x:v>
      </x:c>
      <x:c r="E47" s="20" t="str">
        <x:v>IR-04-03</x:v>
      </x:c>
      <x:c r="F47" s="20" t="str">
        <x:v>批量传输、预取、流式恢复与广播</x:v>
      </x:c>
      <x:c r="G47" s="20" t="str">
        <x:v>SR-04-03-01</x:v>
      </x:c>
      <x:c r="H47" s="20" t="str">
        <x:v>Swap批量与流式加载Pipeline</x:v>
      </x:c>
      <x:c r="I47" s="20" t="str">
        <x:v>L2-CONN-SWP-XFER-003</x:v>
      </x:c>
      <x:c r="J47" s="20" t="str">
        <x:v>L2 KVConnector层</x:v>
      </x:c>
      <x:c r="K47" s="20" t="str">
        <x:v>卸载/加载与预取优化</x:v>
      </x:c>
      <x:c r="L47" s="20" t="str">
        <x:v>P2</x:v>
      </x:c>
      <x:c r="M47" s="20" t="str">
        <x:v>P2</x:v>
      </x:c>
      <x:c r="N47" s="20" t="str">
        <x:v>软件主线</x:v>
      </x:c>
      <x:c r="O47" s="20" t="str">
        <x:v>Swap批量传输优化</x:v>
      </x:c>
      <x:c r="P47" s="20" t="str">
        <x:v>本需求要求实现KVCache Block的批量聚合传输能力，将多个非连续Block的批量memcpy，将当前for循环逐Block传输模式替换为单次批量DMA提交，显著提升PCIe带宽利用率并降低CPU launch overhead。</x:v>
      </x:c>
      <x:c r="Q47" s="20" t="str">
        <x:v>元数据转换和序列化开销降低至&lt;200ns/次。</x:v>
      </x:c>
      <x:c r="R47" s="20" t="str">
        <x:v>针对统一API层执行微基准测试（Microbenchmark），循环调用千万级别高并发KVMeta读写操作，要求平均耗时&lt;200ns。</x:v>
      </x:c>
      <x:c r="S47" s="20" t="str">
        <x:v>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x:v>
      </x:c>
      <x:c r="T47" s="20"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x:v>
      </x:c>
      <x:c r="U47" s="20" t="str">
        <x:f>IF(COUNTIF('SF-IR-SR定义'!$B$5:$B$79,G47)=1,"PASS","CHECK")</x:f>
        <x:v>PASS</x:v>
      </x:c>
      <x:c r="V47" s="20" t="str">
        <x:f>IF(COUNTIF($B$5:$B$148,B47)=1,"PASS","DUPLICATE")</x:f>
        <x:v>PASS</x:v>
      </x:c>
      <x:c r="W47" s="20" t="str">
        <x:f>C47&amp;" / "&amp;E47&amp;" / "&amp;G47&amp;" / "&amp;B47</x:f>
        <x:v>SF-04 / IR-04-03 / SR-04-03-01 / AR-L2-CONN-SWP-XFER-003</x:v>
      </x:c>
    </x:row>
    <x:row r="48" ht="97.19999694824219" hidden="0" customHeight="1">
      <x:c r="A48" s="20" t="n">
        <x:v>44</x:v>
      </x:c>
      <x:c r="B48" s="20" t="str">
        <x:v>AR-L3-MC-POOL-GLOBAL-001</x:v>
      </x:c>
      <x:c r="C48" s="20" t="str">
        <x:v>SF-03</x:v>
      </x:c>
      <x:c r="D48" s="20" t="str">
        <x:v>统一KV对象与异构存储池管理</x:v>
      </x:c>
      <x:c r="E48" s="20" t="str">
        <x:v>IR-03-02</x:v>
      </x:c>
      <x:c r="F48" s="20" t="str">
        <x:v>异构池分配、分层与介质角色</x:v>
      </x:c>
      <x:c r="G48" s="20" t="str">
        <x:v>SR-03-02-01</x:v>
      </x:c>
      <x:c r="H48" s="20" t="str">
        <x:v>全局池、NUMA/UB分配与Extent分配器</x:v>
      </x:c>
      <x:c r="I48" s="20" t="str">
        <x:v>L3-MC-POOL-GLOBAL-001</x:v>
      </x:c>
      <x:c r="J48" s="20" t="str">
        <x:v>L3 传输管理层</x:v>
      </x:c>
      <x:c r="K48" s="20" t="str">
        <x:v>统一存储池与分层管理</x:v>
      </x:c>
      <x:c r="L48" s="20" t="str">
        <x:v>P0</x:v>
      </x:c>
      <x:c r="M48" s="20" t="str">
        <x:v>P0</x:v>
      </x:c>
      <x:c r="N48" s="20" t="str">
        <x:v>硬件协同</x:v>
      </x:c>
      <x:c r="O48" s="20" t="str">
        <x:v>集群KVCache统一管理</x:v>
      </x:c>
      <x:c r="P48" s="20" t="str">
        <x:v>本需求要求实现Mooncake集群级统一KVCache内存池，维护全集群内存注册表，支持节点动态加入/退出，提供基于RDMA的跨节点KVCache直接读取路由，以及两级索引（本地 + 全局），将集群KVCache内存利用率提升至≥90%。</x:v>
      </x:c>
      <x:c r="Q48" s="20" t="str">
        <x:v>同机架内本地及远端DDR命中率（Local Usable Hit Rate）提升≥30%。</x:v>
      </x:c>
      <x:c r="R48" s="20" t="str">
        <x:v>部署含千卡级别的多机柜大规模集群(如16-64节点)，使用vLLM benchmark工具注入Zipf分布的热点Prompt，统计路由命中本地/本同架的比例，要求大于80%达标。</x:v>
      </x:c>
      <x:c r="S48" s="20" t="str">
        <x:v>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x:v>
      </x:c>
      <x:c r="T48"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x:v>
      </x:c>
      <x:c r="U48" s="20" t="str">
        <x:f>IF(COUNTIF('SF-IR-SR定义'!$B$5:$B$79,G48)=1,"PASS","CHECK")</x:f>
        <x:v>PASS</x:v>
      </x:c>
      <x:c r="V48" s="20" t="str">
        <x:f>IF(COUNTIF($B$5:$B$148,B48)=1,"PASS","DUPLICATE")</x:f>
        <x:v>PASS</x:v>
      </x:c>
      <x:c r="W48" s="20" t="str">
        <x:f>C48&amp;" / "&amp;E48&amp;" / "&amp;G48&amp;" / "&amp;B48</x:f>
        <x:v>SF-03 / IR-03-02 / SR-03-02-01 / AR-L3-MC-POOL-GLOBAL-001</x:v>
      </x:c>
    </x:row>
    <x:row r="49" ht="97.19999694824219" hidden="0" customHeight="1">
      <x:c r="A49" s="20" t="n">
        <x:v>45</x:v>
      </x:c>
      <x:c r="B49" s="20" t="str">
        <x:v>AR-L3-MS-Tiering-038</x:v>
      </x:c>
      <x:c r="C49" s="20" t="str">
        <x:v>SF-03</x:v>
      </x:c>
      <x:c r="D49" s="20" t="str">
        <x:v>统一KV对象与异构存储池管理</x:v>
      </x:c>
      <x:c r="E49" s="20" t="str">
        <x:v>IR-03-02</x:v>
      </x:c>
      <x:c r="F49" s="20" t="str">
        <x:v>异构池分配、分层与介质角色</x:v>
      </x:c>
      <x:c r="G49" s="20" t="str">
        <x:v>SR-03-02-02</x:v>
      </x:c>
      <x:c r="H49" s="20" t="str">
        <x:v>图式分层、DDR旁路与角色化准入</x:v>
      </x:c>
      <x:c r="I49" s="20" t="str">
        <x:v>L3-MS-Tiering-038</x:v>
      </x:c>
      <x:c r="J49" s="20" t="str">
        <x:v>L3 传输管理层</x:v>
      </x:c>
      <x:c r="K49" s="20" t="str">
        <x:v>统一存储池与分层管理</x:v>
      </x:c>
      <x:c r="L49" s="20" t="str">
        <x:v>P0</x:v>
      </x:c>
      <x:c r="M49" s="20" t="str">
        <x:v>P0</x:v>
      </x:c>
      <x:c r="N49" s="20" t="str">
        <x:v>硬件协同</x:v>
      </x:c>
      <x:c r="O49" s="20" t="str">
        <x:v>KV 热存储容量扩展</x:v>
      </x:c>
      <x:c r="P49" s="20" t="str">
        <x:v>本需求要求实现图式多路径 KV tiering manager：根据 active/warm/cold 状态、reuse probability、load cost、interference cost、memory rent 和 SLO，在 HBM、本地 DDR、远端 DDR、本地 SSD、远端 SSD/object 之间选择位置和传输路径。系统不得固化 HBM→DDR→SSD 的必经层级；当 capability 与收益允许时必须支持 HBM↔SSD 直达或低 Host 参与路径，并允许 DDR 被旁路。</x:v>
      </x:c>
      <x:c r="Q49" s="20" t="str">
        <x:v>输出可解释的 tier/path 决策；禁用 DDR Payload tier 后仍可通过 HBM↔SSD 完成卸载、加载和回退闭环。</x:v>
      </x:c>
      <x:c r="R49" s="20" t="str">
        <x:v>对 direct SSD、DDR warm、remote DDR、staged SSD 四类路径做 shadow 回放，比较 TTFT、TPOT、Host 参与度、介质租金与可用命中率。</x:v>
      </x:c>
      <x:c r="S49" s="20" t="str">
        <x:v>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x:v>
      </x:c>
      <x:c r="T49"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x:v>
      </x:c>
      <x:c r="U49" s="20" t="str">
        <x:f>IF(COUNTIF('SF-IR-SR定义'!$B$5:$B$79,G49)=1,"PASS","CHECK")</x:f>
        <x:v>PASS</x:v>
      </x:c>
      <x:c r="V49" s="20" t="str">
        <x:f>IF(COUNTIF($B$5:$B$148,B49)=1,"PASS","DUPLICATE")</x:f>
        <x:v>PASS</x:v>
      </x:c>
      <x:c r="W49" s="20" t="str">
        <x:f>C49&amp;" / "&amp;E49&amp;" / "&amp;G49&amp;" / "&amp;B49</x:f>
        <x:v>SF-03 / IR-03-02 / SR-03-02-02 / AR-L3-MS-Tiering-038</x:v>
      </x:c>
    </x:row>
    <x:row r="50" ht="97.19999694824219" hidden="0" customHeight="1">
      <x:c r="A50" s="20" t="n">
        <x:v>46</x:v>
      </x:c>
      <x:c r="B50" s="20" t="str">
        <x:v>AR-L3-MC-HIER-STORE-002</x:v>
      </x:c>
      <x:c r="C50" s="20" t="str">
        <x:v>SF-03</x:v>
      </x:c>
      <x:c r="D50" s="20" t="str">
        <x:v>统一KV对象与异构存储池管理</x:v>
      </x:c>
      <x:c r="E50" s="20" t="str">
        <x:v>IR-03-02</x:v>
      </x:c>
      <x:c r="F50" s="20" t="str">
        <x:v>异构池分配、分层与介质角色</x:v>
      </x:c>
      <x:c r="G50" s="20" t="str">
        <x:v>SR-03-02-02</x:v>
      </x:c>
      <x:c r="H50" s="20" t="str">
        <x:v>图式分层、DDR旁路与角色化准入</x:v>
      </x:c>
      <x:c r="I50" s="20" t="str">
        <x:v>L3-MC-HIER-STORE-002</x:v>
      </x:c>
      <x:c r="J50" s="20" t="str">
        <x:v>L3 传输管理层</x:v>
      </x:c>
      <x:c r="K50" s="20" t="str">
        <x:v>统一存储池与分层管理</x:v>
      </x:c>
      <x:c r="L50" s="20" t="str">
        <x:v>P1</x:v>
      </x:c>
      <x:c r="M50" s="20" t="str">
        <x:v>P1</x:v>
      </x:c>
      <x:c r="N50" s="20" t="str">
        <x:v>硬件协同</x:v>
      </x:c>
      <x:c r="O50" s="20" t="str">
        <x:v>DDR 成本受限、SSD 容量主力、热点 KV 与远端 DDR 加速</x:v>
      </x:c>
      <x:c r="P50" s="20" t="str">
        <x:v>本需求要求建立以 SSD 为容量主体、DDR 为选择性性能层的 KVCache 分层策略：SSD 承担大规模温冷 KV 和长尾前缀；DDR 仅在热点 KV、远端低时延内存、预取/突发缓冲、注册内存池或回退 staging 能产生净收益时使用。不得使用固定的 DDR&lt;1min、SSD 1-60min 等时间阈值替代 cost model；支持后台异步下沉、预热，以及 capability 允许时的 NPU/accelerator Direct Storage。</x:v>
      </x:c>
      <x:c r="Q50" s="20" t="str">
        <x:v>形成 SSD 容量主路径和 DDR 净收益准入；DDR 容量缩减不影响基本卸载闭环。</x:v>
      </x:c>
      <x:c r="R50" s="20" t="str">
        <x:v>在相同 workload 下对 SSD-only、SSD+local DDR、SSD+remote DDR 做 A/B，输出 DDR 占用、命中收益、SSD P99 屏蔽效果、TTFT/TPOT 与单位有效容量成本。</x:v>
      </x:c>
      <x:c r="S50" s="20" t="str">
        <x:v>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x:v>
      </x:c>
      <x:c r="T50"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x:v>
      </x:c>
      <x:c r="U50" s="20" t="str">
        <x:f>IF(COUNTIF('SF-IR-SR定义'!$B$5:$B$79,G50)=1,"PASS","CHECK")</x:f>
        <x:v>PASS</x:v>
      </x:c>
      <x:c r="V50" s="20" t="str">
        <x:f>IF(COUNTIF($B$5:$B$148,B50)=1,"PASS","DUPLICATE")</x:f>
        <x:v>PASS</x:v>
      </x:c>
      <x:c r="W50" s="20" t="str">
        <x:f>C50&amp;" / "&amp;E50&amp;" / "&amp;G50&amp;" / "&amp;B50</x:f>
        <x:v>SF-03 / IR-03-02 / SR-03-02-02 / AR-L3-MC-HIER-STORE-002</x:v>
      </x:c>
    </x:row>
    <x:row r="51" ht="97.19999694824219" hidden="0" customHeight="1">
      <x:c r="A51" s="20" t="n">
        <x:v>47</x:v>
      </x:c>
      <x:c r="B51" s="20" t="str">
        <x:v>AR-L3-MS-CostEviction-039</x:v>
      </x:c>
      <x:c r="C51" s="20" t="str">
        <x:v>SF-03</x:v>
      </x:c>
      <x:c r="D51" s="20" t="str">
        <x:v>统一KV对象与异构存储池管理</x:v>
      </x:c>
      <x:c r="E51" s="20" t="str">
        <x:v>IR-03-03</x:v>
      </x:c>
      <x:c r="F51" s="20" t="str">
        <x:v>生命周期、放置、淘汰与迁移</x:v>
      </x:c>
      <x:c r="G51" s="20" t="str">
        <x:v>SR-03-03-02</x:v>
      </x:c>
      <x:c r="H51" s="20" t="str">
        <x:v>成本淘汰、命中质量与Placement Resolver</x:v>
      </x:c>
      <x:c r="I51" s="20" t="str">
        <x:v>L3-MS-CostEviction-039</x:v>
      </x:c>
      <x:c r="J51" s="20" t="str">
        <x:v>L3 传输管理层</x:v>
      </x:c>
      <x:c r="K51" s="20" t="str">
        <x:v>统一存储池与分层管理</x:v>
      </x:c>
      <x:c r="L51" s="20" t="str">
        <x:v>P1</x:v>
      </x:c>
      <x:c r="M51" s="20" t="str">
        <x:v>P1</x:v>
      </x:c>
      <x:c r="N51" s="20" t="str">
        <x:v>软件主线</x:v>
      </x:c>
      <x:c r="O51" s="20" t="str">
        <x:v>KVCache 成本感知淘汰与降级</x:v>
      </x:c>
      <x:c r="P51" s="20" t="str">
        <x:v>本需求要求实现KV提级/降级算法，使用多维因素决定保留、降级或驱逐 KV：score 至少包含 saved prefill time、future reuse probability、transfer cost、interference cost、memory rent 和 tenant priority。</x:v>
      </x:c>
      <x:c r="Q51" s="20" t="str">
        <x:v>每 GB KV 带来的 saved prefill tokens 提升 ≥25%；</x:v>
      </x:c>
      <x:c r="R51" s="20" t="str">
        <x:v>采集驱逐引擎（Eviction Engine）的历史记录，并离线绘制 Cache Value Curve（缓存价值曲线，依据计算代价、命中频次等）。验证引擎实际驱逐的对象永远是曲线上价值最低（Tail）的 Block，确保核心热点数据驻留率。</x:v>
      </x:c>
      <x:c r="S51" s="20" t="str">
        <x:v>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x:v>
      </x:c>
      <x:c r="T51"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x:v>
      </x:c>
      <x:c r="U51" s="20" t="str">
        <x:f>IF(COUNTIF('SF-IR-SR定义'!$B$5:$B$79,G51)=1,"PASS","CHECK")</x:f>
        <x:v>PASS</x:v>
      </x:c>
      <x:c r="V51" s="20" t="str">
        <x:f>IF(COUNTIF($B$5:$B$148,B51)=1,"PASS","DUPLICATE")</x:f>
        <x:v>PASS</x:v>
      </x:c>
      <x:c r="W51" s="20" t="str">
        <x:f>C51&amp;" / "&amp;E51&amp;" / "&amp;G51&amp;" / "&amp;B51</x:f>
        <x:v>SF-03 / IR-03-03 / SR-03-03-02 / AR-L3-MS-CostEviction-039</x:v>
      </x:c>
    </x:row>
    <x:row r="52" ht="97.19999694824219" hidden="0" customHeight="1">
      <x:c r="A52" s="20" t="n">
        <x:v>48</x:v>
      </x:c>
      <x:c r="B52" s="20" t="str">
        <x:v>AR-L3-MC-POOL-ALLOC-005</x:v>
      </x:c>
      <x:c r="C52" s="20" t="str">
        <x:v>SF-03</x:v>
      </x:c>
      <x:c r="D52" s="20" t="str">
        <x:v>统一KV对象与异构存储池管理</x:v>
      </x:c>
      <x:c r="E52" s="20" t="str">
        <x:v>IR-03-02</x:v>
      </x:c>
      <x:c r="F52" s="20" t="str">
        <x:v>异构池分配、分层与介质角色</x:v>
      </x:c>
      <x:c r="G52" s="20" t="str">
        <x:v>SR-03-02-01</x:v>
      </x:c>
      <x:c r="H52" s="20" t="str">
        <x:v>全局池、NUMA/UB分配与Extent分配器</x:v>
      </x:c>
      <x:c r="I52" s="20" t="str">
        <x:v>L3-MC-POOL-ALLOC-005</x:v>
      </x:c>
      <x:c r="J52" s="20" t="str">
        <x:v>L3 传输管理层</x:v>
      </x:c>
      <x:c r="K52" s="20" t="str">
        <x:v>统一存储池与分层管理</x:v>
      </x:c>
      <x:c r="L52" s="20" t="str">
        <x:v>P2</x:v>
      </x:c>
      <x:c r="M52" s="20" t="str">
        <x:v>P2</x:v>
      </x:c>
      <x:c r="N52" s="20" t="str">
        <x:v>硬件协同</x:v>
      </x:c>
      <x:c r="O52" s="20" t="str">
        <x:v>NUMA亲和性KV分配</x:v>
      </x:c>
      <x:c r="P52" s="20" t="str">
        <x:v>本需求要求为Mooncake统一内存池实现NUMA感知的KVCache Block分配器，通过查询NPU与CPU NUMA节点的亲和关系，优先将KVCache Block分配到最近NUMA节点的DDR内存（numa_alloc_onnode），将Cross-NUMA KVCache访问比例从当前&gt;50%降至&lt;10%。</x:v>
      </x:c>
      <x:c r="Q52" s="20" t="str">
        <x:v>节点动态加入/退出时的缓存失效控制在局部范围内（遵循一致性哈希比例）。</x:v>
      </x:c>
      <x:c r="R52" s="20" t="str">
        <x:v>在千卡规模集群(64+节点)压测期间，随机Kill掉1-2个节点并拉起新节点（Chaos Testing），监控Hit Rate曲线，要求降幅符合理论比例且系统在5秒内自动恢复。</x:v>
      </x:c>
      <x:c r="S52" s="20" t="str">
        <x:v>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x:v>
      </x:c>
      <x:c r="T52"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x:v>
      </x:c>
      <x:c r="U52" s="20" t="str">
        <x:f>IF(COUNTIF('SF-IR-SR定义'!$B$5:$B$79,G52)=1,"PASS","CHECK")</x:f>
        <x:v>PASS</x:v>
      </x:c>
      <x:c r="V52" s="20" t="str">
        <x:f>IF(COUNTIF($B$5:$B$148,B52)=1,"PASS","DUPLICATE")</x:f>
        <x:v>PASS</x:v>
      </x:c>
      <x:c r="W52" s="20" t="str">
        <x:f>C52&amp;" / "&amp;E52&amp;" / "&amp;G52&amp;" / "&amp;B52</x:f>
        <x:v>SF-03 / IR-03-02 / SR-03-02-01 / AR-L3-MC-POOL-ALLOC-005</x:v>
      </x:c>
    </x:row>
    <x:row r="53" ht="97.19999694824219" hidden="0" customHeight="1">
      <x:c r="A53" s="20" t="n">
        <x:v>49</x:v>
      </x:c>
      <x:c r="B53" s="20" t="str">
        <x:v>AR-L3-MC-UBAllocator-049</x:v>
      </x:c>
      <x:c r="C53" s="20" t="str">
        <x:v>SF-03</x:v>
      </x:c>
      <x:c r="D53" s="20" t="str">
        <x:v>统一KV对象与异构存储池管理</x:v>
      </x:c>
      <x:c r="E53" s="20" t="str">
        <x:v>IR-03-02</x:v>
      </x:c>
      <x:c r="F53" s="20" t="str">
        <x:v>异构池分配、分层与介质角色</x:v>
      </x:c>
      <x:c r="G53" s="20" t="str">
        <x:v>SR-03-02-01</x:v>
      </x:c>
      <x:c r="H53" s="20" t="str">
        <x:v>全局池、NUMA/UB分配与Extent分配器</x:v>
      </x:c>
      <x:c r="I53" s="20" t="str">
        <x:v>L3-MC-UBAllocator-049</x:v>
      </x:c>
      <x:c r="J53" s="20" t="str">
        <x:v>L3 传输管理层</x:v>
      </x:c>
      <x:c r="K53" s="20" t="str">
        <x:v>统一存储池与分层管理</x:v>
      </x:c>
      <x:c r="L53" s="20" t="str">
        <x:v>P2</x:v>
      </x:c>
      <x:c r="M53" s="20" t="str">
        <x:v>P2</x:v>
      </x:c>
      <x:c r="N53" s="20" t="str">
        <x:v>硬件协同</x:v>
      </x:c>
      <x:c r="O53" s="20" t="str">
        <x:v>UB 共享 KV 热存储池管理</x:v>
      </x:c>
      <x:c r="P53" s="20" t="str">
        <x:v>本需求要求实现 UB pooled memory 专用 KV allocator：采用 offset-based addressing、hugepage/page coloring、NUMA/fabric locality、free-list、defrag 与 quota 控制，将 UB pool 从裸内存资源变成可管理 KV tier。</x:v>
      </x:c>
      <x:c r="Q53" s="20" t="str">
        <x:v>全局内存利用率提升至≥85%，跨级冷热数据迁移过程中的TPOT抖动 &lt; 5%。</x:v>
      </x:c>
      <x:c r="R53" s="20" t="str">
        <x:v>采用LMSYS Chatbot Arena长会话数据集满载运行，后台通过API强制触发Tiering Down，监控前台Decode TPOT，要求波动振幅在5%以内视为达标。</x:v>
      </x:c>
      <x:c r="S53" s="20" t="str">
        <x:v>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x:v>
      </x:c>
      <x:c r="T53"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x:v>
      </x:c>
      <x:c r="U53" s="20" t="str">
        <x:f>IF(COUNTIF('SF-IR-SR定义'!$B$5:$B$79,G53)=1,"PASS","CHECK")</x:f>
        <x:v>PASS</x:v>
      </x:c>
      <x:c r="V53" s="20" t="str">
        <x:f>IF(COUNTIF($B$5:$B$148,B53)=1,"PASS","DUPLICATE")</x:f>
        <x:v>PASS</x:v>
      </x:c>
      <x:c r="W53" s="20" t="str">
        <x:f>C53&amp;" / "&amp;E53&amp;" / "&amp;G53&amp;" / "&amp;B53</x:f>
        <x:v>SF-03 / IR-03-02 / SR-03-02-01 / AR-L3-MC-UBAllocator-049</x:v>
      </x:c>
    </x:row>
    <x:row r="54" ht="86.4000015258789" hidden="0" customHeight="1">
      <x:c r="A54" s="20" t="n">
        <x:v>50</x:v>
      </x:c>
      <x:c r="B54" s="20" t="str">
        <x:v>AR-L3-MS-DirectoryMirror-036</x:v>
      </x:c>
      <x:c r="C54" s="20" t="str">
        <x:v>SF-02</x:v>
      </x:c>
      <x:c r="D54" s="20" t="str">
        <x:v>全局前缀目录与分布式元数据服务</x:v>
      </x:c>
      <x:c r="E54" s="20" t="str">
        <x:v>IR-02-02</x:v>
      </x:c>
      <x:c r="F54" s="20" t="str">
        <x:v>分布式目录、分片与多副本位置</x:v>
      </x:c>
      <x:c r="G54" s="20" t="str">
        <x:v>SR-02-02-01</x:v>
      </x:c>
      <x:c r="H54" s="20" t="str">
        <x:v>目录Schema、分片、镜像与复制</x:v>
      </x:c>
      <x:c r="I54" s="20" t="str">
        <x:v>L3-MS-DirectoryMirror-036</x:v>
      </x:c>
      <x:c r="J54" s="20" t="str">
        <x:v>L3 传输管理层</x:v>
      </x:c>
      <x:c r="K54" s="20" t="str">
        <x:v>前缀目录与元数据平面</x:v>
      </x:c>
      <x:c r="L54" s="20" t="str">
        <x:v>P0</x:v>
      </x:c>
      <x:c r="M54" s="20" t="str">
        <x:v>P0</x:v>
      </x:c>
      <x:c r="N54" s="20" t="str">
        <x:v>软件主线</x:v>
      </x:c>
      <x:c r="O54" s="20" t="str">
        <x:v>节点级 KVCache 目录镜像加速</x:v>
      </x:c>
      <x:c r="P54" s="20" t="str">
        <x:v>本需求要求每个推理节点维护 节点级目录镜像，使确定 miss 和热命中尽量在本地完成，避免分布式 directory RTT 进入 TTFT 主路径。</x:v>
      </x:c>
      <x:c r="Q54" s="20" t="str">
        <x:v>remote directory RTT 降低 ≥50%；</x:v>
      </x:c>
      <x:c r="R54" s="20" t="str">
        <x:v>在包含多个机架（Rack）的物理网络拓扑中，分别测试并记录目录查询请求在同机架（Intra-rack）与跨机架（Cross-rack）时的延迟。验证目录镜像（Directory Mirror）技术确实能有效缓解跨机架的长尾查询延迟。</x:v>
      </x:c>
      <x:c r="S54" s="20" t="str">
        <x:v>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x:v>
      </x:c>
      <x:c r="T54"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x:v>
      </x:c>
      <x:c r="U54" s="20" t="str">
        <x:f>IF(COUNTIF('SF-IR-SR定义'!$B$5:$B$79,G54)=1,"PASS","CHECK")</x:f>
        <x:v>PASS</x:v>
      </x:c>
      <x:c r="V54" s="20" t="str">
        <x:f>IF(COUNTIF($B$5:$B$148,B54)=1,"PASS","DUPLICATE")</x:f>
        <x:v>PASS</x:v>
      </x:c>
      <x:c r="W54" s="20" t="str">
        <x:f>C54&amp;" / "&amp;E54&amp;" / "&amp;G54&amp;" / "&amp;B54</x:f>
        <x:v>SF-02 / IR-02-02 / SR-02-02-01 / AR-L3-MS-DirectoryMirror-036</x:v>
      </x:c>
    </x:row>
    <x:row r="55" ht="86.4000015258789" hidden="0" customHeight="1">
      <x:c r="A55" s="20" t="n">
        <x:v>51</x:v>
      </x:c>
      <x:c r="B55" s="20" t="str">
        <x:v>AR-L3-MS-MetadataDataPlane-035</x:v>
      </x:c>
      <x:c r="C55" s="20" t="str">
        <x:v>SF-02</x:v>
      </x:c>
      <x:c r="D55" s="20" t="str">
        <x:v>全局前缀目录与分布式元数据服务</x:v>
      </x:c>
      <x:c r="E55" s="20" t="str">
        <x:v>IR-02-03</x:v>
      </x:c>
      <x:c r="F55" s="20" t="str">
        <x:v>元数据内存语义与发布一致性</x:v>
      </x:c>
      <x:c r="G55" s="20" t="str">
        <x:v>SR-02-03-01</x:v>
      </x:c>
      <x:c r="H55" s="20" t="str">
        <x:v>元数据热路径与紧凑检索布局</x:v>
      </x:c>
      <x:c r="I55" s="20" t="str">
        <x:v>L3-MS-MetadataDataPlane-035</x:v>
      </x:c>
      <x:c r="J55" s="20" t="str">
        <x:v>L3 传输管理层</x:v>
      </x:c>
      <x:c r="K55" s="20" t="str">
        <x:v>前缀目录与元数据平面</x:v>
      </x:c>
      <x:c r="L55" s="20" t="str">
        <x:v>P0</x:v>
      </x:c>
      <x:c r="M55" s="20" t="str">
        <x:v>P0</x:v>
      </x:c>
      <x:c r="N55" s="20" t="str">
        <x:v>软硬接口/硬件协同</x:v>
      </x:c>
      <x:c r="O55" s="20" t="str">
        <x:v>KVCache 元数据热路径加速</x:v>
      </x:c>
      <x:c r="P55" s="20" t="str">
        <x:v>本需求要求将 KV metadata plane 与 KV data plane 物理和逻辑隔离：prefix directory、manifest、ready bitmap、placement summary 优先放 UB/C2C/local DDR；大块 KV data 走 RDMA/DMA/GDS/SSD 路径。</x:v>
      </x:c>
      <x:c r="Q55" s="20" t="str">
        <x:v>prefix lookup p99 降低 ≥30%；</x:v>
      </x:c>
      <x:c r="R55" s="20" t="str">
        <x:v>利用混流压测工具，在网络链路上同时拉起极限 Metadata 查询流量（超高 QPS 小包）以及 KV Data 数据传输流量（大带宽高吞吐）。验证控制面和数据面的资源隔离效果，确保元数据查询未因大流拥塞而发生饿死现象。</x:v>
      </x:c>
      <x:c r="S55" s="20" t="str">
        <x:v>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x:v>
      </x:c>
      <x:c r="T55"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x:v>
      </x:c>
      <x:c r="U55" s="20" t="str">
        <x:f>IF(COUNTIF('SF-IR-SR定义'!$B$5:$B$79,G55)=1,"PASS","CHECK")</x:f>
        <x:v>PASS</x:v>
      </x:c>
      <x:c r="V55" s="20" t="str">
        <x:f>IF(COUNTIF($B$5:$B$148,B55)=1,"PASS","DUPLICATE")</x:f>
        <x:v>PASS</x:v>
      </x:c>
      <x:c r="W55" s="20" t="str">
        <x:f>C55&amp;" / "&amp;E55&amp;" / "&amp;G55&amp;" / "&amp;B55</x:f>
        <x:v>SF-02 / IR-02-03 / SR-02-03-01 / AR-L3-MS-MetadataDataPlane-035</x:v>
      </x:c>
    </x:row>
    <x:row r="56" ht="75.5999984741211" hidden="0" customHeight="1">
      <x:c r="A56" s="20" t="n">
        <x:v>52</x:v>
      </x:c>
      <x:c r="B56" s="20" t="str">
        <x:v>AR-L3-MC-PFX-IDX-003</x:v>
      </x:c>
      <x:c r="C56" s="20" t="str">
        <x:v>SF-02</x:v>
      </x:c>
      <x:c r="D56" s="20" t="str">
        <x:v>全局前缀目录与分布式元数据服务</x:v>
      </x:c>
      <x:c r="E56" s="20" t="str">
        <x:v>IR-02-01</x:v>
      </x:c>
      <x:c r="F56" s="20" t="str">
        <x:v>低时延前缀计算与批量查询</x:v>
      </x:c>
      <x:c r="G56" s="20" t="str">
        <x:v>SR-02-01-02</x:v>
      </x:c>
      <x:c r="H56" s="20" t="str">
        <x:v>本地热索引、批量与范围查询</x:v>
      </x:c>
      <x:c r="I56" s="20" t="str">
        <x:v>L3-MC-PFX-IDX-003</x:v>
      </x:c>
      <x:c r="J56" s="20" t="str">
        <x:v>L3 传输管理层</x:v>
      </x:c>
      <x:c r="K56" s="20" t="str">
        <x:v>前缀目录与元数据平面</x:v>
      </x:c>
      <x:c r="L56" s="20" t="str">
        <x:v>P1</x:v>
      </x:c>
      <x:c r="M56" s="20" t="str">
        <x:v>P1</x:v>
      </x:c>
      <x:c r="N56" s="20" t="str">
        <x:v>硬件协同</x:v>
      </x:c>
      <x:c r="O56" s="20" t="str">
        <x:v>前缀命中判断加速</x:v>
      </x:c>
      <x:c r="P56" s="20" t="str">
        <x:v>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Q56" s="20" t="str">
        <x:v>Prefix命中判定P99耗时 &lt; 200us；在Share-Prefix业务下，Usable Hit Rate提升≥15%。</x:v>
      </x:c>
      <x:c r="R56" s="20" t="str">
        <x:v>使用ShareGPT数据集构造并发度上千(1K~5K QPS)的多轮对话负载，监控/metrics接口的prefix_lookup_latency指标，要求P99小于200us为达标。</x:v>
      </x:c>
      <x:c r="S56" s="20" t="str">
        <x:v>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x:v>
      </x:c>
      <x:c r="T56"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x:v>
      </x:c>
      <x:c r="U56" s="20" t="str">
        <x:f>IF(COUNTIF('SF-IR-SR定义'!$B$5:$B$79,G56)=1,"PASS","CHECK")</x:f>
        <x:v>PASS</x:v>
      </x:c>
      <x:c r="V56" s="20" t="str">
        <x:f>IF(COUNTIF($B$5:$B$148,B56)=1,"PASS","DUPLICATE")</x:f>
        <x:v>PASS</x:v>
      </x:c>
      <x:c r="W56" s="20" t="str">
        <x:f>C56&amp;" / "&amp;E56&amp;" / "&amp;G56&amp;" / "&amp;B56</x:f>
        <x:v>SF-02 / IR-02-01 / SR-02-01-02 / AR-L3-MC-PFX-IDX-003</x:v>
      </x:c>
    </x:row>
    <x:row r="57" ht="75.5999984741211" hidden="0" customHeight="1">
      <x:c r="A57" s="20" t="n">
        <x:v>53</x:v>
      </x:c>
      <x:c r="B57" s="20" t="str">
        <x:v>AR-L3-MC-PFX-REPL-004</x:v>
      </x:c>
      <x:c r="C57" s="20" t="str">
        <x:v>SF-02</x:v>
      </x:c>
      <x:c r="D57" s="20" t="str">
        <x:v>全局前缀目录与分布式元数据服务</x:v>
      </x:c>
      <x:c r="E57" s="20" t="str">
        <x:v>IR-02-02</x:v>
      </x:c>
      <x:c r="F57" s="20" t="str">
        <x:v>分布式目录、分片与多副本位置</x:v>
      </x:c>
      <x:c r="G57" s="20" t="str">
        <x:v>SR-02-02-01</x:v>
      </x:c>
      <x:c r="H57" s="20" t="str">
        <x:v>目录Schema、分片、镜像与复制</x:v>
      </x:c>
      <x:c r="I57" s="20" t="str">
        <x:v>L3-MC-PFX-REPL-004</x:v>
      </x:c>
      <x:c r="J57" s="20" t="str">
        <x:v>L3 传输管理层</x:v>
      </x:c>
      <x:c r="K57" s="20" t="str">
        <x:v>前缀目录与元数据平面</x:v>
      </x:c>
      <x:c r="L57" s="20" t="str">
        <x:v>P1</x:v>
      </x:c>
      <x:c r="M57" s="20" t="str">
        <x:v>P1</x:v>
      </x:c>
      <x:c r="N57" s="20" t="str">
        <x:v>硬件协同</x:v>
      </x:c>
      <x:c r="O57" s="20" t="str">
        <x:v>分布式索引高可用</x:v>
      </x:c>
      <x:c r="P57" s="20" t="str">
        <x:v>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Q57" s="20" t="str">
        <x:v>Prefix命中判定P99耗时 &lt; 200us；在Share-Prefix业务下，Usable Hit Rate提升≥15%。</x:v>
      </x:c>
      <x:c r="R57" s="20" t="str">
        <x:v>使用ShareGPT数据集构造并发度上千(1K~5K QPS)的多轮对话负载，监控/metrics接口的prefix_lookup_latency指标，要求P99小于200us为达标。</x:v>
      </x:c>
      <x:c r="S57" s="20" t="str">
        <x:v>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x:v>
      </x:c>
      <x:c r="T57"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x:v>
      </x:c>
      <x:c r="U57" s="20" t="str">
        <x:f>IF(COUNTIF('SF-IR-SR定义'!$B$5:$B$79,G57)=1,"PASS","CHECK")</x:f>
        <x:v>PASS</x:v>
      </x:c>
      <x:c r="V57" s="20" t="str">
        <x:f>IF(COUNTIF($B$5:$B$148,B57)=1,"PASS","DUPLICATE")</x:f>
        <x:v>PASS</x:v>
      </x:c>
      <x:c r="W57" s="20" t="str">
        <x:f>C57&amp;" / "&amp;E57&amp;" / "&amp;G57&amp;" / "&amp;B57</x:f>
        <x:v>SF-02 / IR-02-02 / SR-02-02-01 / AR-L3-MC-PFX-REPL-004</x:v>
      </x:c>
    </x:row>
    <x:row r="58" ht="86.4000015258789" hidden="0" customHeight="1">
      <x:c r="A58" s="20" t="n">
        <x:v>54</x:v>
      </x:c>
      <x:c r="B58" s="20" t="str">
        <x:v>AR-L3-MS-MultiReplicaDirectory-037</x:v>
      </x:c>
      <x:c r="C58" s="20" t="str">
        <x:v>SF-02</x:v>
      </x:c>
      <x:c r="D58" s="20" t="str">
        <x:v>全局前缀目录与分布式元数据服务</x:v>
      </x:c>
      <x:c r="E58" s="20" t="str">
        <x:v>IR-02-02</x:v>
      </x:c>
      <x:c r="F58" s="20" t="str">
        <x:v>分布式目录、分片与多副本位置</x:v>
      </x:c>
      <x:c r="G58" s="20" t="str">
        <x:v>SR-02-02-02</x:v>
      </x:c>
      <x:c r="H58" s="20" t="str">
        <x:v>多副本目录、位置状态与解析</x:v>
      </x:c>
      <x:c r="I58" s="20" t="str">
        <x:v>L3-MS-MultiReplicaDirectory-037</x:v>
      </x:c>
      <x:c r="J58" s="20" t="str">
        <x:v>L3 传输管理层</x:v>
      </x:c>
      <x:c r="K58" s="20" t="str">
        <x:v>前缀目录与元数据平面</x:v>
      </x:c>
      <x:c r="L58" s="20" t="str">
        <x:v>P1</x:v>
      </x:c>
      <x:c r="M58" s="20" t="str">
        <x:v>P1</x:v>
      </x:c>
      <x:c r="N58" s="20" t="str">
        <x:v>软硬接口/硬件协同</x:v>
      </x:c>
      <x:c r="O58" s="20" t="str">
        <x:v>多副本 KVCache 全局目录管理</x:v>
      </x:c>
      <x:c r="P58" s="20" t="str">
        <x:v>本需求要求全局 KV directory 支持同一 KV object 的多语义副本记录：包括 UB/C2C memory view、local DDR、remote DDR RDMA source、SSD segment、object key，并维护 version、visibility、hotness 与 cost metadata。</x:v>
      </x:c>
      <x:c r="Q58" s="20" t="str">
        <x:v>path selection 命中最优副本比例 ≥90%；</x:v>
      </x:c>
      <x:c r="R58" s="20" t="str">
        <x:v>在配置了多个目录副本的架构中，模拟包含主副本的节点突然掉电（故障）或该节点网卡端口被打满（拥塞）。验证查询请求是否能立刻感知并低延迟切换至其他健康副本，保障全局寻址高可用。</x:v>
      </x:c>
      <x:c r="S58" s="20" t="str">
        <x:v>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x:v>
      </x:c>
      <x:c r="T58"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x:v>
      </x:c>
      <x:c r="U58" s="20" t="str">
        <x:f>IF(COUNTIF('SF-IR-SR定义'!$B$5:$B$79,G58)=1,"PASS","CHECK")</x:f>
        <x:v>PASS</x:v>
      </x:c>
      <x:c r="V58" s="20" t="str">
        <x:f>IF(COUNTIF($B$5:$B$148,B58)=1,"PASS","DUPLICATE")</x:f>
        <x:v>PASS</x:v>
      </x:c>
      <x:c r="W58" s="20" t="str">
        <x:f>C58&amp;" / "&amp;E58&amp;" / "&amp;G58&amp;" / "&amp;B58</x:f>
        <x:v>SF-02 / IR-02-02 / SR-02-02-02 / AR-L3-MS-MultiReplicaDirectory-037</x:v>
      </x:c>
    </x:row>
    <x:row r="59" ht="86.4000015258789" hidden="0" customHeight="1">
      <x:c r="A59" s="20" t="n">
        <x:v>55</x:v>
      </x:c>
      <x:c r="B59" s="20" t="str">
        <x:v>AR-L3-PM-HitQuality-023</x:v>
      </x:c>
      <x:c r="C59" s="20" t="str">
        <x:v>SF-03</x:v>
      </x:c>
      <x:c r="D59" s="20" t="str">
        <x:v>统一KV对象与异构存储池管理</x:v>
      </x:c>
      <x:c r="E59" s="20" t="str">
        <x:v>IR-03-03</x:v>
      </x:c>
      <x:c r="F59" s="20" t="str">
        <x:v>生命周期、放置、淘汰与迁移</x:v>
      </x:c>
      <x:c r="G59" s="20" t="str">
        <x:v>SR-03-03-02</x:v>
      </x:c>
      <x:c r="H59" s="20" t="str">
        <x:v>成本淘汰、命中质量与Placement Resolver</x:v>
      </x:c>
      <x:c r="I59" s="20" t="str">
        <x:v>L3-PM-HitQuality-023</x:v>
      </x:c>
      <x:c r="J59" s="20" t="str">
        <x:v>L3 传输管理层</x:v>
      </x:c>
      <x:c r="K59" s="20" t="str">
        <x:v>前缀目录与元数据平面</x:v>
      </x:c>
      <x:c r="L59" s="20" t="str">
        <x:v>P1</x:v>
      </x:c>
      <x:c r="M59" s="20" t="str">
        <x:v>P1</x:v>
      </x:c>
      <x:c r="N59" s="20" t="str">
        <x:v>软件主线</x:v>
      </x:c>
      <x:c r="O59" s="20" t="str">
        <x:v>命中 KV 加载价值评估</x:v>
      </x:c>
      <x:c r="P59" s="20" t="str">
        <x:v>本需求要求 Connector 在返回 prefix hit 时同时返回 hit quality metadata，包括所在 tier、bytes、layout、queue depth、replica count、estimated load latency、visibility state，使 Scheduler 能判断该 hit 是否能在 TTFT budget 内转化为 usable hit。</x:v>
      </x:c>
      <x:c r="Q59" s="20" t="str">
        <x:v>Prefix命中判定P99耗时 &lt; 200us；在Share-Prefix业务下，Usable Hit Rate提升≥15%。</x:v>
      </x:c>
      <x:c r="R59" s="20" t="str">
        <x:v>使用ShareGPT数据集构造并发度上千(1K~5K QPS)的多轮对话负载，监控/metrics接口的prefix_lookup_latency指标，要求P99小于200us为达标。</x:v>
      </x:c>
      <x:c r="S59" s="20" t="str">
        <x:v>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x:v>
      </x:c>
      <x:c r="T59"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x:v>
      </x:c>
      <x:c r="U59" s="20" t="str">
        <x:f>IF(COUNTIF('SF-IR-SR定义'!$B$5:$B$79,G59)=1,"PASS","CHECK")</x:f>
        <x:v>PASS</x:v>
      </x:c>
      <x:c r="V59" s="20" t="str">
        <x:f>IF(COUNTIF($B$5:$B$148,B59)=1,"PASS","DUPLICATE")</x:f>
        <x:v>PASS</x:v>
      </x:c>
      <x:c r="W59" s="20" t="str">
        <x:f>C59&amp;" / "&amp;E59&amp;" / "&amp;G59&amp;" / "&amp;B59</x:f>
        <x:v>SF-03 / IR-03-03 / SR-03-03-02 / AR-L3-PM-HitQuality-023</x:v>
      </x:c>
    </x:row>
    <x:row r="60" ht="97.19999694824219" hidden="0" customHeight="1">
      <x:c r="A60" s="20" t="n">
        <x:v>56</x:v>
      </x:c>
      <x:c r="B60" s="20" t="str">
        <x:v>AR-L3-SE-PolicyEngine-032</x:v>
      </x:c>
      <x:c r="C60" s="20" t="str">
        <x:v>SF-01</x:v>
      </x:c>
      <x:c r="D60" s="20" t="str">
        <x:v>统一服务接入与推理消费</x:v>
      </x:c>
      <x:c r="E60" s="20" t="str">
        <x:v>IR-01-03</x:v>
      </x:c>
      <x:c r="F60" s="20" t="str">
        <x:v>多卡一致消费与专家控制</x:v>
      </x:c>
      <x:c r="G60" s="20" t="str">
        <x:v>SR-01-03-02</x:v>
      </x:c>
      <x:c r="H60" s="20" t="str">
        <x:v>策略引擎与专家级Override</x:v>
      </x:c>
      <x:c r="I60" s="20" t="str">
        <x:v>L3-SE-PolicyEngine-032</x:v>
      </x:c>
      <x:c r="J60" s="20" t="str">
        <x:v>L3 传输管理层</x:v>
      </x:c>
      <x:c r="K60" s="20" t="str">
        <x:v>语义策略与路径管理</x:v>
      </x:c>
      <x:c r="L60" s="20" t="str">
        <x:v>P0</x:v>
      </x:c>
      <x:c r="M60" s="20" t="str">
        <x:v>P0</x:v>
      </x:c>
      <x:c r="N60" s="20" t="str">
        <x:v>软件主线</x:v>
      </x:c>
      <x:c r="O60" s="20" t="str">
        <x:v>统一 KVCache 存储池智能路径选择</x:v>
      </x:c>
      <x:c r="P60" s="20" t="str">
        <x:v>本需求要求 Transfer Manager 实现 semantic policy engine：根据 KVAccessIntent、KV size、deadline、reuse value、topology、telemetry、tier state 自动选择 memory view、bulk transfer、stream object 或 recompute 路径。</x:v>
      </x:c>
      <x:c r="Q60" s="20" t="str">
        <x:v>usable hit rate 提升 ≥20%；</x:v>
      </x:c>
      <x:c r="R60" s="20" t="str">
        <x:v>引入一个通过事后离线全局计算得出的理想最优路径预言机（Oracle）。将实际系统运行期间 Policy Engine 做出的动态路由选择序列与 Oracle 的理论上限进行对比，要求策略选择的命中准确率和性能偏差在容忍范围内（如 &lt;5%）。</x:v>
      </x:c>
      <x:c r="S60" s="20" t="str">
        <x:v>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x:v>
      </x:c>
      <x:c r="T60"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x:v>
      </x:c>
      <x:c r="U60" s="20" t="str">
        <x:f>IF(COUNTIF('SF-IR-SR定义'!$B$5:$B$79,G60)=1,"PASS","CHECK")</x:f>
        <x:v>PASS</x:v>
      </x:c>
      <x:c r="V60" s="20" t="str">
        <x:f>IF(COUNTIF($B$5:$B$148,B60)=1,"PASS","DUPLICATE")</x:f>
        <x:v>PASS</x:v>
      </x:c>
      <x:c r="W60" s="20" t="str">
        <x:f>C60&amp;" / "&amp;E60&amp;" / "&amp;G60&amp;" / "&amp;B60</x:f>
        <x:v>SF-01 / IR-01-03 / SR-01-03-02 / AR-L3-SE-PolicyEngine-032</x:v>
      </x:c>
    </x:row>
    <x:row r="61" ht="97.19999694824219" hidden="0" customHeight="1">
      <x:c r="A61" s="20" t="n">
        <x:v>57</x:v>
      </x:c>
      <x:c r="B61" s="20" t="str">
        <x:v>AR-L3-SE-UnifiedDescriptor-018</x:v>
      </x:c>
      <x:c r="C61" s="20" t="str">
        <x:v>SF-04</x:v>
      </x:c>
      <x:c r="D61" s="20" t="str">
        <x:v>传输创新底座与多介质数据路径</x:v>
      </x:c>
      <x:c r="E61" s="20" t="str">
        <x:v>IR-04-01</x:v>
      </x:c>
      <x:c r="F61" s="20" t="str">
        <x:v>能力抽象、路径探测与描述符编译</x:v>
      </x:c>
      <x:c r="G61" s="20" t="str">
        <x:v>SR-04-01-03</x:v>
      </x:c>
      <x:c r="H61" s="20" t="str">
        <x:v>统一Descriptor、粒度分流与批量描述</x:v>
      </x:c>
      <x:c r="I61" s="20" t="str">
        <x:v>L3-SE-UnifiedDescriptor-018</x:v>
      </x:c>
      <x:c r="J61" s="20" t="str">
        <x:v>L3 传输管理层</x:v>
      </x:c>
      <x:c r="K61" s="20" t="str">
        <x:v>语义策略与路径管理</x:v>
      </x:c>
      <x:c r="L61" s="20" t="str">
        <x:v>P0</x:v>
      </x:c>
      <x:c r="M61" s="20" t="str">
        <x:v>P0</x:v>
      </x:c>
      <x:c r="N61" s="20" t="str">
        <x:v>软硬接口/硬件协同</x:v>
      </x:c>
      <x:c r="O61" s="20" t="str">
        <x:v>跨框架 KVCache 传输任务统一编排</x:v>
      </x:c>
      <x:c r="P61" s="20" t="str">
        <x:v>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Q61" s="20" t="str">
        <x:v>节点动态加入/退出时的缓存失效控制在局部范围内（遵循一致性哈希比例）。</x:v>
      </x:c>
      <x:c r="R61" s="20" t="str">
        <x:v>在千卡规模集群(64+节点)压测期间，随机Kill掉1-2个节点并拉起新节点（Chaos Testing），监控Hit Rate曲线，要求降幅符合理论比例且系统在5秒内自动恢复。</x:v>
      </x:c>
      <x:c r="S61" s="20" t="str">
        <x:v>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x:v>
      </x:c>
      <x:c r="T61"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x:v>
      </x:c>
      <x:c r="U61" s="20" t="str">
        <x:f>IF(COUNTIF('SF-IR-SR定义'!$B$5:$B$79,G61)=1,"PASS","CHECK")</x:f>
        <x:v>PASS</x:v>
      </x:c>
      <x:c r="V61" s="20" t="str">
        <x:f>IF(COUNTIF($B$5:$B$148,B61)=1,"PASS","DUPLICATE")</x:f>
        <x:v>PASS</x:v>
      </x:c>
      <x:c r="W61" s="20" t="str">
        <x:f>C61&amp;" / "&amp;E61&amp;" / "&amp;G61&amp;" / "&amp;B61</x:f>
        <x:v>SF-04 / IR-04-01 / SR-04-01-03 / AR-L3-SE-UnifiedDescriptor-018</x:v>
      </x:c>
    </x:row>
    <x:row r="62" ht="97.19999694824219" hidden="0" customHeight="1">
      <x:c r="A62" s="20" t="n">
        <x:v>58</x:v>
      </x:c>
      <x:c r="B62" s="20" t="str">
        <x:v>AR-L3-TRANS-CAP-API-002</x:v>
      </x:c>
      <x:c r="C62" s="20" t="str">
        <x:v>SF-04</x:v>
      </x:c>
      <x:c r="D62" s="20" t="str">
        <x:v>传输创新底座与多介质数据路径</x:v>
      </x:c>
      <x:c r="E62" s="20" t="str">
        <x:v>IR-04-01</x:v>
      </x:c>
      <x:c r="F62" s="20" t="str">
        <x:v>能力抽象、路径探测与描述符编译</x:v>
      </x:c>
      <x:c r="G62" s="20" t="str">
        <x:v>SR-04-01-01</x:v>
      </x:c>
      <x:c r="H62" s="20" t="str">
        <x:v>传输Capability与语义抽象</x:v>
      </x:c>
      <x:c r="I62" s="20" t="str">
        <x:v>L3-TRANS-CAP-API-002</x:v>
      </x:c>
      <x:c r="J62" s="20" t="str">
        <x:v>L3 传输管理层</x:v>
      </x:c>
      <x:c r="K62" s="20" t="str">
        <x:v>语义策略与路径管理</x:v>
      </x:c>
      <x:c r="L62" s="20" t="str">
        <x:v>P0</x:v>
      </x:c>
      <x:c r="M62" s="20" t="str">
        <x:v>P0</x:v>
      </x:c>
      <x:c r="N62" s="20" t="str">
        <x:v>软硬接口/硬件协同</x:v>
      </x:c>
      <x:c r="O62" s="20" t="str">
        <x:v>平台无关能力感知</x:v>
      </x:c>
      <x:c r="P62" s="20"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Q62" s="20" t="str">
        <x:v>新推理后端接入适配代码量减少80%，单一接口调用开销(Overhead) &lt; 5us。</x:v>
      </x:c>
      <x:c r="R62" s="20" t="str">
        <x:v>执行统一提供的Conformance Test Suite（合规测试集），构造put/get/evict边界用例，要求100%通过且空载调用耗时监控指标低于5us。</x:v>
      </x:c>
      <x:c r="S62" s="20" t="str">
        <x:v>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x:v>
      </x:c>
      <x:c r="T62"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x:v>
      </x:c>
      <x:c r="U62" s="20" t="str">
        <x:f>IF(COUNTIF('SF-IR-SR定义'!$B$5:$B$79,G62)=1,"PASS","CHECK")</x:f>
        <x:v>PASS</x:v>
      </x:c>
      <x:c r="V62" s="20" t="str">
        <x:f>IF(COUNTIF($B$5:$B$148,B62)=1,"PASS","DUPLICATE")</x:f>
        <x:v>PASS</x:v>
      </x:c>
      <x:c r="W62" s="20" t="str">
        <x:f>C62&amp;" / "&amp;E62&amp;" / "&amp;G62&amp;" / "&amp;B62</x:f>
        <x:v>SF-04 / IR-04-01 / SR-04-01-01 / AR-L3-TRANS-CAP-API-002</x:v>
      </x:c>
    </x:row>
    <x:row r="63" ht="97.19999694824219" hidden="0" customHeight="1">
      <x:c r="A63" s="20" t="n">
        <x:v>59</x:v>
      </x:c>
      <x:c r="B63" s="20" t="str">
        <x:v>AR-L3-TRANS-SEM-ENGINE-001</x:v>
      </x:c>
      <x:c r="C63" s="20" t="str">
        <x:v>SF-04</x:v>
      </x:c>
      <x:c r="D63" s="20" t="str">
        <x:v>传输创新底座与多介质数据路径</x:v>
      </x:c>
      <x:c r="E63" s="20" t="str">
        <x:v>IR-04-01</x:v>
      </x:c>
      <x:c r="F63" s="20" t="str">
        <x:v>能力抽象、路径探测与描述符编译</x:v>
      </x:c>
      <x:c r="G63" s="20" t="str">
        <x:v>SR-04-01-01</x:v>
      </x:c>
      <x:c r="H63" s="20" t="str">
        <x:v>传输Capability与语义抽象</x:v>
      </x:c>
      <x:c r="I63" s="20" t="str">
        <x:v>L3-TRANS-SEM-ENGINE-001</x:v>
      </x:c>
      <x:c r="J63" s="20" t="str">
        <x:v>L3 传输管理层</x:v>
      </x:c>
      <x:c r="K63" s="20" t="str">
        <x:v>语义策略与路径管理</x:v>
      </x:c>
      <x:c r="L63" s="20" t="str">
        <x:v>P0</x:v>
      </x:c>
      <x:c r="M63" s="20" t="str">
        <x:v>P0</x:v>
      </x:c>
      <x:c r="N63" s="20" t="str">
        <x:v>软硬接口/硬件协同</x:v>
      </x:c>
      <x:c r="O63" s="20" t="str">
        <x:v>多平台统一传输管理</x:v>
      </x:c>
      <x:c r="P63" s="20" t="str">
        <x:v>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Q63" s="20" t="str">
        <x:v>同机架内本地及远端DDR命中率（Local Usable Hit Rate）提升≥30%。</x:v>
      </x:c>
      <x:c r="R63" s="20" t="str">
        <x:v>部署含千卡级别的多机柜大规模集群(如16-64节点)，使用vLLM benchmark工具注入Zipf分布的热点Prompt，统计路由命中本地/本同架的比例，要求大于80%达标。</x:v>
      </x:c>
      <x:c r="S63" s="20" t="str">
        <x:v>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x:v>
      </x:c>
      <x:c r="T63"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x:v>
      </x:c>
      <x:c r="U63" s="20" t="str">
        <x:f>IF(COUNTIF('SF-IR-SR定义'!$B$5:$B$79,G63)=1,"PASS","CHECK")</x:f>
        <x:v>PASS</x:v>
      </x:c>
      <x:c r="V63" s="20" t="str">
        <x:f>IF(COUNTIF($B$5:$B$148,B63)=1,"PASS","DUPLICATE")</x:f>
        <x:v>PASS</x:v>
      </x:c>
      <x:c r="W63" s="20" t="str">
        <x:f>C63&amp;" / "&amp;E63&amp;" / "&amp;G63&amp;" / "&amp;B63</x:f>
        <x:v>SF-04 / IR-04-01 / SR-04-01-01 / AR-L3-TRANS-SEM-ENGINE-001</x:v>
      </x:c>
    </x:row>
    <x:row r="64" ht="86.4000015258789" hidden="0" customHeight="1">
      <x:c r="A64" s="20" t="n">
        <x:v>60</x:v>
      </x:c>
      <x:c r="B64" s="20" t="str">
        <x:v>AR-L3-SE-GranularityDispatch-033</x:v>
      </x:c>
      <x:c r="C64" s="20" t="str">
        <x:v>SF-04</x:v>
      </x:c>
      <x:c r="D64" s="20" t="str">
        <x:v>传输创新底座与多介质数据路径</x:v>
      </x:c>
      <x:c r="E64" s="20" t="str">
        <x:v>IR-04-01</x:v>
      </x:c>
      <x:c r="F64" s="20" t="str">
        <x:v>能力抽象、路径探测与描述符编译</x:v>
      </x:c>
      <x:c r="G64" s="20" t="str">
        <x:v>SR-04-01-03</x:v>
      </x:c>
      <x:c r="H64" s="20" t="str">
        <x:v>统一Descriptor、粒度分流与批量描述</x:v>
      </x:c>
      <x:c r="I64" s="20" t="str">
        <x:v>L3-SE-GranularityDispatch-033</x:v>
      </x:c>
      <x:c r="J64" s="20" t="str">
        <x:v>L3 传输管理层</x:v>
      </x:c>
      <x:c r="K64" s="20" t="str">
        <x:v>语义策略与路径管理</x:v>
      </x:c>
      <x:c r="L64" s="20" t="str">
        <x:v>P1</x:v>
      </x:c>
      <x:c r="M64" s="20" t="str">
        <x:v>P1</x:v>
      </x:c>
      <x:c r="N64" s="20" t="str">
        <x:v>软件主线</x:v>
      </x:c>
      <x:c r="O64" s="20" t="str">
        <x:v>KV 元数据与 KV 数据分流传输</x:v>
      </x:c>
      <x:c r="P64" s="20" t="str">
        <x:v>本需求要求 Transfer Manager 按数据粒度自动分发访问语义：64B–4KB metadata 优先 memory-view，0.5–8MB KV block/page 优先 bulk transfer，冷 segment/object 优先 stream/object，避免协议与数据粒度错配。</x:v>
      </x:c>
      <x:c r="Q64" s="20" t="str">
        <x:v>lookup p99 降低 ≥30%，bulk BW 提升 ≥20%；</x:v>
      </x:c>
      <x:c r="R64" s="20" t="str">
        <x:v>针对数据下发与迁移的最小粒度（例如从 16KB 递增扫至 2MB），进行全面的扫描测试（Sweep）。找出在特定网络结构和磁盘 IO 参数下，吞吐量和碎片的最佳平衡点，并确保系统调度参数已自适应为该粒度区间。</x:v>
      </x:c>
      <x:c r="S64" s="20" t="str">
        <x:v>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x:v>
      </x:c>
      <x:c r="T64"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x:v>
      </x:c>
      <x:c r="U64" s="20" t="str">
        <x:f>IF(COUNTIF('SF-IR-SR定义'!$B$5:$B$79,G64)=1,"PASS","CHECK")</x:f>
        <x:v>PASS</x:v>
      </x:c>
      <x:c r="V64" s="20" t="str">
        <x:f>IF(COUNTIF($B$5:$B$148,B64)=1,"PASS","DUPLICATE")</x:f>
        <x:v>PASS</x:v>
      </x:c>
      <x:c r="W64" s="20" t="str">
        <x:f>C64&amp;" / "&amp;E64&amp;" / "&amp;G64&amp;" / "&amp;B64</x:f>
        <x:v>SF-04 / IR-04-01 / SR-04-01-03 / AR-L3-SE-GranularityDispatch-033</x:v>
      </x:c>
    </x:row>
    <x:row r="65" ht="97.19999694824219" hidden="0" customHeight="1">
      <x:c r="A65" s="20" t="n">
        <x:v>61</x:v>
      </x:c>
      <x:c r="B65" s="20" t="str">
        <x:v>AR-L3-SE-ViewCopyCostModel-034</x:v>
      </x:c>
      <x:c r="C65" s="20" t="str">
        <x:v>SF-01</x:v>
      </x:c>
      <x:c r="D65" s="20" t="str">
        <x:v>统一服务接入与推理消费</x:v>
      </x:c>
      <x:c r="E65" s="20" t="str">
        <x:v>IR-01-02</x:v>
      </x:c>
      <x:c r="F65" s="20" t="str">
        <x:v>缓存感知调度与收益准入</x:v>
      </x:c>
      <x:c r="G65" s="20" t="str">
        <x:v>SR-01-02-02</x:v>
      </x:c>
      <x:c r="H65" s="20" t="str">
        <x:v>部分命中、View/Copy与重算边界</x:v>
      </x:c>
      <x:c r="I65" s="20" t="str">
        <x:v>L3-SE-ViewCopyCostModel-034</x:v>
      </x:c>
      <x:c r="J65" s="20" t="str">
        <x:v>L3 传输管理层</x:v>
      </x:c>
      <x:c r="K65" s="20" t="str">
        <x:v>语义策略与路径管理</x:v>
      </x:c>
      <x:c r="L65" s="20" t="str">
        <x:v>P1</x:v>
      </x:c>
      <x:c r="M65" s="20" t="str">
        <x:v>P1</x:v>
      </x:c>
      <x:c r="N65" s="20" t="str">
        <x:v>硬件协同</x:v>
      </x:c>
      <x:c r="O65" s="20" t="str">
        <x:v>近端热 KV 直访与回填优化</x:v>
      </x:c>
      <x:c r="P65" s="20" t="str">
        <x:v>本需求要求实现 view-vs-copy cost model：综合 direct view stall cycles、copy-to-HBM cost、expected reuse count、deadline 和 TPOT 敏感性，判断 UB/C2C warm KV 应直接访问还是先 copy 到 HBM。</x:v>
      </x:c>
      <x:c r="Q65" s="20" t="str">
        <x:v>TPOT 回退 &lt;3%，TTFT 降低 ≥10%；</x:v>
      </x:c>
      <x:c r="R65" s="20" t="str">
        <x:v>基于远端存储访问计数器（Remote-tier Counter）采集的实时性能统计，开展 View 与 Copy 的 A/B 测试。验证基于计数器的动态 Cost Model 能够随着远端节点压力的变化，自适应并正确地在这两种加载模式间切换。</x:v>
      </x:c>
      <x:c r="S65" s="20" t="str">
        <x:v>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x:v>
      </x:c>
      <x:c r="T65"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x:v>
      </x:c>
      <x:c r="U65" s="20" t="str">
        <x:f>IF(COUNTIF('SF-IR-SR定义'!$B$5:$B$79,G65)=1,"PASS","CHECK")</x:f>
        <x:v>PASS</x:v>
      </x:c>
      <x:c r="V65" s="20" t="str">
        <x:f>IF(COUNTIF($B$5:$B$148,B65)=1,"PASS","DUPLICATE")</x:f>
        <x:v>PASS</x:v>
      </x:c>
      <x:c r="W65" s="20" t="str">
        <x:f>C65&amp;" / "&amp;E65&amp;" / "&amp;G65&amp;" / "&amp;B65</x:f>
        <x:v>SF-01 / IR-01-02 / SR-01-02-02 / AR-L3-SE-ViewCopyCostModel-034</x:v>
      </x:c>
    </x:row>
    <x:row r="66" ht="97.19999694824219" hidden="0" customHeight="1">
      <x:c r="A66" s="20" t="n">
        <x:v>62</x:v>
      </x:c>
      <x:c r="B66" s="20" t="str">
        <x:v>AR-L3-TRANS-TOPO-SENSE-004</x:v>
      </x:c>
      <x:c r="C66" s="20" t="str">
        <x:v>SF-04</x:v>
      </x:c>
      <x:c r="D66" s="20" t="str">
        <x:v>传输创新底座与多介质数据路径</x:v>
      </x:c>
      <x:c r="E66" s="20" t="str">
        <x:v>IR-04-01</x:v>
      </x:c>
      <x:c r="F66" s="20" t="str">
        <x:v>能力抽象、路径探测与描述符编译</x:v>
      </x:c>
      <x:c r="G66" s="20" t="str">
        <x:v>SR-04-01-02</x:v>
      </x:c>
      <x:c r="H66" s="20" t="str">
        <x:v>拓扑探测、动态路由与统一Fabric Router</x:v>
      </x:c>
      <x:c r="I66" s="20" t="str">
        <x:v>L3-TRANS-TOPO-SENSE-004</x:v>
      </x:c>
      <x:c r="J66" s="20" t="str">
        <x:v>L3 传输管理层</x:v>
      </x:c>
      <x:c r="K66" s="20" t="str">
        <x:v>语义策略与路径管理</x:v>
      </x:c>
      <x:c r="L66" s="20" t="str">
        <x:v>P1</x:v>
      </x:c>
      <x:c r="M66" s="20" t="str">
        <x:v>P1</x:v>
      </x:c>
      <x:c r="N66" s="20" t="str">
        <x:v>硬件协同</x:v>
      </x:c>
      <x:c r="O66" s="20" t="str">
        <x:v>动态传输质量适应</x:v>
      </x:c>
      <x:c r="P66" s="20" t="str">
        <x:v>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Q66" s="20" t="str">
        <x:v>传输端到端延迟降低≥40%，CPU占用率(System Load)下降。</x:v>
      </x:c>
      <x:c r="R66" s="20" t="str">
        <x:v>使用ib_write_bw等RDMA微基准压测工具构造16MB-128MB大块极长上下文张量的KVCache分块传输，对比TCP基线，要求吞吐达到线速90%且P99延迟稳定在硬件极值要求内。</x:v>
      </x:c>
      <x:c r="S66" s="20" t="str">
        <x:v>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x:v>
      </x:c>
      <x:c r="T66"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x:v>
      </x:c>
      <x:c r="U66" s="20" t="str">
        <x:f>IF(COUNTIF('SF-IR-SR定义'!$B$5:$B$79,G66)=1,"PASS","CHECK")</x:f>
        <x:v>PASS</x:v>
      </x:c>
      <x:c r="V66" s="20" t="str">
        <x:f>IF(COUNTIF($B$5:$B$148,B66)=1,"PASS","DUPLICATE")</x:f>
        <x:v>PASS</x:v>
      </x:c>
      <x:c r="W66" s="20" t="str">
        <x:f>C66&amp;" / "&amp;E66&amp;" / "&amp;G66&amp;" / "&amp;B66</x:f>
        <x:v>SF-04 / IR-04-01 / SR-04-01-02 / AR-L3-TRANS-TOPO-SENSE-004</x:v>
      </x:c>
    </x:row>
    <x:row r="67" ht="86.4000015258789" hidden="0" customHeight="1">
      <x:c r="A67" s="20" t="n">
        <x:v>63</x:v>
      </x:c>
      <x:c r="B67" s="20" t="str">
        <x:v>AR-L3-MS-HotReplication-040</x:v>
      </x:c>
      <x:c r="C67" s="20" t="str">
        <x:v>SF-04</x:v>
      </x:c>
      <x:c r="D67" s="20" t="str">
        <x:v>传输创新底座与多介质数据路径</x:v>
      </x:c>
      <x:c r="E67" s="20" t="str">
        <x:v>IR-04-03</x:v>
      </x:c>
      <x:c r="F67" s="20" t="str">
        <x:v>批量传输、预取、流式恢复与广播</x:v>
      </x:c>
      <x:c r="G67" s="20" t="str">
        <x:v>SR-04-03-03</x:v>
      </x:c>
      <x:c r="H67" s="20" t="str">
        <x:v>热点复制与一对多广播</x:v>
      </x:c>
      <x:c r="I67" s="20" t="str">
        <x:v>L3-MS-HotReplication-040</x:v>
      </x:c>
      <x:c r="J67" s="20" t="str">
        <x:v>L3 传输管理层</x:v>
      </x:c>
      <x:c r="K67" s="20" t="str">
        <x:v>传输编排与广播</x:v>
      </x:c>
      <x:c r="L67" s="20" t="str">
        <x:v>P1</x:v>
      </x:c>
      <x:c r="M67" s="20" t="str">
        <x:v>P1</x:v>
      </x:c>
      <x:c r="N67" s="20" t="str">
        <x:v>硬件协同</x:v>
      </x:c>
      <x:c r="O67" s="20" t="str">
        <x:v>热点前缀 KVCache 多副本扩散</x:v>
      </x:c>
      <x:c r="P67" s="20" t="str">
        <x:v>本需求要求对公共 system prompt、agent tool schema、RAG 热模板等 hot prefix 自动复制到多个本地 DDR、UB pool 或远端 DDR shard，复制决策由 QPS、p99 latency、queue depth 和 cross-node bytes 触发。</x:v>
      </x:c>
      <x:c r="Q67" s="20" t="str">
        <x:v>hot shard p99 降低 ≥40%；</x:v>
      </x:c>
      <x:c r="R67" s="20" t="str">
        <x:v>输入服从极度 Zipfian 分布的长前缀负载（包含少数极端热门数据）。验证系统能否识别出这些“热点”并主动在集群内实施 Hot Replication（热备复制/分发），以此来分摊单节点的带宽读压力和避免出现明显瓶颈。</x:v>
      </x:c>
      <x:c r="S67" s="20" t="str">
        <x:v>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x:v>
      </x:c>
      <x:c r="T67"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x:v>
      </x:c>
      <x:c r="U67" s="20" t="str">
        <x:f>IF(COUNTIF('SF-IR-SR定义'!$B$5:$B$79,G67)=1,"PASS","CHECK")</x:f>
        <x:v>PASS</x:v>
      </x:c>
      <x:c r="V67" s="20" t="str">
        <x:f>IF(COUNTIF($B$5:$B$148,B67)=1,"PASS","DUPLICATE")</x:f>
        <x:v>PASS</x:v>
      </x:c>
      <x:c r="W67" s="20" t="str">
        <x:f>C67&amp;" / "&amp;E67&amp;" / "&amp;G67&amp;" / "&amp;B67</x:f>
        <x:v>SF-04 / IR-04-03 / SR-04-03-03 / AR-L3-MS-HotReplication-040</x:v>
      </x:c>
    </x:row>
    <x:row r="68" ht="75.5999984741211" hidden="0" customHeight="1">
      <x:c r="A68" s="20" t="n">
        <x:v>64</x:v>
      </x:c>
      <x:c r="B68" s="20" t="str">
        <x:v>AR-L3-TRANS-MUL-ENGINE-003</x:v>
      </x:c>
      <x:c r="C68" s="20" t="str">
        <x:v>SF-04</x:v>
      </x:c>
      <x:c r="D68" s="20" t="str">
        <x:v>传输创新底座与多介质数据路径</x:v>
      </x:c>
      <x:c r="E68" s="20" t="str">
        <x:v>IR-04-03</x:v>
      </x:c>
      <x:c r="F68" s="20" t="str">
        <x:v>批量传输、预取、流式恢复与广播</x:v>
      </x:c>
      <x:c r="G68" s="20" t="str">
        <x:v>SR-04-03-03</x:v>
      </x:c>
      <x:c r="H68" s="20" t="str">
        <x:v>热点复制与一对多广播</x:v>
      </x:c>
      <x:c r="I68" s="20" t="str">
        <x:v>L3-TRANS-MUL-ENGINE-003</x:v>
      </x:c>
      <x:c r="J68" s="20" t="str">
        <x:v>L3 传输管理层</x:v>
      </x:c>
      <x:c r="K68" s="20" t="str">
        <x:v>传输编排与广播</x:v>
      </x:c>
      <x:c r="L68" s="20" t="str">
        <x:v>P3</x:v>
      </x:c>
      <x:c r="M68" s="20" t="str">
        <x:v>P3</x:v>
      </x:c>
      <x:c r="N68" s="20" t="str">
        <x:v>硬件协同</x:v>
      </x:c>
      <x:c r="O68" s="20" t="str">
        <x:v>一对多KVCache高效分发</x:v>
      </x:c>
      <x:c r="P68" s="20" t="str">
        <x:v>本需求要求实现1→N KVCache多播传输优化引擎，通过路由树构建（最大化局部性最小化跳数）和硬件UD组播+软件P2P relay混合模式，使Disaggregated Prefill场景下同一前缀KVCache多节点分发时发送端BW消耗为O(1)。</x:v>
      </x:c>
      <x:c r="Q68" s="20" t="str">
        <x:v>探索直接视图(direct view)、硬件多播及硬件原子页迁移等远期能力，避免 TPOT 被直接视图意外拖慢，不强求 &lt;500ns 等极端指标。</x:v>
      </x:c>
      <x:c r="R68" s="20" t="str">
        <x:v>不作为 MVP 验收阻塞项。在实验分支使用流量发生器对 direct view 及 multicast 的延迟做 P99 观测，通过端到端测试证明其收益高于 cost 时方可升级为主路径。</x:v>
      </x:c>
      <x:c r="S68" s="20" t="str">
        <x:v>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x:v>
      </x:c>
      <x:c r="T68"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x:v>
      </x:c>
      <x:c r="U68" s="20" t="str">
        <x:f>IF(COUNTIF('SF-IR-SR定义'!$B$5:$B$79,G68)=1,"PASS","CHECK")</x:f>
        <x:v>PASS</x:v>
      </x:c>
      <x:c r="V68" s="20" t="str">
        <x:f>IF(COUNTIF($B$5:$B$148,B68)=1,"PASS","DUPLICATE")</x:f>
        <x:v>PASS</x:v>
      </x:c>
      <x:c r="W68" s="20" t="str">
        <x:f>C68&amp;" / "&amp;E68&amp;" / "&amp;G68&amp;" / "&amp;B68</x:f>
        <x:v>SF-04 / IR-04-03 / SR-04-03-03 / AR-L3-TRANS-MUL-ENGINE-003</x:v>
      </x:c>
    </x:row>
    <x:row r="69" ht="97.19999694824219" hidden="0" customHeight="1">
      <x:c r="A69" s="20" t="n">
        <x:v>65</x:v>
      </x:c>
      <x:c r="B69" s="20" t="str">
        <x:v>AR-L3-C2C-POOL-SCHED-002</x:v>
      </x:c>
      <x:c r="C69" s="20" t="str">
        <x:v>SF-04</x:v>
      </x:c>
      <x:c r="D69" s="20" t="str">
        <x:v>传输创新底座与多介质数据路径</x:v>
      </x:c>
      <x:c r="E69" s="20" t="str">
        <x:v>IR-04-02</x:v>
      </x:c>
      <x:c r="F69" s="20" t="str">
        <x:v>Direct与零拷贝代表路径</x:v>
      </x:c>
      <x:c r="G69" s="20" t="str">
        <x:v>SR-04-02-03</x:v>
      </x:c>
      <x:c r="H69" s="20" t="str">
        <x:v>UB/C2C统一内存与Memory View</x:v>
      </x:c>
      <x:c r="I69" s="20" t="str">
        <x:v>L3-C2C-POOL-SCHED-002</x:v>
      </x:c>
      <x:c r="J69" s="20" t="str">
        <x:v>L3 传输管理层</x:v>
      </x:c>
      <x:c r="K69" s="20" t="str">
        <x:v>传输编排与广播</x:v>
      </x:c>
      <x:c r="L69" s="20" t="str">
        <x:v>P2</x:v>
      </x:c>
      <x:c r="M69" s="20" t="str">
        <x:v>P2</x:v>
      </x:c>
      <x:c r="N69" s="20" t="str">
        <x:v>硬件协同</x:v>
      </x:c>
      <x:c r="O69" s="20" t="str">
        <x:v>C2C统一内存热度调度</x:v>
      </x:c>
      <x:c r="P69" s="20" t="str">
        <x:v>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Q69" s="20" t="str">
        <x:v>节点动态加入/退出时的缓存失效控制在局部范围内（遵循一致性哈希比例）。</x:v>
      </x:c>
      <x:c r="R69" s="20" t="str">
        <x:v>在千卡规模集群(64+节点)压测期间，随机Kill掉1-2个节点并拉起新节点（Chaos Testing），监控Hit Rate曲线，要求降幅符合理论比例且系统在5秒内自动恢复。</x:v>
      </x:c>
      <x:c r="S69" s="20" t="str">
        <x:v>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x:v>
      </x:c>
      <x:c r="T69"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x:v>
      </x:c>
      <x:c r="U69" s="20" t="str">
        <x:f>IF(COUNTIF('SF-IR-SR定义'!$B$5:$B$79,G69)=1,"PASS","CHECK")</x:f>
        <x:v>PASS</x:v>
      </x:c>
      <x:c r="V69" s="20" t="str">
        <x:f>IF(COUNTIF($B$5:$B$148,B69)=1,"PASS","DUPLICATE")</x:f>
        <x:v>PASS</x:v>
      </x:c>
      <x:c r="W69" s="20" t="str">
        <x:f>C69&amp;" / "&amp;E69&amp;" / "&amp;G69&amp;" / "&amp;B69</x:f>
        <x:v>SF-04 / IR-04-02 / SR-04-02-03 / AR-L3-C2C-POOL-SCHED-002</x:v>
      </x:c>
    </x:row>
    <x:row r="70" ht="75.5999984741211" hidden="0" customHeight="1">
      <x:c r="A70" s="20" t="n">
        <x:v>66</x:v>
      </x:c>
      <x:c r="B70" s="20" t="str">
        <x:v>AR-L3-LMC-PRFCH-ENGINE-001</x:v>
      </x:c>
      <x:c r="C70" s="20" t="str">
        <x:v>SF-04</x:v>
      </x:c>
      <x:c r="D70" s="20" t="str">
        <x:v>传输创新底座与多介质数据路径</x:v>
      </x:c>
      <x:c r="E70" s="20" t="str">
        <x:v>IR-04-03</x:v>
      </x:c>
      <x:c r="F70" s="20" t="str">
        <x:v>批量传输、预取、流式恢复与广播</x:v>
      </x:c>
      <x:c r="G70" s="20" t="str">
        <x:v>SR-04-03-02</x:v>
      </x:c>
      <x:c r="H70" s="20" t="str">
        <x:v>状态感知预取与时延隐藏</x:v>
      </x:c>
      <x:c r="I70" s="20" t="str">
        <x:v>L3-LMC-PRFCH-ENGINE-001</x:v>
      </x:c>
      <x:c r="J70" s="20" t="str">
        <x:v>L3 传输管理层</x:v>
      </x:c>
      <x:c r="K70" s="20" t="str">
        <x:v>传输编排与广播</x:v>
      </x:c>
      <x:c r="L70" s="20" t="str">
        <x:v>P2</x:v>
      </x:c>
      <x:c r="M70" s="20" t="str">
        <x:v>P2</x:v>
      </x:c>
      <x:c r="N70" s="20" t="str">
        <x:v>硬件协同</x:v>
      </x:c>
      <x:c r="O70" s="20" t="str">
        <x:v>冷KVCache预取加热</x:v>
      </x:c>
      <x:c r="P70" s="20" t="str">
        <x:v>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Q70" s="20" t="str">
        <x:v>Prefix命中判定P99耗时 &lt; 200us；在Share-Prefix业务下，Usable Hit Rate提升≥15%。</x:v>
      </x:c>
      <x:c r="R70" s="20" t="str">
        <x:v>使用ShareGPT数据集构造并发度上千(1K~5K QPS)的多轮对话负载，监控/metrics接口的prefix_lookup_latency指标，要求P99小于200us为达标。</x:v>
      </x:c>
      <x:c r="S70" s="20" t="str">
        <x:v>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x:v>
      </x:c>
      <x:c r="T70"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x:v>
      </x:c>
      <x:c r="U70" s="20" t="str">
        <x:f>IF(COUNTIF('SF-IR-SR定义'!$B$5:$B$79,G70)=1,"PASS","CHECK")</x:f>
        <x:v>PASS</x:v>
      </x:c>
      <x:c r="V70" s="20" t="str">
        <x:f>IF(COUNTIF($B$5:$B$148,B70)=1,"PASS","DUPLICATE")</x:f>
        <x:v>PASS</x:v>
      </x:c>
      <x:c r="W70" s="20" t="str">
        <x:f>C70&amp;" / "&amp;E70&amp;" / "&amp;G70&amp;" / "&amp;B70</x:f>
        <x:v>SF-04 / IR-04-03 / SR-04-03-02 / AR-L3-LMC-PRFCH-ENGINE-001</x:v>
      </x:c>
    </x:row>
    <x:row r="71" ht="97.19999694824219" hidden="0" customHeight="1">
      <x:c r="A71" s="20" t="n">
        <x:v>67</x:v>
      </x:c>
      <x:c r="B71" s="20" t="str">
        <x:v>AR-L3-UB-TOPO-ROUTE-001</x:v>
      </x:c>
      <x:c r="C71" s="20" t="str">
        <x:v>SF-04</x:v>
      </x:c>
      <x:c r="D71" s="20" t="str">
        <x:v>传输创新底座与多介质数据路径</x:v>
      </x:c>
      <x:c r="E71" s="20" t="str">
        <x:v>IR-04-01</x:v>
      </x:c>
      <x:c r="F71" s="20" t="str">
        <x:v>能力抽象、路径探测与描述符编译</x:v>
      </x:c>
      <x:c r="G71" s="20" t="str">
        <x:v>SR-04-01-02</x:v>
      </x:c>
      <x:c r="H71" s="20" t="str">
        <x:v>拓扑探测、动态路由与统一Fabric Router</x:v>
      </x:c>
      <x:c r="I71" s="20" t="str">
        <x:v>L3-UB-TOPO-ROUTE-001</x:v>
      </x:c>
      <x:c r="J71" s="20" t="str">
        <x:v>L3 传输管理层</x:v>
      </x:c>
      <x:c r="K71" s="20" t="str">
        <x:v>传输编排与广播</x:v>
      </x:c>
      <x:c r="L71" s="20" t="str">
        <x:v>P2</x:v>
      </x:c>
      <x:c r="M71" s="20" t="str">
        <x:v>P2</x:v>
      </x:c>
      <x:c r="N71" s="20" t="str">
        <x:v>硬件协同</x:v>
      </x:c>
      <x:c r="O71" s="20" t="str">
        <x:v>机内NPU KVCache P2P高速传输</x:v>
      </x:c>
      <x:c r="P71" s="20" t="str">
        <x:v>本需求要求集成拓扑发现，构建完整的UBLINK连通矩阵，在KVCache P2P传输决策时优先选择UBLINK路径（bandwidth优先），实现跨NPU直接内存映射和P2P ，在同节点8卡环境下实现KVCache P2P传输带宽≥700GB/s。</x:v>
      </x:c>
      <x:c r="Q71" s="20" t="str">
        <x:v>节点动态加入/退出时的缓存失效控制在局部范围内（遵循一致性哈希比例）。</x:v>
      </x:c>
      <x:c r="R71" s="20" t="str">
        <x:v>在千卡规模集群(64+节点)压测期间，随机Kill掉1-2个节点并拉起新节点（Chaos Testing），监控Hit Rate曲线，要求降幅符合理论比例且系统在5秒内自动恢复。</x:v>
      </x:c>
      <x:c r="S71" s="20" t="str">
        <x:v>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x:v>
      </x:c>
      <x:c r="T71"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x:v>
      </x:c>
      <x:c r="U71" s="20" t="str">
        <x:f>IF(COUNTIF('SF-IR-SR定义'!$B$5:$B$79,G71)=1,"PASS","CHECK")</x:f>
        <x:v>PASS</x:v>
      </x:c>
      <x:c r="V71" s="20" t="str">
        <x:f>IF(COUNTIF($B$5:$B$148,B71)=1,"PASS","DUPLICATE")</x:f>
        <x:v>PASS</x:v>
      </x:c>
      <x:c r="W71" s="20" t="str">
        <x:f>C71&amp;" / "&amp;E71&amp;" / "&amp;G71&amp;" / "&amp;B71</x:f>
        <x:v>SF-04 / IR-04-01 / SR-04-01-02 / AR-L3-UB-TOPO-ROUTE-001</x:v>
      </x:c>
    </x:row>
    <x:row r="72" ht="86.4000015258789" hidden="0" customHeight="1">
      <x:c r="A72" s="20" t="n">
        <x:v>68</x:v>
      </x:c>
      <x:c r="B72" s="20" t="str">
        <x:v>AR-L3-CO-VersionPublish-043</x:v>
      </x:c>
      <x:c r="C72" s="20" t="str">
        <x:v>SF-05</x:v>
      </x:c>
      <x:c r="D72" s="20" t="str">
        <x:v>一致性、安全、完整性与故障恢复</x:v>
      </x:c>
      <x:c r="E72" s="20" t="str">
        <x:v>IR-05-01</x:v>
      </x:c>
      <x:c r="F72" s="20" t="str">
        <x:v>发布、完成、可见性与Ready边界</x:v>
      </x:c>
      <x:c r="G72" s="20" t="str">
        <x:v>SR-05-01-01</x:v>
      </x:c>
      <x:c r="H72" s="20" t="str">
        <x:v>版本发布、Commit Log与Ready Bitmap</x:v>
      </x:c>
      <x:c r="I72" s="20" t="str">
        <x:v>L3-CO-VersionPublish-043</x:v>
      </x:c>
      <x:c r="J72" s="20" t="str">
        <x:v>L3 传输管理层</x:v>
      </x:c>
      <x:c r="K72" s="20" t="str">
        <x:v>一致性、隔离与QoS</x:v>
      </x:c>
      <x:c r="L72" s="20" t="str">
        <x:v>P0</x:v>
      </x:c>
      <x:c r="M72" s="20" t="str">
        <x:v>P0</x:v>
      </x:c>
      <x:c r="N72" s="20" t="str">
        <x:v>软硬接口/硬件协同</x:v>
      </x:c>
      <x:c r="O72" s="20" t="str">
        <x:v>KVCache 对象一致发布</x:v>
      </x:c>
      <x:c r="P72" s="20" t="str">
        <x:v>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Q72" s="20" t="str">
        <x:v>data corruption = 0；</x:v>
      </x:c>
      <x:c r="R72" s="20" t="str">
        <x:v>在 KV 对象持久化或多副本写入的过程中，由注入工具触发突然中断、进程异常重启或只落盘部分数据的异常场景。验证系统的发布流水线具备完备的事务回滚机制，确保版本数据不会因脏写而对外提供服务。</x:v>
      </x:c>
      <x:c r="S72" s="20" t="str">
        <x:v>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x:v>
      </x:c>
      <x:c r="T72"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x:v>
      </x:c>
      <x:c r="U72" s="20" t="str">
        <x:f>IF(COUNTIF('SF-IR-SR定义'!$B$5:$B$79,G72)=1,"PASS","CHECK")</x:f>
        <x:v>PASS</x:v>
      </x:c>
      <x:c r="V72" s="20" t="str">
        <x:f>IF(COUNTIF($B$5:$B$148,B72)=1,"PASS","DUPLICATE")</x:f>
        <x:v>PASS</x:v>
      </x:c>
      <x:c r="W72" s="20" t="str">
        <x:f>C72&amp;" / "&amp;E72&amp;" / "&amp;G72&amp;" / "&amp;B72</x:f>
        <x:v>SF-05 / IR-05-01 / SR-05-01-01 / AR-L3-CO-VersionPublish-043</x:v>
      </x:c>
    </x:row>
    <x:row r="73" ht="86.4000015258789" hidden="0" customHeight="1">
      <x:c r="A73" s="20" t="n">
        <x:v>69</x:v>
      </x:c>
      <x:c r="B73" s="20" t="str">
        <x:v>AR-L3-QO-SemanticQoS-045</x:v>
      </x:c>
      <x:c r="C73" s="20" t="str">
        <x:v>SF-06</x:v>
      </x:c>
      <x:c r="D73" s="20" t="str">
        <x:v>性能QoS、收益闭环与平台演进</x:v>
      </x:c>
      <x:c r="E73" s="20" t="str">
        <x:v>IR-06-01</x:v>
      </x:c>
      <x:c r="F73" s="20" t="str">
        <x:v>前后台流量与迁移QoS</x:v>
      </x:c>
      <x:c r="G73" s="20" t="str">
        <x:v>SR-06-01-01</x:v>
      </x:c>
      <x:c r="H73" s="20" t="str">
        <x:v>语义QoS与硬件Traffic Class</x:v>
      </x:c>
      <x:c r="I73" s="20" t="str">
        <x:v>L3-QO-SemanticQoS-045</x:v>
      </x:c>
      <x:c r="J73" s="20" t="str">
        <x:v>L3 传输管理层</x:v>
      </x:c>
      <x:c r="K73" s="20" t="str">
        <x:v>一致性、隔离与QoS</x:v>
      </x:c>
      <x:c r="L73" s="20" t="str">
        <x:v>P0</x:v>
      </x:c>
      <x:c r="M73" s="20" t="str">
        <x:v>P0</x:v>
      </x:c>
      <x:c r="N73" s="20" t="str">
        <x:v>软件主线</x:v>
      </x:c>
      <x:c r="O73" s="20" t="str">
        <x:v>前台推理与后台 KV 任务流量隔离</x:v>
      </x:c>
      <x:c r="P73" s="20" t="str">
        <x:v>本需求要求 Transfer Manager 建立语义化 QoS 队列：metadata-critical、TTFT prefix load、decode-critical copy、prefetch、background writeback、cold restore 必须分队列、限速和优先级调度，避免后台流量影响前台 TTFT/TPOT。</x:v>
      </x:c>
      <x:c r="Q73" s="20" t="str">
        <x:v>p99 TTFT 降低 ≥25%；后台任务不影响 TPOT &gt;3%；</x:v>
      </x:c>
      <x:c r="R73" s="20" t="str">
        <x:v>混合发送 VIP 请求（高优先级的核心业务）与背景预取请求（低优先级的数据迁移）。验证基于语义的 QoS 队列系统能在带宽瓶颈发生时严格保证 VIP 流量的 P99 时延不劣于空载状态的显著水平。</x:v>
      </x:c>
      <x:c r="S73" s="20" t="str">
        <x:v>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x:v>
      </x:c>
      <x:c r="T73"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x:v>
      </x:c>
      <x:c r="U73" s="20" t="str">
        <x:f>IF(COUNTIF('SF-IR-SR定义'!$B$5:$B$79,G73)=1,"PASS","CHECK")</x:f>
        <x:v>PASS</x:v>
      </x:c>
      <x:c r="V73" s="20" t="str">
        <x:f>IF(COUNTIF($B$5:$B$148,B73)=1,"PASS","DUPLICATE")</x:f>
        <x:v>PASS</x:v>
      </x:c>
      <x:c r="W73" s="20" t="str">
        <x:f>C73&amp;" / "&amp;E73&amp;" / "&amp;G73&amp;" / "&amp;B73</x:f>
        <x:v>SF-06 / IR-06-01 / SR-06-01-01 / AR-L3-QO-SemanticQoS-045</x:v>
      </x:c>
    </x:row>
    <x:row r="74" ht="86.4000015258789" hidden="0" customHeight="1">
      <x:c r="A74" s="20" t="n">
        <x:v>70</x:v>
      </x:c>
      <x:c r="B74" s="20" t="str">
        <x:v>AR-L3-SC-PoolIsolation-048</x:v>
      </x:c>
      <x:c r="C74" s="20" t="str">
        <x:v>SF-05</x:v>
      </x:c>
      <x:c r="D74" s="20" t="str">
        <x:v>一致性、安全、完整性与故障恢复</x:v>
      </x:c>
      <x:c r="E74" s="20" t="str">
        <x:v>IR-05-04</x:v>
      </x:c>
      <x:c r="F74" s="20" t="str">
        <x:v>多租户隔离与安全共享</x:v>
      </x:c>
      <x:c r="G74" s="20" t="str">
        <x:v>SR-05-04-01</x:v>
      </x:c>
      <x:c r="H74" s="20" t="str">
        <x:v>租户身份与存储池资源隔离</x:v>
      </x:c>
      <x:c r="I74" s="20" t="str">
        <x:v>L3-SC-PoolIsolation-048</x:v>
      </x:c>
      <x:c r="J74" s="20" t="str">
        <x:v>L3 传输管理层</x:v>
      </x:c>
      <x:c r="K74" s="20" t="str">
        <x:v>一致性、隔离与QoS</x:v>
      </x:c>
      <x:c r="L74" s="20" t="str">
        <x:v>P0</x:v>
      </x:c>
      <x:c r="M74" s="20" t="str">
        <x:v>P0</x:v>
      </x:c>
      <x:c r="N74" s="20" t="str">
        <x:v>软硬接口/硬件协同</x:v>
      </x:c>
      <x:c r="O74" s="20" t="str">
        <x:v>多租户统一 KV 存储池资源隔离</x:v>
      </x:c>
      <x:c r="P74" s="20" t="str">
        <x:v>本需求要求多租户 KV pool 实现容量、带宽、metadata namespace、KV key namespace、encryption domain 和 audit log 隔离；任一租户的 UB/RDMA/SSD KV 使用不得对其他租户造成不可控干扰或越权访问。</x:v>
      </x:c>
      <x:c r="Q74" s="20" t="str">
        <x:v>租户间干扰 &lt;5%；越权访问 = 0；</x:v>
      </x:c>
      <x:c r="R74" s="20" t="str">
        <x:v>建立多个租户资源池并配置不同的容量上限配额。施加严重超过配额上限的极限 Stress 流量压测，监控底层 OOM 触发器和驱逐策略是否仅在犯规租户内部生效，验证隔离机制未出现“吵闹邻居”（Noisy Neighbor）影响旁系租户。</x:v>
      </x:c>
      <x:c r="S74" s="20" t="str">
        <x:v>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x:v>
      </x:c>
      <x:c r="T74"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x:v>
      </x:c>
      <x:c r="U74" s="20" t="str">
        <x:f>IF(COUNTIF('SF-IR-SR定义'!$B$5:$B$79,G74)=1,"PASS","CHECK")</x:f>
        <x:v>PASS</x:v>
      </x:c>
      <x:c r="V74" s="20" t="str">
        <x:f>IF(COUNTIF($B$5:$B$148,B74)=1,"PASS","DUPLICATE")</x:f>
        <x:v>PASS</x:v>
      </x:c>
      <x:c r="W74" s="20" t="str">
        <x:f>C74&amp;" / "&amp;E74&amp;" / "&amp;G74&amp;" / "&amp;B74</x:f>
        <x:v>SF-05 / IR-05-04 / SR-05-04-01 / AR-L3-SC-PoolIsolation-048</x:v>
      </x:c>
    </x:row>
    <x:row r="75" ht="97.19999694824219" hidden="0" customHeight="1">
      <x:c r="A75" s="20" t="n">
        <x:v>71</x:v>
      </x:c>
      <x:c r="B75" s="20" t="str">
        <x:v>AR-L3-OB-PerPathTelemetry-047</x:v>
      </x:c>
      <x:c r="C75" s="20" t="str">
        <x:v>SF-06</x:v>
      </x:c>
      <x:c r="D75" s="20" t="str">
        <x:v>性能QoS、收益闭环与平台演进</x:v>
      </x:c>
      <x:c r="E75" s="20" t="str">
        <x:v>IR-06-03</x:v>
      </x:c>
      <x:c r="F75" s="20" t="str">
        <x:v>端到端可观测与收益对账</x:v>
      </x:c>
      <x:c r="G75" s="20" t="str">
        <x:v>SR-06-03-02</x:v>
      </x:c>
      <x:c r="H75" s="20" t="str">
        <x:v>逐路径Telemetry与远端访问计数</x:v>
      </x:c>
      <x:c r="I75" s="20" t="str">
        <x:v>L3-OB-PerPathTelemetry-047</x:v>
      </x:c>
      <x:c r="J75" s="20" t="str">
        <x:v>L3 传输管理层</x:v>
      </x:c>
      <x:c r="K75" s="20" t="str">
        <x:v>全路径观测与故障追踪</x:v>
      </x:c>
      <x:c r="L75" s="20" t="str">
        <x:v>P0</x:v>
      </x:c>
      <x:c r="M75" s="20" t="str">
        <x:v>P0</x:v>
      </x:c>
      <x:c r="N75" s="20" t="str">
        <x:v>软硬接口/硬件协同</x:v>
      </x:c>
      <x:c r="O75" s="20" t="str">
        <x:v>KVCache 全路径性能观测</x:v>
      </x:c>
      <x:c r="P75" s="20" t="str">
        <x:v>本需求要求 Transfer Manager 按路径持续导出 telemetry：包括 UB/C2C view latency、RDMA bandwidth、RDMA CQ latency、copy engine queue、SSD/GDS latency、TCP p99、retry、throttle、fault 和 fallback count。</x:v>
      </x:c>
      <x:c r="Q75" s="20" t="str">
        <x:v>load cost 预测误差 &lt;20%；</x:v>
      </x:c>
      <x:c r="R75" s="20" t="str">
        <x:v>对比系统底层 Telemetry 探针实时采集上报的网络与硬件延迟数据（如 RDMA CQ 事件耗时、PCIe 拥塞指标），与上层应用实际端到端感知到的 Transfer 时延记录进行对齐检查。两者的相关性和数值必须在毫秒级吻合。</x:v>
      </x:c>
      <x:c r="S75" s="20" t="str">
        <x:v>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x:v>
      </x:c>
      <x:c r="T75"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x:v>
      </x:c>
      <x:c r="U75" s="20" t="str">
        <x:f>IF(COUNTIF('SF-IR-SR定义'!$B$5:$B$79,G75)=1,"PASS","CHECK")</x:f>
        <x:v>PASS</x:v>
      </x:c>
      <x:c r="V75" s="20" t="str">
        <x:f>IF(COUNTIF($B$5:$B$148,B75)=1,"PASS","DUPLICATE")</x:f>
        <x:v>PASS</x:v>
      </x:c>
      <x:c r="W75" s="20" t="str">
        <x:f>C75&amp;" / "&amp;E75&amp;" / "&amp;G75&amp;" / "&amp;B75</x:f>
        <x:v>SF-06 / IR-06-03 / SR-06-03-02 / AR-L3-OB-PerPathTelemetry-047</x:v>
      </x:c>
    </x:row>
    <x:row r="76" ht="97.19999694824219" hidden="0" customHeight="1">
      <x:c r="A76" s="20" t="n">
        <x:v>72</x:v>
      </x:c>
      <x:c r="B76" s="20" t="str">
        <x:v>AR-L3-FT-FallbackTrace-046</x:v>
      </x:c>
      <x:c r="C76" s="20" t="str">
        <x:v>SF-05</x:v>
      </x:c>
      <x:c r="D76" s="20" t="str">
        <x:v>一致性、安全、完整性与故障恢复</x:v>
      </x:c>
      <x:c r="E76" s="20" t="str">
        <x:v>IR-05-03</x:v>
      </x:c>
      <x:c r="F76" s="20" t="str">
        <x:v>分路径完整性、RAS与故障降级</x:v>
      </x:c>
      <x:c r="G76" s="20" t="str">
        <x:v>SR-05-03-03</x:v>
      </x:c>
      <x:c r="H76" s="20" t="str">
        <x:v>Fallback故障链路追踪</x:v>
      </x:c>
      <x:c r="I76" s="20" t="str">
        <x:v>L3-FT-FallbackTrace-046</x:v>
      </x:c>
      <x:c r="J76" s="20" t="str">
        <x:v>L3 传输管理层</x:v>
      </x:c>
      <x:c r="K76" s="20" t="str">
        <x:v>全路径观测与故障追踪</x:v>
      </x:c>
      <x:c r="L76" s="20" t="str">
        <x:v>P1</x:v>
      </x:c>
      <x:c r="M76" s="20" t="str">
        <x:v>P1</x:v>
      </x:c>
      <x:c r="N76" s="20" t="str">
        <x:v>软硬接口/硬件协同</x:v>
      </x:c>
      <x:c r="O76" s="20" t="str">
        <x:v>KVCache 降级链路故障追踪</x:v>
      </x:c>
      <x:c r="P76" s="20" t="str">
        <x:v>本需求要求为每次路径降级生成 fallback causality trace：记录 view→bulk、bulk→stream、bulk→recompute 或 RDMA→TCP 的触发原因、耗时、丢失收益、影响请求和关联硬件 telemetry。</x:v>
      </x:c>
      <x:c r="Q76" s="20" t="str">
        <x:v>建立统一降级追踪根因体系，MTTR降低至分钟级；同时要求探针常态开销不超过总体 P99 TPOT 的 1%。</x:v>
      </x:c>
      <x:c r="R76" s="20" t="str">
        <x:v>通过 Chaos 工具在各个层级持续随机注入错误（网卡断连、SSD 降速等）。然后全量审查相关的 Fallback 补偿动作日志，核对是否 100% 的补偿动作都具备独立唯一的 Trace ID 且明确标记了可定位的 Root Cause（根本原因）。</x:v>
      </x:c>
      <x:c r="S76" s="20" t="str">
        <x:v>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x:v>
      </x:c>
      <x:c r="T76"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x:v>
      </x:c>
      <x:c r="U76" s="20" t="str">
        <x:f>IF(COUNTIF('SF-IR-SR定义'!$B$5:$B$79,G76)=1,"PASS","CHECK")</x:f>
        <x:v>PASS</x:v>
      </x:c>
      <x:c r="V76" s="20" t="str">
        <x:f>IF(COUNTIF($B$5:$B$148,B76)=1,"PASS","DUPLICATE")</x:f>
        <x:v>PASS</x:v>
      </x:c>
      <x:c r="W76" s="20" t="str">
        <x:f>C76&amp;" / "&amp;E76&amp;" / "&amp;G76&amp;" / "&amp;B76</x:f>
        <x:v>SF-05 / IR-05-03 / SR-05-03-03 / AR-L3-FT-FallbackTrace-046</x:v>
      </x:c>
    </x:row>
    <x:row r="77" ht="86.4000015258789" hidden="0" customHeight="1">
      <x:c r="A77" s="20" t="n">
        <x:v>73</x:v>
      </x:c>
      <x:c r="B77" s="20" t="str">
        <x:v>AR-L3-MS-UBC2CTier-055</x:v>
      </x:c>
      <x:c r="C77" s="20" t="str">
        <x:v>SF-04</x:v>
      </x:c>
      <x:c r="D77" s="20" t="str">
        <x:v>传输创新底座与多介质数据路径</x:v>
      </x:c>
      <x:c r="E77" s="20" t="str">
        <x:v>IR-04-02</x:v>
      </x:c>
      <x:c r="F77" s="20" t="str">
        <x:v>Direct与零拷贝代表路径</x:v>
      </x:c>
      <x:c r="G77" s="20" t="str">
        <x:v>SR-04-02-03</x:v>
      </x:c>
      <x:c r="H77" s="20" t="str">
        <x:v>UB/C2C统一内存与Memory View</x:v>
      </x:c>
      <x:c r="I77" s="20" t="str">
        <x:v>L3-MS-UBC2CTier-055</x:v>
      </x:c>
      <x:c r="J77" s="20" t="str">
        <x:v>L3 传输管理层</x:v>
      </x:c>
      <x:c r="K77" s="20" t="str">
        <x:v>全路径观测与故障追踪</x:v>
      </x:c>
      <x:c r="L77" s="20" t="str">
        <x:v>P1</x:v>
      </x:c>
      <x:c r="M77" s="20" t="str">
        <x:v>P1</x:v>
      </x:c>
      <x:c r="N77" s="20" t="str">
        <x:v>软硬接口/硬件协同</x:v>
      </x:c>
      <x:c r="O77" s="20" t="str">
        <x:v>UBlink-C2C 近端热 KV 存储扩展</x:v>
      </x:c>
      <x:c r="P77" s="20" t="str">
        <x:v>本需求要求 UB/C2C memory tier 首先承载KVCache相关的元数据，譬如 prefix metadata、directory mirror、manifest、ready bitmap、warm KV staging，而不是直接承载大规模 decode-active KV；若用于 direct KV view，必须由 view-vs-copy cost model 判定。</x:v>
      </x:c>
      <x:c r="Q77" s="20" t="str">
        <x:v>Prefix命中判定P99耗时 &lt; 200us；在Share-Prefix业务下，Usable Hit Rate提升≥15%。</x:v>
      </x:c>
      <x:c r="R77" s="20" t="str">
        <x:v>使用ShareGPT数据集构造并发度上千(1K~5K QPS)的多轮对话负载，监控/metrics接口的prefix_lookup_latency指标，要求P99小于200us为达标。</x:v>
      </x:c>
      <x:c r="S77" s="20" t="str">
        <x:v>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x:v>
      </x:c>
      <x:c r="T77"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x:v>
      </x:c>
      <x:c r="U77" s="20" t="str">
        <x:f>IF(COUNTIF('SF-IR-SR定义'!$B$5:$B$79,G77)=1,"PASS","CHECK")</x:f>
        <x:v>PASS</x:v>
      </x:c>
      <x:c r="V77" s="20" t="str">
        <x:f>IF(COUNTIF($B$5:$B$148,B77)=1,"PASS","DUPLICATE")</x:f>
        <x:v>PASS</x:v>
      </x:c>
      <x:c r="W77" s="20" t="str">
        <x:f>C77&amp;" / "&amp;E77&amp;" / "&amp;G77&amp;" / "&amp;B77</x:f>
        <x:v>SF-04 / IR-04-02 / SR-04-02-03 / AR-L3-MS-UBC2CTier-055</x:v>
      </x:c>
    </x:row>
    <x:row r="78" ht="97.19999694824219" hidden="0" customHeight="1">
      <x:c r="A78" s="20" t="n">
        <x:v>74</x:v>
      </x:c>
      <x:c r="B78" s="20" t="str">
        <x:v>AR-L3-MC-CompactionEngine-056</x:v>
      </x:c>
      <x:c r="C78" s="20" t="str">
        <x:v>SF-03</x:v>
      </x:c>
      <x:c r="D78" s="20" t="str">
        <x:v>统一KV对象与异构存储池管理</x:v>
      </x:c>
      <x:c r="E78" s="20" t="str">
        <x:v>IR-03-03</x:v>
      </x:c>
      <x:c r="F78" s="20" t="str">
        <x:v>生命周期、放置、淘汰与迁移</x:v>
      </x:c>
      <x:c r="G78" s="20" t="str">
        <x:v>SR-03-03-03</x:v>
      </x:c>
      <x:c r="H78" s="20" t="str">
        <x:v>Compaction、智能迁移与互锁</x:v>
      </x:c>
      <x:c r="I78" s="20" t="str">
        <x:v>L3-MC-CompactionEngine-056</x:v>
      </x:c>
      <x:c r="J78" s="20" t="str">
        <x:v>L3 传输管理层</x:v>
      </x:c>
      <x:c r="K78" s="20" t="str">
        <x:v>统一存储池与分层管理</x:v>
      </x:c>
      <x:c r="L78" s="20" t="str">
        <x:v>P1</x:v>
      </x:c>
      <x:c r="M78" s="20" t="str">
        <x:v>P1</x:v>
      </x:c>
      <x:c r="N78" s="20" t="str">
        <x:v>软件主线</x:v>
      </x:c>
      <x:c r="O78" s="20" t="str">
        <x:v>长周期运行内存紧凑整理</x:v>
      </x:c>
      <x:c r="P78" s="20" t="str">
        <x:v>本需求要求实现集群/节点双级 KVCache 内存紧凑引擎（Compaction Engine）。当 HBM/DDR 外部碎片率超过 30% 时自动触发，采用内存屏障（Memory Barrier）技术异步聚合非连续空闲 Block，将碎片率平抑至 10% 以内。</x:v>
      </x:c>
      <x:c r="Q78" s="20" t="str">
        <x:v>节点动态加入/退出时的缓存失效控制在局部范围内（遵循一致性哈希比例）。</x:v>
      </x:c>
      <x:c r="R78" s="20" t="str">
        <x:v>在千卡规模集群(64+节点)压测期间，随机Kill掉1-2个节点并拉起新节点（Chaos Testing），监控Hit Rate曲线，要求降幅符合理论比例且系统在5秒内自动恢复。</x:v>
      </x:c>
      <x:c r="S78" s="20" t="str">
        <x:v>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x:v>
      </x:c>
      <x:c r="T78"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x:v>
      </x:c>
      <x:c r="U78" s="20" t="str">
        <x:f>IF(COUNTIF('SF-IR-SR定义'!$B$5:$B$79,G78)=1,"PASS","CHECK")</x:f>
        <x:v>PASS</x:v>
      </x:c>
      <x:c r="V78" s="20" t="str">
        <x:f>IF(COUNTIF($B$5:$B$148,B78)=1,"PASS","DUPLICATE")</x:f>
        <x:v>PASS</x:v>
      </x:c>
      <x:c r="W78" s="20" t="str">
        <x:f>C78&amp;" / "&amp;E78&amp;" / "&amp;G78&amp;" / "&amp;B78</x:f>
        <x:v>SF-03 / IR-03-03 / SR-03-03-03 / AR-L3-MC-CompactionEngine-056</x:v>
      </x:c>
    </x:row>
    <x:row r="79" ht="97.19999694824219" hidden="0" customHeight="1">
      <x:c r="A79" s="20" t="n">
        <x:v>75</x:v>
      </x:c>
      <x:c r="B79" s="20" t="str">
        <x:v>AR-L3-MC-IntelligentMigration-057</x:v>
      </x:c>
      <x:c r="C79" s="20" t="str">
        <x:v>SF-03</x:v>
      </x:c>
      <x:c r="D79" s="20" t="str">
        <x:v>统一KV对象与异构存储池管理</x:v>
      </x:c>
      <x:c r="E79" s="20" t="str">
        <x:v>IR-03-03</x:v>
      </x:c>
      <x:c r="F79" s="20" t="str">
        <x:v>生命周期、放置、淘汰与迁移</x:v>
      </x:c>
      <x:c r="G79" s="20" t="str">
        <x:v>SR-03-03-03</x:v>
      </x:c>
      <x:c r="H79" s="20" t="str">
        <x:v>Compaction、智能迁移与互锁</x:v>
      </x:c>
      <x:c r="I79" s="20" t="str">
        <x:v>L3-MC-IntelligentMigration-057</x:v>
      </x:c>
      <x:c r="J79" s="20" t="str">
        <x:v>L3 传输管理层</x:v>
      </x:c>
      <x:c r="K79" s="20" t="str">
        <x:v>统一存储池与分层管理</x:v>
      </x:c>
      <x:c r="L79" s="20" t="str">
        <x:v>P1</x:v>
      </x:c>
      <x:c r="M79" s="20" t="str">
        <x:v>P1</x:v>
      </x:c>
      <x:c r="N79" s="20" t="str">
        <x:v>硬件协同</x:v>
      </x:c>
      <x:c r="O79" s="20" t="str">
        <x:v>跨异构介质智能主动搬移</x:v>
      </x:c>
      <x:c r="P79" s="20" t="str">
        <x:v>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Q79" s="20" t="str">
        <x:v>节点动态加入/退出时的缓存失效控制在局部范围内（遵循一致性哈希比例）。</x:v>
      </x:c>
      <x:c r="R79" s="20" t="str">
        <x:v>在千卡规模集群(64+节点)压测期间，随机Kill掉1-2个节点并拉起新节点（Chaos Testing），监控Hit Rate曲线，要求降幅符合理论比例且系统在5秒内自动恢复。</x:v>
      </x:c>
      <x:c r="S79" s="20" t="str">
        <x:v>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x:v>
      </x:c>
      <x:c r="T79"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x:v>
      </x:c>
      <x:c r="U79" s="20" t="str">
        <x:f>IF(COUNTIF('SF-IR-SR定义'!$B$5:$B$79,G79)=1,"PASS","CHECK")</x:f>
        <x:v>PASS</x:v>
      </x:c>
      <x:c r="V79" s="20" t="str">
        <x:f>IF(COUNTIF($B$5:$B$148,B79)=1,"PASS","DUPLICATE")</x:f>
        <x:v>PASS</x:v>
      </x:c>
      <x:c r="W79" s="20" t="str">
        <x:f>C79&amp;" / "&amp;E79&amp;" / "&amp;G79&amp;" / "&amp;B79</x:f>
        <x:v>SF-03 / IR-03-03 / SR-03-03-03 / AR-L3-MC-IntelligentMigration-057</x:v>
      </x:c>
    </x:row>
    <x:row r="80" ht="97.19999694824219" hidden="0" customHeight="1">
      <x:c r="A80" s="20" t="n">
        <x:v>76</x:v>
      </x:c>
      <x:c r="B80" s="20" t="str">
        <x:v>AR-L3-MS-KVObjectStateMachine-058</x:v>
      </x:c>
      <x:c r="C80" s="20" t="str">
        <x:v>SF-03</x:v>
      </x:c>
      <x:c r="D80" s="20" t="str">
        <x:v>统一KV对象与异构存储池管理</x:v>
      </x:c>
      <x:c r="E80" s="20" t="str">
        <x:v>IR-03-03</x:v>
      </x:c>
      <x:c r="F80" s="20" t="str">
        <x:v>生命周期、放置、淘汰与迁移</x:v>
      </x:c>
      <x:c r="G80" s="20" t="str">
        <x:v>SR-03-03-01</x:v>
      </x:c>
      <x:c r="H80" s="20" t="str">
        <x:v>KV对象状态机、生命周期与状态感知淘汰</x:v>
      </x:c>
      <x:c r="I80" s="20" t="str">
        <x:v>L3-MS-KVObjectStateMachine-058</x:v>
      </x:c>
      <x:c r="J80" s="20" t="str">
        <x:v>L3 传输管理层</x:v>
      </x:c>
      <x:c r="K80" s="20" t="str">
        <x:v>统一存储池与分层管理</x:v>
      </x:c>
      <x:c r="L80" s="20" t="str">
        <x:v>P0</x:v>
      </x:c>
      <x:c r="M80" s="20" t="str">
        <x:v>P0</x:v>
      </x:c>
      <x:c r="N80" s="20" t="str">
        <x:v>软硬接口/硬件协同</x:v>
      </x:c>
      <x:c r="O80" s="20" t="str">
        <x:v>KV 全生命周期状态一致性管理</x:v>
      </x:c>
      <x:c r="P80" s="20" t="str">
        <x:v>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Q80" s="20" t="str">
        <x:v>KV 对象状态机能准确防范半写入或悬空内存泄漏，状态机流转清晰，覆盖所有关键物理介质迁移状态。</x:v>
      </x:c>
      <x:c r="R80" s="20" t="str">
        <x:v>使用 Chaos Testing 在 active lease 期间随机注入 Evict/Migrate 冲突，监控内部悬空地址，要求零悬空且校验 100% 正确；状态流转日志必须能够溯源至任何 KV 生命周期异常。</x:v>
      </x:c>
      <x:c r="S80" s="20" t="str">
        <x:v>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x:v>
      </x:c>
      <x:c r="T80"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x:v>
      </x:c>
      <x:c r="U80" s="20" t="str">
        <x:f>IF(COUNTIF('SF-IR-SR定义'!$B$5:$B$79,G80)=1,"PASS","CHECK")</x:f>
        <x:v>PASS</x:v>
      </x:c>
      <x:c r="V80" s="20" t="str">
        <x:f>IF(COUNTIF($B$5:$B$148,B80)=1,"PASS","DUPLICATE")</x:f>
        <x:v>PASS</x:v>
      </x:c>
      <x:c r="W80" s="20" t="str">
        <x:f>C80&amp;" / "&amp;E80&amp;" / "&amp;G80&amp;" / "&amp;B80</x:f>
        <x:v>SF-03 / IR-03-03 / SR-03-03-01 / AR-L3-MS-KVObjectStateMachine-058</x:v>
      </x:c>
    </x:row>
    <x:row r="81" ht="86.4000015258789" hidden="0" customHeight="1">
      <x:c r="A81" s="20" t="n">
        <x:v>77</x:v>
      </x:c>
      <x:c r="B81" s="20" t="str">
        <x:v>AR-L3-MS-ReplicaPlacementState-059</x:v>
      </x:c>
      <x:c r="C81" s="20" t="str">
        <x:v>SF-02</x:v>
      </x:c>
      <x:c r="D81" s="20" t="str">
        <x:v>全局前缀目录与分布式元数据服务</x:v>
      </x:c>
      <x:c r="E81" s="20" t="str">
        <x:v>IR-02-02</x:v>
      </x:c>
      <x:c r="F81" s="20" t="str">
        <x:v>分布式目录、分片与多副本位置</x:v>
      </x:c>
      <x:c r="G81" s="20" t="str">
        <x:v>SR-02-02-02</x:v>
      </x:c>
      <x:c r="H81" s="20" t="str">
        <x:v>多副本目录、位置状态与解析</x:v>
      </x:c>
      <x:c r="I81" s="20" t="str">
        <x:v>L3-MS-ReplicaPlacementState-059</x:v>
      </x:c>
      <x:c r="J81" s="20" t="str">
        <x:v>L3 传输管理层</x:v>
      </x:c>
      <x:c r="K81" s="20" t="str">
        <x:v>前缀目录与元数据平面</x:v>
      </x:c>
      <x:c r="L81" s="20" t="str">
        <x:v>P0</x:v>
      </x:c>
      <x:c r="M81" s="20" t="str">
        <x:v>P0</x:v>
      </x:c>
      <x:c r="N81" s="20" t="str">
        <x:v>软件主线</x:v>
      </x:c>
      <x:c r="O81" s="20" t="str">
        <x:v>多副本 KV 的位置与状态管理</x:v>
      </x:c>
      <x:c r="P81" s="20" t="str">
        <x:v>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Q81" s="20" t="str">
        <x:v>节点动态加入/退出时的缓存失效控制在局部范围内（遵循一致性哈希比例）。</x:v>
      </x:c>
      <x:c r="R81" s="20" t="str">
        <x:v>在千卡规模集群(64+节点)压测期间，随机Kill掉1-2个节点并拉起新节点（Chaos Testing），监控Hit Rate曲线，要求降幅符合理论比例且系统在5秒内自动恢复。</x:v>
      </x:c>
      <x:c r="S81" s="20" t="str">
        <x:v>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x:v>
      </x:c>
      <x:c r="T81"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x:v>
      </x:c>
      <x:c r="U81" s="20" t="str">
        <x:f>IF(COUNTIF('SF-IR-SR定义'!$B$5:$B$79,G81)=1,"PASS","CHECK")</x:f>
        <x:v>PASS</x:v>
      </x:c>
      <x:c r="V81" s="20" t="str">
        <x:f>IF(COUNTIF($B$5:$B$148,B81)=1,"PASS","DUPLICATE")</x:f>
        <x:v>PASS</x:v>
      </x:c>
      <x:c r="W81" s="20" t="str">
        <x:f>C81&amp;" / "&amp;E81&amp;" / "&amp;G81&amp;" / "&amp;B81</x:f>
        <x:v>SF-02 / IR-02-02 / SR-02-02-02 / AR-L3-MS-ReplicaPlacementState-059</x:v>
      </x:c>
    </x:row>
    <x:row r="82" ht="86.4000015258789" hidden="0" customHeight="1">
      <x:c r="A82" s="20" t="n">
        <x:v>78</x:v>
      </x:c>
      <x:c r="B82" s="20" t="str">
        <x:v>AR-L3-MS-ConsumeEligibility-060</x:v>
      </x:c>
      <x:c r="C82" s="20" t="str">
        <x:v>SF-01</x:v>
      </x:c>
      <x:c r="D82" s="20" t="str">
        <x:v>统一服务接入与推理消费</x:v>
      </x:c>
      <x:c r="E82" s="20" t="str">
        <x:v>IR-01-02</x:v>
      </x:c>
      <x:c r="F82" s="20" t="str">
        <x:v>缓存感知调度与收益准入</x:v>
      </x:c>
      <x:c r="G82" s="20" t="str">
        <x:v>SR-01-02-03</x:v>
      </x:c>
      <x:c r="H82" s="20" t="str">
        <x:v>可消费判定与QueryPlan快速路径</x:v>
      </x:c>
      <x:c r="I82" s="20" t="str">
        <x:v>L3-MS-ConsumeEligibility-060</x:v>
      </x:c>
      <x:c r="J82" s="20" t="str">
        <x:v>L3 传输管理层</x:v>
      </x:c>
      <x:c r="K82" s="20" t="str">
        <x:v>前缀目录与元数据平面</x:v>
      </x:c>
      <x:c r="L82" s="20" t="str">
        <x:v>P0</x:v>
      </x:c>
      <x:c r="M82" s="20" t="str">
        <x:v>P0</x:v>
      </x:c>
      <x:c r="N82" s="20" t="str">
        <x:v>软件主线</x:v>
      </x:c>
      <x:c r="O82" s="20" t="str">
        <x:v>Prefix hit 后能否转化为 usable hit</x:v>
      </x:c>
      <x:c r="P82" s="20"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Q82" s="20" t="str">
        <x:v>Prefix命中判定P99耗时 &lt; 200us；在Share-Prefix业务下，Usable Hit Rate提升≥15%。</x:v>
      </x:c>
      <x:c r="R82" s="20" t="str">
        <x:v>使用ShareGPT数据集构造并发度上千(1K~5K QPS)的多轮对话负载，监控/metrics接口的prefix_lookup_latency指标，要求P99小于200us为达标。</x:v>
      </x:c>
      <x:c r="S82" s="20" t="str">
        <x:v>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x:v>
      </x:c>
      <x:c r="T82"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x:v>
      </x:c>
      <x:c r="U82" s="20" t="str">
        <x:f>IF(COUNTIF('SF-IR-SR定义'!$B$5:$B$79,G82)=1,"PASS","CHECK")</x:f>
        <x:v>PASS</x:v>
      </x:c>
      <x:c r="V82" s="20" t="str">
        <x:f>IF(COUNTIF($B$5:$B$148,B82)=1,"PASS","DUPLICATE")</x:f>
        <x:v>PASS</x:v>
      </x:c>
      <x:c r="W82" s="20" t="str">
        <x:f>C82&amp;" / "&amp;E82&amp;" / "&amp;G82&amp;" / "&amp;B82</x:f>
        <x:v>SF-01 / IR-01-02 / SR-01-02-03 / AR-L3-MS-ConsumeEligibility-060</x:v>
      </x:c>
    </x:row>
    <x:row r="83" ht="97.19999694824219" hidden="0" customHeight="1">
      <x:c r="A83" s="20" t="n">
        <x:v>79</x:v>
      </x:c>
      <x:c r="B83" s="20" t="str">
        <x:v>AR-L3-SE-PlacementResolver-061</x:v>
      </x:c>
      <x:c r="C83" s="20" t="str">
        <x:v>SF-03</x:v>
      </x:c>
      <x:c r="D83" s="20" t="str">
        <x:v>统一KV对象与异构存储池管理</x:v>
      </x:c>
      <x:c r="E83" s="20" t="str">
        <x:v>IR-03-03</x:v>
      </x:c>
      <x:c r="F83" s="20" t="str">
        <x:v>生命周期、放置、淘汰与迁移</x:v>
      </x:c>
      <x:c r="G83" s="20" t="str">
        <x:v>SR-03-03-02</x:v>
      </x:c>
      <x:c r="H83" s="20" t="str">
        <x:v>成本淘汰、命中质量与Placement Resolver</x:v>
      </x:c>
      <x:c r="I83" s="20" t="str">
        <x:v>L3-SE-PlacementResolver-061</x:v>
      </x:c>
      <x:c r="J83" s="20" t="str">
        <x:v>L3 传输管理层</x:v>
      </x:c>
      <x:c r="K83" s="20" t="str">
        <x:v>语义策略与路径管理</x:v>
      </x:c>
      <x:c r="L83" s="20" t="str">
        <x:v>P0</x:v>
      </x:c>
      <x:c r="M83" s="20" t="str">
        <x:v>P0</x:v>
      </x:c>
      <x:c r="N83" s="20" t="str">
        <x:v>软硬接口/硬件协同</x:v>
      </x:c>
      <x:c r="O83" s="20" t="str">
        <x:v>多位置 KV 副本的最优读取源选择</x:v>
      </x:c>
      <x:c r="P83" s="20"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Q83" s="20" t="str">
        <x:v>节点动态加入/退出时的缓存失效控制在局部范围内（遵循一致性哈希比例）。</x:v>
      </x:c>
      <x:c r="R83" s="20" t="str">
        <x:v>在千卡规模集群(64+节点)压测期间，随机Kill掉1-2个节点并拉起新节点（Chaos Testing），监控Hit Rate曲线，要求降幅符合理论比例且系统在5秒内自动恢复。</x:v>
      </x:c>
      <x:c r="S83" s="20" t="str">
        <x:v>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x:v>
      </x:c>
      <x:c r="T83"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x:v>
      </x:c>
      <x:c r="U83" s="20" t="str">
        <x:f>IF(COUNTIF('SF-IR-SR定义'!$B$5:$B$79,G83)=1,"PASS","CHECK")</x:f>
        <x:v>PASS</x:v>
      </x:c>
      <x:c r="V83" s="20" t="str">
        <x:f>IF(COUNTIF($B$5:$B$148,B83)=1,"PASS","DUPLICATE")</x:f>
        <x:v>PASS</x:v>
      </x:c>
      <x:c r="W83" s="20" t="str">
        <x:f>C83&amp;" / "&amp;E83&amp;" / "&amp;G83&amp;" / "&amp;B83</x:f>
        <x:v>SF-03 / IR-03-03 / SR-03-03-02 / AR-L3-SE-PlacementResolver-061</x:v>
      </x:c>
    </x:row>
    <x:row r="84" ht="97.19999694824219" hidden="0" customHeight="1">
      <x:c r="A84" s="20" t="n">
        <x:v>80</x:v>
      </x:c>
      <x:c r="B84" s="20" t="str">
        <x:v>AR-L3-MS-MigrationInterlock-062</x:v>
      </x:c>
      <x:c r="C84" s="20" t="str">
        <x:v>SF-03</x:v>
      </x:c>
      <x:c r="D84" s="20" t="str">
        <x:v>统一KV对象与异构存储池管理</x:v>
      </x:c>
      <x:c r="E84" s="20" t="str">
        <x:v>IR-03-03</x:v>
      </x:c>
      <x:c r="F84" s="20" t="str">
        <x:v>生命周期、放置、淘汰与迁移</x:v>
      </x:c>
      <x:c r="G84" s="20" t="str">
        <x:v>SR-03-03-03</x:v>
      </x:c>
      <x:c r="H84" s="20" t="str">
        <x:v>Compaction、智能迁移与互锁</x:v>
      </x:c>
      <x:c r="I84" s="20" t="str">
        <x:v>L3-MS-MigrationInterlock-062</x:v>
      </x:c>
      <x:c r="J84" s="20" t="str">
        <x:v>L3 传输管理层</x:v>
      </x:c>
      <x:c r="K84" s="20" t="str">
        <x:v>统一存储池与分层管理</x:v>
      </x:c>
      <x:c r="L84" s="20" t="str">
        <x:v>P0</x:v>
      </x:c>
      <x:c r="M84" s="20" t="str">
        <x:v>P0</x:v>
      </x:c>
      <x:c r="N84" s="20" t="str">
        <x:v>软件主线</x:v>
      </x:c>
      <x:c r="O84" s="20" t="str">
        <x:v>KV 升降级/碎片整理期间的安全消费</x:v>
      </x:c>
      <x:c r="P84" s="20"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Q84" s="20" t="str">
        <x:v>节点动态加入/退出时的缓存失效控制在局部范围内（遵循一致性哈希比例）。</x:v>
      </x:c>
      <x:c r="R84" s="20" t="str">
        <x:v>在千卡规模集群(64+节点)压测期间，随机Kill掉1-2个节点并拉起新节点（Chaos Testing），监控Hit Rate曲线，要求降幅符合理论比例且系统在5秒内自动恢复。</x:v>
      </x:c>
      <x:c r="S84" s="20" t="str">
        <x:v>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x:v>
      </x:c>
      <x:c r="T84"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x:v>
      </x:c>
      <x:c r="U84" s="20" t="str">
        <x:f>IF(COUNTIF('SF-IR-SR定义'!$B$5:$B$79,G84)=1,"PASS","CHECK")</x:f>
        <x:v>PASS</x:v>
      </x:c>
      <x:c r="V84" s="20" t="str">
        <x:f>IF(COUNTIF($B$5:$B$148,B84)=1,"PASS","DUPLICATE")</x:f>
        <x:v>PASS</x:v>
      </x:c>
      <x:c r="W84" s="20" t="str">
        <x:f>C84&amp;" / "&amp;E84&amp;" / "&amp;G84&amp;" / "&amp;B84</x:f>
        <x:v>SF-03 / IR-03-03 / SR-03-03-03 / AR-L3-MS-MigrationInterlock-062</x:v>
      </x:c>
    </x:row>
    <x:row r="85" ht="97.19999694824219" hidden="0" customHeight="1">
      <x:c r="A85" s="20" t="n">
        <x:v>81</x:v>
      </x:c>
      <x:c r="B85" s="20" t="str">
        <x:v>AR-L3-CO-AttachDetachLease-063</x:v>
      </x:c>
      <x:c r="C85" s="20" t="str">
        <x:v>SF-05</x:v>
      </x:c>
      <x:c r="D85" s="20" t="str">
        <x:v>一致性、安全、完整性与故障恢复</x:v>
      </x:c>
      <x:c r="E85" s="20" t="str">
        <x:v>IR-05-02</x:v>
      </x:c>
      <x:c r="F85" s="20" t="str">
        <x:v>租约、引用计数与并发所有权</x:v>
      </x:c>
      <x:c r="G85" s="20" t="str">
        <x:v>SR-05-02-01</x:v>
      </x:c>
      <x:c r="H85" s="20" t="str">
        <x:v>Lease、RefCount、Ownership GC与安全下线</x:v>
      </x:c>
      <x:c r="I85" s="20" t="str">
        <x:v>L3-CO-AttachDetachLease-063</x:v>
      </x:c>
      <x:c r="J85" s="20" t="str">
        <x:v>L3 传输管理层</x:v>
      </x:c>
      <x:c r="K85" s="20" t="str">
        <x:v>一致性、隔离与QoS</x:v>
      </x:c>
      <x:c r="L85" s="20" t="str">
        <x:v>P0</x:v>
      </x:c>
      <x:c r="M85" s="20" t="str">
        <x:v>P0</x:v>
      </x:c>
      <x:c r="N85" s="20" t="str">
        <x:v>软件主线</x:v>
      </x:c>
      <x:c r="O85" s="20" t="str">
        <x:v>Decode 使用 KV 期间防止被迁移或释放</x:v>
      </x:c>
      <x:c r="P85" s="20" t="str">
        <x:v>本需求要求统一 KV 内存池实现 attach/detach lease：KV 被消费前必须获取 read lease 或 attach lease，lease 期间禁止物理释放、非法覆盖或不可见迁移；detach/release 后递减 refcount，并允许后台 evict、compact 或降级。</x:v>
      </x:c>
      <x:c r="Q85" s="20" t="str">
        <x:v>节点动态加入/退出时的缓存失效控制在局部范围内（遵循一致性哈希比例）。</x:v>
      </x:c>
      <x:c r="R85" s="20" t="str">
        <x:v>在千卡规模集群(64+节点)压测期间，随机Kill掉1-2个节点并拉起新节点（Chaos Testing），监控Hit Rate曲线，要求降幅符合理论比例且系统在5秒内自动恢复。</x:v>
      </x:c>
      <x:c r="S85" s="20" t="str">
        <x:v>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x:v>
      </x:c>
      <x:c r="T85"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x:v>
      </x:c>
      <x:c r="U85" s="20" t="str">
        <x:f>IF(COUNTIF('SF-IR-SR定义'!$B$5:$B$79,G85)=1,"PASS","CHECK")</x:f>
        <x:v>PASS</x:v>
      </x:c>
      <x:c r="V85" s="20" t="str">
        <x:f>IF(COUNTIF($B$5:$B$148,B85)=1,"PASS","DUPLICATE")</x:f>
        <x:v>PASS</x:v>
      </x:c>
      <x:c r="W85" s="20" t="str">
        <x:f>C85&amp;" / "&amp;E85&amp;" / "&amp;G85&amp;" / "&amp;B85</x:f>
        <x:v>SF-05 / IR-05-02 / SR-05-02-01 / AR-L3-CO-AttachDetachLease-063</x:v>
      </x:c>
    </x:row>
    <x:row r="86" ht="86.4000015258789" hidden="0" customHeight="1">
      <x:c r="A86" s="20" t="n">
        <x:v>82</x:v>
      </x:c>
      <x:c r="B86" s="20" t="str">
        <x:v>AR-L3-CO-VisibilityReadyBitmap-064</x:v>
      </x:c>
      <x:c r="C86" s="20" t="str">
        <x:v>SF-05</x:v>
      </x:c>
      <x:c r="D86" s="20" t="str">
        <x:v>一致性、安全、完整性与故障恢复</x:v>
      </x:c>
      <x:c r="E86" s="20" t="str">
        <x:v>IR-05-01</x:v>
      </x:c>
      <x:c r="F86" s="20" t="str">
        <x:v>发布、完成、可见性与Ready边界</x:v>
      </x:c>
      <x:c r="G86" s="20" t="str">
        <x:v>SR-05-01-01</x:v>
      </x:c>
      <x:c r="H86" s="20" t="str">
        <x:v>版本发布、Commit Log与Ready Bitmap</x:v>
      </x:c>
      <x:c r="I86" s="20" t="str">
        <x:v>L3-CO-VisibilityReadyBitmap-064</x:v>
      </x:c>
      <x:c r="J86" s="20" t="str">
        <x:v>L3 传输管理层</x:v>
      </x:c>
      <x:c r="K86" s="20" t="str">
        <x:v>一致性、隔离与QoS</x:v>
      </x:c>
      <x:c r="L86" s="20" t="str">
        <x:v>P0</x:v>
      </x:c>
      <x:c r="M86" s="20" t="str">
        <x:v>P0</x:v>
      </x:c>
      <x:c r="N86" s="20" t="str">
        <x:v>软件主线</x:v>
      </x:c>
      <x:c r="O86" s="20" t="str">
        <x:v>KV 写入完成与可见性边界控制</x:v>
      </x:c>
      <x:c r="P86" s="20" t="str">
        <x:v>本需求要求每个 KV object 维护 layer/page/rank 粒度 ready bitmap 与 visibility state，区分 local write complete、device visible、remote visible、durable visible；只有达到消费方所需 visibility level 的 KV block/page 才允许进入 attach plan。</x:v>
      </x:c>
      <x:c r="Q86" s="20" t="str">
        <x:v>节点动态加入/退出时的缓存失效控制在局部范围内（遵循一致性哈希比例）。</x:v>
      </x:c>
      <x:c r="R86" s="20" t="str">
        <x:v>在千卡规模集群(64+节点)压测期间，随机Kill掉1-2个节点并拉起新节点（Chaos Testing），监控Hit Rate曲线，要求降幅符合理论比例且系统在5秒内自动恢复。</x:v>
      </x:c>
      <x:c r="S86" s="20" t="str">
        <x:v>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x:v>
      </x:c>
      <x:c r="T86" s="20"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x:v>
      </x:c>
      <x:c r="U86" s="20" t="str">
        <x:f>IF(COUNTIF('SF-IR-SR定义'!$B$5:$B$79,G86)=1,"PASS","CHECK")</x:f>
        <x:v>PASS</x:v>
      </x:c>
      <x:c r="V86" s="20" t="str">
        <x:f>IF(COUNTIF($B$5:$B$148,B86)=1,"PASS","DUPLICATE")</x:f>
        <x:v>PASS</x:v>
      </x:c>
      <x:c r="W86" s="20" t="str">
        <x:f>C86&amp;" / "&amp;E86&amp;" / "&amp;G86&amp;" / "&amp;B86</x:f>
        <x:v>SF-05 / IR-05-01 / SR-05-01-01 / AR-L3-CO-VisibilityReadyBitmap-064</x:v>
      </x:c>
    </x:row>
    <x:row r="87" ht="86.4000015258789" hidden="0" customHeight="1">
      <x:c r="A87" s="20" t="n">
        <x:v>83</x:v>
      </x:c>
      <x:c r="B87" s="20" t="str">
        <x:v>AR-L3-CO-PublishCommitLog-065</x:v>
      </x:c>
      <x:c r="C87" s="20" t="str">
        <x:v>SF-05</x:v>
      </x:c>
      <x:c r="D87" s="20" t="str">
        <x:v>一致性、安全、完整性与故障恢复</x:v>
      </x:c>
      <x:c r="E87" s="20" t="str">
        <x:v>IR-05-01</x:v>
      </x:c>
      <x:c r="F87" s="20" t="str">
        <x:v>发布、完成、可见性与Ready边界</x:v>
      </x:c>
      <x:c r="G87" s="20" t="str">
        <x:v>SR-05-01-01</x:v>
      </x:c>
      <x:c r="H87" s="20" t="str">
        <x:v>版本发布、Commit Log与Ready Bitmap</x:v>
      </x:c>
      <x:c r="I87" s="20" t="str">
        <x:v>L3-CO-PublishCommitLog-065</x:v>
      </x:c>
      <x:c r="J87" s="20" t="str">
        <x:v>L3 传输管理层</x:v>
      </x:c>
      <x:c r="K87" s="20" t="str">
        <x:v>一致性、隔离与QoS</x:v>
      </x:c>
      <x:c r="L87" s="20" t="str">
        <x:v>P0</x:v>
      </x:c>
      <x:c r="M87" s="20" t="str">
        <x:v>P0</x:v>
      </x:c>
      <x:c r="N87" s="20" t="str">
        <x:v>软硬接口/硬件协同</x:v>
      </x:c>
      <x:c r="O87" s="20" t="str">
        <x:v>KV 发布过程异常恢复</x:v>
      </x:c>
      <x:c r="P87" s="20"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Q87" s="20" t="str">
        <x:v>节点动态加入/退出时的缓存失效控制在局部范围内（遵循一致性哈希比例）。</x:v>
      </x:c>
      <x:c r="R87" s="20" t="str">
        <x:v>在千卡规模集群(64+节点)压测期间，随机Kill掉1-2个节点并拉起新节点（Chaos Testing），监控Hit Rate曲线，要求降幅符合理论比例且系统在5秒内自动恢复。</x:v>
      </x:c>
      <x:c r="S87" s="20" t="str">
        <x:v>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x:v>
      </x:c>
      <x:c r="T87"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x:v>
      </x:c>
      <x:c r="U87" s="20" t="str">
        <x:f>IF(COUNTIF('SF-IR-SR定义'!$B$5:$B$79,G87)=1,"PASS","CHECK")</x:f>
        <x:v>PASS</x:v>
      </x:c>
      <x:c r="V87" s="20" t="str">
        <x:f>IF(COUNTIF($B$5:$B$148,B87)=1,"PASS","DUPLICATE")</x:f>
        <x:v>PASS</x:v>
      </x:c>
      <x:c r="W87" s="20" t="str">
        <x:f>C87&amp;" / "&amp;E87&amp;" / "&amp;G87&amp;" / "&amp;B87</x:f>
        <x:v>SF-05 / IR-05-01 / SR-05-01-01 / AR-L3-CO-PublishCommitLog-065</x:v>
      </x:c>
    </x:row>
    <x:row r="88" ht="86.4000015258789" hidden="0" customHeight="1">
      <x:c r="A88" s="20" t="n">
        <x:v>84</x:v>
      </x:c>
      <x:c r="B88" s="20" t="str">
        <x:v>AR-L3-MS-InvalidationTombstone-066</x:v>
      </x:c>
      <x:c r="C88" s="20" t="str">
        <x:v>SF-02</x:v>
      </x:c>
      <x:c r="D88" s="20" t="str">
        <x:v>全局前缀目录与分布式元数据服务</x:v>
      </x:c>
      <x:c r="E88" s="20" t="str">
        <x:v>IR-02-03</x:v>
      </x:c>
      <x:c r="F88" s="20" t="str">
        <x:v>元数据内存语义与发布一致性</x:v>
      </x:c>
      <x:c r="G88" s="20" t="str">
        <x:v>SR-02-03-02</x:v>
      </x:c>
      <x:c r="H88" s="20" t="str">
        <x:v>元数据原子发布、失效与Stale防护</x:v>
      </x:c>
      <x:c r="I88" s="20" t="str">
        <x:v>L3-MS-InvalidationTombstone-066</x:v>
      </x:c>
      <x:c r="J88" s="20" t="str">
        <x:v>L3 传输管理层</x:v>
      </x:c>
      <x:c r="K88" s="20" t="str">
        <x:v>前缀目录与元数据平面</x:v>
      </x:c>
      <x:c r="L88" s="20" t="str">
        <x:v>P0</x:v>
      </x:c>
      <x:c r="M88" s="20" t="str">
        <x:v>P0</x:v>
      </x:c>
      <x:c r="N88" s="20" t="str">
        <x:v>软件主线</x:v>
      </x:c>
      <x:c r="O88" s="20" t="str">
        <x:v>旧 KV 副本复活与 stale hit 防护</x:v>
      </x:c>
      <x:c r="P88" s="20" t="str">
        <x:v>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Q88" s="20" t="str">
        <x:v>Prefix命中判定P99耗时 &lt; 200us；在Share-Prefix业务下，Usable Hit Rate提升≥15%。</x:v>
      </x:c>
      <x:c r="R88" s="20" t="str">
        <x:v>使用ShareGPT数据集构造并发度上千(1K~5K QPS)的多轮对话负载，监控/metrics接口的prefix_lookup_latency指标，要求P99小于200us为达标。</x:v>
      </x:c>
      <x:c r="S88" s="20" t="str">
        <x:v>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x:v>
      </x:c>
      <x:c r="T88"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x:v>
      </x:c>
      <x:c r="U88" s="20" t="str">
        <x:f>IF(COUNTIF('SF-IR-SR定义'!$B$5:$B$79,G88)=1,"PASS","CHECK")</x:f>
        <x:v>PASS</x:v>
      </x:c>
      <x:c r="V88" s="20" t="str">
        <x:f>IF(COUNTIF($B$5:$B$148,B88)=1,"PASS","DUPLICATE")</x:f>
        <x:v>PASS</x:v>
      </x:c>
      <x:c r="W88" s="20" t="str">
        <x:f>C88&amp;" / "&amp;E88&amp;" / "&amp;G88&amp;" / "&amp;B88</x:f>
        <x:v>SF-02 / IR-02-03 / SR-02-03-02 / AR-L3-MS-InvalidationTombstone-066</x:v>
      </x:c>
    </x:row>
    <x:row r="89" ht="75.5999984741211" hidden="0" customHeight="1">
      <x:c r="A89" s="20" t="n">
        <x:v>85</x:v>
      </x:c>
      <x:c r="B89" s="20" t="str">
        <x:v>AR-L3-MS-StaleHitGuard-067</x:v>
      </x:c>
      <x:c r="C89" s="20" t="str">
        <x:v>SF-02</x:v>
      </x:c>
      <x:c r="D89" s="20" t="str">
        <x:v>全局前缀目录与分布式元数据服务</x:v>
      </x:c>
      <x:c r="E89" s="20" t="str">
        <x:v>IR-02-03</x:v>
      </x:c>
      <x:c r="F89" s="20" t="str">
        <x:v>元数据内存语义与发布一致性</x:v>
      </x:c>
      <x:c r="G89" s="20" t="str">
        <x:v>SR-02-03-02</x:v>
      </x:c>
      <x:c r="H89" s="20" t="str">
        <x:v>元数据原子发布、失效与Stale防护</x:v>
      </x:c>
      <x:c r="I89" s="20" t="str">
        <x:v>L3-MS-StaleHitGuard-067</x:v>
      </x:c>
      <x:c r="J89" s="20" t="str">
        <x:v>L3 传输管理层</x:v>
      </x:c>
      <x:c r="K89" s="20" t="str">
        <x:v>前缀目录与元数据平面</x:v>
      </x:c>
      <x:c r="L89" s="20" t="str">
        <x:v>P0</x:v>
      </x:c>
      <x:c r="M89" s="20" t="str">
        <x:v>P0</x:v>
      </x:c>
      <x:c r="N89" s="20" t="str">
        <x:v>软件主线</x:v>
      </x:c>
      <x:c r="O89" s="20" t="str">
        <x:v>本地元数据缓存过期导致误命中</x:v>
      </x:c>
      <x:c r="P89" s="20" t="str">
        <x:v>本需求要求 L3 元数据查询结果必须携带 version、epoch、directory_generation 和 stale 标记；本地目录镜像或缓存命中时必须校验 generation，不得把 stale placement 作为可消费结果返回给 Scheduler 或 Connector。</x:v>
      </x:c>
      <x:c r="Q89" s="20" t="str">
        <x:v>节点动态加入/退出时的缓存失效控制在局部范围内（遵循一致性哈希比例）。</x:v>
      </x:c>
      <x:c r="R89" s="20" t="str">
        <x:v>在千卡规模集群(64+节点)压测期间，随机Kill掉1-2个节点并拉起新节点（Chaos Testing），监控Hit Rate曲线，要求降幅符合理论比例且系统在5秒内自动恢复。</x:v>
      </x:c>
      <x:c r="S89" s="20" t="str">
        <x:v>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x:v>
      </x:c>
      <x:c r="T89"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x:v>
      </x:c>
      <x:c r="U89" s="20" t="str">
        <x:f>IF(COUNTIF('SF-IR-SR定义'!$B$5:$B$79,G89)=1,"PASS","CHECK")</x:f>
        <x:v>PASS</x:v>
      </x:c>
      <x:c r="V89" s="20" t="str">
        <x:f>IF(COUNTIF($B$5:$B$148,B89)=1,"PASS","DUPLICATE")</x:f>
        <x:v>PASS</x:v>
      </x:c>
      <x:c r="W89" s="20" t="str">
        <x:f>C89&amp;" / "&amp;E89&amp;" / "&amp;G89&amp;" / "&amp;B89</x:f>
        <x:v>SF-02 / IR-02-03 / SR-02-03-02 / AR-L3-MS-StaleHitGuard-067</x:v>
      </x:c>
    </x:row>
    <x:row r="90" ht="86.4000015258789" hidden="0" customHeight="1">
      <x:c r="A90" s="20" t="n">
        <x:v>86</x:v>
      </x:c>
      <x:c r="B90" s="20" t="str">
        <x:v>AR-L3-CO-ReplicaQuarantine-068</x:v>
      </x:c>
      <x:c r="C90" s="20" t="str">
        <x:v>SF-05</x:v>
      </x:c>
      <x:c r="D90" s="20" t="str">
        <x:v>一致性、安全、完整性与故障恢复</x:v>
      </x:c>
      <x:c r="E90" s="20" t="str">
        <x:v>IR-05-03</x:v>
      </x:c>
      <x:c r="F90" s="20" t="str">
        <x:v>分路径完整性、RAS与故障降级</x:v>
      </x:c>
      <x:c r="G90" s="20" t="str">
        <x:v>SR-05-03-02</x:v>
      </x:c>
      <x:c r="H90" s="20" t="str">
        <x:v>副本隔离与RAS错误映射</x:v>
      </x:c>
      <x:c r="I90" s="20" t="str">
        <x:v>L3-CO-ReplicaQuarantine-068</x:v>
      </x:c>
      <x:c r="J90" s="20" t="str">
        <x:v>L3 传输管理层</x:v>
      </x:c>
      <x:c r="K90" s="20" t="str">
        <x:v>一致性、隔离与QoS</x:v>
      </x:c>
      <x:c r="L90" s="20" t="str">
        <x:v>P1</x:v>
      </x:c>
      <x:c r="M90" s="20" t="str">
        <x:v>P1</x:v>
      </x:c>
      <x:c r="N90" s="20" t="str">
        <x:v>软件主线</x:v>
      </x:c>
      <x:c r="O90" s="20" t="str">
        <x:v>异常 KV 副本隔离</x:v>
      </x:c>
      <x:c r="P90" s="20" t="str">
        <x:v>本需求要求对 checksum 错误、visibility 未达标、layout 不兼容、version 冲突或迁移失败的 KV replica 标记为 QUARANTINED；隔离副本不得参与 prefix lookup、placement resolver 或 attach，直到后台修复、重建或删除。</x:v>
      </x:c>
      <x:c r="Q90" s="20" t="str">
        <x:v>Prefix命中判定P99耗时 &lt; 200us；在Share-Prefix业务下，Usable Hit Rate提升≥15%。</x:v>
      </x:c>
      <x:c r="R90" s="20" t="str">
        <x:v>使用ShareGPT数据集构造并发度上千(1K~5K QPS)的多轮对话负载，监控/metrics接口的prefix_lookup_latency指标，要求P99小于200us为达标。</x:v>
      </x:c>
      <x:c r="S90" s="20" t="str">
        <x:v>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x:v>
      </x:c>
      <x:c r="T90"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x:v>
      </x:c>
      <x:c r="U90" s="20" t="str">
        <x:f>IF(COUNTIF('SF-IR-SR定义'!$B$5:$B$79,G90)=1,"PASS","CHECK")</x:f>
        <x:v>PASS</x:v>
      </x:c>
      <x:c r="V90" s="20" t="str">
        <x:f>IF(COUNTIF($B$5:$B$148,B90)=1,"PASS","DUPLICATE")</x:f>
        <x:v>PASS</x:v>
      </x:c>
      <x:c r="W90" s="20" t="str">
        <x:f>C90&amp;" / "&amp;E90&amp;" / "&amp;G90&amp;" / "&amp;B90</x:f>
        <x:v>SF-05 / IR-05-03 / SR-05-03-02 / AR-L3-CO-ReplicaQuarantine-068</x:v>
      </x:c>
    </x:row>
    <x:row r="91" ht="86.4000015258789" hidden="0" customHeight="1">
      <x:c r="A91" s="20" t="n">
        <x:v>87</x:v>
      </x:c>
      <x:c r="B91" s="20" t="str">
        <x:v>AR-L3-MS-PrefixDirectorySchema-069</x:v>
      </x:c>
      <x:c r="C91" s="20" t="str">
        <x:v>SF-02</x:v>
      </x:c>
      <x:c r="D91" s="20" t="str">
        <x:v>全局前缀目录与分布式元数据服务</x:v>
      </x:c>
      <x:c r="E91" s="20" t="str">
        <x:v>IR-02-02</x:v>
      </x:c>
      <x:c r="F91" s="20" t="str">
        <x:v>分布式目录、分片与多副本位置</x:v>
      </x:c>
      <x:c r="G91" s="20" t="str">
        <x:v>SR-02-02-01</x:v>
      </x:c>
      <x:c r="H91" s="20" t="str">
        <x:v>目录Schema、分片、镜像与复制</x:v>
      </x:c>
      <x:c r="I91" s="20" t="str">
        <x:v>L3-MS-PrefixDirectorySchema-069</x:v>
      </x:c>
      <x:c r="J91" s="20" t="str">
        <x:v>L3 传输管理层</x:v>
      </x:c>
      <x:c r="K91" s="20" t="str">
        <x:v>前缀目录与元数据平面</x:v>
      </x:c>
      <x:c r="L91" s="20" t="str">
        <x:v>P0</x:v>
      </x:c>
      <x:c r="M91" s="20" t="str">
        <x:v>P0</x:v>
      </x:c>
      <x:c r="N91" s="20" t="str">
        <x:v>软件主线</x:v>
      </x:c>
      <x:c r="O91" s="20" t="str">
        <x:v>前缀匹配元数据结构设计</x:v>
      </x:c>
      <x:c r="P91" s="20"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Q91" s="20" t="str">
        <x:v>Prefix命中判定P99耗时 &lt; 200us；在Share-Prefix业务下，Usable Hit Rate提升≥15%。</x:v>
      </x:c>
      <x:c r="R91" s="20" t="str">
        <x:v>使用ShareGPT数据集构造并发度上千(1K~5K QPS)的多轮对话负载，监控/metrics接口的prefix_lookup_latency指标，要求P99小于200us为达标。</x:v>
      </x:c>
      <x:c r="S91" s="20" t="str">
        <x:v>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x:v>
      </x:c>
      <x:c r="T91"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x:v>
      </x:c>
      <x:c r="U91" s="20" t="str">
        <x:f>IF(COUNTIF('SF-IR-SR定义'!$B$5:$B$79,G91)=1,"PASS","CHECK")</x:f>
        <x:v>PASS</x:v>
      </x:c>
      <x:c r="V91" s="20" t="str">
        <x:f>IF(COUNTIF($B$5:$B$148,B91)=1,"PASS","DUPLICATE")</x:f>
        <x:v>PASS</x:v>
      </x:c>
      <x:c r="W91" s="20" t="str">
        <x:f>C91&amp;" / "&amp;E91&amp;" / "&amp;G91&amp;" / "&amp;B91</x:f>
        <x:v>SF-02 / IR-02-02 / SR-02-02-01 / AR-L3-MS-PrefixDirectorySchema-069</x:v>
      </x:c>
    </x:row>
    <x:row r="92" ht="86.4000015258789" hidden="0" customHeight="1">
      <x:c r="A92" s="20" t="n">
        <x:v>88</x:v>
      </x:c>
      <x:c r="B92" s="20" t="str">
        <x:v>AR-L3-MS-HotLocalIndex-070</x:v>
      </x:c>
      <x:c r="C92" s="20" t="str">
        <x:v>SF-02</x:v>
      </x:c>
      <x:c r="D92" s="20" t="str">
        <x:v>全局前缀目录与分布式元数据服务</x:v>
      </x:c>
      <x:c r="E92" s="20" t="str">
        <x:v>IR-02-01</x:v>
      </x:c>
      <x:c r="F92" s="20" t="str">
        <x:v>低时延前缀计算与批量查询</x:v>
      </x:c>
      <x:c r="G92" s="20" t="str">
        <x:v>SR-02-01-02</x:v>
      </x:c>
      <x:c r="H92" s="20" t="str">
        <x:v>本地热索引、批量与范围查询</x:v>
      </x:c>
      <x:c r="I92" s="20" t="str">
        <x:v>L3-MS-HotLocalIndex-070</x:v>
      </x:c>
      <x:c r="J92" s="20" t="str">
        <x:v>L3 传输管理层</x:v>
      </x:c>
      <x:c r="K92" s="20" t="str">
        <x:v>前缀目录与元数据平面</x:v>
      </x:c>
      <x:c r="L92" s="20" t="str">
        <x:v>P0</x:v>
      </x:c>
      <x:c r="M92" s="20" t="str">
        <x:v>P0</x:v>
      </x:c>
      <x:c r="N92" s="20" t="str">
        <x:v>软件主线</x:v>
      </x:c>
      <x:c r="O92" s="20" t="str">
        <x:v>Prefix lookup 避免远端 RTT 进入 TTFT</x:v>
      </x:c>
      <x:c r="P92" s="20" t="str">
        <x:v>本需求要求每个推理节点维护 hot local prefix index，采用 fast fingerprint + semantic digest + placement summary 的两级结构，使确定 miss、热 prefix hit、stale 过滤尽量在本地完成；远端目录查询只在本地无法确认时触发。</x:v>
      </x:c>
      <x:c r="Q92" s="20" t="str">
        <x:v>Prefix命中判定P99耗时 &lt; 200us；在Share-Prefix业务下，Usable Hit Rate提升≥15%。</x:v>
      </x:c>
      <x:c r="R92" s="20" t="str">
        <x:v>使用ShareGPT数据集构造并发度上千(1K~5K QPS)的多轮对话负载，监控/metrics接口的prefix_lookup_latency指标，要求P99小于200us为达标。</x:v>
      </x:c>
      <x:c r="S92" s="20" t="str">
        <x:v>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x:v>
      </x:c>
      <x:c r="T92"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x:v>
      </x:c>
      <x:c r="U92" s="20" t="str">
        <x:f>IF(COUNTIF('SF-IR-SR定义'!$B$5:$B$79,G92)=1,"PASS","CHECK")</x:f>
        <x:v>PASS</x:v>
      </x:c>
      <x:c r="V92" s="20" t="str">
        <x:f>IF(COUNTIF($B$5:$B$148,B92)=1,"PASS","DUPLICATE")</x:f>
        <x:v>PASS</x:v>
      </x:c>
      <x:c r="W92" s="20" t="str">
        <x:f>C92&amp;" / "&amp;E92&amp;" / "&amp;G92&amp;" / "&amp;B92</x:f>
        <x:v>SF-02 / IR-02-01 / SR-02-01-02 / AR-L3-MS-HotLocalIndex-070</x:v>
      </x:c>
    </x:row>
    <x:row r="93" ht="86.4000015258789" hidden="0" customHeight="1">
      <x:c r="A93" s="20" t="n">
        <x:v>89</x:v>
      </x:c>
      <x:c r="B93" s="20" t="str">
        <x:v>AR-L3-MS-RangeBatchLookup-071</x:v>
      </x:c>
      <x:c r="C93" s="20" t="str">
        <x:v>SF-02</x:v>
      </x:c>
      <x:c r="D93" s="20" t="str">
        <x:v>全局前缀目录与分布式元数据服务</x:v>
      </x:c>
      <x:c r="E93" s="20" t="str">
        <x:v>IR-02-01</x:v>
      </x:c>
      <x:c r="F93" s="20" t="str">
        <x:v>低时延前缀计算与批量查询</x:v>
      </x:c>
      <x:c r="G93" s="20" t="str">
        <x:v>SR-02-01-02</x:v>
      </x:c>
      <x:c r="H93" s="20" t="str">
        <x:v>本地热索引、批量与范围查询</x:v>
      </x:c>
      <x:c r="I93" s="20" t="str">
        <x:v>L3-MS-RangeBatchLookup-071</x:v>
      </x:c>
      <x:c r="J93" s="20" t="str">
        <x:v>L3 传输管理层</x:v>
      </x:c>
      <x:c r="K93" s="20" t="str">
        <x:v>前缀目录与元数据平面</x:v>
      </x:c>
      <x:c r="L93" s="20" t="str">
        <x:v>P0</x:v>
      </x:c>
      <x:c r="M93" s="20" t="str">
        <x:v>P0</x:v>
      </x:c>
      <x:c r="N93" s="20" t="str">
        <x:v>软件主线</x:v>
      </x:c>
      <x:c r="O93" s="20" t="str">
        <x:v>长前缀批量命中判定</x:v>
      </x:c>
      <x:c r="P93" s="20"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Q93" s="20" t="str">
        <x:v>Prefix命中判定P99耗时 &lt; 200us；在Share-Prefix业务下，Usable Hit Rate提升≥15%。</x:v>
      </x:c>
      <x:c r="R93" s="20" t="str">
        <x:v>使用ShareGPT数据集构造并发度上千(1K~5K QPS)的多轮对话负载，监控/metrics接口的prefix_lookup_latency指标，要求P99小于200us为达标。</x:v>
      </x:c>
      <x:c r="S93" s="20" t="str">
        <x:v>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x:v>
      </x:c>
      <x:c r="T93"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x:v>
      </x:c>
      <x:c r="U93" s="20" t="str">
        <x:f>IF(COUNTIF('SF-IR-SR定义'!$B$5:$B$79,G93)=1,"PASS","CHECK")</x:f>
        <x:v>PASS</x:v>
      </x:c>
      <x:c r="V93" s="20" t="str">
        <x:f>IF(COUNTIF($B$5:$B$148,B93)=1,"PASS","DUPLICATE")</x:f>
        <x:v>PASS</x:v>
      </x:c>
      <x:c r="W93" s="20" t="str">
        <x:f>C93&amp;" / "&amp;E93&amp;" / "&amp;G93&amp;" / "&amp;B93</x:f>
        <x:v>SF-02 / IR-02-01 / SR-02-01-02 / AR-L3-MS-RangeBatchLookup-071</x:v>
      </x:c>
    </x:row>
    <x:row r="94" ht="97.19999694824219" hidden="0" customHeight="1">
      <x:c r="A94" s="20" t="n">
        <x:v>90</x:v>
      </x:c>
      <x:c r="B94" s="20" t="str">
        <x:v>AR-L3-SE-QueryPlanFastPath-072</x:v>
      </x:c>
      <x:c r="C94" s="20" t="str">
        <x:v>SF-01</x:v>
      </x:c>
      <x:c r="D94" s="20" t="str">
        <x:v>统一服务接入与推理消费</x:v>
      </x:c>
      <x:c r="E94" s="20" t="str">
        <x:v>IR-01-02</x:v>
      </x:c>
      <x:c r="F94" s="20" t="str">
        <x:v>缓存感知调度与收益准入</x:v>
      </x:c>
      <x:c r="G94" s="20" t="str">
        <x:v>SR-01-02-03</x:v>
      </x:c>
      <x:c r="H94" s="20" t="str">
        <x:v>可消费判定与QueryPlan快速路径</x:v>
      </x:c>
      <x:c r="I94" s="20" t="str">
        <x:v>L3-SE-QueryPlanFastPath-072</x:v>
      </x:c>
      <x:c r="J94" s="20" t="str">
        <x:v>L3 传输管理层</x:v>
      </x:c>
      <x:c r="K94" s="20" t="str">
        <x:v>语义策略与路径管理</x:v>
      </x:c>
      <x:c r="L94" s="20" t="str">
        <x:v>P0</x:v>
      </x:c>
      <x:c r="M94" s="20" t="str">
        <x:v>P0</x:v>
      </x:c>
      <x:c r="N94" s="20" t="str">
        <x:v>软件主线</x:v>
      </x:c>
      <x:c r="O94" s="20" t="str">
        <x:v>TTFT 关键路径上的单次查询决策</x:v>
      </x:c>
      <x:c r="P94" s="20"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Q94" s="20" t="str">
        <x:v>确保底层物理存储直接向外暴露“可执行查询计划(QueryPlan)”，而非裸机物理地址(Raw Address)。</x:v>
      </x:c>
      <x:c r="R94" s="20" t="str">
        <x:v>验证 L1 层接收到的所有响应必须是标准 QueryPlan 结构，包括源 Placement 和 Expected_load_us。</x:v>
      </x:c>
      <x:c r="S94" s="20" t="str">
        <x:v>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x:v>
      </x:c>
      <x:c r="T94"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x:v>
      </x:c>
      <x:c r="U94" s="20" t="str">
        <x:f>IF(COUNTIF('SF-IR-SR定义'!$B$5:$B$79,G94)=1,"PASS","CHECK")</x:f>
        <x:v>PASS</x:v>
      </x:c>
      <x:c r="V94" s="20" t="str">
        <x:f>IF(COUNTIF($B$5:$B$148,B94)=1,"PASS","DUPLICATE")</x:f>
        <x:v>PASS</x:v>
      </x:c>
      <x:c r="W94" s="20" t="str">
        <x:f>C94&amp;" / "&amp;E94&amp;" / "&amp;G94&amp;" / "&amp;B94</x:f>
        <x:v>SF-01 / IR-01-02 / SR-01-02-03 / AR-L3-SE-QueryPlanFastPath-072</x:v>
      </x:c>
    </x:row>
    <x:row r="95" ht="86.4000015258789" hidden="0" customHeight="1">
      <x:c r="A95" s="20" t="n">
        <x:v>91</x:v>
      </x:c>
      <x:c r="B95" s="20" t="str">
        <x:v>AR-L3-MS-DirectoryShardPolicy-073</x:v>
      </x:c>
      <x:c r="C95" s="20" t="str">
        <x:v>SF-02</x:v>
      </x:c>
      <x:c r="D95" s="20" t="str">
        <x:v>全局前缀目录与分布式元数据服务</x:v>
      </x:c>
      <x:c r="E95" s="20" t="str">
        <x:v>IR-02-02</x:v>
      </x:c>
      <x:c r="F95" s="20" t="str">
        <x:v>分布式目录、分片与多副本位置</x:v>
      </x:c>
      <x:c r="G95" s="20" t="str">
        <x:v>SR-02-02-01</x:v>
      </x:c>
      <x:c r="H95" s="20" t="str">
        <x:v>目录Schema、分片、镜像与复制</x:v>
      </x:c>
      <x:c r="I95" s="20" t="str">
        <x:v>L3-MS-DirectoryShardPolicy-073</x:v>
      </x:c>
      <x:c r="J95" s="20" t="str">
        <x:v>L3 传输管理层</x:v>
      </x:c>
      <x:c r="K95" s="20" t="str">
        <x:v>前缀目录与元数据平面</x:v>
      </x:c>
      <x:c r="L95" s="20" t="str">
        <x:v>P1</x:v>
      </x:c>
      <x:c r="M95" s="20" t="str">
        <x:v>P1</x:v>
      </x:c>
      <x:c r="N95" s="20" t="str">
        <x:v>软件主线</x:v>
      </x:c>
      <x:c r="O95" s="20" t="str">
        <x:v>热点前缀目录分片与镜像</x:v>
      </x:c>
      <x:c r="P95" s="20" t="str">
        <x:v>本需求要求 prefix directory 支持按 semantic identity、prefix hash、tenant/domain、model namespace 进行分片，并对 hot prefix 支持本地镜像和多副本目录，避免公共 system prompt、agent tool schema、RAG 模板等热点 prefix 造成单点目录瓶颈。</x:v>
      </x:c>
      <x:c r="Q95" s="20" t="str">
        <x:v>Prefix命中判定P99耗时 &lt; 200us；在Share-Prefix业务下，Usable Hit Rate提升≥15%。</x:v>
      </x:c>
      <x:c r="R95" s="20" t="str">
        <x:v>使用ShareGPT数据集构造并发度上千(1K~5K QPS)的多轮对话负载，监控/metrics接口的prefix_lookup_latency指标，要求P99小于200us为达标。</x:v>
      </x:c>
      <x:c r="S95" s="20" t="str">
        <x:v>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x:v>
      </x:c>
      <x:c r="T95"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x:v>
      </x:c>
      <x:c r="U95" s="20" t="str">
        <x:f>IF(COUNTIF('SF-IR-SR定义'!$B$5:$B$79,G95)=1,"PASS","CHECK")</x:f>
        <x:v>PASS</x:v>
      </x:c>
      <x:c r="V95" s="20" t="str">
        <x:f>IF(COUNTIF($B$5:$B$148,B95)=1,"PASS","DUPLICATE")</x:f>
        <x:v>PASS</x:v>
      </x:c>
      <x:c r="W95" s="20" t="str">
        <x:f>C95&amp;" / "&amp;E95&amp;" / "&amp;G95&amp;" / "&amp;B95</x:f>
        <x:v>SF-02 / IR-02-02 / SR-02-02-01 / AR-L3-MS-DirectoryShardPolicy-073</x:v>
      </x:c>
    </x:row>
    <x:row r="96" ht="86.4000015258789" hidden="0" customHeight="1">
      <x:c r="A96" s="20" t="n">
        <x:v>92</x:v>
      </x:c>
      <x:c r="B96" s="20" t="str">
        <x:v>AR-L3-MS-MetadataCompactLayout-074</x:v>
      </x:c>
      <x:c r="C96" s="20" t="str">
        <x:v>SF-02</x:v>
      </x:c>
      <x:c r="D96" s="20" t="str">
        <x:v>全局前缀目录与分布式元数据服务</x:v>
      </x:c>
      <x:c r="E96" s="20" t="str">
        <x:v>IR-02-03</x:v>
      </x:c>
      <x:c r="F96" s="20" t="str">
        <x:v>元数据内存语义与发布一致性</x:v>
      </x:c>
      <x:c r="G96" s="20" t="str">
        <x:v>SR-02-03-01</x:v>
      </x:c>
      <x:c r="H96" s="20" t="str">
        <x:v>元数据热路径与紧凑检索布局</x:v>
      </x:c>
      <x:c r="I96" s="20" t="str">
        <x:v>L3-MS-MetadataCompactLayout-074</x:v>
      </x:c>
      <x:c r="J96" s="20" t="str">
        <x:v>L3 传输管理层</x:v>
      </x:c>
      <x:c r="K96" s="20" t="str">
        <x:v>前缀目录与元数据平面</x:v>
      </x:c>
      <x:c r="L96" s="20" t="str">
        <x:v>P1</x:v>
      </x:c>
      <x:c r="M96" s="20" t="str">
        <x:v>P1</x:v>
      </x:c>
      <x:c r="N96" s="20" t="str">
        <x:v>软件主线</x:v>
      </x:c>
      <x:c r="O96" s="20" t="str">
        <x:v>前缀元数据查询结构优化</x:v>
      </x:c>
      <x:c r="P96" s="20"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Q96" s="20" t="str">
        <x:v>Prefix命中判定P99耗时 &lt; 200us；在Share-Prefix业务下，Usable Hit Rate提升≥15%。</x:v>
      </x:c>
      <x:c r="R96" s="20" t="str">
        <x:v>使用ShareGPT数据集构造并发度上千(1K~5K QPS)的多轮对话负载，监控/metrics接口的prefix_lookup_latency指标，要求P99小于200us为达标。</x:v>
      </x:c>
      <x:c r="S96" s="20" t="str">
        <x:v>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x:v>
      </x:c>
      <x:c r="T96"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x:v>
      </x:c>
      <x:c r="U96" s="20" t="str">
        <x:f>IF(COUNTIF('SF-IR-SR定义'!$B$5:$B$79,G96)=1,"PASS","CHECK")</x:f>
        <x:v>PASS</x:v>
      </x:c>
      <x:c r="V96" s="20" t="str">
        <x:f>IF(COUNTIF($B$5:$B$148,B96)=1,"PASS","DUPLICATE")</x:f>
        <x:v>PASS</x:v>
      </x:c>
      <x:c r="W96" s="20" t="str">
        <x:f>C96&amp;" / "&amp;E96&amp;" / "&amp;G96&amp;" / "&amp;B96</x:f>
        <x:v>SF-02 / IR-02-03 / SR-02-03-01 / AR-L3-MS-MetadataCompactLayout-074</x:v>
      </x:c>
    </x:row>
    <x:row r="97" ht="86.4000015258789" hidden="0" customHeight="1">
      <x:c r="A97" s="20" t="n">
        <x:v>93</x:v>
      </x:c>
      <x:c r="B97" s="20" t="str">
        <x:v>AR-L3-MC-KVBlockStorageSchema-075</x:v>
      </x:c>
      <x:c r="C97" s="20" t="str">
        <x:v>SF-03</x:v>
      </x:c>
      <x:c r="D97" s="20" t="str">
        <x:v>统一KV对象与异构存储池管理</x:v>
      </x:c>
      <x:c r="E97" s="20" t="str">
        <x:v>IR-03-01</x:v>
      </x:c>
      <x:c r="F97" s="20" t="str">
        <x:v>KV对象、存储布局与统一寻址</x:v>
      </x:c>
      <x:c r="G97" s="20" t="str">
        <x:v>SR-03-01-01</x:v>
      </x:c>
      <x:c r="H97" s="20" t="str">
        <x:v>KV容量规格、Block Schema与Extent Manifest</x:v>
      </x:c>
      <x:c r="I97" s="20" t="str">
        <x:v>L3-MC-KVBlockStorageSchema-075</x:v>
      </x:c>
      <x:c r="J97" s="20" t="str">
        <x:v>L3 传输管理层</x:v>
      </x:c>
      <x:c r="K97" s="20" t="str">
        <x:v>统一存储池与分层管理</x:v>
      </x:c>
      <x:c r="L97" s="20" t="str">
        <x:v>P0</x:v>
      </x:c>
      <x:c r="M97" s="20" t="str">
        <x:v>P0</x:v>
      </x:c>
      <x:c r="N97" s="20" t="str">
        <x:v>软硬接口/硬件协同</x:v>
      </x:c>
      <x:c r="O97" s="20" t="str">
        <x:v>KV 块跨介质统一存储结构</x:v>
      </x:c>
      <x:c r="P97" s="20" t="str">
        <x:v>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Q97" s="20" t="str">
        <x:v>节点动态加入/退出时的缓存失效控制在局部范围内（遵循一致性哈希比例）。</x:v>
      </x:c>
      <x:c r="R97" s="20" t="str">
        <x:v>在千卡规模集群(64+节点)压测期间，随机Kill掉1-2个节点并拉起新节点（Chaos Testing），监控Hit Rate曲线，要求降幅符合理论比例且系统在5秒内自动恢复。</x:v>
      </x:c>
      <x:c r="S97" s="20" t="str">
        <x:v>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x:v>
      </x:c>
      <x:c r="T97"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x:v>
      </x:c>
      <x:c r="U97" s="20" t="str">
        <x:f>IF(COUNTIF('SF-IR-SR定义'!$B$5:$B$79,G97)=1,"PASS","CHECK")</x:f>
        <x:v>PASS</x:v>
      </x:c>
      <x:c r="V97" s="20" t="str">
        <x:f>IF(COUNTIF($B$5:$B$148,B97)=1,"PASS","DUPLICATE")</x:f>
        <x:v>PASS</x:v>
      </x:c>
      <x:c r="W97" s="20" t="str">
        <x:f>C97&amp;" / "&amp;E97&amp;" / "&amp;G97&amp;" / "&amp;B97</x:f>
        <x:v>SF-03 / IR-03-01 / SR-03-01-01 / AR-L3-MC-KVBlockStorageSchema-075</x:v>
      </x:c>
    </x:row>
    <x:row r="98" ht="97.19999694824219" hidden="0" customHeight="1">
      <x:c r="A98" s="20" t="n">
        <x:v>94</x:v>
      </x:c>
      <x:c r="B98" s="20" t="str">
        <x:v>AR-L3-MC-ExtentManifest-076</x:v>
      </x:c>
      <x:c r="C98" s="20" t="str">
        <x:v>SF-03</x:v>
      </x:c>
      <x:c r="D98" s="20" t="str">
        <x:v>统一KV对象与异构存储池管理</x:v>
      </x:c>
      <x:c r="E98" s="20" t="str">
        <x:v>IR-03-01</x:v>
      </x:c>
      <x:c r="F98" s="20" t="str">
        <x:v>KV对象、存储布局与统一寻址</x:v>
      </x:c>
      <x:c r="G98" s="20" t="str">
        <x:v>SR-03-01-01</x:v>
      </x:c>
      <x:c r="H98" s="20" t="str">
        <x:v>KV容量规格、Block Schema与Extent Manifest</x:v>
      </x:c>
      <x:c r="I98" s="20" t="str">
        <x:v>L3-MC-ExtentManifest-076</x:v>
      </x:c>
      <x:c r="J98" s="20" t="str">
        <x:v>L3 传输管理层</x:v>
      </x:c>
      <x:c r="K98" s="20" t="str">
        <x:v>统一存储池与分层管理</x:v>
      </x:c>
      <x:c r="L98" s="20" t="str">
        <x:v>P0</x:v>
      </x:c>
      <x:c r="M98" s="20" t="str">
        <x:v>P0</x:v>
      </x:c>
      <x:c r="N98" s="20" t="str">
        <x:v>软硬接口/硬件协同</x:v>
      </x:c>
      <x:c r="O98" s="20" t="str">
        <x:v>非连续 KV 块存储与批量传输</x:v>
      </x:c>
      <x:c r="P98" s="20" t="str">
        <x:v>本需求要求为每个 KV object 维护 extent manifest，将逻辑 KV page/block 映射到物理 HBM/DDR/SSD/RDMA/UB extent；manifest 必须支持非连续物理块、连续逻辑区间、cross-layer block、page-first layout 和分层副本记录。</x:v>
      </x:c>
      <x:c r="Q98" s="20" t="str">
        <x:v>全局内存利用率提升至≥85%，跨级冷热数据迁移过程中的TPOT抖动 &lt; 5%。</x:v>
      </x:c>
      <x:c r="R98" s="20" t="str">
        <x:v>采用LMSYS Chatbot Arena长会话数据集满载运行，后台通过API强制触发Tiering Down，监控前台Decode TPOT，要求波动振幅在5%以内视为达标。</x:v>
      </x:c>
      <x:c r="S98" s="20" t="str">
        <x:v>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x:v>
      </x:c>
      <x:c r="T98"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x:v>
      </x:c>
      <x:c r="U98" s="20" t="str">
        <x:f>IF(COUNTIF('SF-IR-SR定义'!$B$5:$B$79,G98)=1,"PASS","CHECK")</x:f>
        <x:v>PASS</x:v>
      </x:c>
      <x:c r="V98" s="20" t="str">
        <x:f>IF(COUNTIF($B$5:$B$148,B98)=1,"PASS","DUPLICATE")</x:f>
        <x:v>PASS</x:v>
      </x:c>
      <x:c r="W98" s="20" t="str">
        <x:f>C98&amp;" / "&amp;E98&amp;" / "&amp;G98&amp;" / "&amp;B98</x:f>
        <x:v>SF-03 / IR-03-01 / SR-03-01-01 / AR-L3-MC-ExtentManifest-076</x:v>
      </x:c>
    </x:row>
    <x:row r="99" ht="97.19999694824219" hidden="0" customHeight="1">
      <x:c r="A99" s="20" t="n">
        <x:v>95</x:v>
      </x:c>
      <x:c r="B99" s="20" t="str">
        <x:v>AR-L3-MC-PageExtentAllocator-077</x:v>
      </x:c>
      <x:c r="C99" s="20" t="str">
        <x:v>SF-03</x:v>
      </x:c>
      <x:c r="D99" s="20" t="str">
        <x:v>统一KV对象与异构存储池管理</x:v>
      </x:c>
      <x:c r="E99" s="20" t="str">
        <x:v>IR-03-02</x:v>
      </x:c>
      <x:c r="F99" s="20" t="str">
        <x:v>异构池分配、分层与介质角色</x:v>
      </x:c>
      <x:c r="G99" s="20" t="str">
        <x:v>SR-03-02-01</x:v>
      </x:c>
      <x:c r="H99" s="20" t="str">
        <x:v>全局池、NUMA/UB分配与Extent分配器</x:v>
      </x:c>
      <x:c r="I99" s="20" t="str">
        <x:v>L3-MC-PageExtentAllocator-077</x:v>
      </x:c>
      <x:c r="J99" s="20" t="str">
        <x:v>L3 传输管理层</x:v>
      </x:c>
      <x:c r="K99" s="20" t="str">
        <x:v>统一存储池与分层管理</x:v>
      </x:c>
      <x:c r="L99" s="20" t="str">
        <x:v>P1</x:v>
      </x:c>
      <x:c r="M99" s="20" t="str">
        <x:v>P1</x:v>
      </x:c>
      <x:c r="N99" s="20" t="str">
        <x:v>软件主线</x:v>
      </x:c>
      <x:c r="O99" s="20" t="str">
        <x:v>长周期运行下 KV 存储碎片控制</x:v>
      </x:c>
      <x:c r="P99" s="20" t="str">
        <x:v>本需求要求统一 KV 内存池实现 page/extent allocator，支持按 layer、page、rank、tier 分配物理空间，并支持 split、merge、coalesce、relocate 和 defrag hint，避免长期运行后小块碎片破坏 bulk descriptor 合并效率。</x:v>
      </x:c>
      <x:c r="Q99" s="20" t="str">
        <x:v>节点动态加入/退出时的缓存失效控制在局部范围内（遵循一致性哈希比例）。</x:v>
      </x:c>
      <x:c r="R99" s="20" t="str">
        <x:v>在千卡规模集群(64+节点)压测期间，随机Kill掉1-2个节点并拉起新节点（Chaos Testing），监控Hit Rate曲线，要求降幅符合理论比例且系统在5秒内自动恢复。</x:v>
      </x:c>
      <x:c r="S99" s="20" t="str">
        <x:v>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x:v>
      </x:c>
      <x:c r="T99"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x:v>
      </x:c>
      <x:c r="U99" s="20" t="str">
        <x:f>IF(COUNTIF('SF-IR-SR定义'!$B$5:$B$79,G99)=1,"PASS","CHECK")</x:f>
        <x:v>PASS</x:v>
      </x:c>
      <x:c r="V99" s="20" t="str">
        <x:f>IF(COUNTIF($B$5:$B$148,B99)=1,"PASS","DUPLICATE")</x:f>
        <x:v>PASS</x:v>
      </x:c>
      <x:c r="W99" s="20" t="str">
        <x:f>C99&amp;" / "&amp;E99&amp;" / "&amp;G99&amp;" / "&amp;B99</x:f>
        <x:v>SF-03 / IR-03-02 / SR-03-02-01 / AR-L3-MC-PageExtentAllocator-077</x:v>
      </x:c>
    </x:row>
    <x:row r="100" ht="97.19999694824219" hidden="0" customHeight="1">
      <x:c r="A100" s="20" t="n">
        <x:v>96</x:v>
      </x:c>
      <x:c r="B100" s="20" t="str">
        <x:v>AR-L3-MC-LayoutTransformPlan-078</x:v>
      </x:c>
      <x:c r="C100" s="20" t="str">
        <x:v>SF-03</x:v>
      </x:c>
      <x:c r="D100" s="20" t="str">
        <x:v>统一KV对象与异构存储池管理</x:v>
      </x:c>
      <x:c r="E100" s="20" t="str">
        <x:v>IR-03-01</x:v>
      </x:c>
      <x:c r="F100" s="20" t="str">
        <x:v>KV对象、存储布局与统一寻址</x:v>
      </x:c>
      <x:c r="G100" s="20" t="str">
        <x:v>SR-03-01-02</x:v>
      </x:c>
      <x:c r="H100" s="20" t="str">
        <x:v>Layout协商、转换计划与Descriptor生成</x:v>
      </x:c>
      <x:c r="I100" s="20" t="str">
        <x:v>L3-MC-LayoutTransformPlan-078</x:v>
      </x:c>
      <x:c r="J100" s="20" t="str">
        <x:v>L3 传输管理层</x:v>
      </x:c>
      <x:c r="K100" s="20" t="str">
        <x:v>统一存储池与分层管理</x:v>
      </x:c>
      <x:c r="L100" s="20" t="str">
        <x:v>P1</x:v>
      </x:c>
      <x:c r="M100" s="20" t="str">
        <x:v>P1</x:v>
      </x:c>
      <x:c r="N100" s="20" t="str">
        <x:v>软件主线</x:v>
      </x:c>
      <x:c r="O100" s="20" t="str">
        <x:v>HND/NHD/page-first/cross-layer 布局兼容</x:v>
      </x:c>
      <x:c r="P100" s="20" t="str">
        <x:v>本需求要求当源 KV layout 与目标 attention runtime layout 不一致时，统一 KV 内存池必须生成 layout transform plan，明确是否需要 permute、copy-to-HBM、cross-layer regroup、dtype/scale 转换或直接拒绝复用。</x:v>
      </x:c>
      <x:c r="Q100" s="20" t="str">
        <x:v>节点动态加入/退出时的缓存失效控制在局部范围内（遵循一致性哈希比例）。</x:v>
      </x:c>
      <x:c r="R100" s="20" t="str">
        <x:v>在千卡规模集群(64+节点)压测期间，随机Kill掉1-2个节点并拉起新节点（Chaos Testing），监控Hit Rate曲线，要求降幅符合理论比例且系统在5秒内自动恢复。</x:v>
      </x:c>
      <x:c r="S100" s="20" t="str">
        <x:v>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x:v>
      </x:c>
      <x:c r="T100"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x:v>
      </x:c>
      <x:c r="U100" s="20" t="str">
        <x:f>IF(COUNTIF('SF-IR-SR定义'!$B$5:$B$79,G100)=1,"PASS","CHECK")</x:f>
        <x:v>PASS</x:v>
      </x:c>
      <x:c r="V100" s="20" t="str">
        <x:f>IF(COUNTIF($B$5:$B$148,B100)=1,"PASS","DUPLICATE")</x:f>
        <x:v>PASS</x:v>
      </x:c>
      <x:c r="W100" s="20" t="str">
        <x:f>C100&amp;" / "&amp;E100&amp;" / "&amp;G100&amp;" / "&amp;B100</x:f>
        <x:v>SF-03 / IR-03-01 / SR-03-01-02 / AR-L3-MC-LayoutTransformPlan-078</x:v>
      </x:c>
    </x:row>
    <x:row r="101" ht="97.19999694824219" hidden="0" customHeight="1">
      <x:c r="A101" s="20" t="n">
        <x:v>97</x:v>
      </x:c>
      <x:c r="B101" s="20" t="str">
        <x:v>AR-L3-SE-DescriptorFromManifest-079</x:v>
      </x:c>
      <x:c r="C101" s="20" t="str">
        <x:v>SF-03</x:v>
      </x:c>
      <x:c r="D101" s="20" t="str">
        <x:v>统一KV对象与异构存储池管理</x:v>
      </x:c>
      <x:c r="E101" s="20" t="str">
        <x:v>IR-03-01</x:v>
      </x:c>
      <x:c r="F101" s="20" t="str">
        <x:v>KV对象、存储布局与统一寻址</x:v>
      </x:c>
      <x:c r="G101" s="20" t="str">
        <x:v>SR-03-01-02</x:v>
      </x:c>
      <x:c r="H101" s="20" t="str">
        <x:v>Layout协商、转换计划与Descriptor生成</x:v>
      </x:c>
      <x:c r="I101" s="20" t="str">
        <x:v>L3-SE-DescriptorFromManifest-079</x:v>
      </x:c>
      <x:c r="J101" s="20" t="str">
        <x:v>L3 传输管理层</x:v>
      </x:c>
      <x:c r="K101" s="20" t="str">
        <x:v>语义策略与路径管理</x:v>
      </x:c>
      <x:c r="L101" s="20" t="str">
        <x:v>P0</x:v>
      </x:c>
      <x:c r="M101" s="20" t="str">
        <x:v>P0</x:v>
      </x:c>
      <x:c r="N101" s="20" t="str">
        <x:v>软件主线</x:v>
      </x:c>
      <x:c r="O101" s="20" t="str">
        <x:v>从 KV 存储结构自动生成高效传输描述符</x:v>
      </x:c>
      <x:c r="P101" s="20" t="str">
        <x:v>本需求要求 Transfer Manager 能根据 extent manifest 自动生成 scatter-gather bulk descriptor，并按 max descriptor count、alignment、min transfer granularity、target tier 和 backend capability 进行 coalescing，减少逐 block 传输提交开销。</x:v>
      </x:c>
      <x:c r="Q101" s="20" t="str">
        <x:v>节点动态加入/退出时的缓存失效控制在局部范围内（遵循一致性哈希比例）。</x:v>
      </x:c>
      <x:c r="R101" s="20" t="str">
        <x:v>在千卡规模集群(64+节点)压测期间，随机Kill掉1-2个节点并拉起新节点（Chaos Testing），监控Hit Rate曲线，要求降幅符合理论比例且系统在5秒内自动恢复。</x:v>
      </x:c>
      <x:c r="S101" s="20" t="str">
        <x:v>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x:v>
      </x:c>
      <x:c r="T101"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x:v>
      </x:c>
      <x:c r="U101" s="20" t="str">
        <x:f>IF(COUNTIF('SF-IR-SR定义'!$B$5:$B$79,G101)=1,"PASS","CHECK")</x:f>
        <x:v>PASS</x:v>
      </x:c>
      <x:c r="V101" s="20" t="str">
        <x:f>IF(COUNTIF($B$5:$B$148,B101)=1,"PASS","DUPLICATE")</x:f>
        <x:v>PASS</x:v>
      </x:c>
      <x:c r="W101" s="20" t="str">
        <x:f>C101&amp;" / "&amp;E101&amp;" / "&amp;G101&amp;" / "&amp;B101</x:f>
        <x:v>SF-03 / IR-03-01 / SR-03-01-02 / AR-L3-SE-DescriptorFromManifest-079</x:v>
      </x:c>
    </x:row>
    <x:row r="102" ht="86.4000015258789" hidden="0" customHeight="1">
      <x:c r="A102" s="20" t="n">
        <x:v>98</x:v>
      </x:c>
      <x:c r="B102" s="20" t="str">
        <x:v>AR-L3-CO-KVOwnershipGC-080</x:v>
      </x:c>
      <x:c r="C102" s="20" t="str">
        <x:v>SF-05</x:v>
      </x:c>
      <x:c r="D102" s="20" t="str">
        <x:v>一致性、安全、完整性与故障恢复</x:v>
      </x:c>
      <x:c r="E102" s="20" t="str">
        <x:v>IR-05-02</x:v>
      </x:c>
      <x:c r="F102" s="20" t="str">
        <x:v>租约、引用计数与并发所有权</x:v>
      </x:c>
      <x:c r="G102" s="20" t="str">
        <x:v>SR-05-02-01</x:v>
      </x:c>
      <x:c r="H102" s="20" t="str">
        <x:v>Lease、RefCount、Ownership GC与安全下线</x:v>
      </x:c>
      <x:c r="I102" s="20" t="str">
        <x:v>L3-CO-KVOwnershipGC-080</x:v>
      </x:c>
      <x:c r="J102" s="20" t="str">
        <x:v>L3 传输管理层</x:v>
      </x:c>
      <x:c r="K102" s="20" t="str">
        <x:v>一致性、隔离与QoS</x:v>
      </x:c>
      <x:c r="L102" s="20" t="str">
        <x:v>P0</x:v>
      </x:c>
      <x:c r="M102" s="20" t="str">
        <x:v>P0</x:v>
      </x:c>
      <x:c r="N102" s="20" t="str">
        <x:v>软件主线</x:v>
      </x:c>
      <x:c r="O102" s="20" t="str">
        <x:v>KV 对象所有权与异常回收</x:v>
      </x:c>
      <x:c r="P102" s="20" t="str">
        <x:v>本需求要求统一 KV 内存池维护 KV object owner、producer、consumer、lease holder、replica owner 和 GC owner；当 producer 崩溃、consumer 超时、request abort、节点下线或 lease 过期时，系统必须能识别 orphan KV 并执行回收、降级、重建或 quarantine。</x:v>
      </x:c>
      <x:c r="Q102" s="20" t="str">
        <x:v>节点动态加入/退出时的缓存失效控制在局部范围内（遵循一致性哈希比例）。</x:v>
      </x:c>
      <x:c r="R102" s="20" t="str">
        <x:v>在千卡规模集群(64+节点)压测期间，随机Kill掉1-2个节点并拉起新节点（Chaos Testing），监控Hit Rate曲线，要求降幅符合理论比例且系统在5秒内自动恢复。</x:v>
      </x:c>
      <x:c r="S102" s="20" t="str">
        <x:v>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x:v>
      </x:c>
      <x:c r="T102" s="20"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x:v>
      </x:c>
      <x:c r="U102" s="20" t="str">
        <x:f>IF(COUNTIF('SF-IR-SR定义'!$B$5:$B$79,G102)=1,"PASS","CHECK")</x:f>
        <x:v>PASS</x:v>
      </x:c>
      <x:c r="V102" s="20" t="str">
        <x:f>IF(COUNTIF($B$5:$B$148,B102)=1,"PASS","DUPLICATE")</x:f>
        <x:v>PASS</x:v>
      </x:c>
      <x:c r="W102" s="20" t="str">
        <x:f>C102&amp;" / "&amp;E102&amp;" / "&amp;G102&amp;" / "&amp;B102</x:f>
        <x:v>SF-05 / IR-05-02 / SR-05-02-01 / AR-L3-CO-KVOwnershipGC-080</x:v>
      </x:c>
    </x:row>
    <x:row r="103" ht="97.19999694824219" hidden="0" customHeight="1">
      <x:c r="A103" s="20" t="n">
        <x:v>99</x:v>
      </x:c>
      <x:c r="B103" s="20" t="str">
        <x:v>AR-L3-MS-StateAwarePrefetch-081</x:v>
      </x:c>
      <x:c r="C103" s="20" t="str">
        <x:v>SF-04</x:v>
      </x:c>
      <x:c r="D103" s="20" t="str">
        <x:v>传输创新底座与多介质数据路径</x:v>
      </x:c>
      <x:c r="E103" s="20" t="str">
        <x:v>IR-04-03</x:v>
      </x:c>
      <x:c r="F103" s="20" t="str">
        <x:v>批量传输、预取、流式恢复与广播</x:v>
      </x:c>
      <x:c r="G103" s="20" t="str">
        <x:v>SR-04-03-02</x:v>
      </x:c>
      <x:c r="H103" s="20" t="str">
        <x:v>状态感知预取与时延隐藏</x:v>
      </x:c>
      <x:c r="I103" s="20" t="str">
        <x:v>L3-MS-StateAwarePrefetch-081</x:v>
      </x:c>
      <x:c r="J103" s="20" t="str">
        <x:v>L3 传输管理层</x:v>
      </x:c>
      <x:c r="K103" s="20" t="str">
        <x:v>传输编排与广播</x:v>
      </x:c>
      <x:c r="L103" s="20" t="str">
        <x:v>P1</x:v>
      </x:c>
      <x:c r="M103" s="20" t="str">
        <x:v>P1</x:v>
      </x:c>
      <x:c r="N103" s="20" t="str">
        <x:v>软件主线</x:v>
      </x:c>
      <x:c r="O103" s="20" t="str">
        <x:v>状态感知的 KV 预取</x:v>
      </x:c>
      <x:c r="P103" s="20" t="str">
        <x:v>本需求要求预取引擎必须感知 KV object state 和 placement state：对 READY 远端副本可预取，对 MIGRATING 副本延迟或改选源，对 EVICTING 副本禁止预取，对 TOMBSTONE/FAILED 副本直接返回 miss。</x:v>
      </x:c>
      <x:c r="Q103" s="20" t="str">
        <x:v>节点动态加入/退出时的缓存失效控制在局部范围内（遵循一致性哈希比例）。</x:v>
      </x:c>
      <x:c r="R103" s="20" t="str">
        <x:v>在千卡规模集群(64+节点)压测期间，随机Kill掉1-2个节点并拉起新节点（Chaos Testing），监控Hit Rate曲线，要求降幅符合理论比例且系统在5秒内自动恢复。</x:v>
      </x:c>
      <x:c r="S103" s="20" t="str">
        <x:v>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x:v>
      </x:c>
      <x:c r="T103" s="20"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x:v>
      </x:c>
      <x:c r="U103" s="20" t="str">
        <x:f>IF(COUNTIF('SF-IR-SR定义'!$B$5:$B$79,G103)=1,"PASS","CHECK")</x:f>
        <x:v>PASS</x:v>
      </x:c>
      <x:c r="V103" s="20" t="str">
        <x:f>IF(COUNTIF($B$5:$B$148,B103)=1,"PASS","DUPLICATE")</x:f>
        <x:v>PASS</x:v>
      </x:c>
      <x:c r="W103" s="20" t="str">
        <x:f>C103&amp;" / "&amp;E103&amp;" / "&amp;G103&amp;" / "&amp;B103</x:f>
        <x:v>SF-04 / IR-04-03 / SR-04-03-02 / AR-L3-MS-StateAwarePrefetch-081</x:v>
      </x:c>
    </x:row>
    <x:row r="104" ht="97.19999694824219" hidden="0" customHeight="1">
      <x:c r="A104" s="20" t="n">
        <x:v>100</x:v>
      </x:c>
      <x:c r="B104" s="20" t="str">
        <x:v>AR-L3-MS-StateAwareEviction-082</x:v>
      </x:c>
      <x:c r="C104" s="20" t="str">
        <x:v>SF-03</x:v>
      </x:c>
      <x:c r="D104" s="20" t="str">
        <x:v>统一KV对象与异构存储池管理</x:v>
      </x:c>
      <x:c r="E104" s="20" t="str">
        <x:v>IR-03-03</x:v>
      </x:c>
      <x:c r="F104" s="20" t="str">
        <x:v>生命周期、放置、淘汰与迁移</x:v>
      </x:c>
      <x:c r="G104" s="20" t="str">
        <x:v>SR-03-03-01</x:v>
      </x:c>
      <x:c r="H104" s="20" t="str">
        <x:v>KV对象状态机、生命周期与状态感知淘汰</x:v>
      </x:c>
      <x:c r="I104" s="20" t="str">
        <x:v>L3-MS-StateAwareEviction-082</x:v>
      </x:c>
      <x:c r="J104" s="20" t="str">
        <x:v>L3 传输管理层</x:v>
      </x:c>
      <x:c r="K104" s="20" t="str">
        <x:v>统一存储池与分层管理</x:v>
      </x:c>
      <x:c r="L104" s="20" t="str">
        <x:v>P0</x:v>
      </x:c>
      <x:c r="M104" s="20" t="str">
        <x:v>P0</x:v>
      </x:c>
      <x:c r="N104" s="20" t="str">
        <x:v>软件主线</x:v>
      </x:c>
      <x:c r="O104" s="20" t="str">
        <x:v>防止活跃 KV 被误淘汰</x:v>
      </x:c>
      <x:c r="P104" s="20" t="str">
        <x:v>本需求要求淘汰/降级决策必须检查 active lease、refcount、ready bitmap、replica count 和 tombstone 状态；ACTIVE_ATTACHED 或唯一可用 READY 副本不得被直接释放，必须先完成副本创建、lease 结束或降级保护。</x:v>
      </x:c>
      <x:c r="Q104" s="20" t="str">
        <x:v>节点动态加入/退出时的缓存失效控制在局部范围内（遵循一致性哈希比例）。</x:v>
      </x:c>
      <x:c r="R104" s="20" t="str">
        <x:v>在千卡规模集群(64+节点)压测期间，随机Kill掉1-2个节点并拉起新节点（Chaos Testing），监控Hit Rate曲线，要求降幅符合理论比例且系统在5秒内自动恢复。</x:v>
      </x:c>
      <x:c r="S104" s="20" t="str">
        <x:v>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x:v>
      </x:c>
      <x:c r="T104"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x:v>
      </x:c>
      <x:c r="U104" s="20" t="str">
        <x:f>IF(COUNTIF('SF-IR-SR定义'!$B$5:$B$79,G104)=1,"PASS","CHECK")</x:f>
        <x:v>PASS</x:v>
      </x:c>
      <x:c r="V104" s="20" t="str">
        <x:f>IF(COUNTIF($B$5:$B$148,B104)=1,"PASS","DUPLICATE")</x:f>
        <x:v>PASS</x:v>
      </x:c>
      <x:c r="W104" s="20" t="str">
        <x:f>C104&amp;" / "&amp;E104&amp;" / "&amp;G104&amp;" / "&amp;B104</x:f>
        <x:v>SF-03 / IR-03-03 / SR-03-03-01 / AR-L3-MS-StateAwareEviction-082</x:v>
      </x:c>
    </x:row>
    <x:row r="105" ht="97.19999694824219" hidden="0" customHeight="1">
      <x:c r="A105" s="20" t="n">
        <x:v>101</x:v>
      </x:c>
      <x:c r="B105" s="20" t="str">
        <x:v>AR-L3-OB-KVStateTrace-083</x:v>
      </x:c>
      <x:c r="C105" s="20" t="str">
        <x:v>SF-06</x:v>
      </x:c>
      <x:c r="D105" s="20" t="str">
        <x:v>性能QoS、收益闭环与平台演进</x:v>
      </x:c>
      <x:c r="E105" s="20" t="str">
        <x:v>IR-06-03</x:v>
      </x:c>
      <x:c r="F105" s="20" t="str">
        <x:v>端到端可观测与收益对账</x:v>
      </x:c>
      <x:c r="G105" s="20" t="str">
        <x:v>SR-06-03-03</x:v>
      </x:c>
      <x:c r="H105" s="20" t="str">
        <x:v>KV状态Trace与运维Inspect API</x:v>
      </x:c>
      <x:c r="I105" s="20" t="str">
        <x:v>L3-OB-KVStateTrace-083</x:v>
      </x:c>
      <x:c r="J105" s="20" t="str">
        <x:v>L3 传输管理层</x:v>
      </x:c>
      <x:c r="K105" s="20" t="str">
        <x:v>全路径观测与故障追踪</x:v>
      </x:c>
      <x:c r="L105" s="20" t="str">
        <x:v>P1</x:v>
      </x:c>
      <x:c r="M105" s="20" t="str">
        <x:v>P1</x:v>
      </x:c>
      <x:c r="N105" s="20" t="str">
        <x:v>软硬接口/硬件协同</x:v>
      </x:c>
      <x:c r="O105" s="20" t="str">
        <x:v>KV 状态迁移可追踪</x:v>
      </x:c>
      <x:c r="P105" s="20" t="str">
        <x:v>本需求要求为每个 KV object 记录状态迁移 trace，至少包含 publish、commit、lookup、load、attach、detach、migrate、evict、invalidate、quarantine 的时间、触发方、旧状态、新状态和失败原因，支撑“命中了但无法消费”的根因定位。</x:v>
      </x:c>
      <x:c r="Q105" s="20" t="str">
        <x:v>节点动态加入/退出时的缓存失效控制在局部范围内（遵循一致性哈希比例）。</x:v>
      </x:c>
      <x:c r="R105" s="20" t="str">
        <x:v>在千卡规模集群(64+节点)压测期间，随机Kill掉1-2个节点并拉起新节点（Chaos Testing），监控Hit Rate曲线，要求降幅符合理论比例且系统在5秒内自动恢复。</x:v>
      </x:c>
      <x:c r="S105" s="20" t="str">
        <x:v>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x:v>
      </x:c>
      <x:c r="T105"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x:v>
      </x:c>
      <x:c r="U105" s="20" t="str">
        <x:f>IF(COUNTIF('SF-IR-SR定义'!$B$5:$B$79,G105)=1,"PASS","CHECK")</x:f>
        <x:v>PASS</x:v>
      </x:c>
      <x:c r="V105" s="20" t="str">
        <x:f>IF(COUNTIF($B$5:$B$148,B105)=1,"PASS","DUPLICATE")</x:f>
        <x:v>PASS</x:v>
      </x:c>
      <x:c r="W105" s="20" t="str">
        <x:f>C105&amp;" / "&amp;E105&amp;" / "&amp;G105&amp;" / "&amp;B105</x:f>
        <x:v>SF-06 / IR-06-03 / SR-06-03-03 / AR-L3-OB-KVStateTrace-083</x:v>
      </x:c>
    </x:row>
    <x:row r="106" ht="86.4000015258789" hidden="0" customHeight="1">
      <x:c r="A106" s="20" t="n">
        <x:v>102</x:v>
      </x:c>
      <x:c r="B106" s="20" t="str">
        <x:v>AR-L3-CTRL-KVInspectAPI-084</x:v>
      </x:c>
      <x:c r="C106" s="20" t="str">
        <x:v>SF-06</x:v>
      </x:c>
      <x:c r="D106" s="20" t="str">
        <x:v>性能QoS、收益闭环与平台演进</x:v>
      </x:c>
      <x:c r="E106" s="20" t="str">
        <x:v>IR-06-03</x:v>
      </x:c>
      <x:c r="F106" s="20" t="str">
        <x:v>端到端可观测与收益对账</x:v>
      </x:c>
      <x:c r="G106" s="20" t="str">
        <x:v>SR-06-03-03</x:v>
      </x:c>
      <x:c r="H106" s="20" t="str">
        <x:v>KV状态Trace与运维Inspect API</x:v>
      </x:c>
      <x:c r="I106" s="20" t="str">
        <x:v>L3-CTRL-KVInspectAPI-084</x:v>
      </x:c>
      <x:c r="J106" s="20" t="str">
        <x:v>L3 传输管理层</x:v>
      </x:c>
      <x:c r="K106" s="20" t="str">
        <x:v>全路径观测与故障追踪</x:v>
      </x:c>
      <x:c r="L106" s="20" t="str">
        <x:v>P2</x:v>
      </x:c>
      <x:c r="M106" s="20" t="str">
        <x:v>P2</x:v>
      </x:c>
      <x:c r="N106" s="20" t="str">
        <x:v>软件主线</x:v>
      </x:c>
      <x:c r="O106" s="20" t="str">
        <x:v>统一 KV 内存池运维排障</x:v>
      </x:c>
      <x:c r="P106" s="20" t="str">
        <x:v>本需求要求提供 KV object inspect 管理接口，可查询 object_id/prefix_hash 对应的 semantic identity、状态机状态、placement 列表、manifest、lease/refcount、version、ready bitmap、last access 和当前推荐消费路径。</x:v>
      </x:c>
      <x:c r="Q106" s="20" t="str">
        <x:v>Prefix命中判定P99耗时 &lt; 200us；在Share-Prefix业务下，Usable Hit Rate提升≥15%。</x:v>
      </x:c>
      <x:c r="R106" s="20" t="str">
        <x:v>使用ShareGPT数据集构造并发度上千(1K~5K QPS)的多轮对话负载，监控/metrics接口的prefix_lookup_latency指标，要求P99小于200us为达标。</x:v>
      </x:c>
      <x:c r="S106" s="20" t="str">
        <x:v>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x:v>
      </x:c>
      <x:c r="T106"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x:v>
      </x:c>
      <x:c r="U106" s="20" t="str">
        <x:f>IF(COUNTIF('SF-IR-SR定义'!$B$5:$B$79,G106)=1,"PASS","CHECK")</x:f>
        <x:v>PASS</x:v>
      </x:c>
      <x:c r="V106" s="20" t="str">
        <x:f>IF(COUNTIF($B$5:$B$148,B106)=1,"PASS","DUPLICATE")</x:f>
        <x:v>PASS</x:v>
      </x:c>
      <x:c r="W106" s="20" t="str">
        <x:f>C106&amp;" / "&amp;E106&amp;" / "&amp;G106&amp;" / "&amp;B106</x:f>
        <x:v>SF-06 / IR-06-03 / SR-06-03-03 / AR-L3-CTRL-KVInspectAPI-084</x:v>
      </x:c>
    </x:row>
    <x:row r="107" ht="97.19999694824219" hidden="0" customHeight="1">
      <x:c r="A107" s="20" t="n">
        <x:v>103</x:v>
      </x:c>
      <x:c r="B107" s="20" t="str">
        <x:v>AR-L3-CO-RefCountLifecycle-086</x:v>
      </x:c>
      <x:c r="C107" s="20" t="str">
        <x:v>SF-05</x:v>
      </x:c>
      <x:c r="D107" s="20" t="str">
        <x:v>一致性、安全、完整性与故障恢复</x:v>
      </x:c>
      <x:c r="E107" s="20" t="str">
        <x:v>IR-05-02</x:v>
      </x:c>
      <x:c r="F107" s="20" t="str">
        <x:v>租约、引用计数与并发所有权</x:v>
      </x:c>
      <x:c r="G107" s="20" t="str">
        <x:v>SR-05-02-01</x:v>
      </x:c>
      <x:c r="H107" s="20" t="str">
        <x:v>Lease、RefCount、Ownership GC与安全下线</x:v>
      </x:c>
      <x:c r="I107" s="20" t="str">
        <x:v>L3-CO-RefCountLifecycle-086</x:v>
      </x:c>
      <x:c r="J107" s="20" t="str">
        <x:v>L3 传输管理层</x:v>
      </x:c>
      <x:c r="K107" s="20" t="str">
        <x:v>一致性、隔离与QoS</x:v>
      </x:c>
      <x:c r="L107" s="20" t="str">
        <x:v>P0</x:v>
      </x:c>
      <x:c r="M107" s="20" t="str">
        <x:v>P0</x:v>
      </x:c>
      <x:c r="N107" s="20" t="str">
        <x:v>软硬接口/硬件协同</x:v>
      </x:c>
      <x:c r="O107" s="20" t="str">
        <x:v>活动计算流中 KVCache 块的驱逐保护</x:v>
      </x:c>
      <x:c r="P107" s="20"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Q107" s="20" t="str">
        <x:v>全局内存利用率提升至≥85%，跨级冷热数据迁移过程中的TPOT抖动 &lt; 5%。</x:v>
      </x:c>
      <x:c r="R107" s="20" t="str">
        <x:v>采用LMSYS Chatbot Arena长会话数据集满载运行，后台通过API强制触发Tiering Down，监控前台Decode TPOT，要求波动振幅在5%以内视为达标。</x:v>
      </x:c>
      <x:c r="S107" s="20" t="str">
        <x:v>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x:v>
      </x:c>
      <x:c r="T107"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x:v>
      </x:c>
      <x:c r="U107" s="20" t="str">
        <x:f>IF(COUNTIF('SF-IR-SR定义'!$B$5:$B$79,G107)=1,"PASS","CHECK")</x:f>
        <x:v>PASS</x:v>
      </x:c>
      <x:c r="V107" s="20" t="str">
        <x:f>IF(COUNTIF($B$5:$B$148,B107)=1,"PASS","DUPLICATE")</x:f>
        <x:v>PASS</x:v>
      </x:c>
      <x:c r="W107" s="20" t="str">
        <x:f>C107&amp;" / "&amp;E107&amp;" / "&amp;G107&amp;" / "&amp;B107</x:f>
        <x:v>SF-05 / IR-05-02 / SR-05-02-01 / AR-L3-CO-RefCountLifecycle-086</x:v>
      </x:c>
    </x:row>
    <x:row r="108" ht="86.4000015258789" hidden="0" customHeight="1">
      <x:c r="A108" s="20" t="n">
        <x:v>104</x:v>
      </x:c>
      <x:c r="B108" s="20" t="str">
        <x:v>AR-L3-MS-AtomicPublishVisibility-087</x:v>
      </x:c>
      <x:c r="C108" s="20" t="str">
        <x:v>SF-02</x:v>
      </x:c>
      <x:c r="D108" s="20" t="str">
        <x:v>全局前缀目录与分布式元数据服务</x:v>
      </x:c>
      <x:c r="E108" s="20" t="str">
        <x:v>IR-02-03</x:v>
      </x:c>
      <x:c r="F108" s="20" t="str">
        <x:v>元数据内存语义与发布一致性</x:v>
      </x:c>
      <x:c r="G108" s="20" t="str">
        <x:v>SR-02-03-02</x:v>
      </x:c>
      <x:c r="H108" s="20" t="str">
        <x:v>元数据原子发布、失效与Stale防护</x:v>
      </x:c>
      <x:c r="I108" s="20" t="str">
        <x:v>L3-MS-AtomicPublishVisibility-087</x:v>
      </x:c>
      <x:c r="J108" s="20" t="str">
        <x:v>L3 传输管理层</x:v>
      </x:c>
      <x:c r="K108" s="20" t="str">
        <x:v>前缀目录与元数据平面</x:v>
      </x:c>
      <x:c r="L108" s="20" t="str">
        <x:v>P0</x:v>
      </x:c>
      <x:c r="M108" s="20" t="str">
        <x:v>P0</x:v>
      </x:c>
      <x:c r="N108" s="20" t="str">
        <x:v>软硬接口/硬件协同</x:v>
      </x:c>
      <x:c r="O108" s="20" t="str">
        <x:v>高吞吐低时延元数据发布一致性</x:v>
      </x:c>
      <x:c r="P108" s="20" t="str">
        <x:v>本需求要求元数据平面实现前缀索引原子化可见性流水线。KVCache 生成并写入时，模型、版本、Tokenizer、Layout 等属性必须完整写入；在对象数据完成、对应路径的 integrity policy 满足且 visibility fence 完成前，前缀索引节点必须保持 Masked。完整性策略可按本地 DDR、远端内存、SSD/object 分别配置，不得把 CPU 计算 Checksum 作为统一前置条件。</x:v>
      </x:c>
      <x:c r="Q108" s="20" t="str">
        <x:v>Prefix命中判定P99耗时 &lt; 200us；在Share-Prefix业务下，Usable Hit Rate提升≥15%。</x:v>
      </x:c>
      <x:c r="R108" s="20" t="str">
        <x:v>使用ShareGPT数据集构造并发度上千(1K~5K QPS)的多轮对话负载，监控/metrics接口的prefix_lookup_latency指标，要求P99小于200us为达标。</x:v>
      </x:c>
      <x:c r="S108" s="20" t="str">
        <x:v>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x:v>
      </x:c>
      <x:c r="T108"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x:v>
      </x:c>
      <x:c r="U108" s="20" t="str">
        <x:f>IF(COUNTIF('SF-IR-SR定义'!$B$5:$B$79,G108)=1,"PASS","CHECK")</x:f>
        <x:v>PASS</x:v>
      </x:c>
      <x:c r="V108" s="20" t="str">
        <x:f>IF(COUNTIF($B$5:$B$148,B108)=1,"PASS","DUPLICATE")</x:f>
        <x:v>PASS</x:v>
      </x:c>
      <x:c r="W108" s="20" t="str">
        <x:f>C108&amp;" / "&amp;E108&amp;" / "&amp;G108&amp;" / "&amp;B108</x:f>
        <x:v>SF-02 / IR-02-03 / SR-02-03-02 / AR-L3-MS-AtomicPublishVisibility-087</x:v>
      </x:c>
    </x:row>
    <x:row r="109" ht="86.4000015258789" hidden="0" customHeight="1">
      <x:c r="A109" s="20" t="n">
        <x:v>105</x:v>
      </x:c>
      <x:c r="B109" s="20" t="str">
        <x:v>AR-L3-MS-TTFTIndexLayout-088</x:v>
      </x:c>
      <x:c r="C109" s="20" t="str">
        <x:v>SF-02</x:v>
      </x:c>
      <x:c r="D109" s="20" t="str">
        <x:v>全局前缀目录与分布式元数据服务</x:v>
      </x:c>
      <x:c r="E109" s="20" t="str">
        <x:v>IR-02-03</x:v>
      </x:c>
      <x:c r="F109" s="20" t="str">
        <x:v>元数据内存语义与发布一致性</x:v>
      </x:c>
      <x:c r="G109" s="20" t="str">
        <x:v>SR-02-03-01</x:v>
      </x:c>
      <x:c r="H109" s="20" t="str">
        <x:v>元数据热路径与紧凑检索布局</x:v>
      </x:c>
      <x:c r="I109" s="20" t="str">
        <x:v>L3-MS-TTFTIndexLayout-088</x:v>
      </x:c>
      <x:c r="J109" s="20" t="str">
        <x:v>L3 传输管理层</x:v>
      </x:c>
      <x:c r="K109" s="20" t="str">
        <x:v>前缀目录与元数据平面</x:v>
      </x:c>
      <x:c r="L109" s="20" t="str">
        <x:v>P1</x:v>
      </x:c>
      <x:c r="M109" s="20" t="str">
        <x:v>P1</x:v>
      </x:c>
      <x:c r="N109" s="20" t="str">
        <x:v>硬件协同</x:v>
      </x:c>
      <x:c r="O109" s="20" t="str">
        <x:v>TTFT 关键路径高性能元数据检索</x:v>
      </x:c>
      <x:c r="P109" s="20"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Q109" s="20" t="str">
        <x:v>Prefix命中判定P99耗时 &lt; 200us；在Share-Prefix业务下，Usable Hit Rate提升≥15%。</x:v>
      </x:c>
      <x:c r="R109" s="20" t="str">
        <x:v>使用ShareGPT数据集构造并发度上千(1K~5K QPS)的多轮对话负载，监控/metrics接口的prefix_lookup_latency指标，要求P99小于200us为达标。</x:v>
      </x:c>
      <x:c r="S109" s="20" t="str">
        <x:v>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x:v>
      </x:c>
      <x:c r="T109"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x:v>
      </x:c>
      <x:c r="U109" s="20" t="str">
        <x:f>IF(COUNTIF('SF-IR-SR定义'!$B$5:$B$79,G109)=1,"PASS","CHECK")</x:f>
        <x:v>PASS</x:v>
      </x:c>
      <x:c r="V109" s="20" t="str">
        <x:f>IF(COUNTIF($B$5:$B$148,B109)=1,"PASS","DUPLICATE")</x:f>
        <x:v>PASS</x:v>
      </x:c>
      <x:c r="W109" s="20" t="str">
        <x:f>C109&amp;" / "&amp;E109&amp;" / "&amp;G109&amp;" / "&amp;B109</x:f>
        <x:v>SF-02 / IR-02-03 / SR-02-03-01 / AR-L3-MS-TTFTIndexLayout-088</x:v>
      </x:c>
    </x:row>
    <x:row r="110" ht="97.19999694824219" hidden="0" customHeight="1">
      <x:c r="A110" s="20" t="n">
        <x:v>106</x:v>
      </x:c>
      <x:c r="B110" s="20" t="str">
        <x:v>AR-L3-SE-MultiReplicaResolver-089</x:v>
      </x:c>
      <x:c r="C110" s="20" t="str">
        <x:v>SF-02</x:v>
      </x:c>
      <x:c r="D110" s="20" t="str">
        <x:v>全局前缀目录与分布式元数据服务</x:v>
      </x:c>
      <x:c r="E110" s="20" t="str">
        <x:v>IR-02-02</x:v>
      </x:c>
      <x:c r="F110" s="20" t="str">
        <x:v>分布式目录、分片与多副本位置</x:v>
      </x:c>
      <x:c r="G110" s="20" t="str">
        <x:v>SR-02-02-02</x:v>
      </x:c>
      <x:c r="H110" s="20" t="str">
        <x:v>多副本目录、位置状态与解析</x:v>
      </x:c>
      <x:c r="I110" s="20" t="str">
        <x:v>L3-SE-MultiReplicaResolver-089</x:v>
      </x:c>
      <x:c r="J110" s="20" t="str">
        <x:v>L3 传输管理层</x:v>
      </x:c>
      <x:c r="K110" s="20" t="str">
        <x:v>语义策略与路径管理</x:v>
      </x:c>
      <x:c r="L110" s="20" t="str">
        <x:v>P1</x:v>
      </x:c>
      <x:c r="M110" s="20" t="str">
        <x:v>P1</x:v>
      </x:c>
      <x:c r="N110" s="20" t="str">
        <x:v>硬件协同</x:v>
      </x:c>
      <x:c r="O110" s="20" t="str">
        <x:v>异构分布式多副本的最优路径路由决策</x:v>
      </x:c>
      <x:c r="P110" s="20"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Q110" s="20" t="str">
        <x:v>同机架内本地及远端DDR命中率（Local Usable Hit Rate）提升≥30%。</x:v>
      </x:c>
      <x:c r="R110" s="20" t="str">
        <x:v>部署含千卡级别的多机柜大规模集群(如16-64节点)，使用vLLM benchmark工具注入Zipf分布的热点Prompt，统计路由命中本地/本同架的比例，要求大于80%达标。</x:v>
      </x:c>
      <x:c r="S110" s="20" t="str">
        <x:v>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x:v>
      </x:c>
      <x:c r="T110"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x:v>
      </x:c>
      <x:c r="U110" s="20" t="str">
        <x:f>IF(COUNTIF('SF-IR-SR定义'!$B$5:$B$79,G110)=1,"PASS","CHECK")</x:f>
        <x:v>PASS</x:v>
      </x:c>
      <x:c r="V110" s="20" t="str">
        <x:f>IF(COUNTIF($B$5:$B$148,B110)=1,"PASS","DUPLICATE")</x:f>
        <x:v>PASS</x:v>
      </x:c>
      <x:c r="W110" s="20" t="str">
        <x:f>C110&amp;" / "&amp;E110&amp;" / "&amp;G110&amp;" / "&amp;B110</x:f>
        <x:v>SF-02 / IR-02-02 / SR-02-02-02 / AR-L3-SE-MultiReplicaResolver-089</x:v>
      </x:c>
    </x:row>
    <x:row r="111" ht="97.19999694824219" hidden="0" customHeight="1">
      <x:c r="A111" s="20" t="n">
        <x:v>107</x:v>
      </x:c>
      <x:c r="B111" s="20" t="str">
        <x:v>AR-L3-CO-MigrationRCULock-090</x:v>
      </x:c>
      <x:c r="C111" s="20" t="str">
        <x:v>SF-03</x:v>
      </x:c>
      <x:c r="D111" s="20" t="str">
        <x:v>统一KV对象与异构存储池管理</x:v>
      </x:c>
      <x:c r="E111" s="20" t="str">
        <x:v>IR-03-03</x:v>
      </x:c>
      <x:c r="F111" s="20" t="str">
        <x:v>生命周期、放置、淘汰与迁移</x:v>
      </x:c>
      <x:c r="G111" s="20" t="str">
        <x:v>SR-03-03-03</x:v>
      </x:c>
      <x:c r="H111" s="20" t="str">
        <x:v>Compaction、智能迁移与互锁</x:v>
      </x:c>
      <x:c r="I111" s="20" t="str">
        <x:v>L3-CO-MigrationRCULock-090</x:v>
      </x:c>
      <x:c r="J111" s="20" t="str">
        <x:v>L3 传输管理层</x:v>
      </x:c>
      <x:c r="K111" s="20" t="str">
        <x:v>一致性、隔离与QoS</x:v>
      </x:c>
      <x:c r="L111" s="20" t="str">
        <x:v>P1</x:v>
      </x:c>
      <x:c r="M111" s="20" t="str">
        <x:v>P1</x:v>
      </x:c>
      <x:c r="N111" s="20" t="str">
        <x:v>软硬接口/硬件协同</x:v>
      </x:c>
      <x:c r="O111" s="20" t="str">
        <x:v>动态升降级与碎片整理期间的并发无感消费</x:v>
      </x:c>
      <x:c r="P111" s="20" t="str">
        <x:v>本需求要求针对冷热升降级或碎片整理中的活跃 KV 块实现 RCU 思路的高并发切换：复制期间前台仍读取旧 extent；仅在目标路径的 integrity evidence、completion 与 visibility fence 均满足后原子切换元数据指针，并在安全退出期后释放旧空间。应用层 CRC 不是本地短期 DDR 迁移的必选步骤，CPU 不得因校验而进入默认 Payload 数据路径。</x:v>
      </x:c>
      <x:c r="Q111" s="20" t="str">
        <x:v>同机架内本地及远端DDR命中率（Local Usable Hit Rate）提升≥30%。</x:v>
      </x:c>
      <x:c r="R111" s="20" t="str">
        <x:v>部署含千卡级别的多机柜大规模集群(如16-64节点)，使用vLLM benchmark工具注入Zipf分布的热点Prompt，统计路由命中本地/本同架的比例，要求大于80%达标。</x:v>
      </x:c>
      <x:c r="S111" s="20" t="str">
        <x:v>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x:v>
      </x:c>
      <x:c r="T111"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x:v>
      </x:c>
      <x:c r="U111" s="20" t="str">
        <x:f>IF(COUNTIF('SF-IR-SR定义'!$B$5:$B$79,G111)=1,"PASS","CHECK")</x:f>
        <x:v>PASS</x:v>
      </x:c>
      <x:c r="V111" s="20" t="str">
        <x:f>IF(COUNTIF($B$5:$B$148,B111)=1,"PASS","DUPLICATE")</x:f>
        <x:v>PASS</x:v>
      </x:c>
      <x:c r="W111" s="20" t="str">
        <x:f>C111&amp;" / "&amp;E111&amp;" / "&amp;G111&amp;" / "&amp;B111</x:f>
        <x:v>SF-03 / IR-03-03 / SR-03-03-03 / AR-L3-CO-MigrationRCULock-090</x:v>
      </x:c>
    </x:row>
    <x:row r="112" ht="97.19999694824219" hidden="0" customHeight="1">
      <x:c r="A112" s="20" t="n">
        <x:v>108</x:v>
      </x:c>
      <x:c r="B112" s="20" t="str">
        <x:v>AR-L3-MM-Lifecycle-009</x:v>
      </x:c>
      <x:c r="C112" s="20" t="str">
        <x:v>SF-03</x:v>
      </x:c>
      <x:c r="D112" s="20" t="str">
        <x:v>统一KV对象与异构存储池管理</x:v>
      </x:c>
      <x:c r="E112" s="20" t="str">
        <x:v>IR-03-03</x:v>
      </x:c>
      <x:c r="F112" s="20" t="str">
        <x:v>生命周期、放置、淘汰与迁移</x:v>
      </x:c>
      <x:c r="G112" s="20" t="str">
        <x:v>SR-03-03-01</x:v>
      </x:c>
      <x:c r="H112" s="20" t="str">
        <x:v>KV对象状态机、生命周期与状态感知淘汰</x:v>
      </x:c>
      <x:c r="I112" s="20" t="str">
        <x:v>L3-MM-Lifecycle-009</x:v>
      </x:c>
      <x:c r="J112" s="20" t="str">
        <x:v>L3 传输管理层</x:v>
      </x:c>
      <x:c r="K112" s="20" t="str">
        <x:v>容量估算与生命周期</x:v>
      </x:c>
      <x:c r="L112" s="20" t="str">
        <x:v>P0</x:v>
      </x:c>
      <x:c r="M112" s="20" t="str">
        <x:v>P0</x:v>
      </x:c>
      <x:c r="N112" s="20" t="str">
        <x:v>软件主线</x:v>
      </x:c>
      <x:c r="O112" s="20" t="str">
        <x:v>KVCache 生命周期一致性管理</x:v>
      </x:c>
      <x:c r="P112" s="20"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Q112" s="20" t="str">
        <x:v>节点动态加入/退出时的缓存失效控制在局部范围内（遵循一致性哈希比例）。</x:v>
      </x:c>
      <x:c r="R112" s="20" t="str">
        <x:v>在千卡规模集群(64+节点)压测期间，随机Kill掉1-2个节点并拉起新节点（Chaos Testing），监控Hit Rate曲线，要求降幅符合理论比例且系统在5秒内自动恢复。</x:v>
      </x:c>
      <x:c r="S112" s="20" t="str">
        <x:v>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x:v>
      </x:c>
      <x:c r="T112" s="20"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x:v>
      </x:c>
      <x:c r="U112" s="20" t="str">
        <x:f>IF(COUNTIF('SF-IR-SR定义'!$B$5:$B$79,G112)=1,"PASS","CHECK")</x:f>
        <x:v>PASS</x:v>
      </x:c>
      <x:c r="V112" s="20" t="str">
        <x:f>IF(COUNTIF($B$5:$B$148,B112)=1,"PASS","DUPLICATE")</x:f>
        <x:v>PASS</x:v>
      </x:c>
      <x:c r="W112" s="20" t="str">
        <x:f>C112&amp;" / "&amp;E112&amp;" / "&amp;G112&amp;" / "&amp;B112</x:f>
        <x:v>SF-03 / IR-03-03 / SR-03-03-01 / AR-L3-MM-Lifecycle-009</x:v>
      </x:c>
    </x:row>
    <x:row r="113" ht="86.4000015258789" hidden="0" customHeight="1">
      <x:c r="A113" s="20" t="n">
        <x:v>109</x:v>
      </x:c>
      <x:c r="B113" s="20" t="str">
        <x:v>AR-L3-CONN-PFX-IDX-005</x:v>
      </x:c>
      <x:c r="C113" s="20" t="str">
        <x:v>SF-02</x:v>
      </x:c>
      <x:c r="D113" s="20" t="str">
        <x:v>全局前缀目录与分布式元数据服务</x:v>
      </x:c>
      <x:c r="E113" s="20" t="str">
        <x:v>IR-02-01</x:v>
      </x:c>
      <x:c r="F113" s="20" t="str">
        <x:v>低时延前缀计算与批量查询</x:v>
      </x:c>
      <x:c r="G113" s="20" t="str">
        <x:v>SR-02-01-02</x:v>
      </x:c>
      <x:c r="H113" s="20" t="str">
        <x:v>本地热索引、批量与范围查询</x:v>
      </x:c>
      <x:c r="I113" s="20" t="str">
        <x:v>L3-CONN-PFX-IDX-005</x:v>
      </x:c>
      <x:c r="J113" s="20" t="str">
        <x:v>L3 传输管理层</x:v>
      </x:c>
      <x:c r="K113" s="20" t="str">
        <x:v>本地元数据缓存与快速判定</x:v>
      </x:c>
      <x:c r="L113" s="20" t="str">
        <x:v>P0</x:v>
      </x:c>
      <x:c r="M113" s="20" t="str">
        <x:v>P0</x:v>
      </x:c>
      <x:c r="N113" s="20" t="str">
        <x:v>软件主线</x:v>
      </x:c>
      <x:c r="O113" s="20" t="str">
        <x:v>前缀命中快速判断</x:v>
      </x:c>
      <x:c r="P113" s="20" t="str">
        <x:v>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Q113" s="20" t="str">
        <x:v>Prefix命中判定P99耗时 &lt; 200us；在Share-Prefix业务下，Usable Hit Rate提升≥15%。</x:v>
      </x:c>
      <x:c r="R113" s="20" t="str">
        <x:v>使用ShareGPT数据集构造并发度上千(1K~5K QPS)的多轮对话负载，监控/metrics接口的prefix_lookup_latency指标，要求P99小于200us为达标。</x:v>
      </x:c>
      <x:c r="S113" s="20" t="str">
        <x:v>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x:v>
      </x:c>
      <x:c r="T113" s="20"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x:v>
      </x:c>
      <x:c r="U113" s="20" t="str">
        <x:f>IF(COUNTIF('SF-IR-SR定义'!$B$5:$B$79,G113)=1,"PASS","CHECK")</x:f>
        <x:v>PASS</x:v>
      </x:c>
      <x:c r="V113" s="20" t="str">
        <x:f>IF(COUNTIF($B$5:$B$148,B113)=1,"PASS","DUPLICATE")</x:f>
        <x:v>PASS</x:v>
      </x:c>
      <x:c r="W113" s="20" t="str">
        <x:f>C113&amp;" / "&amp;E113&amp;" / "&amp;G113&amp;" / "&amp;B113</x:f>
        <x:v>SF-02 / IR-02-01 / SR-02-01-02 / AR-L3-CONN-PFX-IDX-005</x:v>
      </x:c>
    </x:row>
    <x:row r="114" ht="43.20000076293945" hidden="0" customHeight="1">
      <x:c r="A114" s="20" t="n">
        <x:v>110</x:v>
      </x:c>
      <x:c r="B114" s="20" t="str">
        <x:v>AR-L3-SE-TierBypassPolicy-091</x:v>
      </x:c>
      <x:c r="C114" s="20" t="str">
        <x:v>SF-03</x:v>
      </x:c>
      <x:c r="D114" s="20" t="str">
        <x:v>统一KV对象与异构存储池管理</x:v>
      </x:c>
      <x:c r="E114" s="20" t="str">
        <x:v>IR-03-02</x:v>
      </x:c>
      <x:c r="F114" s="20" t="str">
        <x:v>异构池分配、分层与介质角色</x:v>
      </x:c>
      <x:c r="G114" s="20" t="str">
        <x:v>SR-03-02-02</x:v>
      </x:c>
      <x:c r="H114" s="20" t="str">
        <x:v>图式分层、DDR旁路与角色化准入</x:v>
      </x:c>
      <x:c r="I114" s="20" t="str">
        <x:v>L3-SE-TierBypassPolicy-091</x:v>
      </x:c>
      <x:c r="J114" s="20" t="str">
        <x:v>L3 传输管理层</x:v>
      </x:c>
      <x:c r="K114" s="20" t="str">
        <x:v>语义策略与路径管理</x:v>
      </x:c>
      <x:c r="L114" s="20" t="str">
        <x:v>P0</x:v>
      </x:c>
      <x:c r="M114" s="20" t="str">
        <x:v>P0</x:v>
      </x:c>
      <x:c r="N114" s="20" t="str">
        <x:v>软硬协同</x:v>
      </x:c>
      <x:c r="O114" s="20" t="str">
        <x:v>DDR成本约束、SSD容量主路径、异构路径动态选择</x:v>
      </x:c>
      <x:c r="P114" s="20" t="str">
        <x:v>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Q114" s="20" t="str">
        <x:v>禁用 DDR Payload tier 后，Prefix Hit、Load/Attach、Publish/Lifecycle 仍可通过 SSD 或重算形成闭环；不得出现隐式 CPU staging。</x:v>
      </x:c>
      <x:c r="R114" s="20" t="str">
        <x:v>建立六类代表性路径 capability matrix；故障注入和禁用 DDR 后验证路径正确选择、Host touch、完成可见性和回退，错误路由为0。</x:v>
      </x:c>
      <x:c r="S114" s="20" t="str">
        <x:v>路径图的能力与成本可能动态变化；固定层级会产生额外拷贝和负收益。</x:v>
      </x:c>
      <x:c r="T114" s="20" t="str">
        <x:v>P0 冻结 path graph、capability 和 trace 字段；P1 接入至少一条 HBM↔SSD 真实路径。</x:v>
      </x:c>
      <x:c r="U114" s="20" t="str">
        <x:f>IF(COUNTIF('SF-IR-SR定义'!$B$5:$B$79,G114)=1,"PASS","CHECK")</x:f>
        <x:v>PASS</x:v>
      </x:c>
      <x:c r="V114" s="20" t="str">
        <x:f>IF(COUNTIF($B$5:$B$148,B114)=1,"PASS","DUPLICATE")</x:f>
        <x:v>PASS</x:v>
      </x:c>
      <x:c r="W114" s="20" t="str">
        <x:f>C114&amp;" / "&amp;E114&amp;" / "&amp;G114&amp;" / "&amp;B114</x:f>
        <x:v>SF-03 / IR-03-02 / SR-03-02-02 / AR-L3-SE-TierBypassPolicy-091</x:v>
      </x:c>
    </x:row>
    <x:row r="115" ht="43.20000076293945" hidden="0" customHeight="1">
      <x:c r="A115" s="20" t="n">
        <x:v>111</x:v>
      </x:c>
      <x:c r="B115" s="20" t="str">
        <x:v>AR-L3-MS-DDRRolePolicy-092</x:v>
      </x:c>
      <x:c r="C115" s="20" t="str">
        <x:v>SF-03</x:v>
      </x:c>
      <x:c r="D115" s="20" t="str">
        <x:v>统一KV对象与异构存储池管理</x:v>
      </x:c>
      <x:c r="E115" s="20" t="str">
        <x:v>IR-03-02</x:v>
      </x:c>
      <x:c r="F115" s="20" t="str">
        <x:v>异构池分配、分层与介质角色</x:v>
      </x:c>
      <x:c r="G115" s="20" t="str">
        <x:v>SR-03-02-02</x:v>
      </x:c>
      <x:c r="H115" s="20" t="str">
        <x:v>图式分层、DDR旁路与角色化准入</x:v>
      </x:c>
      <x:c r="I115" s="20" t="str">
        <x:v>L3-MS-DDRRolePolicy-092</x:v>
      </x:c>
      <x:c r="J115" s="20" t="str">
        <x:v>L3 传输管理层</x:v>
      </x:c>
      <x:c r="K115" s="20" t="str">
        <x:v>统一存储池与分层管理</x:v>
      </x:c>
      <x:c r="L115" s="20" t="str">
        <x:v>P1</x:v>
      </x:c>
      <x:c r="M115" s="20" t="str">
        <x:v>P1</x:v>
      </x:c>
      <x:c r="N115" s="20" t="str">
        <x:v>软件为主</x:v>
      </x:c>
      <x:c r="O115" s="20" t="str">
        <x:v>热点 KV、远端低时延容量、预取与SSD尾时延屏蔽</x:v>
      </x:c>
      <x:c r="P115" s="20" t="str">
        <x:v>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Q115" s="20" t="str">
        <x:v>输出各 DDR 角色的容量、带宽和净收益曲线，明确主用、条件启用和禁用边界。</x:v>
      </x:c>
      <x:c r="R115" s="20" t="str">
        <x:v>对 SSD-only、local DDR、remote DDR、DDR prefetch 四类配置做同 workload A/B；指标包括 DDR GB、读写BW、usable hit、TTFT、TPOT、SSD P99、单位有效容量成本。</x:v>
      </x:c>
      <x:c r="S115" s="20" t="str">
        <x:v>DDR价值取决于 workload 与介质差距，不能用元数据带宽或容量总量替代业务收益。</x:v>
      </x:c>
      <x:c r="T115" s="20" t="str">
        <x:v>P1 建立 role tag、admission 与 telemetry；P2 在selected workload灰度。</x:v>
      </x:c>
      <x:c r="U115" s="20" t="str">
        <x:f>IF(COUNTIF('SF-IR-SR定义'!$B$5:$B$79,G115)=1,"PASS","CHECK")</x:f>
        <x:v>PASS</x:v>
      </x:c>
      <x:c r="V115" s="20" t="str">
        <x:f>IF(COUNTIF($B$5:$B$148,B115)=1,"PASS","DUPLICATE")</x:f>
        <x:v>PASS</x:v>
      </x:c>
      <x:c r="W115" s="20" t="str">
        <x:f>C115&amp;" / "&amp;E115&amp;" / "&amp;G115&amp;" / "&amp;B115</x:f>
        <x:v>SF-03 / IR-03-02 / SR-03-02-02 / AR-L3-MS-DDRRolePolicy-092</x:v>
      </x:c>
    </x:row>
    <x:row r="116" ht="97.19999694824219" hidden="0" customHeight="1">
      <x:c r="A116" s="20" t="n">
        <x:v>112</x:v>
      </x:c>
      <x:c r="B116" s="20" t="str">
        <x:v>AR-L4-OL-RegisteredPool-053</x:v>
      </x:c>
      <x:c r="C116" s="20" t="str">
        <x:v>SF-04</x:v>
      </x:c>
      <x:c r="D116" s="20" t="str">
        <x:v>传输创新底座与多介质数据路径</x:v>
      </x:c>
      <x:c r="E116" s="20" t="str">
        <x:v>IR-04-02</x:v>
      </x:c>
      <x:c r="F116" s="20" t="str">
        <x:v>Direct与零拷贝代表路径</x:v>
      </x:c>
      <x:c r="G116" s="20" t="str">
        <x:v>SR-04-02-02</x:v>
      </x:c>
      <x:c r="H116" s="20" t="str">
        <x:v>Registered Pool与跨节点RDMA直达</x:v>
      </x:c>
      <x:c r="I116" s="20" t="str">
        <x:v>L4-OL-RegisteredPool-053</x:v>
      </x:c>
      <x:c r="J116" s="20" t="str">
        <x:v>L4 底层传输层</x:v>
      </x:c>
      <x:c r="K116" s="20" t="str">
        <x:v>RDMA与零拷贝传输</x:v>
      </x:c>
      <x:c r="L116" s="20" t="str">
        <x:v>P0</x:v>
      </x:c>
      <x:c r="M116" s="20" t="str">
        <x:v>P0</x:v>
      </x:c>
      <x:c r="N116" s="20" t="str">
        <x:v>硬件协同</x:v>
      </x:c>
      <x:c r="O116" s="20" t="str">
        <x:v>高频 KV 传输注册内存池化</x:v>
      </x:c>
      <x:c r="P116" s="20" t="str">
        <x:v>本需求要求底层传输层建立长生命周期 registered memory pool：HBM、DDR、UB region 应预注册为大块可复用区域，通过 offset suballocation 供 RDMA/GDR/NIXL/Mooncake 使用，避免每次 KV block 传输临时注册。</x:v>
      </x:c>
      <x:c r="Q116" s="20" t="str">
        <x:v>建立前置硬件能力矩阵和注册内存池机制，确保 KV block layout 不被碎片化，并能进行有效的硬件边界隔离。</x:v>
      </x:c>
      <x:c r="R116" s="20" t="str">
        <x:v>在 P1 输出包含 P50/P99 延迟、layout 对齐约束的 Capability Matrix；使用微基准测试验证 registered pool 开销较未注册内存降低，且 extent visibility fence 正确生效。</x:v>
      </x:c>
      <x:c r="S116" s="20" t="str">
        <x:v>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x:v>
      </x:c>
      <x:c r="T116"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x:v>
      </x:c>
      <x:c r="U116" s="20" t="str">
        <x:f>IF(COUNTIF('SF-IR-SR定义'!$B$5:$B$79,G116)=1,"PASS","CHECK")</x:f>
        <x:v>PASS</x:v>
      </x:c>
      <x:c r="V116" s="20" t="str">
        <x:f>IF(COUNTIF($B$5:$B$148,B116)=1,"PASS","DUPLICATE")</x:f>
        <x:v>PASS</x:v>
      </x:c>
      <x:c r="W116" s="20" t="str">
        <x:f>C116&amp;" / "&amp;E116&amp;" / "&amp;G116&amp;" / "&amp;B116</x:f>
        <x:v>SF-04 / IR-04-02 / SR-04-02-02 / AR-L4-OL-RegisteredPool-053</x:v>
      </x:c>
    </x:row>
    <x:row r="117" ht="97.19999694824219" hidden="0" customHeight="1">
      <x:c r="A117" s="20" t="n">
        <x:v>113</x:v>
      </x:c>
      <x:c r="B117" s="20" t="str">
        <x:v>AR-L4-RDMA-P2P-NPU-001</x:v>
      </x:c>
      <x:c r="C117" s="20" t="str">
        <x:v>SF-04</x:v>
      </x:c>
      <x:c r="D117" s="20" t="str">
        <x:v>传输创新底座与多介质数据路径</x:v>
      </x:c>
      <x:c r="E117" s="20" t="str">
        <x:v>IR-04-02</x:v>
      </x:c>
      <x:c r="F117" s="20" t="str">
        <x:v>Direct与零拷贝代表路径</x:v>
      </x:c>
      <x:c r="G117" s="20" t="str">
        <x:v>SR-04-02-02</x:v>
      </x:c>
      <x:c r="H117" s="20" t="str">
        <x:v>Registered Pool与跨节点RDMA直达</x:v>
      </x:c>
      <x:c r="I117" s="20" t="str">
        <x:v>L4-RDMA-P2P-NPU-001</x:v>
      </x:c>
      <x:c r="J117" s="20" t="str">
        <x:v>L4 底层传输层</x:v>
      </x:c>
      <x:c r="K117" s="20" t="str">
        <x:v>RDMA与零拷贝传输</x:v>
      </x:c>
      <x:c r="L117" s="20" t="str">
        <x:v>P1</x:v>
      </x:c>
      <x:c r="M117" s="20" t="str">
        <x:v>P1</x:v>
      </x:c>
      <x:c r="N117" s="20" t="str">
        <x:v>硬件协同</x:v>
      </x:c>
      <x:c r="O117" s="20" t="str">
        <x:v>跨节点KVCache零拷贝传输</x:v>
      </x:c>
      <x:c r="P117" s="20"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Q117" s="20" t="str">
        <x:v>传输端到端延迟降低≥40%，CPU占用率(System Load)下降。</x:v>
      </x:c>
      <x:c r="R117" s="20" t="str">
        <x:v>使用ib_write_bw等RDMA微基准压测工具构造16MB-128MB大块极长上下文张量的KVCache分块传输，对比TCP基线，要求吞吐达到线速90%且P99延迟稳定在硬件极值要求内。</x:v>
      </x:c>
      <x:c r="S117" s="20" t="str">
        <x:v>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x:v>
      </x:c>
      <x:c r="T117"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x:v>
      </x:c>
      <x:c r="U117" s="20" t="str">
        <x:f>IF(COUNTIF('SF-IR-SR定义'!$B$5:$B$79,G117)=1,"PASS","CHECK")</x:f>
        <x:v>PASS</x:v>
      </x:c>
      <x:c r="V117" s="20" t="str">
        <x:f>IF(COUNTIF($B$5:$B$148,B117)=1,"PASS","DUPLICATE")</x:f>
        <x:v>PASS</x:v>
      </x:c>
      <x:c r="W117" s="20" t="str">
        <x:f>C117&amp;" / "&amp;E117&amp;" / "&amp;G117&amp;" / "&amp;B117</x:f>
        <x:v>SF-04 / IR-04-02 / SR-04-02-02 / AR-L4-RDMA-P2P-NPU-001</x:v>
      </x:c>
    </x:row>
    <x:row r="118" ht="86.4000015258789" hidden="0" customHeight="1">
      <x:c r="A118" s="20" t="n">
        <x:v>114</x:v>
      </x:c>
      <x:c r="B118" s="20" t="str">
        <x:v>AR-L4-RDMA-MUL-FABRIC-002</x:v>
      </x:c>
      <x:c r="C118" s="20" t="str">
        <x:v>SF-04</x:v>
      </x:c>
      <x:c r="D118" s="20" t="str">
        <x:v>传输创新底座与多介质数据路径</x:v>
      </x:c>
      <x:c r="E118" s="20" t="str">
        <x:v>IR-04-03</x:v>
      </x:c>
      <x:c r="F118" s="20" t="str">
        <x:v>批量传输、预取、流式恢复与广播</x:v>
      </x:c>
      <x:c r="G118" s="20" t="str">
        <x:v>SR-04-03-03</x:v>
      </x:c>
      <x:c r="H118" s="20" t="str">
        <x:v>热点复制与一对多广播</x:v>
      </x:c>
      <x:c r="I118" s="20" t="str">
        <x:v>L4-RDMA-MUL-FABRIC-002</x:v>
      </x:c>
      <x:c r="J118" s="20" t="str">
        <x:v>L4 底层传输层</x:v>
      </x:c>
      <x:c r="K118" s="20" t="str">
        <x:v>RDMA与零拷贝传输</x:v>
      </x:c>
      <x:c r="L118" s="20" t="str">
        <x:v>P3</x:v>
      </x:c>
      <x:c r="M118" s="20" t="str">
        <x:v>P3</x:v>
      </x:c>
      <x:c r="N118" s="20" t="str">
        <x:v>硬件协同</x:v>
      </x:c>
      <x:c r="O118" s="20" t="str">
        <x:v>共享前缀KVCache批量广播</x:v>
      </x:c>
      <x:c r="P118" s="20" t="str">
        <x:v>本需求要求实现KVCache的RDMA层1→N广播传输封装，使发送端带宽消耗O(1)（与接收方数量无关）。</x:v>
      </x:c>
      <x:c r="Q118" s="20" t="str">
        <x:v>探索直接视图(direct view)、硬件多播及硬件原子页迁移等远期能力，避免 TPOT 被直接视图意外拖慢，不强求 &lt;500ns 等极端指标。</x:v>
      </x:c>
      <x:c r="R118" s="20" t="str">
        <x:v>不作为 MVP 验收阻塞项。在实验分支使用流量发生器对 direct view 及 multicast 的延迟做 P99 观测，通过端到端测试证明其收益高于 cost 时方可升级为主路径。</x:v>
      </x:c>
      <x:c r="S118" s="20" t="str">
        <x:v>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x:v>
      </x:c>
      <x:c r="T118" s="20"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x:v>
      </x:c>
      <x:c r="U118" s="20" t="str">
        <x:f>IF(COUNTIF('SF-IR-SR定义'!$B$5:$B$79,G118)=1,"PASS","CHECK")</x:f>
        <x:v>PASS</x:v>
      </x:c>
      <x:c r="V118" s="20" t="str">
        <x:f>IF(COUNTIF($B$5:$B$148,B118)=1,"PASS","DUPLICATE")</x:f>
        <x:v>PASS</x:v>
      </x:c>
      <x:c r="W118" s="20" t="str">
        <x:f>C118&amp;" / "&amp;E118&amp;" / "&amp;G118&amp;" / "&amp;B118</x:f>
        <x:v>SF-04 / IR-04-03 / SR-04-03-03 / AR-L4-RDMA-MUL-FABRIC-002</x:v>
      </x:c>
    </x:row>
    <x:row r="119" ht="97.19999694824219" hidden="0" customHeight="1">
      <x:c r="A119" s="20" t="n">
        <x:v>115</x:v>
      </x:c>
      <x:c r="B119" s="20" t="str">
        <x:v>AR-L4-C2C-UNIFY-POOL-001</x:v>
      </x:c>
      <x:c r="C119" s="20" t="str">
        <x:v>SF-04</x:v>
      </x:c>
      <x:c r="D119" s="20" t="str">
        <x:v>传输创新底座与多介质数据路径</x:v>
      </x:c>
      <x:c r="E119" s="20" t="str">
        <x:v>IR-04-02</x:v>
      </x:c>
      <x:c r="F119" s="20" t="str">
        <x:v>Direct与零拷贝代表路径</x:v>
      </x:c>
      <x:c r="G119" s="20" t="str">
        <x:v>SR-04-02-03</x:v>
      </x:c>
      <x:c r="H119" s="20" t="str">
        <x:v>UB/C2C统一内存与Memory View</x:v>
      </x:c>
      <x:c r="I119" s="20" t="str">
        <x:v>L4-C2C-UNIFY-POOL-001</x:v>
      </x:c>
      <x:c r="J119" s="20" t="str">
        <x:v>L4 底层传输层</x:v>
      </x:c>
      <x:c r="K119" s="20" t="str">
        <x:v>统一内存与内存语义访问</x:v>
      </x:c>
      <x:c r="L119" s="20" t="str">
        <x:v>P1</x:v>
      </x:c>
      <x:c r="M119" s="20" t="str">
        <x:v>P1</x:v>
      </x:c>
      <x:c r="N119" s="20" t="str">
        <x:v>硬件协同</x:v>
      </x:c>
      <x:c r="O119" s="20" t="str">
        <x:v>CPU/NPU统一内存池</x:v>
      </x:c>
      <x:c r="P119" s="20" t="str">
        <x:v>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Q119" s="20" t="str">
        <x:v>高拥塞背景下，KVCache关键小包的P99延迟不随大流数据量线性增加。</x:v>
      </x:c>
      <x:c r="R119" s="20" t="str">
        <x:v>使用高性能流量发生器或真实AllReduce后台流打满400G/800G物理带宽，同时发起KVCache高优块拉取请求，观测P99传输延迟，要求依然处于可接受基线范围内（如不受严重劣化）。</x:v>
      </x:c>
      <x:c r="S119" s="20" t="str">
        <x:v>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x:v>
      </x:c>
      <x:c r="T119"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x:v>
      </x:c>
      <x:c r="U119" s="20" t="str">
        <x:f>IF(COUNTIF('SF-IR-SR定义'!$B$5:$B$79,G119)=1,"PASS","CHECK")</x:f>
        <x:v>PASS</x:v>
      </x:c>
      <x:c r="V119" s="20" t="str">
        <x:f>IF(COUNTIF($B$5:$B$148,B119)=1,"PASS","DUPLICATE")</x:f>
        <x:v>PASS</x:v>
      </x:c>
      <x:c r="W119" s="20" t="str">
        <x:f>C119&amp;" / "&amp;E119&amp;" / "&amp;G119&amp;" / "&amp;B119</x:f>
        <x:v>SF-04 / IR-04-02 / SR-04-02-03 / AR-L4-C2C-UNIFY-POOL-001</x:v>
      </x:c>
    </x:row>
    <x:row r="120" ht="97.19999694824219" hidden="0" customHeight="1">
      <x:c r="A120" s="20" t="n">
        <x:v>116</x:v>
      </x:c>
      <x:c r="B120" s="20" t="str">
        <x:v>AR-L4-UB-C2C-UNIFY-002</x:v>
      </x:c>
      <x:c r="C120" s="20" t="str">
        <x:v>SF-04</x:v>
      </x:c>
      <x:c r="D120" s="20" t="str">
        <x:v>传输创新底座与多介质数据路径</x:v>
      </x:c>
      <x:c r="E120" s="20" t="str">
        <x:v>IR-04-02</x:v>
      </x:c>
      <x:c r="F120" s="20" t="str">
        <x:v>Direct与零拷贝代表路径</x:v>
      </x:c>
      <x:c r="G120" s="20" t="str">
        <x:v>SR-04-02-03</x:v>
      </x:c>
      <x:c r="H120" s="20" t="str">
        <x:v>UB/C2C统一内存与Memory View</x:v>
      </x:c>
      <x:c r="I120" s="20" t="str">
        <x:v>L4-UB-C2C-UNIFY-002</x:v>
      </x:c>
      <x:c r="J120" s="20" t="str">
        <x:v>L4 底层传输层</x:v>
      </x:c>
      <x:c r="K120" s="20" t="str">
        <x:v>统一内存与内存语义访问</x:v>
      </x:c>
      <x:c r="L120" s="20" t="str">
        <x:v>P3</x:v>
      </x:c>
      <x:c r="M120" s="20" t="str">
        <x:v>P3</x:v>
      </x:c>
      <x:c r="N120" s="20" t="str">
        <x:v>软硬接口/硬件协同</x:v>
      </x:c>
      <x:c r="O120" s="20" t="str">
        <x:v>内存语义零拷贝KV访问</x:v>
      </x:c>
      <x:c r="P120" s="20" t="str">
        <x:v>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Q120" s="20" t="str">
        <x:v>探索直接视图(direct view)、硬件多播及硬件原子页迁移等远期能力，避免 TPOT 被直接视图意外拖慢，不强求 &lt;500ns 等极端指标。</x:v>
      </x:c>
      <x:c r="R120" s="20" t="str">
        <x:v>不作为 MVP 验收阻塞项。在实验分支使用流量发生器对 direct view 及 multicast 的延迟做 P99 观测，通过端到端测试证明其收益高于 cost 时方可升级为主路径。</x:v>
      </x:c>
      <x:c r="S120" s="20" t="str">
        <x:v>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x:v>
      </x:c>
      <x:c r="T120"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x:v>
      </x:c>
      <x:c r="U120" s="20" t="str">
        <x:f>IF(COUNTIF('SF-IR-SR定义'!$B$5:$B$79,G120)=1,"PASS","CHECK")</x:f>
        <x:v>PASS</x:v>
      </x:c>
      <x:c r="V120" s="20" t="str">
        <x:f>IF(COUNTIF($B$5:$B$148,B120)=1,"PASS","DUPLICATE")</x:f>
        <x:v>PASS</x:v>
      </x:c>
      <x:c r="W120" s="20" t="str">
        <x:f>C120&amp;" / "&amp;E120&amp;" / "&amp;G120&amp;" / "&amp;B120</x:f>
        <x:v>SF-04 / IR-04-02 / SR-04-02-03 / AR-L4-UB-C2C-UNIFY-002</x:v>
      </x:c>
    </x:row>
    <x:row r="121" ht="97.19999694824219" hidden="0" customHeight="1">
      <x:c r="A121" s="20" t="n">
        <x:v>117</x:v>
      </x:c>
      <x:c r="B121" s="20" t="str">
        <x:v>AR-L4-UB-P2P-FABRIC-003</x:v>
      </x:c>
      <x:c r="C121" s="20" t="str">
        <x:v>SF-04</x:v>
      </x:c>
      <x:c r="D121" s="20" t="str">
        <x:v>传输创新底座与多介质数据路径</x:v>
      </x:c>
      <x:c r="E121" s="20" t="str">
        <x:v>IR-04-02</x:v>
      </x:c>
      <x:c r="F121" s="20" t="str">
        <x:v>Direct与零拷贝代表路径</x:v>
      </x:c>
      <x:c r="G121" s="20" t="str">
        <x:v>SR-04-02-03</x:v>
      </x:c>
      <x:c r="H121" s="20" t="str">
        <x:v>UB/C2C统一内存与Memory View</x:v>
      </x:c>
      <x:c r="I121" s="20" t="str">
        <x:v>L4-UB-P2P-FABRIC-003</x:v>
      </x:c>
      <x:c r="J121" s="20" t="str">
        <x:v>L4 底层传输层</x:v>
      </x:c>
      <x:c r="K121" s="20" t="str">
        <x:v>统一内存与内存语义访问</x:v>
      </x:c>
      <x:c r="L121" s="20" t="str">
        <x:v>P3</x:v>
      </x:c>
      <x:c r="M121" s="20" t="str">
        <x:v>P3</x:v>
      </x:c>
      <x:c r="N121" s="20" t="str">
        <x:v>硬件协同</x:v>
      </x:c>
      <x:c r="O121" s="20" t="str">
        <x:v>跨节点内存语义KV访问</x:v>
      </x:c>
      <x:c r="P121" s="20" t="str">
        <x:v>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Q121" s="20" t="str">
        <x:v>探索直接视图(direct view)、硬件多播及硬件原子页迁移等远期能力，避免 TPOT 被直接视图意外拖慢，不强求 &lt;500ns 等极端指标。</x:v>
      </x:c>
      <x:c r="R121" s="20" t="str">
        <x:v>不作为 MVP 验收阻塞项。在实验分支使用流量发生器对 direct view 及 multicast 的延迟做 P99 观测，通过端到端测试证明其收益高于 cost 时方可升级为主路径。</x:v>
      </x:c>
      <x:c r="S121" s="20" t="str">
        <x:v>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x:v>
      </x:c>
      <x:c r="T121"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x:v>
      </x:c>
      <x:c r="U121" s="20" t="str">
        <x:f>IF(COUNTIF('SF-IR-SR定义'!$B$5:$B$79,G121)=1,"PASS","CHECK")</x:f>
        <x:v>PASS</x:v>
      </x:c>
      <x:c r="V121" s="20" t="str">
        <x:f>IF(COUNTIF($B$5:$B$148,B121)=1,"PASS","DUPLICATE")</x:f>
        <x:v>PASS</x:v>
      </x:c>
      <x:c r="W121" s="20" t="str">
        <x:f>C121&amp;" / "&amp;E121&amp;" / "&amp;G121&amp;" / "&amp;B121</x:f>
        <x:v>SF-04 / IR-04-02 / SR-04-02-03 / AR-L4-UB-P2P-FABRIC-003</x:v>
      </x:c>
    </x:row>
    <x:row r="122" ht="97.19999694824219" hidden="0" customHeight="1">
      <x:c r="A122" s="20" t="n">
        <x:v>118</x:v>
      </x:c>
      <x:c r="B122" s="20" t="str">
        <x:v>AR-L4-MC-HIER-STORE-001</x:v>
      </x:c>
      <x:c r="C122" s="20" t="str">
        <x:v>SF-04</x:v>
      </x:c>
      <x:c r="D122" s="20" t="str">
        <x:v>传输创新底座与多介质数据路径</x:v>
      </x:c>
      <x:c r="E122" s="20" t="str">
        <x:v>IR-04-02</x:v>
      </x:c>
      <x:c r="F122" s="20" t="str">
        <x:v>Direct与零拷贝代表路径</x:v>
      </x:c>
      <x:c r="G122" s="20" t="str">
        <x:v>SR-04-02-01</x:v>
      </x:c>
      <x:c r="H122" s="20" t="str">
        <x:v>HBM↔SSD Direct容量主路径</x:v>
      </x:c>
      <x:c r="I122" s="20" t="str">
        <x:v>L4-MC-HIER-STORE-001</x:v>
      </x:c>
      <x:c r="J122" s="20" t="str">
        <x:v>L4 底层传输层</x:v>
      </x:c>
      <x:c r="K122" s="20" t="str">
        <x:v>DPU卸载与分层存储I/O</x:v>
      </x:c>
      <x:c r="L122" s="20" t="str">
        <x:v>P0</x:v>
      </x:c>
      <x:c r="M122" s="20" t="str">
        <x:v>P0 子集 + P1 完整</x:v>
      </x:c>
      <x:c r="N122" s="20" t="str">
        <x:v>硬件协同</x:v>
      </x:c>
      <x:c r="O122" s="20" t="str">
        <x:v>SSD 作为 KVCache 存储主力、DDR 可旁路、降低 Host 干预</x:v>
      </x:c>
      <x:c r="P122" s="20" t="str">
        <x:v>本需求要求把 HBM↔本地 SSD/远端 SSD 的 accelerator-direct 或低 Host 参与路径作为容量主路径能力，覆盖 NPU Direct Storage、GDS/等价 direct I/O、NPU Direct NIC 或平台可用的组合路径。默认基线不得要求 KV Payload 经过 CPU 读取、CPU memcpy、CPU 压缩或 CPU CRC；若平台不支持完全 direct，必须显式报告 Host touch 次数、CPU cycles/GB、额外拷贝和回退路径。</x:v>
      </x:c>
      <x:c r="Q122" s="20" t="str">
        <x:v>形成 HBM↔SSD 主路径 capability matrix；完成至少一条真实数据闭环并具备可关闭回退。</x:v>
      </x:c>
      <x:c r="R122" s="20" t="str">
        <x:v>按 block/segment、queue depth 和并发压测，输出有效带宽、P50/P95/P99、CPU cycles/GB、Host touch 次数、DMA/存储队列利用率、completion-to-ready 时延和失败回退。</x:v>
      </x:c>
      <x:c r="S122" s="20" t="str">
        <x:v>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x:v>
      </x:c>
      <x:c r="T122"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x:v>
      </x:c>
      <x:c r="U122" s="20" t="str">
        <x:f>IF(COUNTIF('SF-IR-SR定义'!$B$5:$B$79,G122)=1,"PASS","CHECK")</x:f>
        <x:v>PASS</x:v>
      </x:c>
      <x:c r="V122" s="20" t="str">
        <x:f>IF(COUNTIF($B$5:$B$148,B122)=1,"PASS","DUPLICATE")</x:f>
        <x:v>PASS</x:v>
      </x:c>
      <x:c r="W122" s="20" t="str">
        <x:f>C122&amp;" / "&amp;E122&amp;" / "&amp;G122&amp;" / "&amp;B122</x:f>
        <x:v>SF-04 / IR-04-02 / SR-04-02-01 / AR-L4-MC-HIER-STORE-001</x:v>
      </x:c>
    </x:row>
    <x:row r="123" ht="97.19999694824219" hidden="0" customHeight="1">
      <x:c r="A123" s="20" t="n">
        <x:v>119</x:v>
      </x:c>
      <x:c r="B123" s="20" t="str">
        <x:v>AR-L4-MC-HIER-STORE-002</x:v>
      </x:c>
      <x:c r="C123" s="20" t="str">
        <x:v>SF-04</x:v>
      </x:c>
      <x:c r="D123" s="20" t="str">
        <x:v>传输创新底座与多介质数据路径</x:v>
      </x:c>
      <x:c r="E123" s="20" t="str">
        <x:v>IR-04-04</x:v>
      </x:c>
      <x:c r="F123" s="20" t="str">
        <x:v>条件硬件卸载与高级迁移原语</x:v>
      </x:c>
      <x:c r="G123" s="20" t="str">
        <x:v>SR-04-04-01</x:v>
      </x:c>
      <x:c r="H123" s="20" t="str">
        <x:v>DPU卸载与硬件Codec条件能力</x:v>
      </x:c>
      <x:c r="I123" s="20" t="str">
        <x:v>L4-MC-HIER-STORE-002</x:v>
      </x:c>
      <x:c r="J123" s="20" t="str">
        <x:v>L4 底层传输层</x:v>
      </x:c>
      <x:c r="K123" s="20" t="str">
        <x:v>DPU卸载与分层存储I/O</x:v>
      </x:c>
      <x:c r="L123" s="20" t="str">
        <x:v>P3</x:v>
      </x:c>
      <x:c r="M123" s="20" t="str">
        <x:v>P3</x:v>
      </x:c>
      <x:c r="N123" s="20" t="str">
        <x:v>硬件协同</x:v>
      </x:c>
      <x:c r="O123" s="20" t="str">
        <x:v>硬件原生压缩条件能力；不属于当前关键路径基线</x:v>
      </x:c>
      <x:c r="P123" s="20" t="str">
        <x:v>本需求仅在 DPU/NPU/存储设备能够提供硬件原生、在线、无 CPU Payload 触碰的情况下，验证 KVCache 压缩能力。该能力必须通过 feature flag 暴露，必须证明压缩收益覆盖额外时延、带宽占用、精度/格式兼容和 TPOT 干扰；不得以 CPU+DDR 压缩作为默认或回退路径。</x:v>
      </x:c>
      <x:c r="Q123" s="20" t="str">
        <x:v>仅形成 capability 与净收益结论，不承诺默认启用。</x:v>
      </x:c>
      <x:c r="R123" s="20" t="str">
        <x:v>具备硬件能力时比较 raw/direct 与 hardware codec 路径；无能力则输出 No-Go/Not Supported，不开发 CPU 替代实现。</x:v>
      </x:c>
      <x:c r="S123" s="20" t="str">
        <x:v>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x:v>
      </x:c>
      <x:c r="T123"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x:v>
      </x:c>
      <x:c r="U123" s="20" t="str">
        <x:f>IF(COUNTIF('SF-IR-SR定义'!$B$5:$B$79,G123)=1,"PASS","CHECK")</x:f>
        <x:v>PASS</x:v>
      </x:c>
      <x:c r="V123" s="20" t="str">
        <x:f>IF(COUNTIF($B$5:$B$148,B123)=1,"PASS","DUPLICATE")</x:f>
        <x:v>PASS</x:v>
      </x:c>
      <x:c r="W123" s="20" t="str">
        <x:f>C123&amp;" / "&amp;E123&amp;" / "&amp;G123&amp;" / "&amp;B123</x:f>
        <x:v>SF-04 / IR-04-04 / SR-04-04-01 / AR-L4-MC-HIER-STORE-002</x:v>
      </x:c>
    </x:row>
    <x:row r="124" ht="97.19999694824219" hidden="0" customHeight="1">
      <x:c r="A124" s="20" t="n">
        <x:v>120</x:v>
      </x:c>
      <x:c r="B124" s="20" t="str">
        <x:v>AR-L4-MC-HIER-STORE-003</x:v>
      </x:c>
      <x:c r="C124" s="20" t="str">
        <x:v>SF-04</x:v>
      </x:c>
      <x:c r="D124" s="20" t="str">
        <x:v>传输创新底座与多介质数据路径</x:v>
      </x:c>
      <x:c r="E124" s="20" t="str">
        <x:v>IR-04-04</x:v>
      </x:c>
      <x:c r="F124" s="20" t="str">
        <x:v>条件硬件卸载与高级迁移原语</x:v>
      </x:c>
      <x:c r="G124" s="20" t="str">
        <x:v>SR-04-04-01</x:v>
      </x:c>
      <x:c r="H124" s="20" t="str">
        <x:v>DPU卸载与硬件Codec条件能力</x:v>
      </x:c>
      <x:c r="I124" s="20" t="str">
        <x:v>L4-MC-HIER-STORE-003</x:v>
      </x:c>
      <x:c r="J124" s="20" t="str">
        <x:v>L4 底层传输层</x:v>
      </x:c>
      <x:c r="K124" s="20" t="str">
        <x:v>DPU卸载与分层存储I/O</x:v>
      </x:c>
      <x:c r="L124" s="20" t="str">
        <x:v>P3</x:v>
      </x:c>
      <x:c r="M124" s="20" t="str">
        <x:v>P3</x:v>
      </x:c>
      <x:c r="N124" s="20" t="str">
        <x:v>硬件协同</x:v>
      </x:c>
      <x:c r="O124" s="20" t="str">
        <x:v>硬件原生解压条件能力；不属于当前关键路径基线</x:v>
      </x:c>
      <x:c r="P124" s="20" t="str">
        <x:v>本需求仅在 DPU/NPU/存储设备提供硬件原生解压并能直接生成 attention runtime 可消费布局时验证在线解压。能力必须可关闭、可旁路，且不得把 CPU+DDR 解压作为默认或回退实现。</x:v>
      </x:c>
      <x:c r="Q124" s="20" t="str">
        <x:v>仅形成 capability、布局兼容与净收益结论。</x:v>
      </x:c>
      <x:c r="R124" s="20" t="str">
        <x:v>具备硬件能力时验证 load-to-HBM、TPOT 干扰和格式正确性；无能力则明确 No-Go/Not Supported。</x:v>
      </x:c>
      <x:c r="S124" s="20" t="str">
        <x:v>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x:v>
      </x:c>
      <x:c r="T124"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x:v>
      </x:c>
      <x:c r="U124" s="20" t="str">
        <x:f>IF(COUNTIF('SF-IR-SR定义'!$B$5:$B$79,G124)=1,"PASS","CHECK")</x:f>
        <x:v>PASS</x:v>
      </x:c>
      <x:c r="V124" s="20" t="str">
        <x:f>IF(COUNTIF($B$5:$B$148,B124)=1,"PASS","DUPLICATE")</x:f>
        <x:v>PASS</x:v>
      </x:c>
      <x:c r="W124" s="20" t="str">
        <x:f>C124&amp;" / "&amp;E124&amp;" / "&amp;G124&amp;" / "&amp;B124</x:f>
        <x:v>SF-04 / IR-04-04 / SR-04-04-01 / AR-L4-MC-HIER-STORE-003</x:v>
      </x:c>
    </x:row>
    <x:row r="125" ht="97.19999694824219" hidden="0" customHeight="1">
      <x:c r="A125" s="20" t="n">
        <x:v>121</x:v>
      </x:c>
      <x:c r="B125" s="20" t="str">
        <x:v>AR-L4-NET-OFFLOAD-DPU-001</x:v>
      </x:c>
      <x:c r="C125" s="20" t="str">
        <x:v>SF-04</x:v>
      </x:c>
      <x:c r="D125" s="20" t="str">
        <x:v>传输创新底座与多介质数据路径</x:v>
      </x:c>
      <x:c r="E125" s="20" t="str">
        <x:v>IR-04-04</x:v>
      </x:c>
      <x:c r="F125" s="20" t="str">
        <x:v>条件硬件卸载与高级迁移原语</x:v>
      </x:c>
      <x:c r="G125" s="20" t="str">
        <x:v>SR-04-04-01</x:v>
      </x:c>
      <x:c r="H125" s="20" t="str">
        <x:v>DPU卸载与硬件Codec条件能力</x:v>
      </x:c>
      <x:c r="I125" s="20" t="str">
        <x:v>L4-NET-OFFLOAD-DPU-001</x:v>
      </x:c>
      <x:c r="J125" s="20" t="str">
        <x:v>L4 底层传输层</x:v>
      </x:c>
      <x:c r="K125" s="20" t="str">
        <x:v>DPU卸载与分层存储I/O</x:v>
      </x:c>
      <x:c r="L125" s="20" t="str">
        <x:v>P3</x:v>
      </x:c>
      <x:c r="M125" s="20" t="str">
        <x:v>P3</x:v>
      </x:c>
      <x:c r="N125" s="20" t="str">
        <x:v>硬件协同</x:v>
      </x:c>
      <x:c r="O125" s="20" t="str">
        <x:v>传输数据路径CPU卸载</x:v>
      </x:c>
      <x:c r="P125" s="20" t="str">
        <x:v>本需求作为 P3 条件能力，验证将 KVCache 传输的 CQ/完成通知、路由表查询及具备明确硬件支持的数据变换卸载至 DPU。DPU 不得成为主路径成立的前置依赖；若无 DPU 或无硬件 codec，不得回退为 CPU 扫描 KV Payload 完成压缩、解压或 CRC。</x:v>
      </x:c>
      <x:c r="Q125" s="20" t="str">
        <x:v>作为平台补充能力，在支持 DPU 卸载的硬件上验证数据面/控制面卸载效果，P99 延迟不显著恶化。</x:v>
      </x:c>
      <x:c r="R125" s="20" t="str">
        <x:v>不作为 MVP 主链路业务承诺。验证环境配置 DPU 并执行卸载，比较开启前后的端到端 TPOT 收益是否与 DPU 处理开销匹配。</x:v>
      </x:c>
      <x:c r="S125" s="20" t="str">
        <x:v>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x:v>
      </x:c>
      <x:c r="T125"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x:v>
      </x:c>
      <x:c r="U125" s="20" t="str">
        <x:f>IF(COUNTIF('SF-IR-SR定义'!$B$5:$B$79,G125)=1,"PASS","CHECK")</x:f>
        <x:v>PASS</x:v>
      </x:c>
      <x:c r="V125" s="20" t="str">
        <x:f>IF(COUNTIF($B$5:$B$148,B125)=1,"PASS","DUPLICATE")</x:f>
        <x:v>PASS</x:v>
      </x:c>
      <x:c r="W125" s="20" t="str">
        <x:f>C125&amp;" / "&amp;E125&amp;" / "&amp;G125&amp;" / "&amp;B125</x:f>
        <x:v>SF-04 / IR-04-04 / SR-04-04-01 / AR-L4-NET-OFFLOAD-DPU-001</x:v>
      </x:c>
    </x:row>
    <x:row r="126" ht="97.19999694824219" hidden="0" customHeight="1">
      <x:c r="A126" s="20" t="n">
        <x:v>122</x:v>
      </x:c>
      <x:c r="B126" s="20" t="str">
        <x:v>AR-L4-FABRIC-ROUTER-001</x:v>
      </x:c>
      <x:c r="C126" s="20" t="str">
        <x:v>SF-04</x:v>
      </x:c>
      <x:c r="D126" s="20" t="str">
        <x:v>传输创新底座与多介质数据路径</x:v>
      </x:c>
      <x:c r="E126" s="20" t="str">
        <x:v>IR-04-01</x:v>
      </x:c>
      <x:c r="F126" s="20" t="str">
        <x:v>能力抽象、路径探测与描述符编译</x:v>
      </x:c>
      <x:c r="G126" s="20" t="str">
        <x:v>SR-04-01-02</x:v>
      </x:c>
      <x:c r="H126" s="20" t="str">
        <x:v>拓扑探测、动态路由与统一Fabric Router</x:v>
      </x:c>
      <x:c r="I126" s="20" t="str">
        <x:v>L4-FABRIC-ROUTER-001</x:v>
      </x:c>
      <x:c r="J126" s="20" t="str">
        <x:v>L4 底层传输层</x:v>
      </x:c>
      <x:c r="K126" s="20" t="str">
        <x:v>Fabric能力与统一路由</x:v>
      </x:c>
      <x:c r="L126" s="20" t="str">
        <x:v>P0</x:v>
      </x:c>
      <x:c r="M126" s="20" t="str">
        <x:v>P0</x:v>
      </x:c>
      <x:c r="N126" s="20" t="str">
        <x:v>硬件协同</x:v>
      </x:c>
      <x:c r="O126" s="20" t="str">
        <x:v>多语义底层传输统一路由</x:v>
      </x:c>
      <x:c r="P126" s="20"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Q126" s="20" t="str">
        <x:v>同机架内本地及远端DDR命中率（Local Usable Hit Rate）提升≥30%。</x:v>
      </x:c>
      <x:c r="R126" s="20" t="str">
        <x:v>部署含千卡级别的多机柜大规模集群(如16-64节点)，使用vLLM benchmark工具注入Zipf分布的热点Prompt，统计路由命中本地/本同架的比例，要求大于80%达标。</x:v>
      </x:c>
      <x:c r="S126" s="20" t="str">
        <x:v>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x:v>
      </x:c>
      <x:c r="T126"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x:v>
      </x:c>
      <x:c r="U126" s="20" t="str">
        <x:f>IF(COUNTIF('SF-IR-SR定义'!$B$5:$B$79,G126)=1,"PASS","CHECK")</x:f>
        <x:v>PASS</x:v>
      </x:c>
      <x:c r="V126" s="20" t="str">
        <x:f>IF(COUNTIF($B$5:$B$148,B126)=1,"PASS","DUPLICATE")</x:f>
        <x:v>PASS</x:v>
      </x:c>
      <x:c r="W126" s="20" t="str">
        <x:f>C126&amp;" / "&amp;E126&amp;" / "&amp;G126&amp;" / "&amp;B126</x:f>
        <x:v>SF-04 / IR-04-01 / SR-04-01-02 / AR-L4-FABRIC-ROUTER-001</x:v>
      </x:c>
    </x:row>
    <x:row r="127" ht="97.19999694824219" hidden="0" customHeight="1">
      <x:c r="A127" s="20" t="n">
        <x:v>123</x:v>
      </x:c>
      <x:c r="B127" s="20" t="str">
        <x:v>AR-L4-HW-SemCapTable-050</x:v>
      </x:c>
      <x:c r="C127" s="20" t="str">
        <x:v>SF-04</x:v>
      </x:c>
      <x:c r="D127" s="20" t="str">
        <x:v>传输创新底座与多介质数据路径</x:v>
      </x:c>
      <x:c r="E127" s="20" t="str">
        <x:v>IR-04-01</x:v>
      </x:c>
      <x:c r="F127" s="20" t="str">
        <x:v>能力抽象、路径探测与描述符编译</x:v>
      </x:c>
      <x:c r="G127" s="20" t="str">
        <x:v>SR-04-01-01</x:v>
      </x:c>
      <x:c r="H127" s="20" t="str">
        <x:v>传输Capability与语义抽象</x:v>
      </x:c>
      <x:c r="I127" s="20" t="str">
        <x:v>L4-HW-SemCapTable-050</x:v>
      </x:c>
      <x:c r="J127" s="20" t="str">
        <x:v>L4 底层传输层</x:v>
      </x:c>
      <x:c r="K127" s="20" t="str">
        <x:v>Fabric能力与统一路由</x:v>
      </x:c>
      <x:c r="L127" s="20" t="str">
        <x:v>P0</x:v>
      </x:c>
      <x:c r="M127" s="20" t="str">
        <x:v>P0</x:v>
      </x:c>
      <x:c r="N127" s="20" t="str">
        <x:v>软硬接口/硬件协同</x:v>
      </x:c>
      <x:c r="O127" s="20" t="str">
        <x:v>异构 KV 传输硬件能力建模</x:v>
      </x:c>
      <x:c r="P127" s="20" t="str">
        <x:v>本需求要求硬件抽象层输出 semantic capability table：对每条路径声明可支持的链路类型，支持 coherent memory view、atomic、DMA、RDMA、GDS、TCP stream、QoS、fence、persistent visibility、NPU DMA，使上层不会误把所有路径当作普通 read/write。</x:v>
      </x:c>
      <x:c r="Q127" s="20" t="str">
        <x:v>建立前置硬件能力矩阵和注册内存池机制，确保 KV block layout 不被碎片化，并能进行有效的硬件边界隔离。</x:v>
      </x:c>
      <x:c r="R127" s="20" t="str">
        <x:v>在 P1 输出包含 P50/P99 延迟、layout 对齐约束的 Capability Matrix；使用微基准测试验证 registered pool 开销较未注册内存降低，且 extent visibility fence 正确生效。</x:v>
      </x:c>
      <x:c r="S127" s="20" t="str">
        <x:v>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x:v>
      </x:c>
      <x:c r="T127"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x:v>
      </x:c>
      <x:c r="U127" s="20" t="str">
        <x:f>IF(COUNTIF('SF-IR-SR定义'!$B$5:$B$79,G127)=1,"PASS","CHECK")</x:f>
        <x:v>PASS</x:v>
      </x:c>
      <x:c r="V127" s="20" t="str">
        <x:f>IF(COUNTIF($B$5:$B$148,B127)=1,"PASS","DUPLICATE")</x:f>
        <x:v>PASS</x:v>
      </x:c>
      <x:c r="W127" s="20" t="str">
        <x:f>C127&amp;" / "&amp;E127&amp;" / "&amp;G127&amp;" / "&amp;B127</x:f>
        <x:v>SF-04 / IR-04-01 / SR-04-01-01 / AR-L4-HW-SemCapTable-050</x:v>
      </x:c>
    </x:row>
    <x:row r="128" ht="97.19999694824219" hidden="0" customHeight="1">
      <x:c r="A128" s="20" t="n">
        <x:v>124</x:v>
      </x:c>
      <x:c r="B128" s="20" t="str">
        <x:v>AR-L4-HW-AddrTrans-051</x:v>
      </x:c>
      <x:c r="C128" s="20" t="str">
        <x:v>SF-04</x:v>
      </x:c>
      <x:c r="D128" s="20" t="str">
        <x:v>传输创新底座与多介质数据路径</x:v>
      </x:c>
      <x:c r="E128" s="20" t="str">
        <x:v>IR-04-02</x:v>
      </x:c>
      <x:c r="F128" s="20" t="str">
        <x:v>Direct与零拷贝代表路径</x:v>
      </x:c>
      <x:c r="G128" s="20" t="str">
        <x:v>SR-04-02-03</x:v>
      </x:c>
      <x:c r="H128" s="20" t="str">
        <x:v>UB/C2C统一内存与Memory View</x:v>
      </x:c>
      <x:c r="I128" s="20" t="str">
        <x:v>L4-HW-AddrTrans-051</x:v>
      </x:c>
      <x:c r="J128" s="20" t="str">
        <x:v>L4 底层传输层</x:v>
      </x:c>
      <x:c r="K128" s="20" t="str">
        <x:v>Fabric能力与统一路由</x:v>
      </x:c>
      <x:c r="L128" s="20" t="str">
        <x:v>P1</x:v>
      </x:c>
      <x:c r="M128" s="20" t="str">
        <x:v>P1</x:v>
      </x:c>
      <x:c r="N128" s="20" t="str">
        <x:v>软硬接口/硬件协同</x:v>
      </x:c>
      <x:c r="O128" s="20" t="str">
        <x:v>共享内存 KV 访问地址转换优化</x:v>
      </x:c>
      <x:c r="P128" s="20" t="str">
        <x:v>本需求要求硬件层为 UB/C2C/NPU/NPU memory view 暴露地址翻译 telemetry，包括 IOMMU/ATS/SMMU/TLB miss、page fault、shootdown、page size 和 first-touch 代价，使 direct view 的尾延迟可观测、可优化。</x:v>
      </x:c>
      <x:c r="Q128" s="20" t="str">
        <x:v>direct view p99 可解释；</x:v>
      </x:c>
      <x:c r="R128" s="20" t="str">
        <x:v>在分配池化内存时，对各种可能的页面大小（如 4KB、2MB HugePages、1GB）与首次访问策略（First-touch 亲和性绑定）组合进行彻底遍历测试（Sweep）。对比不同组合下跨 NUMA 访问和 TLB Miss 带来的延迟差异并锁定最优配置。</x:v>
      </x:c>
      <x:c r="S128" s="20" t="str">
        <x:v>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x:v>
      </x:c>
      <x:c r="T128"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x:v>
      </x:c>
      <x:c r="U128" s="20" t="str">
        <x:f>IF(COUNTIF('SF-IR-SR定义'!$B$5:$B$79,G128)=1,"PASS","CHECK")</x:f>
        <x:v>PASS</x:v>
      </x:c>
      <x:c r="V128" s="20" t="str">
        <x:f>IF(COUNTIF($B$5:$B$148,B128)=1,"PASS","DUPLICATE")</x:f>
        <x:v>PASS</x:v>
      </x:c>
      <x:c r="W128" s="20" t="str">
        <x:f>C128&amp;" / "&amp;E128&amp;" / "&amp;G128&amp;" / "&amp;B128</x:f>
        <x:v>SF-04 / IR-04-02 / SR-04-02-03 / AR-L4-HW-AddrTrans-051</x:v>
      </x:c>
    </x:row>
    <x:row r="129" ht="97.19999694824219" hidden="0" customHeight="1">
      <x:c r="A129" s="20" t="n">
        <x:v>125</x:v>
      </x:c>
      <x:c r="B129" s="20" t="str">
        <x:v>AR-L4-CO-FencePrimitive-052</x:v>
      </x:c>
      <x:c r="C129" s="20" t="str">
        <x:v>SF-05</x:v>
      </x:c>
      <x:c r="D129" s="20" t="str">
        <x:v>一致性、安全、完整性与故障恢复</x:v>
      </x:c>
      <x:c r="E129" s="20" t="str">
        <x:v>IR-05-01</x:v>
      </x:c>
      <x:c r="F129" s="20" t="str">
        <x:v>发布、完成、可见性与Ready边界</x:v>
      </x:c>
      <x:c r="G129" s="20" t="str">
        <x:v>SR-05-01-02</x:v>
      </x:c>
      <x:c r="H129" s="20" t="str">
        <x:v>跨设备Fence与Extent可见性</x:v>
      </x:c>
      <x:c r="I129" s="20" t="str">
        <x:v>L4-CO-FencePrimitive-052</x:v>
      </x:c>
      <x:c r="J129" s="20" t="str">
        <x:v>L4 底层传输层</x:v>
      </x:c>
      <x:c r="K129" s="20" t="str">
        <x:v>一致性、安全与可靠性</x:v>
      </x:c>
      <x:c r="L129" s="20" t="str">
        <x:v>P0</x:v>
      </x:c>
      <x:c r="M129" s="20" t="str">
        <x:v>P0</x:v>
      </x:c>
      <x:c r="N129" s="20" t="str">
        <x:v>硬件协同</x:v>
      </x:c>
      <x:c r="O129" s="20" t="str">
        <x:v>跨设备 KVCache 可见性同步</x:v>
      </x:c>
      <x:c r="P129" s="20" t="str">
        <x:v>本需求要求硬件抽象层提供跨语义 fence 原语，至少覆盖 cpu_to_NPU_visible、rdma_to_NPU_visible、NPU_to_UB_visible、UB_to_rdma_visible，确保不同 fabric 间数据完成与可见性边界明确。</x:v>
      </x:c>
      <x:c r="Q129" s="20" t="str">
        <x:v>stale visibility fault = 0；</x:v>
      </x:c>
      <x:c r="R129" s="20" t="str">
        <x:v>编写极限多线程并发读写探针，在大规模 KV 对象共享状态转换（如状态从 Writing 转变为 Ready）之间安插 Fence 原语。验证在多物理节点同时观测该状态时，严格遵循可见性序列，绝对不发生读脏数据的情况。</x:v>
      </x:c>
      <x:c r="S129" s="20" t="str">
        <x:v>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x:v>
      </x:c>
      <x:c r="T129"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x:v>
      </x:c>
      <x:c r="U129" s="20" t="str">
        <x:f>IF(COUNTIF('SF-IR-SR定义'!$B$5:$B$79,G129)=1,"PASS","CHECK")</x:f>
        <x:v>PASS</x:v>
      </x:c>
      <x:c r="V129" s="20" t="str">
        <x:f>IF(COUNTIF($B$5:$B$148,B129)=1,"PASS","DUPLICATE")</x:f>
        <x:v>PASS</x:v>
      </x:c>
      <x:c r="W129" s="20" t="str">
        <x:f>C129&amp;" / "&amp;E129&amp;" / "&amp;G129&amp;" / "&amp;B129</x:f>
        <x:v>SF-05 / IR-05-01 / SR-05-01-02 / AR-L4-CO-FencePrimitive-052</x:v>
      </x:c>
    </x:row>
    <x:row r="130" ht="97.19999694824219" hidden="0" customHeight="1">
      <x:c r="A130" s="20" t="n">
        <x:v>126</x:v>
      </x:c>
      <x:c r="B130" s="20" t="str">
        <x:v>AR-L4-FT-RASErrorMap-061</x:v>
      </x:c>
      <x:c r="C130" s="20" t="str">
        <x:v>SF-05</x:v>
      </x:c>
      <x:c r="D130" s="20" t="str">
        <x:v>一致性、安全、完整性与故障恢复</x:v>
      </x:c>
      <x:c r="E130" s="20" t="str">
        <x:v>IR-05-03</x:v>
      </x:c>
      <x:c r="F130" s="20" t="str">
        <x:v>分路径完整性、RAS与故障降级</x:v>
      </x:c>
      <x:c r="G130" s="20" t="str">
        <x:v>SR-05-03-02</x:v>
      </x:c>
      <x:c r="H130" s="20" t="str">
        <x:v>副本隔离与RAS错误映射</x:v>
      </x:c>
      <x:c r="I130" s="20" t="str">
        <x:v>L4-FT-RASErrorMap-061</x:v>
      </x:c>
      <x:c r="J130" s="20" t="str">
        <x:v>L4 底层传输层</x:v>
      </x:c>
      <x:c r="K130" s="20" t="str">
        <x:v>一致性、安全与可靠性</x:v>
      </x:c>
      <x:c r="L130" s="20" t="str">
        <x:v>P0</x:v>
      </x:c>
      <x:c r="M130" s="20" t="str">
        <x:v>P0</x:v>
      </x:c>
      <x:c r="N130" s="20" t="str">
        <x:v>软硬接口/硬件协同</x:v>
      </x:c>
      <x:c r="O130" s="20" t="str">
        <x:v>KVCache 硬件故障统一恢复</x:v>
      </x:c>
      <x:c r="P130" s="20" t="str">
        <x:v>本需求要求硬件层将 UB error、RDMA flush error、NPU page fault、TCP timeout、SSD read error、translation fault 映射为统一 KV object fault code，并触发对应 fallback、recompute、replica invalidation 或 quarantine 策略。</x:v>
      </x:c>
      <x:c r="Q130" s="20" t="str">
        <x:v>错误恢复路径覆盖率 受SLO约束的比例；</x:v>
      </x:c>
      <x:c r="R130" s="20" t="str">
        <x:v>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x:v>
      </x:c>
      <x:c r="S130" s="20" t="str">
        <x:v>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x:v>
      </x:c>
      <x:c r="T130"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x:v>
      </x:c>
      <x:c r="U130" s="20" t="str">
        <x:f>IF(COUNTIF('SF-IR-SR定义'!$B$5:$B$79,G130)=1,"PASS","CHECK")</x:f>
        <x:v>PASS</x:v>
      </x:c>
      <x:c r="V130" s="20" t="str">
        <x:f>IF(COUNTIF($B$5:$B$148,B130)=1,"PASS","DUPLICATE")</x:f>
        <x:v>PASS</x:v>
      </x:c>
      <x:c r="W130" s="20" t="str">
        <x:f>C130&amp;" / "&amp;E130&amp;" / "&amp;G130&amp;" / "&amp;B130</x:f>
        <x:v>SF-05 / IR-05-03 / SR-05-03-02 / AR-L4-FT-RASErrorMap-061</x:v>
      </x:c>
    </x:row>
    <x:row r="131" ht="86.4000015258789" hidden="0" customHeight="1">
      <x:c r="A131" s="20" t="n">
        <x:v>127</x:v>
      </x:c>
      <x:c r="B131" s="20" t="str">
        <x:v>AR-L4-QO-TrafficClass-056</x:v>
      </x:c>
      <x:c r="C131" s="20" t="str">
        <x:v>SF-06</x:v>
      </x:c>
      <x:c r="D131" s="20" t="str">
        <x:v>性能QoS、收益闭环与平台演进</x:v>
      </x:c>
      <x:c r="E131" s="20" t="str">
        <x:v>IR-06-01</x:v>
      </x:c>
      <x:c r="F131" s="20" t="str">
        <x:v>前后台流量与迁移QoS</x:v>
      </x:c>
      <x:c r="G131" s="20" t="str">
        <x:v>SR-06-01-01</x:v>
      </x:c>
      <x:c r="H131" s="20" t="str">
        <x:v>语义QoS与硬件Traffic Class</x:v>
      </x:c>
      <x:c r="I131" s="20" t="str">
        <x:v>L4-QO-TrafficClass-056</x:v>
      </x:c>
      <x:c r="J131" s="20" t="str">
        <x:v>L4 底层传输层</x:v>
      </x:c>
      <x:c r="K131" s="20" t="str">
        <x:v>一致性、安全与可靠性</x:v>
      </x:c>
      <x:c r="L131" s="20" t="str">
        <x:v>P0</x:v>
      </x:c>
      <x:c r="M131" s="20" t="str">
        <x:v>P0</x:v>
      </x:c>
      <x:c r="N131" s="20" t="str">
        <x:v>软硬接口/硬件协同</x:v>
      </x:c>
      <x:c r="O131" s="20" t="str">
        <x:v>KVCache 多类业务流量硬件隔离</x:v>
      </x:c>
      <x:c r="P131" s="20" t="str">
        <x:v>本需求要求底层为不同 KV 流量建立流量隔离：TTFT prefix load、decode-critical copy、metadata lookup、background writeback、SSD cold restore、TCP fallback 应分 RNIC queue、copy stream、UB switch queue 或线程池隔离。</x:v>
      </x:c>
      <x:c r="Q131" s="20" t="str">
        <x:v>background interference 降低 ≥50%；</x:v>
      </x:c>
      <x:c r="R131" s="20"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c r="S131" s="20" t="str">
        <x:v>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x:v>
      </x:c>
      <x:c r="T131" s="20"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x:v>
      </x:c>
      <x:c r="U131" s="20" t="str">
        <x:f>IF(COUNTIF('SF-IR-SR定义'!$B$5:$B$79,G131)=1,"PASS","CHECK")</x:f>
        <x:v>PASS</x:v>
      </x:c>
      <x:c r="V131" s="20" t="str">
        <x:f>IF(COUNTIF($B$5:$B$148,B131)=1,"PASS","DUPLICATE")</x:f>
        <x:v>PASS</x:v>
      </x:c>
      <x:c r="W131" s="20" t="str">
        <x:f>C131&amp;" / "&amp;E131&amp;" / "&amp;G131&amp;" / "&amp;B131</x:f>
        <x:v>SF-06 / IR-06-01 / SR-06-01-01 / AR-L4-QO-TrafficClass-056</x:v>
      </x:c>
    </x:row>
    <x:row r="132" ht="86.4000015258789" hidden="0" customHeight="1">
      <x:c r="A132" s="20" t="n">
        <x:v>128</x:v>
      </x:c>
      <x:c r="B132" s="20" t="str">
        <x:v>AR-L4-SC-ViewProtection-062</x:v>
      </x:c>
      <x:c r="C132" s="20" t="str">
        <x:v>SF-05</x:v>
      </x:c>
      <x:c r="D132" s="20" t="str">
        <x:v>一致性、安全、完整性与故障恢复</x:v>
      </x:c>
      <x:c r="E132" s="20" t="str">
        <x:v>IR-05-04</x:v>
      </x:c>
      <x:c r="F132" s="20" t="str">
        <x:v>多租户隔离与安全共享</x:v>
      </x:c>
      <x:c r="G132" s="20" t="str">
        <x:v>SR-05-04-02</x:v>
      </x:c>
      <x:c r="H132" s="20" t="str">
        <x:v>Memory View保护与Extent安全释放</x:v>
      </x:c>
      <x:c r="I132" s="20" t="str">
        <x:v>L4-SC-ViewProtection-062</x:v>
      </x:c>
      <x:c r="J132" s="20" t="str">
        <x:v>L4 底层传输层</x:v>
      </x:c>
      <x:c r="K132" s="20" t="str">
        <x:v>一致性、安全与可靠性</x:v>
      </x:c>
      <x:c r="L132" s="20" t="str">
        <x:v>P0</x:v>
      </x:c>
      <x:c r="M132" s="20" t="str">
        <x:v>P0</x:v>
      </x:c>
      <x:c r="N132" s="20" t="str">
        <x:v>硬件协同</x:v>
      </x:c>
      <x:c r="O132" s="20" t="str">
        <x:v>共享内存 KVCache 安全访问保护</x:v>
      </x:c>
      <x:c r="P132" s="20" t="str">
        <x:v>本需求要求 memory view 访问必须具备硬件级保护：read-only mapping、IOMMU/SMMU domain、tenant key、view revocation、poison isolation、audit log；裸地址不得跨租户或跨安全域直接共享。</x:v>
      </x:c>
      <x:c r="Q132" s="20" t="str">
        <x:v>越权访问 = 0；view revocation p99 &lt;1ms；</x:v>
      </x:c>
      <x:c r="R132" s="20" t="str">
        <x:v>应用安全性模糊测试（Fuzzing）工具，大量随机且非法地试图通过篡改过的指针与长度参数进行恶意探测。结合验证底层的访问吊销原语（Revoke），证明安全沙箱能全面防御越界探查，保护驻留对象内存不被泄漏或恶意复写。</x:v>
      </x:c>
      <x:c r="S132" s="20" t="str">
        <x:v>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x:v>
      </x:c>
      <x:c r="T132" s="20" t="str">
        <x:v>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x:v>
      </x:c>
      <x:c r="U132" s="20" t="str">
        <x:f>IF(COUNTIF('SF-IR-SR定义'!$B$5:$B$79,G132)=1,"PASS","CHECK")</x:f>
        <x:v>PASS</x:v>
      </x:c>
      <x:c r="V132" s="20" t="str">
        <x:f>IF(COUNTIF($B$5:$B$148,B132)=1,"PASS","DUPLICATE")</x:f>
        <x:v>PASS</x:v>
      </x:c>
      <x:c r="W132" s="20" t="str">
        <x:f>C132&amp;" / "&amp;E132&amp;" / "&amp;G132&amp;" / "&amp;B132</x:f>
        <x:v>SF-05 / IR-05-04 / SR-05-04-02 / AR-L4-SC-ViewProtection-062</x:v>
      </x:c>
    </x:row>
    <x:row r="133" ht="97.19999694824219" hidden="0" customHeight="1">
      <x:c r="A133" s="20" t="n">
        <x:v>129</x:v>
      </x:c>
      <x:c r="B133" s="20" t="str">
        <x:v>AR-L4-OB-RemoteAccessCounter-057</x:v>
      </x:c>
      <x:c r="C133" s="20" t="str">
        <x:v>SF-06</x:v>
      </x:c>
      <x:c r="D133" s="20" t="str">
        <x:v>性能QoS、收益闭环与平台演进</x:v>
      </x:c>
      <x:c r="E133" s="20" t="str">
        <x:v>IR-06-03</x:v>
      </x:c>
      <x:c r="F133" s="20" t="str">
        <x:v>端到端可观测与收益对账</x:v>
      </x:c>
      <x:c r="G133" s="20" t="str">
        <x:v>SR-06-03-02</x:v>
      </x:c>
      <x:c r="H133" s="20" t="str">
        <x:v>逐路径Telemetry与远端访问计数</x:v>
      </x:c>
      <x:c r="I133" s="20" t="str">
        <x:v>L4-OB-RemoteAccessCounter-057</x:v>
      </x:c>
      <x:c r="J133" s="20" t="str">
        <x:v>L4 底层传输层</x:v>
      </x:c>
      <x:c r="K133" s="20" t="str">
        <x:v>一致性、安全与可靠性</x:v>
      </x:c>
      <x:c r="L133" s="20" t="str">
        <x:v>P1</x:v>
      </x:c>
      <x:c r="M133" s="20" t="str">
        <x:v>P1</x:v>
      </x:c>
      <x:c r="N133" s="20" t="str">
        <x:v>硬件协同</x:v>
      </x:c>
      <x:c r="O133" s="20" t="str">
        <x:v>近端共享内存 KV 访问性能观测</x:v>
      </x:c>
      <x:c r="P133" s="20" t="str">
        <x:v>本需求要求 NPU/NPU runtime 暴露 remote-tier access counters：包括 UB/C2C load count、remote memory bandwidth、stall cycles、Lmiss source、copy engine utilization，使系统能判断 direct view 是否拖慢 TPOT。</x:v>
      </x:c>
      <x:c r="Q133" s="20" t="str">
        <x:v>view-vs-copy 决策准确率 ≥90%；</x:v>
      </x:c>
      <x:c r="R133" s="20" t="str">
        <x:v>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x:v>
      </x:c>
      <x:c r="S133" s="20" t="str">
        <x:v>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x:v>
      </x:c>
      <x:c r="T133"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x:v>
      </x:c>
      <x:c r="U133" s="20" t="str">
        <x:f>IF(COUNTIF('SF-IR-SR定义'!$B$5:$B$79,G133)=1,"PASS","CHECK")</x:f>
        <x:v>PASS</x:v>
      </x:c>
      <x:c r="V133" s="20" t="str">
        <x:f>IF(COUNTIF($B$5:$B$148,B133)=1,"PASS","DUPLICATE")</x:f>
        <x:v>PASS</x:v>
      </x:c>
      <x:c r="W133" s="20" t="str">
        <x:f>C133&amp;" / "&amp;E133&amp;" / "&amp;G133&amp;" / "&amp;B133</x:f>
        <x:v>SF-06 / IR-06-03 / SR-06-03-02 / AR-L4-OB-RemoteAccessCounter-057</x:v>
      </x:c>
    </x:row>
    <x:row r="134" ht="97.19999694824219" hidden="0" customHeight="1">
      <x:c r="A134" s="20" t="n">
        <x:v>130</x:v>
      </x:c>
      <x:c r="B134" s="20" t="str">
        <x:v>AR-L4-CO-PageMigration-063</x:v>
      </x:c>
      <x:c r="C134" s="20" t="str">
        <x:v>SF-04</x:v>
      </x:c>
      <x:c r="D134" s="20" t="str">
        <x:v>传输创新底座与多介质数据路径</x:v>
      </x:c>
      <x:c r="E134" s="20" t="str">
        <x:v>IR-04-04</x:v>
      </x:c>
      <x:c r="F134" s="20" t="str">
        <x:v>条件硬件卸载与高级迁移原语</x:v>
      </x:c>
      <x:c r="G134" s="20" t="str">
        <x:v>SR-04-04-02</x:v>
      </x:c>
      <x:c r="H134" s="20" t="str">
        <x:v>硬件页迁移与原子重映射</x:v>
      </x:c>
      <x:c r="I134" s="20" t="str">
        <x:v>L4-CO-PageMigration-063</x:v>
      </x:c>
      <x:c r="J134" s="20" t="str">
        <x:v>L4 底层传输层</x:v>
      </x:c>
      <x:c r="K134" s="20" t="str">
        <x:v>一致性、安全与可靠性</x:v>
      </x:c>
      <x:c r="L134" s="20" t="str">
        <x:v>P3</x:v>
      </x:c>
      <x:c r="M134" s="20" t="str">
        <x:v>P3</x:v>
      </x:c>
      <x:c r="N134" s="20" t="str">
        <x:v>硬件协同</x:v>
      </x:c>
      <x:c r="O134" s="20" t="str">
        <x:v>硬件级零拷贝内存重组</x:v>
      </x:c>
      <x:c r="P134" s="20" t="str">
        <x:v>本需求要求底层传输层提供硬件级页迁移（Page Migration）与大页（Hugepage）重组原语，允许在不更改上层虚拟地址（GAP/指针）的前提下，在硬件层原子级完成物理内存页复制与 IOMMU/TLB 刷新。</x:v>
      </x:c>
      <x:c r="Q134" s="20" t="str">
        <x:v>探索直接视图(direct view)、硬件多播及硬件原子页迁移等远期能力，避免 TPOT 被直接视图意外拖慢，不强求 &lt;500ns 等极端指标。</x:v>
      </x:c>
      <x:c r="R134" s="20" t="str">
        <x:v>不作为 MVP 验收阻塞项。在实验分支使用流量发生器对 direct view 及 multicast 的延迟做 P99 观测，通过端到端测试证明其收益高于 cost 时方可升级为主路径。</x:v>
      </x:c>
      <x:c r="S134" s="20" t="str">
        <x:v>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x:v>
      </x:c>
      <x:c r="T134"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x:v>
      </x:c>
      <x:c r="U134" s="20" t="str">
        <x:f>IF(COUNTIF('SF-IR-SR定义'!$B$5:$B$79,G134)=1,"PASS","CHECK")</x:f>
        <x:v>PASS</x:v>
      </x:c>
      <x:c r="V134" s="20" t="str">
        <x:f>IF(COUNTIF($B$5:$B$148,B134)=1,"PASS","DUPLICATE")</x:f>
        <x:v>PASS</x:v>
      </x:c>
      <x:c r="W134" s="20" t="str">
        <x:f>C134&amp;" / "&amp;E134&amp;" / "&amp;G134&amp;" / "&amp;B134</x:f>
        <x:v>SF-04 / IR-04-04 / SR-04-04-02 / AR-L4-CO-PageMigration-063</x:v>
      </x:c>
    </x:row>
    <x:row r="135" ht="97.19999694824219" hidden="0" customHeight="1">
      <x:c r="A135" s="20" t="n">
        <x:v>131</x:v>
      </x:c>
      <x:c r="B135" s="20" t="str">
        <x:v>AR-L4-QO-MigrationQoS-064</x:v>
      </x:c>
      <x:c r="C135" s="20" t="str">
        <x:v>SF-06</x:v>
      </x:c>
      <x:c r="D135" s="20" t="str">
        <x:v>性能QoS、收益闭环与平台演进</x:v>
      </x:c>
      <x:c r="E135" s="20" t="str">
        <x:v>IR-06-01</x:v>
      </x:c>
      <x:c r="F135" s="20" t="str">
        <x:v>前后台流量与迁移QoS</x:v>
      </x:c>
      <x:c r="G135" s="20" t="str">
        <x:v>SR-06-01-02</x:v>
      </x:c>
      <x:c r="H135" s="20" t="str">
        <x:v>迁移与状态感知流量隔离</x:v>
      </x:c>
      <x:c r="I135" s="20" t="str">
        <x:v>L4-QO-MigrationQoS-064</x:v>
      </x:c>
      <x:c r="J135" s="20" t="str">
        <x:v>L4 底层传输层</x:v>
      </x:c>
      <x:c r="K135" s="20" t="str">
        <x:v>一致性、安全与可靠性</x:v>
      </x:c>
      <x:c r="L135" s="20" t="str">
        <x:v>P0</x:v>
      </x:c>
      <x:c r="M135" s="20" t="str">
        <x:v>P0</x:v>
      </x:c>
      <x:c r="N135" s="20" t="str">
        <x:v>硬件协同</x:v>
      </x:c>
      <x:c r="O135" s="20" t="str">
        <x:v>主动迁移流量硬件隔离保障</x:v>
      </x:c>
      <x:c r="P135" s="20" t="str">
        <x:v>本需求要求底层传输层为水位触发的主动迁移流量分配专用硬件通道（如特定的 RNIC Queue、PCIe DMA Ring 或独立拷贝引擎），与前台推理流量（TTFT/TPOT）实现物理隔离，确保大规模 KVCache 跨介质搬移时不挤兑推理带宽。</x:v>
      </x:c>
      <x:c r="Q135" s="20" t="str">
        <x:v>高拥塞背景下，KVCache关键小包的P99延迟不随大流数据量线性增加。</x:v>
      </x:c>
      <x:c r="R135" s="20" t="str">
        <x:v>使用高性能流量发生器或真实AllReduce后台流打满400G/800G物理带宽，同时发起KVCache高优块拉取请求，观测P99传输延迟，要求依然处于可接受基线范围内（如不受严重劣化）。</x:v>
      </x:c>
      <x:c r="S135" s="20" t="str">
        <x:v>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x:v>
      </x:c>
      <x:c r="T135"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x:v>
      </x:c>
      <x:c r="U135" s="20" t="str">
        <x:f>IF(COUNTIF('SF-IR-SR定义'!$B$5:$B$79,G135)=1,"PASS","CHECK")</x:f>
        <x:v>PASS</x:v>
      </x:c>
      <x:c r="V135" s="20" t="str">
        <x:f>IF(COUNTIF($B$5:$B$148,B135)=1,"PASS","DUPLICATE")</x:f>
        <x:v>PASS</x:v>
      </x:c>
      <x:c r="W135" s="20" t="str">
        <x:f>C135&amp;" / "&amp;E135&amp;" / "&amp;G135&amp;" / "&amp;B135</x:f>
        <x:v>SF-06 / IR-06-01 / SR-06-01-02 / AR-L4-QO-MigrationQoS-064</x:v>
      </x:c>
    </x:row>
    <x:row r="136" ht="97.19999694824219" hidden="0" customHeight="1">
      <x:c r="A136" s="20" t="n">
        <x:v>132</x:v>
      </x:c>
      <x:c r="B136" s="20" t="str">
        <x:v>AR-L4-CO-AtomicRemapPrimitive-065</x:v>
      </x:c>
      <x:c r="C136" s="20" t="str">
        <x:v>SF-04</x:v>
      </x:c>
      <x:c r="D136" s="20" t="str">
        <x:v>传输创新底座与多介质数据路径</x:v>
      </x:c>
      <x:c r="E136" s="20" t="str">
        <x:v>IR-04-04</x:v>
      </x:c>
      <x:c r="F136" s="20" t="str">
        <x:v>条件硬件卸载与高级迁移原语</x:v>
      </x:c>
      <x:c r="G136" s="20" t="str">
        <x:v>SR-04-04-02</x:v>
      </x:c>
      <x:c r="H136" s="20" t="str">
        <x:v>硬件页迁移与原子重映射</x:v>
      </x:c>
      <x:c r="I136" s="20" t="str">
        <x:v>L4-CO-AtomicRemapPrimitive-065</x:v>
      </x:c>
      <x:c r="J136" s="20" t="str">
        <x:v>L4 底层传输层</x:v>
      </x:c>
      <x:c r="K136" s="20" t="str">
        <x:v>一致性、安全与可靠性</x:v>
      </x:c>
      <x:c r="L136" s="20" t="str">
        <x:v>P2</x:v>
      </x:c>
      <x:c r="M136" s="20" t="str">
        <x:v>P2</x:v>
      </x:c>
      <x:c r="N136" s="20" t="str">
        <x:v>软硬接口/硬件协同</x:v>
      </x:c>
      <x:c r="O136" s="20" t="str">
        <x:v>KV 迁移/紧凑整理期间地址无感切换</x:v>
      </x:c>
      <x:c r="P136" s="20" t="str">
        <x:v>本需求要求底层为 KV 迁移和碎片整理提供原子重映射原语：在物理页复制完成、目标路径 integrity policy 满足、目标可见性完成后，一次性切换 logical extent 到新 physical extent，并完成必要的 IOMMU/SMMU/TLB 刷新与 fence。不得强制本地 DDR 路径由 CPU 对 Payload 计算 checksum。</x:v>
      </x:c>
      <x:c r="Q136" s="20" t="str">
        <x:v>高拥塞背景下，KVCache关键小包的P99延迟不随大流数据量线性增加。</x:v>
      </x:c>
      <x:c r="R136" s="20" t="str">
        <x:v>使用高性能流量发生器或真实AllReduce后台流打满400G/800G物理带宽，同时发起KVCache高优块拉取请求，观测P99传输延迟，要求依然处于可接受基线范围内（如不受严重劣化）。</x:v>
      </x:c>
      <x:c r="S136" s="20" t="str">
        <x:v>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x:v>
      </x:c>
      <x:c r="T136"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x:v>
      </x:c>
      <x:c r="U136" s="20" t="str">
        <x:f>IF(COUNTIF('SF-IR-SR定义'!$B$5:$B$79,G136)=1,"PASS","CHECK")</x:f>
        <x:v>PASS</x:v>
      </x:c>
      <x:c r="V136" s="20" t="str">
        <x:f>IF(COUNTIF($B$5:$B$148,B136)=1,"PASS","DUPLICATE")</x:f>
        <x:v>PASS</x:v>
      </x:c>
      <x:c r="W136" s="20" t="str">
        <x:f>C136&amp;" / "&amp;E136&amp;" / "&amp;G136&amp;" / "&amp;B136</x:f>
        <x:v>SF-04 / IR-04-04 / SR-04-04-02 / AR-L4-CO-AtomicRemapPrimitive-065</x:v>
      </x:c>
    </x:row>
    <x:row r="137" ht="97.19999694824219" hidden="0" customHeight="1">
      <x:c r="A137" s="20" t="n">
        <x:v>133</x:v>
      </x:c>
      <x:c r="B137" s="20" t="str">
        <x:v>AR-L4-CO-ExtentVisibilityFence-066</x:v>
      </x:c>
      <x:c r="C137" s="20" t="str">
        <x:v>SF-05</x:v>
      </x:c>
      <x:c r="D137" s="20" t="str">
        <x:v>一致性、安全、完整性与故障恢复</x:v>
      </x:c>
      <x:c r="E137" s="20" t="str">
        <x:v>IR-05-01</x:v>
      </x:c>
      <x:c r="F137" s="20" t="str">
        <x:v>发布、完成、可见性与Ready边界</x:v>
      </x:c>
      <x:c r="G137" s="20" t="str">
        <x:v>SR-05-01-02</x:v>
      </x:c>
      <x:c r="H137" s="20" t="str">
        <x:v>跨设备Fence与Extent可见性</x:v>
      </x:c>
      <x:c r="I137" s="20" t="str">
        <x:v>L4-CO-ExtentVisibilityFence-066</x:v>
      </x:c>
      <x:c r="J137" s="20" t="str">
        <x:v>L4 底层传输层</x:v>
      </x:c>
      <x:c r="K137" s="20" t="str">
        <x:v>一致性、安全与可靠性</x:v>
      </x:c>
      <x:c r="L137" s="20" t="str">
        <x:v>P0</x:v>
      </x:c>
      <x:c r="M137" s="20" t="str">
        <x:v>P0</x:v>
      </x:c>
      <x:c r="N137" s="20" t="str">
        <x:v>软硬接口/硬件协同</x:v>
      </x:c>
      <x:c r="O137" s="20" t="str">
        <x:v>KV block/page 可见性同步</x:v>
      </x:c>
      <x:c r="P137" s="20" t="str">
        <x:v>本需求要求底层提供 extent 粒度 visibility fence，覆盖 HBM、DDR、UB/C2C、RDMA remote memory、SSD/GDS buffer 之间的数据完成与可见性转换；L3 ready bitmap 只能在对应 extent fence 完成后置位。</x:v>
      </x:c>
      <x:c r="Q137" s="20" t="str">
        <x:v>建立前置硬件能力矩阵和注册内存池机制，确保 KV block layout 不被碎片化，并能进行有效的硬件边界隔离。</x:v>
      </x:c>
      <x:c r="R137" s="20" t="str">
        <x:v>在 P1 输出包含 P50/P99 延迟、layout 对齐约束的 Capability Matrix；使用微基准测试验证 registered pool 开销较未注册内存降低，且 extent visibility fence 正确生效。</x:v>
      </x:c>
      <x:c r="S137" s="20" t="str">
        <x:v>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x:v>
      </x:c>
      <x:c r="T137"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x:v>
      </x:c>
      <x:c r="U137" s="20" t="str">
        <x:f>IF(COUNTIF('SF-IR-SR定义'!$B$5:$B$79,G137)=1,"PASS","CHECK")</x:f>
        <x:v>PASS</x:v>
      </x:c>
      <x:c r="V137" s="20" t="str">
        <x:f>IF(COUNTIF($B$5:$B$148,B137)=1,"PASS","DUPLICATE")</x:f>
        <x:v>PASS</x:v>
      </x:c>
      <x:c r="W137" s="20" t="str">
        <x:f>C137&amp;" / "&amp;E137&amp;" / "&amp;G137&amp;" / "&amp;B137</x:f>
        <x:v>SF-05 / IR-05-01 / SR-05-01-02 / AR-L4-CO-ExtentVisibilityFence-066</x:v>
      </x:c>
    </x:row>
    <x:row r="138" ht="97.19999694824219" hidden="0" customHeight="1">
      <x:c r="A138" s="20" t="n">
        <x:v>134</x:v>
      </x:c>
      <x:c r="B138" s="20" t="str">
        <x:v>AR-L4-HW-StorageLayoutCapability-067</x:v>
      </x:c>
      <x:c r="C138" s="20" t="str">
        <x:v>SF-03</x:v>
      </x:c>
      <x:c r="D138" s="20" t="str">
        <x:v>统一KV对象与异构存储池管理</x:v>
      </x:c>
      <x:c r="E138" s="20" t="str">
        <x:v>IR-03-01</x:v>
      </x:c>
      <x:c r="F138" s="20" t="str">
        <x:v>KV对象、存储布局与统一寻址</x:v>
      </x:c>
      <x:c r="G138" s="20" t="str">
        <x:v>SR-03-01-02</x:v>
      </x:c>
      <x:c r="H138" s="20" t="str">
        <x:v>Layout协商、转换计划与Descriptor生成</x:v>
      </x:c>
      <x:c r="I138" s="20" t="str">
        <x:v>L4-HW-StorageLayoutCapability-067</x:v>
      </x:c>
      <x:c r="J138" s="20" t="str">
        <x:v>L4 底层传输层</x:v>
      </x:c>
      <x:c r="K138" s="20" t="str">
        <x:v>Fabric能力与统一路由</x:v>
      </x:c>
      <x:c r="L138" s="20" t="str">
        <x:v>P0</x:v>
      </x:c>
      <x:c r="M138" s="20" t="str">
        <x:v>P0</x:v>
      </x:c>
      <x:c r="N138" s="20" t="str">
        <x:v>软硬接口/硬件协同</x:v>
      </x:c>
      <x:c r="O138" s="20" t="str">
        <x:v>KV 存储布局与底层能力匹配</x:v>
      </x:c>
      <x:c r="P138" s="20"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Q138" s="20" t="str">
        <x:v>建立前置硬件能力矩阵和注册内存池机制，确保 KV block layout 不被碎片化，并能进行有效的硬件边界隔离。</x:v>
      </x:c>
      <x:c r="R138" s="20" t="str">
        <x:v>在 P1 输出包含 P50/P99 延迟、layout 对齐约束的 Capability Matrix；使用微基准测试验证 registered pool 开销较未注册内存降低，且 extent visibility fence 正确生效。</x:v>
      </x:c>
      <x:c r="S138" s="20" t="str">
        <x:v>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x:v>
      </x:c>
      <x:c r="T138"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x:v>
      </x:c>
      <x:c r="U138" s="20" t="str">
        <x:f>IF(COUNTIF('SF-IR-SR定义'!$B$5:$B$79,G138)=1,"PASS","CHECK")</x:f>
        <x:v>PASS</x:v>
      </x:c>
      <x:c r="V138" s="20" t="str">
        <x:f>IF(COUNTIF($B$5:$B$148,B138)=1,"PASS","DUPLICATE")</x:f>
        <x:v>PASS</x:v>
      </x:c>
      <x:c r="W138" s="20" t="str">
        <x:f>C138&amp;" / "&amp;E138&amp;" / "&amp;G138&amp;" / "&amp;B138</x:f>
        <x:v>SF-03 / IR-03-01 / SR-03-01-02 / AR-L4-HW-StorageLayoutCapability-067</x:v>
      </x:c>
    </x:row>
    <x:row r="139" ht="97.19999694824219" hidden="0" customHeight="1">
      <x:c r="A139" s="20" t="n">
        <x:v>135</x:v>
      </x:c>
      <x:c r="B139" s="20" t="str">
        <x:v>AR-L4-QO-StateAwareTrafficClass-068</x:v>
      </x:c>
      <x:c r="C139" s="20" t="str">
        <x:v>SF-06</x:v>
      </x:c>
      <x:c r="D139" s="20" t="str">
        <x:v>性能QoS、收益闭环与平台演进</x:v>
      </x:c>
      <x:c r="E139" s="20" t="str">
        <x:v>IR-06-01</x:v>
      </x:c>
      <x:c r="F139" s="20" t="str">
        <x:v>前后台流量与迁移QoS</x:v>
      </x:c>
      <x:c r="G139" s="20" t="str">
        <x:v>SR-06-01-02</x:v>
      </x:c>
      <x:c r="H139" s="20" t="str">
        <x:v>迁移与状态感知流量隔离</x:v>
      </x:c>
      <x:c r="I139" s="20" t="str">
        <x:v>L4-QO-StateAwareTrafficClass-068</x:v>
      </x:c>
      <x:c r="J139" s="20" t="str">
        <x:v>L4 底层传输层</x:v>
      </x:c>
      <x:c r="K139" s="20" t="str">
        <x:v>一致性、安全与可靠性</x:v>
      </x:c>
      <x:c r="L139" s="20" t="str">
        <x:v>P0</x:v>
      </x:c>
      <x:c r="M139" s="20" t="str">
        <x:v>P0</x:v>
      </x:c>
      <x:c r="N139" s="20" t="str">
        <x:v>软硬接口/硬件协同</x:v>
      </x:c>
      <x:c r="O139" s="20" t="str">
        <x:v>KV 状态迁移流量隔离</x:v>
      </x:c>
      <x:c r="P139" s="20"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Q139" s="20" t="str">
        <x:v>高拥塞背景下，KVCache关键小包的P99延迟不随大流数据量线性增加。</x:v>
      </x:c>
      <x:c r="R139" s="20" t="str">
        <x:v>使用高性能流量发生器或真实AllReduce后台流打满400G/800G物理带宽，同时发起KVCache高优块拉取请求，观测P99传输延迟，要求依然处于可接受基线范围内（如不受严重劣化）。</x:v>
      </x:c>
      <x:c r="S139" s="20" t="str">
        <x:v>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x:v>
      </x:c>
      <x:c r="T139"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x:v>
      </x:c>
      <x:c r="U139" s="20" t="str">
        <x:f>IF(COUNTIF('SF-IR-SR定义'!$B$5:$B$79,G139)=1,"PASS","CHECK")</x:f>
        <x:v>PASS</x:v>
      </x:c>
      <x:c r="V139" s="20" t="str">
        <x:f>IF(COUNTIF($B$5:$B$148,B139)=1,"PASS","DUPLICATE")</x:f>
        <x:v>PASS</x:v>
      </x:c>
      <x:c r="W139" s="20" t="str">
        <x:f>C139&amp;" / "&amp;E139&amp;" / "&amp;G139&amp;" / "&amp;B139</x:f>
        <x:v>SF-06 / IR-06-01 / SR-06-01-02 / AR-L4-QO-StateAwareTrafficClass-068</x:v>
      </x:c>
    </x:row>
    <x:row r="140" ht="97.19999694824219" hidden="0" customHeight="1">
      <x:c r="A140" s="20" t="n">
        <x:v>136</x:v>
      </x:c>
      <x:c r="B140" s="20" t="str">
        <x:v>AR-L4-FT-ReplicaIntegrityCheck-069</x:v>
      </x:c>
      <x:c r="C140" s="20" t="str">
        <x:v>SF-05</x:v>
      </x:c>
      <x:c r="D140" s="20" t="str">
        <x:v>一致性、安全、完整性与故障恢复</x:v>
      </x:c>
      <x:c r="E140" s="20" t="str">
        <x:v>IR-05-03</x:v>
      </x:c>
      <x:c r="F140" s="20" t="str">
        <x:v>分路径完整性、RAS与故障降级</x:v>
      </x:c>
      <x:c r="G140" s="20" t="str">
        <x:v>SR-05-03-01</x:v>
      </x:c>
      <x:c r="H140" s="20" t="str">
        <x:v>分路径Integrity Policy与副本校验</x:v>
      </x:c>
      <x:c r="I140" s="20" t="str">
        <x:v>L4-FT-ReplicaIntegrityCheck-069</x:v>
      </x:c>
      <x:c r="J140" s="20" t="str">
        <x:v>L4 底层传输层</x:v>
      </x:c>
      <x:c r="K140" s="20" t="str">
        <x:v>一致性、安全与可靠性</x:v>
      </x:c>
      <x:c r="L140" s="20" t="str">
        <x:v>P0</x:v>
      </x:c>
      <x:c r="M140" s="20" t="str">
        <x:v>P0</x:v>
      </x:c>
      <x:c r="N140" s="20" t="str">
        <x:v>软硬接口/硬件协同</x:v>
      </x:c>
      <x:c r="O140" s="20" t="str">
        <x:v>本地 DDR、远端内存、SSD/object 的差异化完整性与故障处理</x:v>
      </x:c>
      <x:c r="P140" s="20" t="str">
        <x:v>本需求要求底层提供分路径完整性策略，而不是强制所有 KV 数据由应用层 CPU 扫描计算 CRC。至少支持 HW_PROTECTED（ECC/RAS+传输完成）、BACKEND_CHECKSUM（SSD/object 后端）、HW_E2E_CHECKSUM（硬件端到端）和可选 SAMPLED_VERIFY；本地短期 DDR 可在硬件保护和完成语义充分时采用 HW_PROTECTED。策略未满足或错误注入命中时必须阻断 ready、触发 replica quarantine 或 recompute。</x:v>
      </x:c>
      <x:c r="Q140" s="20" t="str">
        <x:v>每条路径有明确 integrity policy/evidence；CPU CRC 不进入默认主路径。</x:v>
      </x:c>
      <x:c r="R140" s="20" t="str">
        <x:v>分别注入 ECC/RAS、长度、layout、SSD backend checksum 和硬件 E2E 校验错误，验证错误对象不可消费、原因可追踪、fallback 成功。</x:v>
      </x:c>
      <x:c r="S140" s="20" t="str">
        <x:v>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x:v>
      </x:c>
      <x:c r="T140"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x:v>
      </x:c>
      <x:c r="U140" s="20" t="str">
        <x:f>IF(COUNTIF('SF-IR-SR定义'!$B$5:$B$79,G140)=1,"PASS","CHECK")</x:f>
        <x:v>PASS</x:v>
      </x:c>
      <x:c r="V140" s="20" t="str">
        <x:f>IF(COUNTIF($B$5:$B$148,B140)=1,"PASS","DUPLICATE")</x:f>
        <x:v>PASS</x:v>
      </x:c>
      <x:c r="W140" s="20" t="str">
        <x:f>C140&amp;" / "&amp;E140&amp;" / "&amp;G140&amp;" / "&amp;B140</x:f>
        <x:v>SF-05 / IR-05-03 / SR-05-03-01 / AR-L4-FT-ReplicaIntegrityCheck-069</x:v>
      </x:c>
    </x:row>
    <x:row r="141" ht="97.19999694824219" hidden="0" customHeight="1">
      <x:c r="A141" s="20" t="n">
        <x:v>137</x:v>
      </x:c>
      <x:c r="B141" s="20" t="str">
        <x:v>AR-L4-MC-PersistentExtentHandle-070</x:v>
      </x:c>
      <x:c r="C141" s="20" t="str">
        <x:v>SF-03</x:v>
      </x:c>
      <x:c r="D141" s="20" t="str">
        <x:v>统一KV对象与异构存储池管理</x:v>
      </x:c>
      <x:c r="E141" s="20" t="str">
        <x:v>IR-03-01</x:v>
      </x:c>
      <x:c r="F141" s="20" t="str">
        <x:v>KV对象、存储布局与统一寻址</x:v>
      </x:c>
      <x:c r="G141" s="20" t="str">
        <x:v>SR-03-01-03</x:v>
      </x:c>
      <x:c r="H141" s="20" t="str">
        <x:v>持久与远端Extent统一Handle</x:v>
      </x:c>
      <x:c r="I141" s="20" t="str">
        <x:v>L4-MC-PersistentExtentHandle-070</x:v>
      </x:c>
      <x:c r="J141" s="20" t="str">
        <x:v>L4 底层传输层</x:v>
      </x:c>
      <x:c r="K141" s="20" t="str">
        <x:v>DPU卸载与分层存储I/O</x:v>
      </x:c>
      <x:c r="L141" s="20" t="str">
        <x:v>P1</x:v>
      </x:c>
      <x:c r="M141" s="20" t="str">
        <x:v>P1</x:v>
      </x:c>
      <x:c r="N141" s="20" t="str">
        <x:v>软硬接口/硬件协同</x:v>
      </x:c>
      <x:c r="O141" s="20" t="str">
        <x:v>SSD/object KV 副本统一寻址</x:v>
      </x:c>
      <x:c r="P141" s="20" t="str">
        <x:v>本需求要求 SSD/GDS/object tier 中的 KV segment 暴露 PersistentExtentHandle，记录 file/object key、offset、length、alignment、checksum、layout 和 durability state，使 L3 manifest 可以统一描述内存副本与持久化副本。</x:v>
      </x:c>
      <x:c r="Q141" s="20" t="str">
        <x:v>高拥塞背景下，KVCache关键小包的P99延迟不随大流数据量线性增加。</x:v>
      </x:c>
      <x:c r="R141" s="20" t="str">
        <x:v>使用高性能流量发生器或真实AllReduce后台流打满400G/800G物理带宽，同时发起KVCache高优块拉取请求，观测P99传输延迟，要求依然处于可接受基线范围内（如不受严重劣化）。</x:v>
      </x:c>
      <x:c r="S141" s="20" t="str">
        <x:v>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x:v>
      </x:c>
      <x:c r="T141"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x:v>
      </x:c>
      <x:c r="U141" s="20" t="str">
        <x:f>IF(COUNTIF('SF-IR-SR定义'!$B$5:$B$79,G141)=1,"PASS","CHECK")</x:f>
        <x:v>PASS</x:v>
      </x:c>
      <x:c r="V141" s="20" t="str">
        <x:f>IF(COUNTIF($B$5:$B$148,B141)=1,"PASS","DUPLICATE")</x:f>
        <x:v>PASS</x:v>
      </x:c>
      <x:c r="W141" s="20" t="str">
        <x:f>C141&amp;" / "&amp;E141&amp;" / "&amp;G141&amp;" / "&amp;B141</x:f>
        <x:v>SF-03 / IR-03-01 / SR-03-01-03 / AR-L4-MC-PersistentExtentHandle-070</x:v>
      </x:c>
    </x:row>
    <x:row r="142" ht="97.19999694824219" hidden="0" customHeight="1">
      <x:c r="A142" s="20" t="n">
        <x:v>138</x:v>
      </x:c>
      <x:c r="B142" s="20" t="str">
        <x:v>AR-L4-RDMA-RemoteExtentHandle-071</x:v>
      </x:c>
      <x:c r="C142" s="20" t="str">
        <x:v>SF-03</x:v>
      </x:c>
      <x:c r="D142" s="20" t="str">
        <x:v>统一KV对象与异构存储池管理</x:v>
      </x:c>
      <x:c r="E142" s="20" t="str">
        <x:v>IR-03-01</x:v>
      </x:c>
      <x:c r="F142" s="20" t="str">
        <x:v>KV对象、存储布局与统一寻址</x:v>
      </x:c>
      <x:c r="G142" s="20" t="str">
        <x:v>SR-03-01-03</x:v>
      </x:c>
      <x:c r="H142" s="20" t="str">
        <x:v>持久与远端Extent统一Handle</x:v>
      </x:c>
      <x:c r="I142" s="20" t="str">
        <x:v>L4-RDMA-RemoteExtentHandle-071</x:v>
      </x:c>
      <x:c r="J142" s="20" t="str">
        <x:v>L4 底层传输层</x:v>
      </x:c>
      <x:c r="K142" s="20" t="str">
        <x:v>RDMA与零拷贝传输</x:v>
      </x:c>
      <x:c r="L142" s="20" t="str">
        <x:v>P0</x:v>
      </x:c>
      <x:c r="M142" s="20" t="str">
        <x:v>P0</x:v>
      </x:c>
      <x:c r="N142" s="20" t="str">
        <x:v>软硬接口/硬件协同</x:v>
      </x:c>
      <x:c r="O142" s="20" t="str">
        <x:v>远端 KV 副本安全寻址</x:v>
      </x:c>
      <x:c r="P142" s="20" t="str">
        <x:v>本需求要求 RDMA/accelerator-direct RDMA 路径暴露 RemoteExtentHandle，包含 rkey、remote_addr、length、node_id、device_id、registration_epoch、visibility_epoch 和 access permission；当 registered pool 重新注册或迁移时，旧 handle 必须失效。</x:v>
      </x:c>
      <x:c r="Q142" s="20" t="str">
        <x:v>全局内存利用率提升至≥85%，跨级冷热数据迁移过程中的TPOT抖动 &lt; 5%。</x:v>
      </x:c>
      <x:c r="R142" s="20" t="str">
        <x:v>采用LMSYS Chatbot Arena长会话数据集满载运行，后台通过API强制触发Tiering Down，监控前台Decode TPOT，要求波动振幅在5%以内视为达标。</x:v>
      </x:c>
      <x:c r="S142" s="20" t="str">
        <x:v>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x:v>
      </x:c>
      <x:c r="T142"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x:v>
      </x:c>
      <x:c r="U142" s="20" t="str">
        <x:f>IF(COUNTIF('SF-IR-SR定义'!$B$5:$B$79,G142)=1,"PASS","CHECK")</x:f>
        <x:v>PASS</x:v>
      </x:c>
      <x:c r="V142" s="20" t="str">
        <x:f>IF(COUNTIF($B$5:$B$148,B142)=1,"PASS","DUPLICATE")</x:f>
        <x:v>PASS</x:v>
      </x:c>
      <x:c r="W142" s="20" t="str">
        <x:f>C142&amp;" / "&amp;E142&amp;" / "&amp;G142&amp;" / "&amp;B142</x:f>
        <x:v>SF-03 / IR-03-01 / SR-03-01-03 / AR-L4-RDMA-RemoteExtentHandle-071</x:v>
      </x:c>
    </x:row>
    <x:row r="143" ht="97.19999694824219" hidden="0" customHeight="1">
      <x:c r="A143" s="20" t="n">
        <x:v>139</x:v>
      </x:c>
      <x:c r="B143" s="20" t="str">
        <x:v>AR-L4-UB-DirectViewGuard-072</x:v>
      </x:c>
      <x:c r="C143" s="20" t="str">
        <x:v>SF-04</x:v>
      </x:c>
      <x:c r="D143" s="20" t="str">
        <x:v>传输创新底座与多介质数据路径</x:v>
      </x:c>
      <x:c r="E143" s="20" t="str">
        <x:v>IR-04-02</x:v>
      </x:c>
      <x:c r="F143" s="20" t="str">
        <x:v>Direct与零拷贝代表路径</x:v>
      </x:c>
      <x:c r="G143" s="20" t="str">
        <x:v>SR-04-02-03</x:v>
      </x:c>
      <x:c r="H143" s="20" t="str">
        <x:v>UB/C2C统一内存与Memory View</x:v>
      </x:c>
      <x:c r="I143" s="20" t="str">
        <x:v>L4-UB-DirectViewGuard-072</x:v>
      </x:c>
      <x:c r="J143" s="20" t="str">
        <x:v>L4 底层传输层</x:v>
      </x:c>
      <x:c r="K143" s="20" t="str">
        <x:v>统一内存与内存语义访问</x:v>
      </x:c>
      <x:c r="L143" s="20" t="str">
        <x:v>P0</x:v>
      </x:c>
      <x:c r="M143" s="20" t="str">
        <x:v>P0</x:v>
      </x:c>
      <x:c r="N143" s="20" t="str">
        <x:v>硬件协同</x:v>
      </x:c>
      <x:c r="O143" s="20" t="str">
        <x:v>近端/远端 memory view 安全消费</x:v>
      </x:c>
      <x:c r="P143" s="20"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Q143" s="20" t="str">
        <x:v>高拥塞背景下，KVCache关键小包的P99延迟不随大流数据量线性增加。</x:v>
      </x:c>
      <x:c r="R143" s="20" t="str">
        <x:v>使用高性能流量发生器或真实AllReduce后台流打满400G/800G物理带宽，同时发起KVCache高优块拉取请求，观测P99传输延迟，要求依然处于可接受基线范围内（如不受严重劣化）。</x:v>
      </x:c>
      <x:c r="S143" s="20" t="str">
        <x:v>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x:v>
      </x:c>
      <x:c r="T143" s="20"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x:v>
      </x:c>
      <x:c r="U143" s="20" t="str">
        <x:f>IF(COUNTIF('SF-IR-SR定义'!$B$5:$B$79,G143)=1,"PASS","CHECK")</x:f>
        <x:v>PASS</x:v>
      </x:c>
      <x:c r="V143" s="20" t="str">
        <x:f>IF(COUNTIF($B$5:$B$148,B143)=1,"PASS","DUPLICATE")</x:f>
        <x:v>PASS</x:v>
      </x:c>
      <x:c r="W143" s="20" t="str">
        <x:f>C143&amp;" / "&amp;E143&amp;" / "&amp;G143&amp;" / "&amp;B143</x:f>
        <x:v>SF-04 / IR-04-02 / SR-04-02-03 / AR-L4-UB-DirectViewGuard-072</x:v>
      </x:c>
    </x:row>
    <x:row r="144" ht="97.19999694824219" hidden="0" customHeight="1">
      <x:c r="A144" s="20" t="n">
        <x:v>140</x:v>
      </x:c>
      <x:c r="B144" s="20" t="str">
        <x:v>AR-L4-CO-DrainAndQuiesce-073</x:v>
      </x:c>
      <x:c r="C144" s="20" t="str">
        <x:v>SF-05</x:v>
      </x:c>
      <x:c r="D144" s="20" t="str">
        <x:v>一致性、安全、完整性与故障恢复</x:v>
      </x:c>
      <x:c r="E144" s="20" t="str">
        <x:v>IR-05-02</x:v>
      </x:c>
      <x:c r="F144" s="20" t="str">
        <x:v>租约、引用计数与并发所有权</x:v>
      </x:c>
      <x:c r="G144" s="20" t="str">
        <x:v>SR-05-02-01</x:v>
      </x:c>
      <x:c r="H144" s="20" t="str">
        <x:v>Lease、RefCount、Ownership GC与安全下线</x:v>
      </x:c>
      <x:c r="I144" s="20" t="str">
        <x:v>L4-CO-DrainAndQuiesce-073</x:v>
      </x:c>
      <x:c r="J144" s="20" t="str">
        <x:v>L4 底层传输层</x:v>
      </x:c>
      <x:c r="K144" s="20" t="str">
        <x:v>一致性、安全与可靠性</x:v>
      </x:c>
      <x:c r="L144" s="20" t="str">
        <x:v>P1</x:v>
      </x:c>
      <x:c r="M144" s="20" t="str">
        <x:v>P1</x:v>
      </x:c>
      <x:c r="N144" s="20" t="str">
        <x:v>硬件协同</x:v>
      </x:c>
      <x:c r="O144" s="20" t="str">
        <x:v>后端资源切换与节点下线</x:v>
      </x:c>
      <x:c r="P144" s="20" t="str">
        <x:v>本需求要求底层为 RDMA QP/CQ、DMA ring、copy stream、GDS handle、UB mapping 提供 drain/quiesce 原语；当 L3 执行 backend 降级、节点下线、registered pool 重建或大规模迁移时，必须先停止新提交并等待已提交 KV 操作完成或失败。</x:v>
      </x:c>
      <x:c r="Q144" s="20" t="str">
        <x:v>全局内存利用率提升至≥85%，跨级冷热数据迁移过程中的TPOT抖动 &lt; 5%。</x:v>
      </x:c>
      <x:c r="R144" s="20" t="str">
        <x:v>采用LMSYS Chatbot Arena长会话数据集满载运行，后台通过API强制触发Tiering Down，监控前台Decode TPOT，要求波动振幅在5%以内视为达标。</x:v>
      </x:c>
      <x:c r="S144" s="20" t="str">
        <x:v>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x:v>
      </x:c>
      <x:c r="T144"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x:v>
      </x:c>
      <x:c r="U144" s="20" t="str">
        <x:f>IF(COUNTIF('SF-IR-SR定义'!$B$5:$B$79,G144)=1,"PASS","CHECK")</x:f>
        <x:v>PASS</x:v>
      </x:c>
      <x:c r="V144" s="20" t="str">
        <x:f>IF(COUNTIF($B$5:$B$148,B144)=1,"PASS","DUPLICATE")</x:f>
        <x:v>PASS</x:v>
      </x:c>
      <x:c r="W144" s="20" t="str">
        <x:f>C144&amp;" / "&amp;E144&amp;" / "&amp;G144&amp;" / "&amp;B144</x:f>
        <x:v>SF-05 / IR-05-02 / SR-05-02-01 / AR-L4-CO-DrainAndQuiesce-073</x:v>
      </x:c>
    </x:row>
    <x:row r="145" ht="97.19999694824219" hidden="0" customHeight="1">
      <x:c r="A145" s="20" t="n">
        <x:v>141</x:v>
      </x:c>
      <x:c r="B145" s="20" t="str">
        <x:v>AR-L4-SC-SecureExtentRelease-074</x:v>
      </x:c>
      <x:c r="C145" s="20" t="str">
        <x:v>SF-05</x:v>
      </x:c>
      <x:c r="D145" s="20" t="str">
        <x:v>一致性、安全、完整性与故障恢复</x:v>
      </x:c>
      <x:c r="E145" s="20" t="str">
        <x:v>IR-05-04</x:v>
      </x:c>
      <x:c r="F145" s="20" t="str">
        <x:v>多租户隔离与安全共享</x:v>
      </x:c>
      <x:c r="G145" s="20" t="str">
        <x:v>SR-05-04-02</x:v>
      </x:c>
      <x:c r="H145" s="20" t="str">
        <x:v>Memory View保护与Extent安全释放</x:v>
      </x:c>
      <x:c r="I145" s="20" t="str">
        <x:v>L4-SC-SecureExtentRelease-074</x:v>
      </x:c>
      <x:c r="J145" s="20" t="str">
        <x:v>L4 底层传输层</x:v>
      </x:c>
      <x:c r="K145" s="20" t="str">
        <x:v>一致性、安全与可靠性</x:v>
      </x:c>
      <x:c r="L145" s="20" t="str">
        <x:v>P2</x:v>
      </x:c>
      <x:c r="M145" s="20" t="str">
        <x:v>P2</x:v>
      </x:c>
      <x:c r="N145" s="20" t="str">
        <x:v>软硬接口/硬件协同</x:v>
      </x:c>
      <x:c r="O145" s="20" t="str">
        <x:v>KV 物理空间安全复用</x:v>
      </x:c>
      <x:c r="P145" s="20" t="str">
        <x:v>本需求要求底层支持 KV extent 安全释放：对跨租户或安全域复用的 HBM/DDR/SSD extent，在释放或重新分配前执行 zero-fill、crypto erase 或 poison isolation，并向 L3 返回 release completion。</x:v>
      </x:c>
      <x:c r="Q145" s="20" t="str">
        <x:v>在极高并发下OOM、非法内存访问(Segfault)、租户数据串模率为0。</x:v>
      </x:c>
      <x:c r="R145" s="20" t="str">
        <x:v>编写多线程/多协程并发脚本，对同一KV Block进行高频Attach/Evict冲突操作持续压测24小时，要求监控进程无Crash记录且数据校验100%一致。</x:v>
      </x:c>
      <x:c r="S145" s="20" t="str">
        <x:v>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x:v>
      </x:c>
      <x:c r="T145"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x:v>
      </x:c>
      <x:c r="U145" s="20" t="str">
        <x:f>IF(COUNTIF('SF-IR-SR定义'!$B$5:$B$79,G145)=1,"PASS","CHECK")</x:f>
        <x:v>PASS</x:v>
      </x:c>
      <x:c r="V145" s="20" t="str">
        <x:f>IF(COUNTIF($B$5:$B$148,B145)=1,"PASS","DUPLICATE")</x:f>
        <x:v>PASS</x:v>
      </x:c>
      <x:c r="W145" s="20" t="str">
        <x:f>C145&amp;" / "&amp;E145&amp;" / "&amp;G145&amp;" / "&amp;B145</x:f>
        <x:v>SF-05 / IR-05-04 / SR-05-04-02 / AR-L4-SC-SecureExtentRelease-074</x:v>
      </x:c>
    </x:row>
    <x:row r="146" ht="97.19999694824219" hidden="0" customHeight="1">
      <x:c r="A146" s="20" t="n">
        <x:v>142</x:v>
      </x:c>
      <x:c r="B146" s="20" t="str">
        <x:v>AR-L4-HW-NICSpecConstraint-075</x:v>
      </x:c>
      <x:c r="C146" s="20" t="str">
        <x:v>SF-06</x:v>
      </x:c>
      <x:c r="D146" s="20" t="str">
        <x:v>性能QoS、收益闭环与平台演进</x:v>
      </x:c>
      <x:c r="E146" s="20" t="str">
        <x:v>IR-06-04</x:v>
      </x:c>
      <x:c r="F146" s="20" t="str">
        <x:v>规模化硬件规格约束与演进证据</x:v>
      </x:c>
      <x:c r="G146" s="20" t="str">
        <x:v>SR-06-04-01</x:v>
      </x:c>
      <x:c r="H146" s="20" t="str">
        <x:v>NIC/互联规模化规格约束</x:v>
      </x:c>
      <x:c r="I146" s="20" t="str">
        <x:v>L4-HW-NICSpecConstraint-075</x:v>
      </x:c>
      <x:c r="J146" s="20" t="str">
        <x:v>L4 底层传输层</x:v>
      </x:c>
      <x:c r="K146" s="20" t="str">
        <x:v>Fabric能力与统一路由</x:v>
      </x:c>
      <x:c r="L146" s="20" t="str">
        <x:v>P3</x:v>
      </x:c>
      <x:c r="M146" s="20" t="str">
        <x:v>P3</x:v>
      </x:c>
      <x:c r="N146" s="20" t="str">
        <x:v>软硬接口/硬件协同</x:v>
      </x:c>
      <x:c r="O146" s="20" t="str">
        <x:v>大规模集群网络软硬件协同性能兜底</x:v>
      </x:c>
      <x:c r="P146" s="20" t="str">
        <x:v>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Q146" s="20" t="str">
        <x:v>在极高并发下OOM、非法内存访问(Segfault)、租户数据串模率为0。</x:v>
      </x:c>
      <x:c r="R146" s="20" t="str">
        <x:v>编写多线程/多协程并发脚本，对同一KV Block进行高频Attach/Evict冲突操作持续压测24小时，要求监控进程无Crash记录且数据校验100%一致。</x:v>
      </x:c>
      <x:c r="S146" s="20" t="str">
        <x:v>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x:v>
      </x:c>
      <x:c r="T146" s="20"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x:v>
      </x:c>
      <x:c r="U146" s="20" t="str">
        <x:f>IF(COUNTIF('SF-IR-SR定义'!$B$5:$B$79,G146)=1,"PASS","CHECK")</x:f>
        <x:v>PASS</x:v>
      </x:c>
      <x:c r="V146" s="20" t="str">
        <x:f>IF(COUNTIF($B$5:$B$148,B146)=1,"PASS","DUPLICATE")</x:f>
        <x:v>PASS</x:v>
      </x:c>
      <x:c r="W146" s="20" t="str">
        <x:f>C146&amp;" / "&amp;E146&amp;" / "&amp;G146&amp;" / "&amp;B146</x:f>
        <x:v>SF-06 / IR-06-04 / SR-06-04-01 / AR-L4-HW-NICSpecConstraint-075</x:v>
      </x:c>
    </x:row>
    <x:row r="147" ht="43.20000076293945" hidden="0" customHeight="1">
      <x:c r="A147" s="20" t="n">
        <x:v>143</x:v>
      </x:c>
      <x:c r="B147" s="20" t="str">
        <x:v>AR-L4-HW-HostPayloadTouchBudget-076</x:v>
      </x:c>
      <x:c r="C147" s="20" t="str">
        <x:v>SF-04</x:v>
      </x:c>
      <x:c r="D147" s="20" t="str">
        <x:v>传输创新底座与多介质数据路径</x:v>
      </x:c>
      <x:c r="E147" s="20" t="str">
        <x:v>IR-04-02</x:v>
      </x:c>
      <x:c r="F147" s="20" t="str">
        <x:v>Direct与零拷贝代表路径</x:v>
      </x:c>
      <x:c r="G147" s="20" t="str">
        <x:v>SR-04-02-01</x:v>
      </x:c>
      <x:c r="H147" s="20" t="str">
        <x:v>HBM↔SSD Direct容量主路径</x:v>
      </x:c>
      <x:c r="I147" s="20" t="str">
        <x:v>L4-HW-HostPayloadTouchBudget-076</x:v>
      </x:c>
      <x:c r="J147" s="20" t="str">
        <x:v>L4 底层传输层</x:v>
      </x:c>
      <x:c r="K147" s="20" t="str">
        <x:v>Fabric能力与统一路由</x:v>
      </x:c>
      <x:c r="L147" s="20" t="str">
        <x:v>P0</x:v>
      </x:c>
      <x:c r="M147" s="20" t="str">
        <x:v>P0</x:v>
      </x:c>
      <x:c r="N147" s="20" t="str">
        <x:v>软硬协同</x:v>
      </x:c>
      <x:c r="O147" s="20" t="str">
        <x:v>识别 direct 路径真实性，防止名义 direct 实际绕行 CPU/DDR</x:v>
      </x:c>
      <x:c r="P147" s="20" t="str">
        <x:v>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Q147" s="20" t="str">
        <x:v>路径报告可审计；默认主路径 CPU Payload touch=0，任何例外均可见、可禁用并进入成本模型。</x:v>
      </x:c>
      <x:c r="R147" s="20" t="str">
        <x:v>用硬件计数器、CPU profile 和 trace 对账 bytes/copy/cycles；比较 direct、staged、fallback 三类路径，验证统计误差和禁用行为。</x:v>
      </x:c>
      <x:c r="S147" s="20" t="str">
        <x:v>驱动与设备可能隐藏中转；仅看端到端带宽无法识别 CPU/DDR放大。</x:v>
      </x:c>
      <x:c r="T147" s="20" t="str">
        <x:v>P0 建立字段和microbenchmark；P1纳入QueryPlan实际成本。</x:v>
      </x:c>
      <x:c r="U147" s="20" t="str">
        <x:f>IF(COUNTIF('SF-IR-SR定义'!$B$5:$B$79,G147)=1,"PASS","CHECK")</x:f>
        <x:v>PASS</x:v>
      </x:c>
      <x:c r="V147" s="20" t="str">
        <x:f>IF(COUNTIF($B$5:$B$148,B147)=1,"PASS","DUPLICATE")</x:f>
        <x:v>PASS</x:v>
      </x:c>
      <x:c r="W147" s="20" t="str">
        <x:f>C147&amp;" / "&amp;E147&amp;" / "&amp;G147&amp;" / "&amp;B147</x:f>
        <x:v>SF-04 / IR-04-02 / SR-04-02-01 / AR-L4-HW-HostPayloadTouchBudget-076</x:v>
      </x:c>
    </x:row>
    <x:row r="148" ht="43.20000076293945" hidden="0" customHeight="1">
      <x:c r="A148" s="20" t="n">
        <x:v>144</x:v>
      </x:c>
      <x:c r="B148" s="20" t="str">
        <x:v>AR-L4-FT-PathIntegrityPolicy-077</x:v>
      </x:c>
      <x:c r="C148" s="20" t="str">
        <x:v>SF-05</x:v>
      </x:c>
      <x:c r="D148" s="20" t="str">
        <x:v>一致性、安全、完整性与故障恢复</x:v>
      </x:c>
      <x:c r="E148" s="20" t="str">
        <x:v>IR-05-03</x:v>
      </x:c>
      <x:c r="F148" s="20" t="str">
        <x:v>分路径完整性、RAS与故障降级</x:v>
      </x:c>
      <x:c r="G148" s="20" t="str">
        <x:v>SR-05-03-01</x:v>
      </x:c>
      <x:c r="H148" s="20" t="str">
        <x:v>分路径Integrity Policy与副本校验</x:v>
      </x:c>
      <x:c r="I148" s="20" t="str">
        <x:v>L4-FT-PathIntegrityPolicy-077</x:v>
      </x:c>
      <x:c r="J148" s="20" t="str">
        <x:v>L4 底层传输层</x:v>
      </x:c>
      <x:c r="K148" s="20" t="str">
        <x:v>一致性、安全与可靠性</x:v>
      </x:c>
      <x:c r="L148" s="20" t="str">
        <x:v>P0</x:v>
      </x:c>
      <x:c r="M148" s="20" t="str">
        <x:v>P0</x:v>
      </x:c>
      <x:c r="N148" s="20" t="str">
        <x:v>软硬协同</x:v>
      </x:c>
      <x:c r="O148" s="20" t="str">
        <x:v>在不引入CPU Payload扫描的前提下保证错误KV不被消费</x:v>
      </x:c>
      <x:c r="P148" s="20" t="str">
        <x:v>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Q148" s="20" t="str">
        <x:v>每条路径在 ready 前满足所配置完整性策略；策略与证据可观测、错误可阻断、fallback可执行。</x:v>
      </x:c>
      <x:c r="R148" s="20" t="str">
        <x:v>按路径注入完成乱序、ECC/RAS、长度/layout、后端checksum和副本损坏；验证ready、quarantine、错误码和recompute。</x:v>
      </x:c>
      <x:c r="S148" s="20" t="str">
        <x:v>完整性目标与实现手段容易混淆，统一CRC会破坏direct路径。</x:v>
      </x:c>
      <x:c r="T148" s="20" t="str">
        <x:v>P0冻结policy枚举和状态机门槛；P1与Publish/Attach闭环。</x:v>
      </x:c>
      <x:c r="U148" s="20" t="str">
        <x:f>IF(COUNTIF('SF-IR-SR定义'!$B$5:$B$79,G148)=1,"PASS","CHECK")</x:f>
        <x:v>PASS</x:v>
      </x:c>
      <x:c r="V148" s="20" t="str">
        <x:f>IF(COUNTIF($B$5:$B$148,B148)=1,"PASS","DUPLICATE")</x:f>
        <x:v>PASS</x:v>
      </x:c>
      <x:c r="W148" s="20" t="str">
        <x:f>C148&amp;" / "&amp;E148&amp;" / "&amp;G148&amp;" / "&amp;B148</x:f>
        <x:v>SF-05 / IR-05-03 / SR-05-03-01 / AR-L4-FT-PathIntegrityPolicy-077</x:v>
      </x:c>
    </x:row>
  </x:sheetData>
  <x:mergeCells>
    <x:mergeCell ref="A1:W1"/>
    <x:mergeCell ref="A2:W2"/>
  </x:mergeCells>
  <x:conditionalFormatting sqref="L5:L148">
    <x:cfRule type="containsText" dxfId="0" priority="1" operator="containsText" text="P0"/>
    <x:cfRule type="containsText" dxfId="1" priority="2" operator="containsText" text="P1"/>
  </x:conditionalFormatting>
  <x:conditionalFormatting sqref="U5:V148">
    <x:cfRule type="containsText" dxfId="2" priority="3" operator="containsText" text="PASS"/>
    <x:cfRule type="containsText" dxfId="3" priority="4" operator="containsText" text="CHECK"/>
  </x:conditionalFormatting>
  <x:pageMargins left="0.7" right="0.7" top="0.75" bottom="0.75" header="0.3" footer="0.3"/>
  <x:tableParts count="1">
    <x:tablePart xmlns:r="http://schemas.openxmlformats.org/officeDocument/2006/relationships" r:id="R7d2656d1792646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12" hidden="0" customWidth="1"/>
    <x:col min="4" max="4" width="12" hidden="0" customWidth="1"/>
    <x:col min="5" max="5" width="48" hidden="0" customWidth="1"/>
    <x:col min="6" max="6" width="40" hidden="0" customWidth="1"/>
    <x:col min="7" max="7" width="4" hidden="0" customWidth="1"/>
    <x:col min="8" max="8" width="4" hidden="0" customWidth="1"/>
  </x:cols>
  <x:sheetData>
    <x:row r="1" ht="21.600000381469727" hidden="0" customHeight="1">
      <x:c r="A1" s="4" t="str">
        <x:v>覆盖与质量检查</x:v>
      </x:c>
      <x:c r="B1" s="4"/>
      <x:c r="C1" s="4"/>
      <x:c r="D1" s="4"/>
      <x:c r="E1" s="4"/>
      <x:c r="F1" s="4"/>
      <x:c r="G1" s="4"/>
      <x:c r="H1" s="4"/>
    </x:row>
    <x:row r="2" ht="15" hidden="0" customHeight="1">
      <x:c r="A2" s="8" t="str">
        <x:v>公式化检查需求数量、唯一性、父节点完整性和各层覆盖；PASS后方可作为评审基线。</x:v>
      </x:c>
      <x:c r="B2" s="8"/>
      <x:c r="C2" s="8"/>
      <x:c r="D2" s="8"/>
      <x:c r="E2" s="8"/>
      <x:c r="F2" s="8"/>
      <x:c r="G2" s="8"/>
      <x:c r="H2" s="8"/>
    </x:row>
    <x:row r="3"/>
    <x:row r="4" ht="15" hidden="0" customHeight="1">
      <x:c r="A4" s="13" t="str">
        <x:v>检查项</x:v>
      </x:c>
      <x:c r="B4" s="13" t="str">
        <x:v>期望值</x:v>
      </x:c>
      <x:c r="C4" s="13" t="str">
        <x:v>实际值</x:v>
      </x:c>
      <x:c r="D4" s="13" t="str">
        <x:v>结果</x:v>
      </x:c>
      <x:c r="E4" s="13" t="str">
        <x:v>说明</x:v>
      </x:c>
      <x:c r="F4" s="13" t="str">
        <x:v>修复动作</x:v>
      </x:c>
    </x:row>
    <x:row r="5" ht="15" hidden="0" customHeight="1">
      <x:c r="A5" s="19" t="str">
        <x:v>V2.2来源需求数量</x:v>
      </x:c>
      <x:c r="B5" s="19" t="n">
        <x:v>144</x:v>
      </x:c>
      <x:c r="C5" s="19" t="n">
        <x:f>COUNTA('AR全量追溯'!$I$5:$I$148)</x:f>
        <x:v>144</x:v>
      </x:c>
      <x:c r="D5" s="19" t="str">
        <x:f>IF(B5=C5,"PASS","CHECK")</x:f>
        <x:v>PASS</x:v>
      </x:c>
      <x:c r="E5" s="19" t="str">
        <x:v>L1 21 + L2 22 + L3 68 + L4 33</x:v>
      </x:c>
      <x:c r="F5" s="19" t="str">
        <x:v>若不等于144，重新提取SRS</x:v>
      </x:c>
    </x:row>
    <x:row r="6" ht="15" hidden="0" customHeight="1">
      <x:c r="A6" s="20" t="str">
        <x:v>AR叶子数量</x:v>
      </x:c>
      <x:c r="B6" s="20" t="n">
        <x:v>144</x:v>
      </x:c>
      <x:c r="C6" s="20" t="n">
        <x:f>COUNTA('AR全量追溯'!$B$5:$B$148)</x:f>
        <x:v>144</x:v>
      </x:c>
      <x:c r="D6" s="20" t="str">
        <x:f>IF(B6=C6,"PASS","CHECK")</x:f>
        <x:v>PASS</x:v>
      </x:c>
      <x:c r="E6" s="20" t="str">
        <x:v>每条来源需求对应一个AR</x:v>
      </x:c>
      <x:c r="F6" s="20" t="str">
        <x:v>补齐或删除重复映射</x:v>
      </x:c>
    </x:row>
    <x:row r="7" ht="15" hidden="0" customHeight="1">
      <x:c r="A7" s="20" t="str">
        <x:v>AR ID重复数</x:v>
      </x:c>
      <x:c r="B7" s="20" t="n">
        <x:v>0</x:v>
      </x:c>
      <x:c r="C7" s="20" t="n">
        <x:f>COUNTIF('AR全量追溯'!$V$5:$V$148,"DUPLICATE")</x:f>
        <x:v>0</x:v>
      </x:c>
      <x:c r="D7" s="20" t="str">
        <x:f>IF(B7=C7,"PASS","CHECK")</x:f>
        <x:v>PASS</x:v>
      </x:c>
      <x:c r="E7" s="20" t="str">
        <x:v>AR ID必须唯一</x:v>
      </x:c>
      <x:c r="F7" s="20" t="str">
        <x:v>修正派生ID或重复行</x:v>
      </x:c>
    </x:row>
    <x:row r="8" ht="15" hidden="0" customHeight="1">
      <x:c r="A8" s="20" t="str">
        <x:v>AR父SR缺失数</x:v>
      </x:c>
      <x:c r="B8" s="20" t="n">
        <x:v>0</x:v>
      </x:c>
      <x:c r="C8" s="20" t="n">
        <x:f>COUNTIF('AR全量追溯'!$U$5:$U$148,"CHECK")</x:f>
        <x:v>0</x:v>
      </x:c>
      <x:c r="D8" s="20" t="str">
        <x:f>IF(B8=C8,"PASS","CHECK")</x:f>
        <x:v>PASS</x:v>
      </x:c>
      <x:c r="E8" s="20" t="str">
        <x:v>每条AR必须有且仅有一个SR父节点</x:v>
      </x:c>
      <x:c r="F8" s="20" t="str">
        <x:v>补充或修正SR映射</x:v>
      </x:c>
    </x:row>
    <x:row r="9" ht="15" hidden="0" customHeight="1">
      <x:c r="A9" s="20" t="str">
        <x:v>SF数量</x:v>
      </x:c>
      <x:c r="B9" s="20" t="n">
        <x:v>6</x:v>
      </x:c>
      <x:c r="C9" s="20" t="n">
        <x:f>COUNTIF('SF-IR-SR定义'!$A$5:$A$79,"SF")</x:f>
        <x:v>6</x:v>
      </x:c>
      <x:c r="D9" s="20" t="str">
        <x:f>IF(B9=C9,"PASS","CHECK")</x:f>
        <x:v>PASS</x:v>
      </x:c>
      <x:c r="E9" s="20" t="str">
        <x:v>系统特性层</x:v>
      </x:c>
      <x:c r="F9" s="20" t="str">
        <x:v>评审后冻结</x:v>
      </x:c>
    </x:row>
    <x:row r="10" ht="15" hidden="0" customHeight="1">
      <x:c r="A10" s="20" t="str">
        <x:v>IR数量</x:v>
      </x:c>
      <x:c r="B10" s="20" t="n">
        <x:v>21</x:v>
      </x:c>
      <x:c r="C10" s="20" t="n">
        <x:f>COUNTIF('SF-IR-SR定义'!$A$5:$A$79,"IR")</x:f>
        <x:v>21</x:v>
      </x:c>
      <x:c r="D10" s="20" t="str">
        <x:f>IF(B10=C10,"PASS","CHECK")</x:f>
        <x:v>PASS</x:v>
      </x:c>
      <x:c r="E10" s="20" t="str">
        <x:v>初始需求层</x:v>
      </x:c>
      <x:c r="F10" s="20" t="str">
        <x:v>评审后冻结</x:v>
      </x:c>
    </x:row>
    <x:row r="11" ht="15" hidden="0" customHeight="1">
      <x:c r="A11" s="20" t="str">
        <x:v>SR数量</x:v>
      </x:c>
      <x:c r="B11" s="20" t="n">
        <x:v>48</x:v>
      </x:c>
      <x:c r="C11" s="20" t="n">
        <x:f>COUNTIF('SF-IR-SR定义'!$A$5:$A$79,"SR")</x:f>
        <x:v>48</x:v>
      </x:c>
      <x:c r="D11" s="20" t="str">
        <x:f>IF(B11=C11,"PASS","CHECK")</x:f>
        <x:v>PASS</x:v>
      </x:c>
      <x:c r="E11" s="20" t="str">
        <x:v>系统需求层</x:v>
      </x:c>
      <x:c r="F11" s="20" t="str">
        <x:v>评审后冻结</x:v>
      </x:c>
    </x:row>
    <x:row r="12" ht="15" hidden="0" customHeight="1">
      <x:c r="A12" s="20" t="str">
        <x:v>L1 AR数量</x:v>
      </x:c>
      <x:c r="B12" s="20" t="n">
        <x:v>21</x:v>
      </x:c>
      <x:c r="C12" s="20" t="n">
        <x:f>COUNTIF('AR全量追溯'!$J$5:$J$148,"L1 推理调度层")</x:f>
        <x:v>21</x:v>
      </x:c>
      <x:c r="D12" s="20" t="str">
        <x:f>IF(B12=C12,"PASS","CHECK")</x:f>
        <x:v>PASS</x:v>
      </x:c>
      <x:c r="E12" s="20" t="str">
        <x:v>分配到L1</x:v>
      </x:c>
      <x:c r="F12" s="20" t="str">
        <x:v>检查来源层级</x:v>
      </x:c>
    </x:row>
    <x:row r="13" ht="15" hidden="0" customHeight="1">
      <x:c r="A13" s="20" t="str">
        <x:v>L2 AR数量</x:v>
      </x:c>
      <x:c r="B13" s="20" t="n">
        <x:v>22</x:v>
      </x:c>
      <x:c r="C13" s="20" t="n">
        <x:f>COUNTIF('AR全量追溯'!$J$5:$J$148,"L2 KVConnector层")</x:f>
        <x:v>22</x:v>
      </x:c>
      <x:c r="D13" s="20" t="str">
        <x:f>IF(B13=C13,"PASS","CHECK")</x:f>
        <x:v>PASS</x:v>
      </x:c>
      <x:c r="E13" s="20" t="str">
        <x:v>分配到L2</x:v>
      </x:c>
      <x:c r="F13" s="20" t="str">
        <x:v>检查来源层级</x:v>
      </x:c>
    </x:row>
    <x:row r="14" ht="15" hidden="0" customHeight="1">
      <x:c r="A14" s="20" t="str">
        <x:v>L3 AR数量</x:v>
      </x:c>
      <x:c r="B14" s="20" t="n">
        <x:v>68</x:v>
      </x:c>
      <x:c r="C14" s="20" t="n">
        <x:f>COUNTIF('AR全量追溯'!$J$5:$J$148,"L3 传输管理层")</x:f>
        <x:v>68</x:v>
      </x:c>
      <x:c r="D14" s="20" t="str">
        <x:f>IF(B14=C14,"PASS","CHECK")</x:f>
        <x:v>PASS</x:v>
      </x:c>
      <x:c r="E14" s="20" t="str">
        <x:v>分配到L3</x:v>
      </x:c>
      <x:c r="F14" s="20" t="str">
        <x:v>检查来源层级</x:v>
      </x:c>
    </x:row>
    <x:row r="15" ht="15" hidden="0" customHeight="1">
      <x:c r="A15" s="20" t="str">
        <x:v>L4 AR数量</x:v>
      </x:c>
      <x:c r="B15" s="20" t="n">
        <x:v>33</x:v>
      </x:c>
      <x:c r="C15" s="20" t="n">
        <x:f>COUNTIF('AR全量追溯'!$J$5:$J$148,"L4 底层传输层")</x:f>
        <x:v>33</x:v>
      </x:c>
      <x:c r="D15" s="20" t="str">
        <x:f>IF(B15=C15,"PASS","CHECK")</x:f>
        <x:v>PASS</x:v>
      </x:c>
      <x:c r="E15" s="20" t="str">
        <x:v>分配到L4</x:v>
      </x:c>
      <x:c r="F15" s="20" t="str">
        <x:v>检查来源层级</x:v>
      </x:c>
    </x:row>
    <x:row r="16"/>
    <x:row r="17"/>
    <x:row r="18" ht="15" hidden="0" customHeight="1">
      <x:c r="A18" s="84" t="str">
        <x:v>边界说明：V1.0采用单主父节点树。一个AR如同时影响性能、可靠性和安全，主父节点按其直接交付责任选择，其他属性通过核心模块、软硬归属、优先级、阶段和需求文本保留。</x:v>
      </x:c>
      <x:c r="B18" s="84"/>
      <x:c r="C18" s="84"/>
      <x:c r="D18" s="84"/>
      <x:c r="E18" s="84"/>
      <x:c r="F18" s="84"/>
      <x:c r="G18" s="84"/>
      <x:c r="H18" s="84"/>
    </x:row>
  </x:sheetData>
  <x:mergeCells>
    <x:mergeCell ref="A1:H1"/>
    <x:mergeCell ref="A2:H2"/>
    <x:mergeCell ref="A18:H18"/>
  </x:mergeCells>
  <x:conditionalFormatting sqref="D5:D15">
    <x:cfRule type="containsText" dxfId="4" priority="1" operator="containsText" text="PASS"/>
    <x:cfRule type="containsText" dxfId="5" priority="2" operator="containsText" text="CHEC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00" hidden="0" customWidth="1"/>
  </x:cols>
  <x:sheetData>
    <x:row r="1" ht="21.600000381469727" hidden="0" customHeight="1">
      <x:c r="A1" s="4" t="str">
        <x:v>使用说明与变更规则</x:v>
      </x:c>
      <x:c r="B1" s="4"/>
      <x:c r="C1" s="4"/>
      <x:c r="D1" s="4"/>
      <x:c r="E1" s="4"/>
      <x:c r="F1" s="4"/>
      <x:c r="G1" s="4"/>
      <x:c r="H1" s="4"/>
    </x:row>
    <x:row r="2" ht="15" hidden="0" customHeight="1">
      <x:c r="A2" s="8" t="str">
        <x:v>本工作簿是第一版需求工程树，不替代V2.2 SRS正文；评审通过后应冻结上层节点和映射关系。</x:v>
      </x:c>
      <x:c r="B2" s="8"/>
      <x:c r="C2" s="8"/>
      <x:c r="D2" s="8"/>
      <x:c r="E2" s="8"/>
      <x:c r="F2" s="8"/>
      <x:c r="G2" s="8"/>
      <x:c r="H2" s="8"/>
    </x:row>
    <x:row r="3"/>
    <x:row r="4" ht="15" hidden="0" customHeight="1">
      <x:c r="A4" s="13" t="str">
        <x:v>主题</x:v>
      </x:c>
      <x:c r="B4" s="13" t="str">
        <x:v>规则/说明</x:v>
      </x:c>
      <x:c r="C4"/>
      <x:c r="D4"/>
      <x:c r="E4"/>
      <x:c r="F4"/>
      <x:c r="G4"/>
      <x:c r="H4"/>
    </x:row>
    <x:row r="5" ht="15" hidden="0" customHeight="1">
      <x:c r="A5" s="87" t="str">
        <x:v>定义</x:v>
      </x:c>
      <x:c r="B5" s="19" t="str">
        <x:v>SF=系统特性；IR=初始需求；SR=系统需求；AR=分配需求。</x:v>
      </x:c>
    </x:row>
    <x:row r="6" ht="15" hidden="0" customHeight="1">
      <x:c r="A6" s="88" t="str">
        <x:v>来源</x:v>
      </x:c>
      <x:c r="B6" s="20" t="str">
        <x:v>AR叶子来自《KVCache SRS需求列表 V2.2_传输底座视角_建议修订版.xlsx》144条需求。</x:v>
      </x:c>
    </x:row>
    <x:row r="7" ht="15" hidden="0" customHeight="1">
      <x:c r="A7" s="88" t="str">
        <x:v>编号</x:v>
      </x:c>
      <x:c r="B7" s="20" t="str">
        <x:v>AR ID通过在来源SRS ID前增加AR-派生；来源SRS ID永久保留，不进行不可逆重编号。</x:v>
      </x:c>
    </x:row>
    <x:row r="8" ht="15" hidden="0" customHeight="1">
      <x:c r="A8" s="88" t="str">
        <x:v>父子关系</x:v>
      </x:c>
      <x:c r="B8" s="20" t="str">
        <x:v>每条AR只允许一个主SR；每个SR只允许一个IR；每个IR只允许一个SF。</x:v>
      </x:c>
    </x:row>
    <x:row r="9" ht="15" hidden="0" customHeight="1">
      <x:c r="A9" s="88" t="str">
        <x:v>跨域需求</x:v>
      </x:c>
      <x:c r="B9" s="20" t="str">
        <x:v>使用核心模块、分配层级、软硬归属、阶段、优先级表达横向交叉，不复制AR节点。</x:v>
      </x:c>
    </x:row>
    <x:row r="10" ht="15" hidden="0" customHeight="1">
      <x:c r="A10" s="88" t="str">
        <x:v>新增需求</x:v>
      </x:c>
      <x:c r="B10" s="20" t="str">
        <x:v>先判断是否属于既有SR；若不属于，需先新增/评审SR，再创建AR。</x:v>
      </x:c>
    </x:row>
    <x:row r="11" ht="15" hidden="0" customHeight="1">
      <x:c r="A11" s="88" t="str">
        <x:v>变更需求</x:v>
      </x:c>
      <x:c r="B11" s="20" t="str">
        <x:v>AR内容变化保留来源ID并增加版本记录；主父节点变化需说明对SF/IR/SR验收的影响。</x:v>
      </x:c>
    </x:row>
    <x:row r="12" ht="15" hidden="0" customHeight="1">
      <x:c r="A12" s="88" t="str">
        <x:v>删除需求</x:v>
      </x:c>
      <x:c r="B12" s="20" t="str">
        <x:v>不得直接删除；应标记废弃、替代关系和原因，并维持历史追溯。</x:v>
      </x:c>
    </x:row>
    <x:row r="13" ht="15" hidden="0" customHeight="1">
      <x:c r="A13" s="88" t="str">
        <x:v>评审重点</x:v>
      </x:c>
      <x:c r="B13" s="20" t="str">
        <x:v>优先检查SF/IR是否完整反映项目宗旨，SR是否可验收，AR是否真实分配到责任层和阶段。</x:v>
      </x:c>
    </x:row>
    <x:row r="14" ht="15" hidden="0" customHeight="1">
      <x:c r="A14" s="88" t="str">
        <x:v>当前边界</x:v>
      </x:c>
      <x:c r="B14" s="20" t="str">
        <x:v>CPU codec/全量CRC不属于P0/P1关键路径；SSD为容量主体；DDR为选择性性能与弹性资源。</x:v>
      </x:c>
    </x:row>
    <x:row r="15"/>
    <x:row r="16"/>
    <x:row r="17" ht="15" hidden="0" customHeight="1">
      <x:c r="A17" s="53" t="str">
        <x:v>建议评审顺序：先审SF（项目价值）→ 再审IR（利益相关方需要）→ 再审SR（系统边界与验收）→ 最后抽查AR分配和144条覆盖。</x:v>
      </x:c>
      <x:c r="B17" s="53"/>
      <x:c r="C17" s="53"/>
      <x:c r="D17" s="53"/>
      <x:c r="E17" s="53"/>
      <x:c r="F17" s="53"/>
      <x:c r="G17" s="53"/>
      <x:c r="H17" s="53"/>
    </x:row>
  </x:sheetData>
  <x:mergeCells>
    <x:mergeCell ref="A1:H1"/>
    <x:mergeCell ref="A2:H2"/>
    <x:mergeCell ref="A17:H17"/>
  </x:mergeCells>
  <x:pageMargins left="0.7" right="0.7" top="0.75" bottom="0.75" header="0.3" footer="0.3"/>
</x:worksheet>
</file>