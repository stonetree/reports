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367d207a4a473d" /></Relationships>
</file>

<file path=xl/workbook.xml><?xml version="1.0" encoding="utf-8"?>
<x:workbook xmlns:x="http://schemas.openxmlformats.org/spreadsheetml/2006/main">
  <x:sheets>
    <x:sheet xmlns:r="http://schemas.openxmlformats.org/officeDocument/2006/relationships" name="总览" sheetId="1" r:id="R3e8afba03e674ebb"/>
    <x:sheet xmlns:r="http://schemas.openxmlformats.org/officeDocument/2006/relationships" name="SF-IR骨架" sheetId="2" r:id="Rbd11d8452cdd40f5"/>
    <x:sheet xmlns:r="http://schemas.openxmlformats.org/officeDocument/2006/relationships" name="全量层级树" sheetId="3" r:id="R1ef6d2e5461e4db3"/>
    <x:sheet xmlns:r="http://schemas.openxmlformats.org/officeDocument/2006/relationships" name="SR系统设计" sheetId="4" r:id="R7072916199204c86"/>
    <x:sheet xmlns:r="http://schemas.openxmlformats.org/officeDocument/2006/relationships" name="AR开发认领" sheetId="5" r:id="Rea141ff018ee41f3"/>
    <x:sheet xmlns:r="http://schemas.openxmlformats.org/officeDocument/2006/relationships" name="KPI验收矩阵" sheetId="6" r:id="R23f7c468692c4faa"/>
    <x:sheet xmlns:r="http://schemas.openxmlformats.org/officeDocument/2006/relationships" name="追溯与覆盖" sheetId="7" r:id="R30ec1b0f45424b1c"/>
    <x:sheet xmlns:r="http://schemas.openxmlformats.org/officeDocument/2006/relationships" name="V2整改说明" sheetId="8" r:id="Rf4ce9162c90a44e9"/>
    <x:sheet xmlns:r="http://schemas.openxmlformats.org/officeDocument/2006/relationships" name="质量门禁" sheetId="9" r:id="Rb1a1728e0f3744ff"/>
    <x:sheet xmlns:r="http://schemas.openxmlformats.org/officeDocument/2006/relationships" name="术语与使用说明" sheetId="10" r:id="R2b479c2eaa4c4b7e"/>
  </x:sheets>
</x:workbook>
</file>

<file path=xl/sharedStrings.xml><?xml version="1.0" encoding="utf-8"?>
<x:sst xmlns:x="http://schemas.openxmlformats.org/spreadsheetml/2006/main"/>
</file>

<file path=xl/styles.xml><?xml version="1.0" encoding="utf-8"?>
<x:styleSheet xmlns:x="http://schemas.openxmlformats.org/spreadsheetml/2006/main">
  <x:fonts count="29">
    <x:font>
      <x:sz val="11"/>
      <x:name val="Carlito"/>
    </x:font>
    <x:font>
      <x:b/>
      <x:sz val="18"/>
      <x:color rgb="FFFFFFFF"/>
      <x:name val="Carlito"/>
    </x:font>
    <x:font>
      <x:i/>
      <x:sz val="10"/>
      <x:color rgb="FF1F2937"/>
      <x:name val="Carlito"/>
    </x:font>
    <x:font>
      <x:b/>
      <x:sz val="11"/>
      <x:color rgb="FFFFFFFF"/>
      <x:name val="Carlito"/>
    </x:font>
    <x:font>
      <x:sz val="9"/>
      <x:color rgb="FF1F2937"/>
      <x:name val="Carlito"/>
    </x:font>
    <x:font>
      <x:b/>
      <x:sz val="9"/>
      <x:color rgb="FF2F5597"/>
      <x:name val="Carlito"/>
    </x:font>
    <x:font>
      <x:b/>
      <x:sz val="9"/>
      <x:color rgb="FFFFFFFF"/>
      <x:name val="Carlito"/>
    </x:font>
    <x:font>
      <x:b/>
      <x:sz val="9"/>
      <x:color rgb="FF1F2937"/>
      <x:name val="Carlito"/>
    </x:font>
    <x:font>
      <x:sz val="9"/>
      <x:color rgb="FF1F2937"/>
      <x:name val="Carlito"/>
    </x:font>
    <x:font>
      <x:b/>
      <x:sz val="11"/>
      <x:color rgb="FF1F2937"/>
      <x:name val="Carlito"/>
    </x:font>
    <x:font>
      <x:b/>
      <x:sz val="24"/>
      <x:color rgb="FF17365D"/>
      <x:name val="Carlito"/>
    </x:font>
    <x:font>
      <x:b/>
      <x:sz val="24"/>
      <x:color rgb="FF2F5597"/>
      <x:name val="Carlito"/>
    </x:font>
    <x:font>
      <x:b/>
      <x:sz val="24"/>
      <x:color rgb="FF0F766E"/>
      <x:name val="Carlito"/>
    </x:font>
    <x:font>
      <x:b/>
      <x:sz val="24"/>
      <x:color rgb="FFED7D31"/>
      <x:name val="Carlito"/>
    </x:font>
    <x:font>
      <x:b/>
      <x:sz val="12"/>
      <x:color rgb="FFFFFFFF"/>
      <x:name val="Carlito"/>
    </x:font>
    <x:font>
      <x:sz val="10"/>
      <x:color rgb="FF1F2937"/>
      <x:name val="Carlito"/>
    </x:font>
    <x:font>
      <x:sz val="11"/>
      <x:color rgb="FF1F2937"/>
      <x:name val="Carlito"/>
    </x:font>
    <x:font>
      <x:b/>
      <x:sz val="18"/>
      <x:color rgb="FFFFFFFF"/>
      <x:name val="Aptos"/>
    </x:font>
    <x:font>
      <x:i/>
      <x:sz val="10"/>
      <x:color rgb="FF1F2937"/>
      <x:name val="Aptos"/>
    </x:font>
    <x:font>
      <x:sz val="11"/>
      <x:name val="Aptos"/>
    </x:font>
    <x:font>
      <x:b/>
      <x:sz val="11"/>
      <x:color rgb="FF1F2937"/>
      <x:name val="Aptos"/>
    </x:font>
    <x:font>
      <x:b/>
      <x:sz val="11"/>
      <x:color rgb="FFFFFFFF"/>
      <x:name val="Aptos"/>
    </x:font>
    <x:font>
      <x:b/>
      <x:sz val="24"/>
      <x:color rgb="FF17365D"/>
      <x:name val="Aptos"/>
    </x:font>
    <x:font>
      <x:b/>
      <x:sz val="24"/>
      <x:color rgb="FF2F5597"/>
      <x:name val="Aptos"/>
    </x:font>
    <x:font>
      <x:b/>
      <x:sz val="24"/>
      <x:color rgb="FF0F766E"/>
      <x:name val="Aptos"/>
    </x:font>
    <x:font>
      <x:b/>
      <x:sz val="24"/>
      <x:color rgb="FFED7D31"/>
      <x:name val="Aptos"/>
    </x:font>
    <x:font>
      <x:b/>
      <x:sz val="12"/>
      <x:color rgb="FFFFFFFF"/>
      <x:name val="Aptos"/>
    </x:font>
    <x:font>
      <x:sz val="10"/>
      <x:color rgb="FF1F2937"/>
      <x:name val="Aptos"/>
    </x:font>
    <x:font>
      <x:sz val="11"/>
      <x:color rgb="FF1F2937"/>
      <x:name val="Aptos"/>
    </x:font>
  </x:fonts>
  <x:fills count="12">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2F5597"/>
      </x:patternFill>
    </x:fill>
    <x:fill>
      <x:patternFill patternType="solid">
        <x:fgColor rgb="FFE2F0D9"/>
      </x:patternFill>
    </x:fill>
    <x:fill>
      <x:patternFill patternType="solid">
        <x:fgColor rgb="FFFFFFFF"/>
      </x:patternFill>
    </x:fill>
    <x:fill>
      <x:patternFill patternType="solid">
        <x:fgColor rgb="FFFFF2CC"/>
      </x:patternFill>
    </x:fill>
    <x:fill>
      <x:patternFill patternType="solid">
        <x:fgColor rgb="FFF3F6F8"/>
      </x:patternFill>
    </x:fill>
    <x:fill>
      <x:patternFill patternType="solid">
        <x:fgColor rgb="FF0F766E"/>
      </x:patternFill>
    </x:fill>
    <x:fill>
      <x:patternFill patternType="solid">
        <x:fgColor rgb="FFED7D31"/>
      </x:patternFill>
    </x:fill>
    <x:fill>
      <x:patternFill patternType="solid">
        <x:fgColor rgb="FFEAF2F8"/>
      </x:patternFill>
    </x:fill>
  </x:fills>
  <x:borders count="6">
    <x:border/>
    <x:border>
      <x:bottom style="medium">
        <x:color rgb="FF17365D"/>
      </x:bottom>
    </x:border>
    <x:border>
      <x:bottom style="thin">
        <x:color rgb="FFD9E2F3"/>
      </x:bottom>
    </x:border>
    <x:border>
      <x:top style="thin">
        <x:color rgb="FFD9E2F3"/>
      </x:top>
      <x:bottom style="thin">
        <x:color rgb="FFD9E2F3"/>
      </x:bottom>
    </x:border>
    <x:border>
      <x:top style="thin">
        <x:color rgb="FFD9E2F3"/>
      </x:top>
    </x:border>
    <x:border>
      <x:bottom style="medium">
        <x:color rgb="FFD6A84B"/>
      </x:bottom>
    </x:border>
  </x:borders>
  <x:cellStyleXfs count="1">
    <x:xf numFmtId="0" fontId="0" fillId="0" borderId="0"/>
  </x:cellStyleXfs>
  <x:cellXfs count="1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7" fillId="3"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8" fillId="6" borderId="3"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6" fillId="2"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8" fillId="6" borderId="4" xfId="0" applyNumberFormat="1" applyFont="1" applyFill="1" applyBorder="1" applyAlignment="1">
      <x:alignment vertical="top"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7" borderId="0" xfId="0" applyNumberFormat="1" applyFont="1" applyFill="1" applyBorder="1"/>
    <x:xf numFmtId="0" fontId="9" fillId="7" borderId="0" xfId="0" applyNumberFormat="1" applyFont="1" applyFill="1" applyBorder="1"/>
    <x:xf numFmtId="0" fontId="9" fillId="7" borderId="5" xfId="0" applyNumberFormat="1" applyFont="1" applyFill="1" applyBorder="1"/>
    <x:xf numFmtId="0" fontId="9" fillId="7" borderId="5" xfId="0" applyNumberFormat="1" applyFont="1" applyFill="1" applyBorder="1" applyAlignment="1">
      <x:alignment wrapText="1"/>
    </x:xf>
    <x:xf numFmtId="0" fontId="9" fillId="7" borderId="5"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horizontal="center"/>
    </x:xf>
    <x:xf numFmtId="0" fontId="10" fillId="8" borderId="0"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11" fillId="8" borderId="0" xfId="0" applyNumberFormat="1" applyFont="1" applyFill="1" applyBorder="1"/>
    <x:xf numFmtId="0" fontId="11" fillId="8" borderId="0" xfId="0" applyNumberFormat="1" applyFont="1" applyFill="1" applyBorder="1" applyAlignment="1">
      <x:alignment horizontal="center"/>
    </x:xf>
    <x:xf numFmtId="0" fontId="11" fillId="8" borderId="0" xfId="0" applyNumberFormat="1" applyFont="1" applyFill="1" applyBorder="1" applyAlignment="1">
      <x:alignment horizontal="center"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12" fillId="8" borderId="0" xfId="0" applyNumberFormat="1" applyFont="1" applyFill="1" applyBorder="1"/>
    <x:xf numFmtId="0" fontId="12" fillId="8" borderId="0" xfId="0" applyNumberFormat="1" applyFont="1" applyFill="1" applyBorder="1" applyAlignment="1">
      <x:alignment horizontal="center"/>
    </x:xf>
    <x:xf numFmtId="0" fontId="12" fillId="8"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vertical="center"/>
    </x:xf>
    <x:xf numFmtId="0" fontId="13" fillId="8" borderId="0" xfId="0" applyNumberFormat="1" applyFont="1" applyFill="1" applyBorder="1"/>
    <x:xf numFmtId="0" fontId="13" fillId="8" borderId="0" xfId="0" applyNumberFormat="1" applyFont="1" applyFill="1" applyBorder="1" applyAlignment="1">
      <x:alignment horizontal="center"/>
    </x:xf>
    <x:xf numFmtId="0" fontId="13" fillId="8" borderId="0" xfId="0" applyNumberFormat="1" applyFont="1" applyFill="1" applyBorder="1" applyAlignment="1">
      <x:alignment horizontal="center" vertical="center"/>
    </x:xf>
    <x:xf numFmtId="0" fontId="14" fillId="2" borderId="0" xfId="0" applyNumberFormat="1" applyFont="1" applyFill="1" applyBorder="1"/>
    <x:xf numFmtId="0" fontId="14" fillId="2" borderId="0" xfId="0" applyNumberFormat="1" applyFont="1" applyFill="1" applyBorder="1" applyAlignment="1">
      <x:alignment horizontal="center"/>
    </x:xf>
    <x:xf numFmtId="0" fontId="14" fillId="2" borderId="0" xfId="0" applyNumberFormat="1" applyFont="1" applyFill="1" applyBorder="1" applyAlignment="1">
      <x:alignment horizontal="center" vertical="center"/>
    </x:xf>
    <x:xf numFmtId="0" fontId="14" fillId="9" borderId="0" xfId="0" applyNumberFormat="1" applyFont="1" applyFill="1" applyBorder="1"/>
    <x:xf numFmtId="0" fontId="14" fillId="9" borderId="0" xfId="0" applyNumberFormat="1" applyFont="1" applyFill="1" applyBorder="1" applyAlignment="1">
      <x:alignment horizontal="center"/>
    </x:xf>
    <x:xf numFmtId="0" fontId="14" fillId="9" borderId="0" xfId="0" applyNumberFormat="1" applyFont="1" applyFill="1" applyBorder="1" applyAlignment="1">
      <x:alignment horizontal="center" vertical="center"/>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vertical="top" wrapText="1"/>
    </x:xf>
    <x:xf numFmtId="0" fontId="0" fillId="5" borderId="0" xfId="0" applyNumberFormat="1" applyFont="1" applyFill="1" applyBorder="1"/>
    <x:xf numFmtId="0" fontId="15" fillId="5" borderId="0" xfId="0" applyNumberFormat="1" applyFont="1" applyFill="1" applyBorder="1"/>
    <x:xf numFmtId="0" fontId="15" fillId="5" borderId="0" xfId="0" applyNumberFormat="1" applyFont="1" applyFill="1" applyBorder="1" applyAlignment="1">
      <x:alignment wrapText="1"/>
    </x:xf>
    <x:xf numFmtId="0" fontId="15" fillId="5" borderId="0" xfId="0" applyNumberFormat="1" applyFont="1" applyFill="1" applyBorder="1" applyAlignment="1">
      <x:alignment vertical="top" wrapText="1"/>
    </x:xf>
    <x:xf numFmtId="0" fontId="14" fillId="4" borderId="0" xfId="0" applyNumberFormat="1" applyFont="1" applyFill="1" applyBorder="1"/>
    <x:xf numFmtId="0" fontId="14" fillId="4" borderId="0" xfId="0" applyNumberFormat="1" applyFont="1" applyFill="1" applyBorder="1" applyAlignment="1">
      <x:alignment horizontal="center"/>
    </x:xf>
    <x:xf numFmtId="0" fontId="16" fillId="8" borderId="0" xfId="0" applyNumberFormat="1" applyFont="1" applyFill="1" applyBorder="1"/>
    <x:xf numFmtId="0" fontId="16" fillId="8" borderId="2" xfId="0" applyNumberFormat="1" applyFont="1" applyFill="1" applyBorder="1"/>
    <x:xf numFmtId="0" fontId="16" fillId="8" borderId="3" xfId="0" applyNumberFormat="1" applyFont="1" applyFill="1" applyBorder="1"/>
    <x:xf numFmtId="0" fontId="16" fillId="8" borderId="4" xfId="0" applyNumberFormat="1" applyFont="1" applyFill="1" applyBorder="1"/>
    <x:xf numFmtId="0" fontId="16" fillId="8" borderId="2" xfId="0" applyNumberFormat="1" applyFont="1" applyFill="1" applyBorder="1" applyAlignment="1">
      <x:alignment wrapText="1"/>
    </x:xf>
    <x:xf numFmtId="0" fontId="16" fillId="8" borderId="3" xfId="0" applyNumberFormat="1" applyFont="1" applyFill="1" applyBorder="1" applyAlignment="1">
      <x:alignment wrapText="1"/>
    </x:xf>
    <x:xf numFmtId="0" fontId="16" fillId="8" borderId="4" xfId="0" applyNumberFormat="1" applyFont="1" applyFill="1" applyBorder="1" applyAlignment="1">
      <x:alignment wrapText="1"/>
    </x:xf>
    <x:xf numFmtId="0" fontId="16" fillId="8" borderId="2" xfId="0" applyNumberFormat="1" applyFont="1" applyFill="1" applyBorder="1" applyAlignment="1">
      <x:alignment vertical="center" wrapText="1"/>
    </x:xf>
    <x:xf numFmtId="0" fontId="16" fillId="8" borderId="3" xfId="0" applyNumberFormat="1" applyFont="1" applyFill="1" applyBorder="1" applyAlignment="1">
      <x:alignment vertical="center" wrapText="1"/>
    </x:xf>
    <x:xf numFmtId="0" fontId="16" fillId="8" borderId="4" xfId="0" applyNumberFormat="1" applyFont="1" applyFill="1" applyBorder="1" applyAlignment="1">
      <x:alignment vertical="center" wrapText="1"/>
    </x:xf>
    <x:xf numFmtId="0" fontId="17" fillId="2" borderId="0" xfId="0" applyNumberFormat="1" applyFont="1" applyFill="1" applyBorder="1" applyAlignment="1">
      <x:alignment vertical="center"/>
    </x:xf>
    <x:xf numFmtId="0" fontId="18" fillId="3" borderId="0" xfId="0" applyNumberFormat="1" applyFont="1" applyFill="1" applyBorder="1" applyAlignment="1">
      <x:alignment vertical="center" wrapText="1"/>
    </x:xf>
    <x:xf numFmtId="0" fontId="19" fillId="0" borderId="0" xfId="0" applyNumberFormat="1" applyFont="1" applyFill="1" applyBorder="1"/>
    <x:xf numFmtId="0" fontId="20" fillId="7" borderId="5" xfId="0" applyNumberFormat="1" applyFont="1" applyFill="1" applyBorder="1" applyAlignment="1">
      <x:alignment vertical="center" wrapText="1"/>
    </x:xf>
    <x:xf numFmtId="0" fontId="21" fillId="2" borderId="0" xfId="0" applyNumberFormat="1" applyFont="1" applyFill="1" applyBorder="1" applyAlignment="1">
      <x:alignment horizontal="center" vertical="center"/>
    </x:xf>
    <x:xf numFmtId="0" fontId="21" fillId="4" borderId="0" xfId="0" applyNumberFormat="1" applyFont="1" applyFill="1" applyBorder="1" applyAlignment="1">
      <x:alignment horizontal="center" vertical="center"/>
    </x:xf>
    <x:xf numFmtId="0" fontId="21" fillId="9" borderId="0" xfId="0" applyNumberFormat="1" applyFont="1" applyFill="1" applyBorder="1" applyAlignment="1">
      <x:alignment horizontal="center" vertical="center"/>
    </x:xf>
    <x:xf numFmtId="0" fontId="21" fillId="10" borderId="0" xfId="0" applyNumberFormat="1" applyFont="1" applyFill="1" applyBorder="1" applyAlignment="1">
      <x:alignment horizontal="center" vertical="center"/>
    </x:xf>
    <x:xf numFmtId="0" fontId="22" fillId="8" borderId="0" xfId="0" applyNumberFormat="1" applyFont="1" applyFill="1" applyBorder="1" applyAlignment="1">
      <x:alignment horizontal="center" vertical="center"/>
    </x:xf>
    <x:xf numFmtId="0" fontId="23" fillId="8" borderId="0" xfId="0" applyNumberFormat="1" applyFont="1" applyFill="1" applyBorder="1" applyAlignment="1">
      <x:alignment horizontal="center" vertical="center"/>
    </x:xf>
    <x:xf numFmtId="0" fontId="24" fillId="8" borderId="0" xfId="0" applyNumberFormat="1" applyFont="1" applyFill="1" applyBorder="1" applyAlignment="1">
      <x:alignment horizontal="center" vertical="center"/>
    </x:xf>
    <x:xf numFmtId="0" fontId="25" fillId="8" borderId="0" xfId="0" applyNumberFormat="1" applyFont="1" applyFill="1" applyBorder="1" applyAlignment="1">
      <x:alignment horizontal="center" vertical="center"/>
    </x:xf>
    <x:xf numFmtId="0" fontId="26" fillId="2" borderId="0" xfId="0" applyNumberFormat="1" applyFont="1" applyFill="1" applyBorder="1" applyAlignment="1">
      <x:alignment horizontal="center" vertical="center"/>
    </x:xf>
    <x:xf numFmtId="0" fontId="26" fillId="9" borderId="0" xfId="0" applyNumberFormat="1" applyFont="1" applyFill="1" applyBorder="1" applyAlignment="1">
      <x:alignment horizontal="center" vertical="center"/>
    </x:xf>
    <x:xf numFmtId="0" fontId="27" fillId="11" borderId="0" xfId="0" applyNumberFormat="1" applyFont="1" applyFill="1" applyBorder="1" applyAlignment="1">
      <x:alignment vertical="top" wrapText="1"/>
    </x:xf>
    <x:xf numFmtId="0" fontId="27" fillId="5" borderId="0" xfId="0" applyNumberFormat="1" applyFont="1" applyFill="1" applyBorder="1" applyAlignment="1">
      <x:alignment vertical="top" wrapText="1"/>
    </x:xf>
    <x:xf numFmtId="0" fontId="26" fillId="4" borderId="0" xfId="0" applyNumberFormat="1" applyFont="1" applyFill="1" applyBorder="1" applyAlignment="1">
      <x:alignment horizontal="center"/>
    </x:xf>
    <x:xf numFmtId="0" fontId="28" fillId="8" borderId="2" xfId="0" applyNumberFormat="1" applyFont="1" applyFill="1" applyBorder="1" applyAlignment="1">
      <x:alignment vertical="center" wrapText="1"/>
    </x:xf>
    <x:xf numFmtId="0" fontId="28" fillId="8" borderId="3" xfId="0" applyNumberFormat="1" applyFont="1" applyFill="1" applyBorder="1" applyAlignment="1">
      <x:alignment vertical="center" wrapText="1"/>
    </x:xf>
    <x:xf numFmtId="0" fontId="28" fillId="8" borderId="4" xfId="0" applyNumberFormat="1" applyFont="1" applyFill="1" applyBorder="1" applyAlignment="1">
      <x:alignment vertical="center" wrapText="1"/>
    </x:xf>
  </x:cellXfs>
  <x:cellStyles count="1">
    <x:cellStyle name="Normal" xfId="0"/>
  </x:cellStyles>
  <x:dxfs count="6">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9c882308f44f5f" /><Relationship Type="http://schemas.openxmlformats.org/officeDocument/2006/relationships/theme" Target="/xl/theme/theme1.xml" Id="R7a9d667cc3c4476a" /><Relationship Type="http://schemas.openxmlformats.org/officeDocument/2006/relationships/sharedStrings" Target="/xl/sharedStrings.xml" Id="R6ee55b4a83c9409e" /><Relationship Type="http://schemas.openxmlformats.org/officeDocument/2006/relationships/worksheet" Target="/xl/worksheets/sheet1.xml" Id="R3e8afba03e674ebb" /><Relationship Type="http://schemas.openxmlformats.org/officeDocument/2006/relationships/worksheet" Target="/xl/worksheets/sheet2.xml" Id="Rbd11d8452cdd40f5" /><Relationship Type="http://schemas.openxmlformats.org/officeDocument/2006/relationships/worksheet" Target="/xl/worksheets/sheet3.xml" Id="R1ef6d2e5461e4db3" /><Relationship Type="http://schemas.openxmlformats.org/officeDocument/2006/relationships/worksheet" Target="/xl/worksheets/sheet4.xml" Id="R7072916199204c86" /><Relationship Type="http://schemas.openxmlformats.org/officeDocument/2006/relationships/worksheet" Target="/xl/worksheets/sheet5.xml" Id="Rea141ff018ee41f3" /><Relationship Type="http://schemas.openxmlformats.org/officeDocument/2006/relationships/worksheet" Target="/xl/worksheets/sheet6.xml" Id="R23f7c468692c4faa" /><Relationship Type="http://schemas.openxmlformats.org/officeDocument/2006/relationships/worksheet" Target="/xl/worksheets/sheet7.xml" Id="R30ec1b0f45424b1c" /><Relationship Type="http://schemas.openxmlformats.org/officeDocument/2006/relationships/worksheet" Target="/xl/worksheets/sheet8.xml" Id="Rf4ce9162c90a44e9" /><Relationship Type="http://schemas.openxmlformats.org/officeDocument/2006/relationships/worksheet" Target="/xl/worksheets/sheet9.xml" Id="Rb1a1728e0f3744ff" /><Relationship Type="http://schemas.openxmlformats.org/officeDocument/2006/relationships/worksheet" Target="/xl/worksheets/sheet10.xml" Id="R2b479c2eaa4c4b7e" /></Relationships>
</file>

<file path=xl/tables/table1.xml><?xml version="1.0" encoding="utf-8"?>
<x:table xmlns:x="http://schemas.openxmlformats.org/spreadsheetml/2006/main" id="1" name="IRAnchorTable" displayName="IRAnchorTable" ref="A4:M28" headerRowCount="1" totalsRowCount="0" totalsRowShown="0">
  <x:autoFilter ref="A4:M28"/>
  <x:tableColumns count="13">
    <x:tableColumn id="1" name="IR ID"/>
    <x:tableColumn id="2" name="SF ID"/>
    <x:tableColumn id="3" name="SF 技术特性"/>
    <x:tableColumn id="4" name="IR 技术域（功能化描述）"/>
    <x:tableColumn id="5" name="具体依赖库/核心组件/底层机制"/>
    <x:tableColumn id="6" name="IR 功能/性能实现预期"/>
    <x:tableColumn id="7" name="确定性 KPI / 建议门槛"/>
    <x:tableColumn id="8" name="主技术模块"/>
    <x:tableColumn id="9" name="关键输入"/>
    <x:tableColumn id="10" name="关键输出"/>
    <x:tableColumn id="11" name="失败/降级语义"/>
    <x:tableColumn id="12" name="冻结状态"/>
    <x:tableColumn id="13" name="来源 SR 数"/>
  </x:tableColumns>
  <x:tableStyleInfo name="TableStyleMedium2" showFirstColumn="0" showLastColumn="0" showRowStripes="1" showColumnStripes="0"/>
</x:table>
</file>

<file path=xl/tables/table2.xml><?xml version="1.0" encoding="utf-8"?>
<x:table xmlns:x="http://schemas.openxmlformats.org/spreadsheetml/2006/main" id="5" name="FullTreeTable" displayName="FullTreeTable" ref="A4:L626" headerRowCount="1" totalsRowCount="0" totalsRowShown="0">
  <x:autoFilter ref="A4:L626"/>
  <x:tableColumns count="12">
    <x:tableColumn id="1" name="排序路径"/>
    <x:tableColumn id="2" name="深度"/>
    <x:tableColumn id="3" name="节点类型"/>
    <x:tableColumn id="4" name="节点 ID"/>
    <x:tableColumn id="5" name="父节点 ID"/>
    <x:tableColumn id="6" name="树形显示"/>
    <x:tableColumn id="7" name="节点名称/任务类型"/>
    <x:tableColumn id="8" name="需求/技术设计/原子任务"/>
    <x:tableColumn id="9" name="KPI/验收门槛"/>
    <x:tableColumn id="10" name="代码对象"/>
    <x:tableColumn id="11" name="责任层级/角色"/>
    <x:tableColumn id="12" name="来源"/>
  </x:tableColumns>
  <x:tableStyleInfo name="TableStyleMedium2" showFirstColumn="0" showLastColumn="0" showRowStripes="1" showColumnStripes="0"/>
</x:table>
</file>

<file path=xl/tables/table3.xml><?xml version="1.0" encoding="utf-8"?>
<x:table xmlns:x="http://schemas.openxmlformats.org/spreadsheetml/2006/main" id="2" name="SRDesignTable" displayName="SRDesignTable" ref="A4:T153" headerRowCount="1" totalsRowCount="0" totalsRowShown="0">
  <x:autoFilter ref="A4:T153"/>
  <x:tableColumns count="20">
    <x:tableColumn id="1" name="SR ID"/>
    <x:tableColumn id="2" name="父 IR"/>
    <x:tableColumn id="3" name="SF ID"/>
    <x:tableColumn id="4" name="来源需求 ID"/>
    <x:tableColumn id="5" name="来源类型"/>
    <x:tableColumn id="6" name="分配层级"/>
    <x:tableColumn id="7" name="技术模块"/>
    <x:tableColumn id="8" name="核心模块"/>
    <x:tableColumn id="9" name="优先级"/>
    <x:tableColumn id="10" name="阶段"/>
    <x:tableColumn id="11" name="SR 名称"/>
    <x:tableColumn id="12" name="系统级需求/重构目标"/>
    <x:tableColumn id="13" name="研发实施技术路径"/>
    <x:tableColumn id="14" name="关键输入"/>
    <x:tableColumn id="15" name="关键输出"/>
    <x:tableColumn id="16" name="失败/降级语义"/>
    <x:tableColumn id="17" name="直接 KPI"/>
    <x:tableColumn id="18" name="验收方法与指标"/>
    <x:tableColumn id="19" name="上下游依赖"/>
    <x:tableColumn id="20" name="详细设计风险"/>
  </x:tableColumns>
  <x:tableStyleInfo name="TableStyleMedium2" showFirstColumn="0" showLastColumn="0" showRowStripes="1" showColumnStripes="0"/>
</x:table>
</file>

<file path=xl/tables/table4.xml><?xml version="1.0" encoding="utf-8"?>
<x:table xmlns:x="http://schemas.openxmlformats.org/spreadsheetml/2006/main" id="3" name="ARClaimTable" displayName="ARClaimTable" ref="A4:Y451" headerRowCount="1" totalsRowCount="0" totalsRowShown="0">
  <x:autoFilter ref="A4:Y451"/>
  <x:tableColumns count="25">
    <x:tableColumn id="1" name="AR ID"/>
    <x:tableColumn id="2" name="父 SR"/>
    <x:tableColumn id="3" name="来源需求 ID"/>
    <x:tableColumn id="4" name="SF ID"/>
    <x:tableColumn id="5" name="IR ID"/>
    <x:tableColumn id="6" name="分配层级"/>
    <x:tableColumn id="7" name="技术模块"/>
    <x:tableColumn id="8" name="核心模块"/>
    <x:tableColumn id="9" name="优先级"/>
    <x:tableColumn id="10" name="阶段"/>
    <x:tableColumn id="11" name="任务类型"/>
    <x:tableColumn id="12" name="建议责任角色"/>
    <x:tableColumn id="13" name="代码/配置对象"/>
    <x:tableColumn id="14" name="类/函数/配置键"/>
    <x:tableColumn id="15" name="原子实施任务"/>
    <x:tableColumn id="16" name="接口/状态/Fallback 要点"/>
    <x:tableColumn id="17" name="Definition of Done"/>
    <x:tableColumn id="18" name="验证命令/用例"/>
    <x:tableColumn id="19" name="验收 KPI"/>
    <x:tableColumn id="20" name="依赖 SR"/>
    <x:tableColumn id="21" name="状态"/>
    <x:tableColumn id="22" name="实际 Owner"/>
    <x:tableColumn id="23" name="PR/Commit"/>
    <x:tableColumn id="24" name="ID 唯一性检查"/>
    <x:tableColumn id="25" name="父节点/来源检查"/>
  </x:tableColumns>
  <x:tableStyleInfo name="TableStyleMedium2" showFirstColumn="0" showLastColumn="0" showRowStripes="1" showColumnStripes="0"/>
</x:table>
</file>

<file path=xl/tables/table5.xml><?xml version="1.0" encoding="utf-8"?>
<x:table xmlns:x="http://schemas.openxmlformats.org/spreadsheetml/2006/main" id="6" name="KpiMatrixTable" displayName="KpiMatrixTable" ref="A4:J18" headerRowCount="1" totalsRowCount="0" totalsRowShown="0">
  <x:autoFilter ref="A4:J18"/>
  <x:tableColumns count="10">
    <x:tableColumn id="1" name="KPI ID"/>
    <x:tableColumn id="2" name="类别"/>
    <x:tableColumn id="3" name="指标"/>
    <x:tableColumn id="4" name="计算口径"/>
    <x:tableColumn id="5" name="建议通过门槛"/>
    <x:tableColumn id="6" name="基线"/>
    <x:tableColumn id="7" name="验收场景"/>
    <x:tableColumn id="8" name="证据/采集工具"/>
    <x:tableColumn id="9" name="阶段"/>
    <x:tableColumn id="10" name="评审约束"/>
  </x:tableColumns>
  <x:tableStyleInfo name="TableStyleMedium2" showFirstColumn="0" showLastColumn="0" showRowStripes="1" showColumnStripes="0"/>
</x:table>
</file>

<file path=xl/tables/table6.xml><?xml version="1.0" encoding="utf-8"?>
<x:table xmlns:x="http://schemas.openxmlformats.org/spreadsheetml/2006/main" id="4" name="TraceTable" displayName="TraceTable" ref="A4:S153" headerRowCount="1" totalsRowCount="0" totalsRowShown="0">
  <x:autoFilter ref="A4:S153"/>
  <x:tableColumns count="19">
    <x:tableColumn id="1" name="来源需求 ID"/>
    <x:tableColumn id="2" name="来源类型"/>
    <x:tableColumn id="3" name="来源文件"/>
    <x:tableColumn id="4" name="来源 Sheet"/>
    <x:tableColumn id="5" name="层级"/>
    <x:tableColumn id="6" name="技术模块"/>
    <x:tableColumn id="7" name="核心模块"/>
    <x:tableColumn id="8" name="优先级"/>
    <x:tableColumn id="9" name="阶段覆盖"/>
    <x:tableColumn id="10" name="SF ID"/>
    <x:tableColumn id="11" name="IR ID"/>
    <x:tableColumn id="12" name="SR ID"/>
    <x:tableColumn id="13" name="场景"/>
    <x:tableColumn id="14" name="原始需求描述"/>
    <x:tableColumn id="15" name="原始 KPI"/>
    <x:tableColumn id="16" name="原始验收方法"/>
    <x:tableColumn id="17" name="AR 数"/>
    <x:tableColumn id="18" name="覆盖检查"/>
    <x:tableColumn id="19" name="V1.0 原上层路径"/>
  </x:tableColumns>
  <x:tableStyleInfo name="TableStyleMedium2" showFirstColumn="0" showLastColumn="0" showRowStripes="1" showColumnStripes="0"/>
</x:table>
</file>

<file path=xl/tables/table7.xml><?xml version="1.0" encoding="utf-8"?>
<x:table xmlns:x="http://schemas.openxmlformats.org/spreadsheetml/2006/main" id="7" name="FixLogTable" displayName="FixLogTable" ref="A4:E12" headerRowCount="1" totalsRowCount="0" totalsRowShown="0">
  <x:autoFilter ref="A4:E12"/>
  <x:tableColumns count="5">
    <x:tableColumn id="1" name="历史问题"/>
    <x:tableColumn id="2" name="V2.0表现"/>
    <x:tableColumn id="3" name="V2.1整改"/>
    <x:tableColumn id="4" name="工程收益"/>
    <x:tableColumn id="5" name="结果"/>
  </x:tableColumns>
  <x:tableStyleInfo name="TableStyleMedium2" showFirstColumn="0" showLastColumn="0" showRowStripes="1" showColumnStripes="0"/>
</x:table>
</file>

<file path=xl/tables/table8.xml><?xml version="1.0" encoding="utf-8"?>
<x:table xmlns:x="http://schemas.openxmlformats.org/spreadsheetml/2006/main" id="8" name="HelpTable" displayName="HelpTable" ref="A4:C16" headerRowCount="1" totalsRowCount="0" totalsRowShown="0">
  <x:autoFilter ref="A4:C16"/>
  <x:tableColumns count="3">
    <x:tableColumn id="1" name="术语/主题"/>
    <x:tableColumn id="2" name="英文/定位"/>
    <x:tableColumn id="3" name="定义与规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e6b17e85e14e84" /></Relationships>
</file>

<file path=xl/worksheets/_rels/sheet3.xml.rels>&#65279;<?xml version="1.0" encoding="utf-8"?><Relationships xmlns="http://schemas.openxmlformats.org/package/2006/relationships"><Relationship Type="http://schemas.openxmlformats.org/officeDocument/2006/relationships/table" Target="/xl/tables/table2.xml" Id="R65ba1bc9e2a34872" /></Relationships>
</file>

<file path=xl/worksheets/_rels/sheet4.xml.rels>&#65279;<?xml version="1.0" encoding="utf-8"?><Relationships xmlns="http://schemas.openxmlformats.org/package/2006/relationships"><Relationship Type="http://schemas.openxmlformats.org/officeDocument/2006/relationships/table" Target="/xl/tables/table3.xml" Id="R6e9b9537d045483b" /></Relationships>
</file>

<file path=xl/worksheets/_rels/sheet5.xml.rels>&#65279;<?xml version="1.0" encoding="utf-8"?><Relationships xmlns="http://schemas.openxmlformats.org/package/2006/relationships"><Relationship Type="http://schemas.openxmlformats.org/officeDocument/2006/relationships/table" Target="/xl/tables/table4.xml" Id="Rb6770cb938d542cf" /></Relationships>
</file>

<file path=xl/worksheets/_rels/sheet6.xml.rels>&#65279;<?xml version="1.0" encoding="utf-8"?><Relationships xmlns="http://schemas.openxmlformats.org/package/2006/relationships"><Relationship Type="http://schemas.openxmlformats.org/officeDocument/2006/relationships/table" Target="/xl/tables/table5.xml" Id="R1e7952bc93034f7f" /></Relationships>
</file>

<file path=xl/worksheets/_rels/sheet7.xml.rels>&#65279;<?xml version="1.0" encoding="utf-8"?><Relationships xmlns="http://schemas.openxmlformats.org/package/2006/relationships"><Relationship Type="http://schemas.openxmlformats.org/officeDocument/2006/relationships/table" Target="/xl/tables/table6.xml" Id="Rc63fedab47f043ec" /></Relationships>
</file>

<file path=xl/worksheets/_rels/sheet8.xml.rels>&#65279;<?xml version="1.0" encoding="utf-8"?><Relationships xmlns="http://schemas.openxmlformats.org/package/2006/relationships"><Relationship Type="http://schemas.openxmlformats.org/officeDocument/2006/relationships/table" Target="/xl/tables/table7.xml" Id="Rd081259a91f04644" /></Relationships>
</file>

<file path=xl/worksheets/_rels/sheet10.xml.rels>&#65279;<?xml version="1.0" encoding="utf-8"?><Relationships xmlns="http://schemas.openxmlformats.org/package/2006/relationships"><Relationship Type="http://schemas.openxmlformats.org/officeDocument/2006/relationships/table" Target="/xl/tables/table8.xml" Id="R7bd20a2931334e4a"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34" customHeight="1">
      <x:c r="A1" s="108" t="str">
        <x:v>统一异构 KVCache 存储池｜全量需求树 V2.1</x:v>
      </x:c>
      <x:c r="B1" s="108"/>
      <x:c r="C1" s="108"/>
      <x:c r="D1" s="108"/>
      <x:c r="E1" s="108"/>
      <x:c r="F1" s="108"/>
      <x:c r="G1" s="108"/>
      <x:c r="H1" s="108"/>
      <x:c r="I1" s="108"/>
      <x:c r="J1" s="108"/>
      <x:c r="K1" s="108"/>
      <x:c r="L1" s="108"/>
    </x:row>
    <x:row r="2" ht="30" customHeight="1">
      <x:c r="A2" s="109" t="str">
        <x:v>Pragmatic IPD Flow：SF → IR → SR → AR｜V2.1修订：强化24条IR的功能目的与可理解性｜2026-07-19</x:v>
      </x:c>
      <x:c r="B2" s="109"/>
      <x:c r="C2" s="109"/>
      <x:c r="D2" s="109"/>
      <x:c r="E2" s="109"/>
      <x:c r="F2" s="109"/>
      <x:c r="G2" s="109"/>
      <x:c r="H2" s="109"/>
      <x:c r="I2" s="109"/>
      <x:c r="J2" s="109"/>
      <x:c r="K2" s="109"/>
      <x:c r="L2" s="109"/>
    </x:row>
    <x:row r="3">
      <x:c r="A3" s="110"/>
      <x:c r="B3" s="110"/>
      <x:c r="C3" s="110"/>
      <x:c r="D3" s="110"/>
      <x:c r="E3" s="110"/>
      <x:c r="F3" s="110"/>
      <x:c r="G3" s="110"/>
      <x:c r="H3" s="110"/>
      <x:c r="I3" s="110"/>
      <x:c r="J3" s="110"/>
      <x:c r="K3" s="110"/>
      <x:c r="L3" s="110"/>
    </x:row>
    <x:row r="4" ht="40" customHeight="1">
      <x:c r="A4" s="111" t="str">
        <x:v>交付结论：以技术平台能力为SF，以具名组件+KPI为IR，以来源需求为可验证SR，以独立PR为AR；形成可评审、可认领、可验收、可追溯的一张需求工程底图。</x:v>
      </x:c>
      <x:c r="B4" s="111"/>
      <x:c r="C4" s="111"/>
      <x:c r="D4" s="111"/>
      <x:c r="E4" s="111"/>
      <x:c r="F4" s="111"/>
      <x:c r="G4" s="111"/>
      <x:c r="H4" s="111"/>
      <x:c r="I4" s="111"/>
      <x:c r="J4" s="111"/>
      <x:c r="K4" s="111"/>
      <x:c r="L4" s="111"/>
    </x:row>
    <x:row r="5">
      <x:c r="A5" s="110"/>
      <x:c r="B5" s="110"/>
      <x:c r="C5" s="110"/>
      <x:c r="D5" s="110"/>
      <x:c r="E5" s="110"/>
      <x:c r="F5" s="110"/>
      <x:c r="G5" s="110"/>
      <x:c r="H5" s="110"/>
      <x:c r="I5" s="110"/>
      <x:c r="J5" s="110"/>
      <x:c r="K5" s="110"/>
      <x:c r="L5" s="110"/>
    </x:row>
    <x:row r="6">
      <x:c r="A6" s="112" t="str">
        <x:v>SF</x:v>
      </x:c>
      <x:c r="B6" s="112" t="str">
        <x:v>SF</x:v>
      </x:c>
      <x:c r="C6" s="110"/>
      <x:c r="D6" s="113" t="str">
        <x:v>IR</x:v>
      </x:c>
      <x:c r="E6" s="113" t="str">
        <x:v>IR</x:v>
      </x:c>
      <x:c r="F6" s="110"/>
      <x:c r="G6" s="114" t="str">
        <x:v>SR</x:v>
      </x:c>
      <x:c r="H6" s="114" t="str">
        <x:v>SR</x:v>
      </x:c>
      <x:c r="I6" s="110"/>
      <x:c r="J6" s="115" t="str">
        <x:v>AR</x:v>
      </x:c>
      <x:c r="K6" s="115" t="str">
        <x:v>AR</x:v>
      </x:c>
      <x:c r="L6" s="110"/>
    </x:row>
    <x:row r="7">
      <x:c r="A7" s="116" t="n">
        <x:f>'质量门禁'!C9</x:f>
        <x:v>2</x:v>
      </x:c>
      <x:c r="B7" s="116"/>
      <x:c r="C7" s="110"/>
      <x:c r="D7" s="117" t="n">
        <x:f>'质量门禁'!C10</x:f>
        <x:v>24</x:v>
      </x:c>
      <x:c r="E7" s="117"/>
      <x:c r="F7" s="110"/>
      <x:c r="G7" s="118" t="n">
        <x:f>'质量门禁'!C11</x:f>
        <x:v>149</x:v>
      </x:c>
      <x:c r="H7" s="118"/>
      <x:c r="I7" s="110"/>
      <x:c r="J7" s="119" t="n">
        <x:f>'质量门禁'!C12</x:f>
        <x:v>447</x:v>
      </x:c>
      <x:c r="K7" s="119"/>
      <x:c r="L7" s="110"/>
    </x:row>
    <x:row r="8">
      <x:c r="A8" s="116"/>
      <x:c r="B8" s="116"/>
      <x:c r="C8" s="110"/>
      <x:c r="D8" s="117"/>
      <x:c r="E8" s="117"/>
      <x:c r="F8" s="110"/>
      <x:c r="G8" s="118"/>
      <x:c r="H8" s="118"/>
      <x:c r="I8" s="110"/>
      <x:c r="J8" s="119"/>
      <x:c r="K8" s="119"/>
      <x:c r="L8" s="110"/>
    </x:row>
    <x:row r="9">
      <x:c r="A9" s="110"/>
      <x:c r="B9" s="110"/>
      <x:c r="C9" s="110"/>
      <x:c r="D9" s="110"/>
      <x:c r="E9" s="110"/>
      <x:c r="F9" s="110"/>
      <x:c r="G9" s="110"/>
      <x:c r="H9" s="110"/>
      <x:c r="I9" s="110"/>
      <x:c r="J9" s="110"/>
      <x:c r="K9" s="110"/>
      <x:c r="L9" s="110"/>
    </x:row>
    <x:row r="10">
      <x:c r="A10" s="120" t="str">
        <x:v>SF-01｜统一池与语义化传输底座</x:v>
      </x:c>
      <x:c r="B10" s="120"/>
      <x:c r="C10" s="120"/>
      <x:c r="D10" s="120"/>
      <x:c r="E10" s="120"/>
      <x:c r="F10" s="120"/>
      <x:c r="G10" s="121" t="str">
        <x:v>SF-02｜集群复用与推理SLO闭环</x:v>
      </x:c>
      <x:c r="H10" s="121"/>
      <x:c r="I10" s="121"/>
      <x:c r="J10" s="121"/>
      <x:c r="K10" s="121"/>
      <x:c r="L10" s="121"/>
    </x:row>
    <x:row r="11">
      <x:c r="A11" s="122" t="str">
        <x:v>以 KVObject、ExtentManifest、Placement、CapabilityMatrix 与 QueryPlan 为统一抽象，把 HBM、本地/远端 DDR、本地/远端 SSD/object 纳入同一对象与数据路径体系；以 UBMEM 内存语义、URMA/RDMA 传输语义和 SSD/DPU I/O 作为可插拔执行底座。
验收：五类介质纳管覆盖率=100%；错误/过期 KV 被消费=0；默认 Direct 路径 Host Payload touch=0；代表路径带宽达到线速的≥80%；路径故障可在&lt;200ms内切换或显式回退。</x:v>
      </x:c>
      <x:c r="B11" s="122"/>
      <x:c r="C11" s="122"/>
      <x:c r="D11" s="122"/>
      <x:c r="E11" s="122"/>
      <x:c r="F11" s="122"/>
      <x:c r="G11" s="123" t="str">
        <x:v>面向 vLLM/SGLang 建立 PrefixDirectory、KVSemanticIdentity、load-vs-recompute、cache-aware routing、tiering/prefetch 和可观测闭环，只消费有正收益的 Usable Hit，并把容量、命中与硬件路径收益兑现到 TTFT、TPOT、NPU 利用率和服务容量。
验收：目标工作负载 p99 TTFT 降低≥20%；后台任务引起的 p99 TPOT 回退&lt;3%；Usable Hit Rate 提升≥20%；HBM Effective Capacity 提升≥30%；OOM/preemption 降低≥50%；NPU有效利用率提升≥10%。</x:v>
      </x:c>
      <x:c r="H11" s="123"/>
      <x:c r="I11" s="123"/>
      <x:c r="J11" s="123"/>
      <x:c r="K11" s="123"/>
      <x:c r="L11" s="123"/>
    </x:row>
    <x:row r="12">
      <x:c r="A12" s="122"/>
      <x:c r="B12" s="122"/>
      <x:c r="C12" s="122"/>
      <x:c r="D12" s="122"/>
      <x:c r="E12" s="122"/>
      <x:c r="F12" s="122"/>
      <x:c r="G12" s="123"/>
      <x:c r="H12" s="123"/>
      <x:c r="I12" s="123"/>
      <x:c r="J12" s="123"/>
      <x:c r="K12" s="123"/>
      <x:c r="L12" s="123"/>
    </x:row>
    <x:row r="13">
      <x:c r="A13" s="122"/>
      <x:c r="B13" s="122"/>
      <x:c r="C13" s="122"/>
      <x:c r="D13" s="122"/>
      <x:c r="E13" s="122"/>
      <x:c r="F13" s="122"/>
      <x:c r="G13" s="123"/>
      <x:c r="H13" s="123"/>
      <x:c r="I13" s="123"/>
      <x:c r="J13" s="123"/>
      <x:c r="K13" s="123"/>
      <x:c r="L13" s="123"/>
    </x:row>
    <x:row r="14">
      <x:c r="A14" s="122"/>
      <x:c r="B14" s="122"/>
      <x:c r="C14" s="122"/>
      <x:c r="D14" s="122"/>
      <x:c r="E14" s="122"/>
      <x:c r="F14" s="122"/>
      <x:c r="G14" s="123"/>
      <x:c r="H14" s="123"/>
      <x:c r="I14" s="123"/>
      <x:c r="J14" s="123"/>
      <x:c r="K14" s="123"/>
      <x:c r="L14" s="123"/>
    </x:row>
    <x:row r="15">
      <x:c r="A15" s="110"/>
      <x:c r="B15" s="110"/>
      <x:c r="C15" s="110"/>
      <x:c r="D15" s="110"/>
      <x:c r="E15" s="110"/>
      <x:c r="F15" s="110"/>
      <x:c r="G15" s="110"/>
      <x:c r="H15" s="110"/>
      <x:c r="I15" s="110"/>
      <x:c r="J15" s="110"/>
      <x:c r="K15" s="110"/>
      <x:c r="L15" s="110"/>
    </x:row>
    <x:row r="16">
      <x:c r="A16" s="124" t="str">
        <x:v>评审入口</x:v>
      </x:c>
      <x:c r="B16" s="124"/>
      <x:c r="C16" s="124"/>
      <x:c r="D16" s="124"/>
      <x:c r="E16" s="124"/>
      <x:c r="F16" s="124"/>
      <x:c r="G16" s="124"/>
      <x:c r="H16" s="124"/>
      <x:c r="I16" s="124"/>
      <x:c r="J16" s="124"/>
      <x:c r="K16" s="124"/>
      <x:c r="L16" s="124"/>
    </x:row>
    <x:row r="17">
      <x:c r="A17" s="125" t="str">
        <x:v>SF-IR骨架｜冻结2条SF和24条技术锚点/KPI</x:v>
      </x:c>
      <x:c r="B17" s="125"/>
      <x:c r="C17" s="125"/>
      <x:c r="D17" s="125"/>
      <x:c r="E17" s="125"/>
      <x:c r="F17" s="125"/>
      <x:c r="G17" s="125" t="str">
        <x:v>全量层级树｜按父子关系浏览622个节点</x:v>
      </x:c>
      <x:c r="H17" s="125"/>
      <x:c r="I17" s="125"/>
      <x:c r="J17" s="125"/>
      <x:c r="K17" s="125"/>
      <x:c r="L17" s="125"/>
    </x:row>
    <x:row r="18">
      <x:c r="A18" s="126" t="str">
        <x:v>SR系统设计｜评审149条系统内部设计路径</x:v>
      </x:c>
      <x:c r="B18" s="126"/>
      <x:c r="C18" s="126"/>
      <x:c r="D18" s="126"/>
      <x:c r="E18" s="126"/>
      <x:c r="F18" s="126"/>
      <x:c r="G18" s="126" t="str">
        <x:v>AR开发认领｜按角色/层级/优先级领取447个PR任务</x:v>
      </x:c>
      <x:c r="H18" s="126"/>
      <x:c r="I18" s="126"/>
      <x:c r="J18" s="126"/>
      <x:c r="K18" s="126"/>
      <x:c r="L18" s="126"/>
    </x:row>
    <x:row r="19">
      <x:c r="A19" s="126" t="str">
        <x:v>KPI验收矩阵｜统一TTFT/TPOT/命中/容量/正确性口径</x:v>
      </x:c>
      <x:c r="B19" s="126"/>
      <x:c r="C19" s="126"/>
      <x:c r="D19" s="126"/>
      <x:c r="E19" s="126"/>
      <x:c r="F19" s="126"/>
      <x:c r="G19" s="126" t="str">
        <x:v>追溯与覆盖｜从149条来源追到SF/IR/SR/AR</x:v>
      </x:c>
      <x:c r="H19" s="126"/>
      <x:c r="I19" s="126"/>
      <x:c r="J19" s="126"/>
      <x:c r="K19" s="126"/>
      <x:c r="L19" s="126"/>
    </x:row>
    <x:row r="20">
      <x:c r="A20" s="127" t="str">
        <x:v>V2整改说明｜查看对V1.0问题的整改</x:v>
      </x:c>
      <x:c r="B20" s="127"/>
      <x:c r="C20" s="127"/>
      <x:c r="D20" s="127"/>
      <x:c r="E20" s="127"/>
      <x:c r="F20" s="127"/>
      <x:c r="G20" s="127" t="str">
        <x:v>质量门禁｜冻结前检查数量、唯一性和父子关系</x:v>
      </x:c>
      <x:c r="H20" s="127"/>
      <x:c r="I20" s="127"/>
      <x:c r="J20" s="127"/>
      <x:c r="K20" s="127"/>
      <x:c r="L20" s="127"/>
    </x:row>
    <x:row r="21">
      <x:c r="A21" s="110"/>
      <x:c r="B21" s="110"/>
      <x:c r="C21" s="110"/>
      <x:c r="D21" s="110"/>
      <x:c r="E21" s="110"/>
      <x:c r="F21" s="110"/>
      <x:c r="G21" s="110"/>
      <x:c r="H21" s="110"/>
      <x:c r="I21" s="110"/>
      <x:c r="J21" s="110"/>
      <x:c r="K21" s="110"/>
      <x:c r="L21" s="110"/>
    </x:row>
    <x:row r="22">
      <x:c r="A22" s="110"/>
      <x:c r="B22" s="110"/>
      <x:c r="C22" s="110"/>
      <x:c r="D22" s="110"/>
      <x:c r="E22" s="110"/>
      <x:c r="F22" s="110"/>
      <x:c r="G22" s="110"/>
      <x:c r="H22" s="110"/>
      <x:c r="I22" s="110"/>
      <x:c r="J22" s="110"/>
      <x:c r="K22" s="110"/>
      <x:c r="L22" s="110"/>
    </x:row>
  </x:sheetData>
  <x:mergeCells>
    <x:mergeCell ref="A1:L1"/>
    <x:mergeCell ref="A2:L2"/>
    <x:mergeCell ref="A4:L4"/>
    <x:mergeCell ref="A6:B6"/>
    <x:mergeCell ref="A7:B8"/>
    <x:mergeCell ref="D6:E6"/>
    <x:mergeCell ref="D7:E8"/>
    <x:mergeCell ref="G6:H6"/>
    <x:mergeCell ref="G7:H8"/>
    <x:mergeCell ref="J6:K6"/>
    <x:mergeCell ref="J7:K8"/>
    <x:mergeCell ref="A10:F10"/>
    <x:mergeCell ref="G10:L10"/>
    <x:mergeCell ref="A11:F14"/>
    <x:mergeCell ref="G11:L14"/>
    <x:mergeCell ref="A16:L16"/>
    <x:mergeCell ref="A17:F17"/>
    <x:mergeCell ref="G17:L17"/>
    <x:mergeCell ref="A18:F18"/>
    <x:mergeCell ref="G18:L18"/>
    <x:mergeCell ref="A19:F19"/>
    <x:mergeCell ref="G19:L19"/>
    <x:mergeCell ref="A20:F20"/>
    <x:mergeCell ref="G20:L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0" hidden="0" customWidth="1"/>
    <x:col min="3" max="3" width="30" hidden="0" customWidth="1"/>
    <x:col min="4" max="4" width="38" hidden="0" customWidth="1"/>
    <x:col min="5" max="5" width="42" hidden="0" customWidth="1"/>
    <x:col min="6" max="6" width="68" hidden="0" customWidth="1"/>
    <x:col min="7" max="7" width="35" hidden="0" customWidth="1"/>
    <x:col min="8" max="8" width="14" hidden="0" customWidth="1"/>
    <x:col min="9" max="9" width="30" hidden="0" customWidth="1"/>
    <x:col min="10" max="10" width="30" hidden="0" customWidth="1"/>
    <x:col min="11" max="11" width="42" hidden="0" customWidth="1"/>
    <x:col min="12" max="12" width="23" hidden="0" customWidth="1"/>
    <x:col min="13" max="13" width="12" hidden="0" customWidth="1"/>
  </x:cols>
  <x:sheetData>
    <x:row r="1" ht="34" customHeight="1">
      <x:c r="A1" s="3" t="str">
        <x:v>SF—IR 技术骨架（V2.1 修订）</x:v>
      </x:c>
      <x:c r="B1" s="3"/>
      <x:c r="C1" s="3"/>
      <x:c r="D1" s="3"/>
      <x:c r="E1" s="3"/>
      <x:c r="F1" s="3"/>
      <x:c r="G1" s="3"/>
      <x:c r="H1" s="3"/>
      <x:c r="I1" s="3"/>
      <x:c r="J1" s="3"/>
      <x:c r="K1" s="3"/>
      <x:c r="L1" s="3"/>
      <x:c r="M1" s="3"/>
    </x:row>
    <x:row r="2" ht="30" customHeight="1">
      <x:c r="A2" s="7" t="str">
        <x:v>24 条 IR 均采用“能力范围 → 系统可观察行为/输出 → 项目价值”表达；组件/KPI作为技术锚点，SR/AR继续承接内部设计与代码任务。</x:v>
      </x:c>
      <x:c r="B2" s="7"/>
      <x:c r="C2" s="7"/>
      <x:c r="D2" s="7"/>
      <x:c r="E2" s="7"/>
      <x:c r="F2" s="7"/>
      <x:c r="G2" s="7"/>
      <x:c r="H2" s="7"/>
      <x:c r="I2" s="7"/>
      <x:c r="J2" s="7"/>
      <x:c r="K2" s="7"/>
      <x:c r="L2" s="7"/>
      <x:c r="M2" s="7"/>
    </x:row>
    <x:row r="4" ht="42" customHeight="1">
      <x:c r="A4" s="13" t="str">
        <x:v>IR ID</x:v>
      </x:c>
      <x:c r="B4" s="13" t="str">
        <x:v>SF ID</x:v>
      </x:c>
      <x:c r="C4" s="13" t="str">
        <x:v>SF 技术特性</x:v>
      </x:c>
      <x:c r="D4" s="13" t="str">
        <x:v>IR 技术域（功能化描述）</x:v>
      </x:c>
      <x:c r="E4" s="13" t="str">
        <x:v>具体依赖库/核心组件/底层机制</x:v>
      </x:c>
      <x:c r="F4" s="13" t="str">
        <x:v>IR 功能/性能实现预期</x:v>
      </x:c>
      <x:c r="G4" s="13" t="str">
        <x:v>确定性 KPI / 建议门槛</x:v>
      </x:c>
      <x:c r="H4" s="13" t="str">
        <x:v>主技术模块</x:v>
      </x:c>
      <x:c r="I4" s="13" t="str">
        <x:v>关键输入</x:v>
      </x:c>
      <x:c r="J4" s="13" t="str">
        <x:v>关键输出</x:v>
      </x:c>
      <x:c r="K4" s="13" t="str">
        <x:v>失败/降级语义</x:v>
      </x:c>
      <x:c r="L4" s="13" t="str">
        <x:v>冻结状态</x:v>
      </x:c>
      <x:c r="M4" s="13" t="str">
        <x:v>来源 SR 数</x:v>
      </x:c>
    </x:row>
    <x:row r="5" ht="92" customHeight="1">
      <x:c r="A5" s="24" t="str">
        <x:v>IR-01-01</x:v>
      </x:c>
      <x:c r="B5" s="24" t="str">
        <x:v>SF-01</x:v>
      </x:c>
      <x:c r="C5" s="21" t="str">
        <x:v>提供可编程、可寻址、可执行的统一异构 KVCache 存储池</x:v>
      </x:c>
      <x:c r="D5" s="21" t="str">
        <x:v>支持HBM、DDR、SSD及远端介质的统一存储池与分层管理</x:v>
      </x:c>
      <x:c r="E5" s="21" t="str">
        <x:v>KVObject/ExtentManifest + Page/Extent Allocator + HBM/DDR/NVMe TierManager</x:v>
      </x:c>
      <x:c r="F5" s="21" t="str">
        <x:v>系统应以统一 KVObject 接口纳管 HBM、本地 DDR、远端 DDR、本地 SSD 和远端 SSD/object 中的 KVCache，保留各介质容量、时延、带宽和拓扑差异，并能依据热度、水位、访问时限和复用收益自动完成分配、分层驻留、迁移、淘汰及空间整理，使上层框架获得一个容量可扩展、状态一致且不会因单一介质耗尽而失效的逻辑存储池。</x:v>
      </x:c>
      <x:c r="G5" s="21" t="str">
        <x:v>碎片率&lt;5%；HBM有效容量提升≥30%；OOM/preemption降低≥50%；池分配P99≤XXX μs（P0实测冻结）。</x:v>
      </x:c>
      <x:c r="H5" s="21" t="str">
        <x:v>TM3</x:v>
      </x:c>
      <x:c r="I5" s="21" t="str">
        <x:v>KVAccessIntent + KVBlockSpec + tier telemetry</x:v>
      </x:c>
      <x:c r="J5" s="21" t="str">
        <x:v>KVObjectHandle + Placement + state transition</x:v>
      </x:c>
      <x:c r="K5" s="21" t="str">
        <x:v>OOM/碎片/路径不可用时拒绝、降级下沉或重算；活动对象禁止迁移</x:v>
      </x:c>
      <x:c r="L5" s="21" t="str">
        <x:v>建议冻结（P0 baseline 后锁定阈值）</x:v>
      </x:c>
      <x:c r="M5" s="21" t="n">
        <x:f>COUNTIF('追溯与覆盖'!$K$5:$K$153,A5)</x:f>
        <x:v>16</x:v>
      </x:c>
    </x:row>
    <x:row r="6" ht="92" customHeight="1">
      <x:c r="A6" s="25" t="str">
        <x:v>IR-01-02</x:v>
      </x:c>
      <x:c r="B6" s="25" t="str">
        <x:v>SF-01</x:v>
      </x:c>
      <x:c r="C6" s="22" t="str">
        <x:v>提供可编程、可寻址、可执行的统一异构 KVCache 存储池</x:v>
      </x:c>
      <x:c r="D6" s="22" t="str">
        <x:v>支持vLLM/SGLang KV块跨介质批量传输的布局适配与描述生成</x:v>
      </x:c>
      <x:c r="E6" s="22" t="str">
        <x:v>ExtentManifest + Scatter/Gather Descriptor Compiler + FlatBuffers/Protobuf ABI</x:v>
      </x:c>
      <x:c r="F6" s="22" t="str">
        <x:v>系统应接收 vLLM block、SGLang page/radix span 等不同框架产生的逻辑 KV 片段，自动适配目标 HBM、DDR、SSD、RDMA 或 UBMEM 路径的内存布局和传输约束，生成可由底层一次或少量批次执行的统一传输任务。其目的不是暴露 SG、对齐或 fence 细节，而是消除逐块拷贝、重复后端适配和小 I/O 风暴，让同一份 KVCache 能在不同介质与传输后端之间高效流转。</x:v>
      </x:c>
      <x:c r="G6" s="22" t="str">
        <x:v>descriptor 数降低≥50%；effective BW提升≥30%；CPU submit time降低≥40%；布局协商错误=0。</x:v>
      </x:c>
      <x:c r="H6" s="22" t="str">
        <x:v>TM4</x:v>
      </x:c>
      <x:c r="I6" s="22" t="str">
        <x:v>KV layout + logical spans + target capability</x:v>
      </x:c>
      <x:c r="J6" s="22" t="str">
        <x:v>BulkDescriptor + LayoutTransformPlan</x:v>
      </x:c>
      <x:c r="K6" s="22" t="str">
        <x:v>布局不兼容时换副本、执行显式 transform 或重算；禁止隐式错误 attach</x:v>
      </x:c>
      <x:c r="L6" s="22" t="str">
        <x:v>建议冻结（P0 baseline 后锁定阈值）</x:v>
      </x:c>
      <x:c r="M6" s="22" t="n">
        <x:f>COUNTIF('追溯与覆盖'!$K$5:$K$153,A6)</x:f>
        <x:v>3</x:v>
      </x:c>
    </x:row>
    <x:row r="7" ht="92" customHeight="1">
      <x:c r="A7" s="25" t="str">
        <x:v>IR-01-03</x:v>
      </x:c>
      <x:c r="B7" s="25" t="str">
        <x:v>SF-01</x:v>
      </x:c>
      <x:c r="C7" s="22" t="str">
        <x:v>提供可编程、可寻址、可执行的统一异构 KVCache 存储池</x:v>
      </x:c>
      <x:c r="D7" s="22" t="str">
        <x:v>面向TTFT收益与资源成本的KV访问决策和QueryPlan生成</x:v>
      </x:c>
      <x:c r="E7" s="22" t="str">
        <x:v>QueryPlan + PlacementResolver + EWMA CostModel + PolicyEngine</x:v>
      </x:c>
      <x:c r="F7" s="22" t="str">
        <x:v>系统应在发现多个 KV 副本或访问路径后，综合请求 TTFT deadline、预计重算时间、加载/附加成本、HBM 水位、路径拥塞和 TPOT 干扰，明确选择本地复用、远端加载、直接访问、回填 HBM、部分重算或完全重算，并输出包含候选位置、预估成本、执行动作和回退顺序的 QueryPlan，确保只消费收益为正且可安全使用的 KVCache。</x:v>
      </x:c>
      <x:c r="G7" s="22" t="str">
        <x:v>Usable Hit Rate提升≥20%；路径成本预测误差&lt;20%；单次策略调用&lt;5 μs；负收益命中强制放弃。</x:v>
      </x:c>
      <x:c r="H7" s="22" t="str">
        <x:v>TM1/TM3/TM4</x:v>
      </x:c>
      <x:c r="I7" s="22" t="str">
        <x:v>candidate placements + deadline + telemetry</x:v>
      </x:c>
      <x:c r="J7" s="22" t="str">
        <x:v>ranked QueryPlan + fallback chain + decision reason</x:v>
      </x:c>
      <x:c r="K7" s="22" t="str">
        <x:v>估计不可信、超预算或路径退化时回到本地 cache/备用副本/partial recompute/recompute</x:v>
      </x:c>
      <x:c r="L7" s="22" t="str">
        <x:v>建议冻结（P0 baseline 后锁定阈值）</x:v>
      </x:c>
      <x:c r="M7" s="22" t="n">
        <x:f>COUNTIF('追溯与覆盖'!$K$5:$K$153,A7)</x:f>
        <x:v>12</x:v>
      </x:c>
    </x:row>
    <x:row r="8" ht="92" customHeight="1">
      <x:c r="A8" s="25" t="str">
        <x:v>IR-01-04</x:v>
      </x:c>
      <x:c r="B8" s="25" t="str">
        <x:v>SF-01</x:v>
      </x:c>
      <x:c r="C8" s="22" t="str">
        <x:v>提供可编程、可寻址、可执行的统一异构 KVCache 存储池</x:v>
      </x:c>
      <x:c r="D8" s="22" t="str">
        <x:v>支持P/D分离、流水加载及一对多共享的异步KV传输编排</x:v>
      </x:c>
      <x:c r="E8" s="22" t="str">
        <x:v>URMA/RDMA/NIXL/Mooncake Async DAG + Rendezvous + Multicast</x:v>
      </x:c>
      <x:c r="F8" s="22" t="str">
        <x:v>系统应把 P→D 推送、D→P 拉取、目录会合、Layer/Page 流水加载和公共前缀一对多分发统一组织为异步传输流程，能够管理任务依赖、并发额度、提交顺序、完成通知、目标级结果和取消。其目的在于让 KV 数据移动与推理计算重叠，避免单目标或单阶段串行等待放大 TTFT，并允许部分目标失败时局部重试或回退。</x:v>
      </x:c>
      <x:c r="G8" s="22" t="str">
        <x:v>P/D handoff p99降低≥20%；热点分发p99降低≥40%；广播完成率≥99.99%；计算/传输重叠≥60%。</x:v>
      </x:c>
      <x:c r="H8" s="22" t="str">
        <x:v>TM4</x:v>
      </x:c>
      <x:c r="I8" s="22" t="str">
        <x:v>QueryPlan + BulkDescriptor + traffic class</x:v>
      </x:c>
      <x:c r="J8" s="22" t="str">
        <x:v>TransferTicket + completion/fence + per-target result</x:v>
      </x:c>
      <x:c r="K8" s="22" t="str">
        <x:v>部分目标失败时隔离重试；deadline到期取消未提交任务并按目标粒度回退</x:v>
      </x:c>
      <x:c r="L8" s="22" t="str">
        <x:v>建议冻结（P0 baseline 后锁定阈值）</x:v>
      </x:c>
      <x:c r="M8" s="22" t="n">
        <x:f>COUNTIF('追溯与覆盖'!$K$5:$K$153,A8)</x:f>
        <x:v>6</x:v>
      </x:c>
    </x:row>
    <x:row r="9" ht="92" customHeight="1">
      <x:c r="A9" s="25" t="str">
        <x:v>IR-01-05</x:v>
      </x:c>
      <x:c r="B9" s="25" t="str">
        <x:v>SF-01</x:v>
      </x:c>
      <x:c r="C9" s="22" t="str">
        <x:v>提供可编程、可寻址、可执行的统一异构 KVCache 存储池</x:v>
      </x:c>
      <x:c r="D9" s="22" t="str">
        <x:v>面向异构介质与集群拓扑的传输能力探测和动态路径选择</x:v>
      </x:c>
      <x:c r="E9" s="22" t="str">
        <x:v>CapabilityMatrix + hwloc/libnuma + PathQualityMonitor</x:v>
      </x:c>
      <x:c r="F9" s="22" t="str">
        <x:v>系统应持续识别节点、NPU、NUMA、网卡、SSD及交换网络之间可用的 KV 访问路径，回答每条路径支持什么介质、布局、数据规模和传输语义，以及当前带宽、时延、队列深度和健康状态。调度和存储策略应据此动态选择代价最低且满足 deadline 的路径，并在拥塞或故障时及时降权、切换或禁止使用，避免静态路由造成尾时延放大。</x:v>
      </x:c>
      <x:c r="G9" s="22" t="str">
        <x:v>路径选择准确率≥90%；同机架 Local Usable Hit提升≥30%；故障切换&lt;200ms；探测开销&lt;0.5% BW。</x:v>
      </x:c>
      <x:c r="H9" s="22" t="str">
        <x:v>TM1/TM4</x:v>
      </x:c>
      <x:c r="I9" s="22" t="str">
        <x:v>topology + device capability + queue telemetry</x:v>
      </x:c>
      <x:c r="J9" s="22" t="str">
        <x:v>ranked path set + health state + cost</x:v>
      </x:c>
      <x:c r="K9" s="22" t="str">
        <x:v>连续3次探测失败降权/摘除；无合格路径时返回明确不可达而非隐式慢路径</x:v>
      </x:c>
      <x:c r="L9" s="22" t="str">
        <x:v>建议冻结（P0 baseline 后锁定阈值）</x:v>
      </x:c>
      <x:c r="M9" s="22" t="n">
        <x:f>COUNTIF('追溯与覆盖'!$K$5:$K$153,A9)</x:f>
        <x:v>2</x:v>
      </x:c>
    </x:row>
    <x:row r="10" ht="92" customHeight="1">
      <x:c r="A10" s="25" t="str">
        <x:v>IR-01-06</x:v>
      </x:c>
      <x:c r="B10" s="25" t="str">
        <x:v>SF-01</x:v>
      </x:c>
      <x:c r="C10" s="22" t="str">
        <x:v>提供可编程、可寻址、可执行的统一异构 KVCache 存储池</x:v>
      </x:c>
      <x:c r="D10" s="22" t="str">
        <x:v>支持跨节点HBM/DDR零拷贝的RDMA高速KV传输</x:v>
      </x:c>
      <x:c r="E10" s="22" t="str">
        <x:v>rdma-core/libibverbs + RegisteredPool + GPUDirect/NPU Direct RDMA</x:v>
      </x:c>
      <x:c r="F10" s="22" t="str">
        <x:v>系统应在硬件支持时提供跨节点 HBM↔HBM、HBM↔DDR 和 DDR↔DDR 的 RDMA 零拷贝传输能力，使 KV Payload 直接在注册内存区域之间移动，不经过 CPU 缓存或额外 Host staging；同时提供注册区域生命周期、远端句柄、批量提交、流控、完成和错误结果，降低跨节点加载时延与 CPU 占用。</x:v>
      </x:c>
      <x:c r="G10" s="22" t="str">
        <x:v>端到端传输时延降低≥40%；有效带宽≥链路线速80%；CPU payload copy=0；CPU提交开销&lt;50 μs。</x:v>
      </x:c>
      <x:c r="H10" s="22" t="str">
        <x:v>TM4</x:v>
      </x:c>
      <x:c r="I10" s="22" t="str">
        <x:v>registered extent + remote handle + descriptor</x:v>
      </x:c>
      <x:c r="J10" s="22" t="str">
        <x:v>RDMA ticket + CQ completion + hardware error</x:v>
      </x:c>
      <x:c r="K10" s="22" t="str">
        <x:v>注册失败、CQ超时或链路错误按策略切备用副本/URMA/TCP冷路径/重算</x:v>
      </x:c>
      <x:c r="L10" s="22" t="str">
        <x:v>建议冻结（P0 baseline 后锁定阈值）</x:v>
      </x:c>
      <x:c r="M10" s="22" t="n">
        <x:f>COUNTIF('追溯与覆盖'!$K$5:$K$153,A10)</x:f>
        <x:v>4</x:v>
      </x:c>
    </x:row>
    <x:row r="11" ht="92" customHeight="1">
      <x:c r="A11" s="25" t="str">
        <x:v>IR-01-07</x:v>
      </x:c>
      <x:c r="B11" s="25" t="str">
        <x:v>SF-01</x:v>
      </x:c>
      <x:c r="C11" s="22" t="str">
        <x:v>提供可编程、可寻址、可执行的统一异构 KVCache 存储池</x:v>
      </x:c>
      <x:c r="D11" s="22" t="str">
        <x:v>支持UBMEM/C2C内存语义的KV直接访问、回填与View保护</x:v>
      </x:c>
      <x:c r="E11" s="22" t="str">
        <x:v>UBMEM/URMA + C2C Unified VA + mmap/madvise + DirectViewGuard</x:v>
      </x:c>
      <x:c r="F11" s="22" t="str">
        <x:v>系统应在 UBMEM、URMA 或 C2C 具备合格能力的平台上，让热元数据和满足条件的 KV span 通过统一地址或 memory view 被直接访问，并能根据访问跨度、复用次数和 Decode stall 风险在 direct view 与 copy-to-HBM 之间选择。任何 view 都必须具备租约、可见性、撤销和回填语义，确保扩展有效容量时不以 TPOT 退化或悬空访问为代价。</x:v>
      </x:c>
      <x:c r="G11" s="22" t="str">
        <x:v>direct-view TPOT p99回退&lt;3%；Host Payload touch=0；stale view fault=0；HBM+C2C有效容量提升≥20%。</x:v>
      </x:c>
      <x:c r="H11" s="22" t="str">
        <x:v>TM3/TM4</x:v>
      </x:c>
      <x:c r="I11" s="22" t="str">
        <x:v>memory region + access mode hint + lease</x:v>
      </x:c>
      <x:c r="J11" s="22" t="str">
        <x:v>ViewHandle/CopyPlan + visibility evidence</x:v>
      </x:c>
      <x:c r="K11" s="22" t="str">
        <x:v>能力不满足、租约失效或远端 stall 超阈值时撤销 view 并 copy-to-HBM/recompute</x:v>
      </x:c>
      <x:c r="L11" s="22" t="str">
        <x:v>建议冻结（P0 baseline 后锁定阈值）</x:v>
      </x:c>
      <x:c r="M11" s="22" t="n">
        <x:f>COUNTIF('追溯与覆盖'!$K$5:$K$153,A11)</x:f>
        <x:v>4</x:v>
      </x:c>
    </x:row>
    <x:row r="12" ht="92" customHeight="1">
      <x:c r="A12" s="25" t="str">
        <x:v>IR-01-08</x:v>
      </x:c>
      <x:c r="B12" s="25" t="str">
        <x:v>SF-01</x:v>
      </x:c>
      <x:c r="C12" s="22" t="str">
        <x:v>提供可编程、可寻址、可执行的统一异构 KVCache 存储池</x:v>
      </x:c>
      <x:c r="D12" s="22" t="str">
        <x:v>支持本地/远端SSD回源及DPU卸载的分层存储I/O</x:v>
      </x:c>
      <x:c r="E12" s="22" t="str">
        <x:v>SPDK + io_uring + GPUDirect Storage/NPU Direct Storage + DPU offload</x:v>
      </x:c>
      <x:c r="F12" s="22" t="str">
        <x:v>系统应把本地/远端 SSD 和 object storage 纳入 KVCache 容量层，支持大段对象写入、异步回源、批量读取、持久化句柄和完整性证据，并在平台具备条件时使用 SPDK、io_uring、Direct Storage 或 DPU 卸载减少 CPU 数据搬运。其目标是在长上下文和冷 KV 场景获得低成本容量，同时隔离冷路径 I/O，避免回源任务阻塞 TTFT 或干扰 Decode。</x:v>
      </x:c>
      <x:c r="G12" s="22" t="str">
        <x:v>SSD restore TTFT降低≥30%；GPU/NPU stall降低≥50%；CPU占用降低≥50%；顺序带宽达到设备峰值≥80%。</x:v>
      </x:c>
      <x:c r="H12" s="22" t="str">
        <x:v>TM4</x:v>
      </x:c>
      <x:c r="I12" s="22" t="str">
        <x:v>persistent extent + object key + slack budget</x:v>
      </x:c>
      <x:c r="J12" s="22" t="str">
        <x:v>I/O ticket + durability/checksum evidence</x:v>
      </x:c>
      <x:c r="K12" s="22" t="str">
        <x:v>tiny I/O合并失败或Direct能力不可用时显式 staged path；冷路径限流且不抢占TTFT队列</x:v>
      </x:c>
      <x:c r="L12" s="22" t="str">
        <x:v>建议冻结（P0 baseline 后锁定阈值）</x:v>
      </x:c>
      <x:c r="M12" s="22" t="n">
        <x:f>COUNTIF('追溯与覆盖'!$K$5:$K$153,A12)</x:f>
        <x:v>5</x:v>
      </x:c>
    </x:row>
    <x:row r="13" ht="92" customHeight="1">
      <x:c r="A13" s="25" t="str">
        <x:v>IR-01-09</x:v>
      </x:c>
      <x:c r="B13" s="25" t="str">
        <x:v>SF-01</x:v>
      </x:c>
      <x:c r="C13" s="22" t="str">
        <x:v>提供可编程、可寻址、可执行的统一异构 KVCache 存储池</x:v>
      </x:c>
      <x:c r="D13" s="22" t="str">
        <x:v>统一抽象UB、URMA、RDMA、C2C和SSD传输能力并按需路由</x:v>
      </x:c>
      <x:c r="E13" s="22" t="str">
        <x:v>UB/URMA/RDMA/C2C/SSD Capability Provider + Backend Registry</x:v>
      </x:c>
      <x:c r="F13" s="22" t="str">
        <x:v>系统应以统一 Capability 模型描述 UB、URMA、RDMA、C2C、SSD/DPU 等物理能力及其软件后端，明确地址可达性、注册要求、支持布局、Host Payload touch、完成/错误语义和可观测字段。上层只依据标准能力选择路径，而不依赖某个后端名称或隐含假设，从而实现后端可插拔、能力可禁用、降级可审计。</x:v>
      </x:c>
      <x:c r="G13" s="22" t="str">
        <x:v>能力表覆盖率=100%；错误路由=0；路由决策&lt;5 μs；任何 staged 例外可见且可禁用。</x:v>
      </x:c>
      <x:c r="H13" s="22" t="str">
        <x:v>TM4</x:v>
      </x:c>
      <x:c r="I13" s="22" t="str">
        <x:v>device inventory + backend probe + layout constraint</x:v>
      </x:c>
      <x:c r="J13" s="22" t="str">
        <x:v>PathCapability + feature flags + telemetry schema</x:v>
      </x:c>
      <x:c r="K13" s="22" t="str">
        <x:v>能力缺失即关闭对应 feature flag；不得静默降级为不可审计路径</x:v>
      </x:c>
      <x:c r="L13" s="22" t="str">
        <x:v>建议冻结（P0 baseline 后锁定阈值）</x:v>
      </x:c>
      <x:c r="M13" s="22" t="n">
        <x:f>COUNTIF('追溯与覆盖'!$K$5:$K$153,A13)</x:f>
        <x:v>6</x:v>
      </x:c>
    </x:row>
    <x:row r="14" ht="92" customHeight="1">
      <x:c r="A14" s="25" t="str">
        <x:v>IR-01-10</x:v>
      </x:c>
      <x:c r="B14" s="25" t="str">
        <x:v>SF-01</x:v>
      </x:c>
      <x:c r="C14" s="22" t="str">
        <x:v>提供可编程、可寻址、可执行的统一异构 KVCache 存储池</x:v>
      </x:c>
      <x:c r="D14" s="22" t="str">
        <x:v>支持多消费者共享、租约引用管理及故障快速回退</x:v>
      </x:c>
      <x:c r="E14" s="22" t="str">
        <x:v>Lease/RefCount + RCU + AttachHandle + FallbackContract</x:v>
      </x:c>
      <x:c r="F14" s="22" t="str">
        <x:v>系统应允许多个请求、实例或并行 rank 安全共享同一 KV 对象，通过 AttachHandle、lease、refcount 和消费资格控制对象何时可读、何时可迁移或释放，并合并重复远端拉取。发生超时、对象状态冲突或路径失败时，应在有界时间内切换备用副本、本地缓存或重算，既保证共享收益，又避免 stale view、资源泄漏和无限等待。</x:v>
      </x:c>
      <x:c r="G14" s="22" t="str">
        <x:v>stale view fault=0；重复远端拉取降低≥50%；fallback成功率=100%；fallback触发到恢复&lt;500ms。</x:v>
      </x:c>
      <x:c r="H14" s="22" t="str">
        <x:v>TM5/TM6</x:v>
      </x:c>
      <x:c r="I14" s="22" t="str">
        <x:v>AttachHandle + object version + consumer set</x:v>
      </x:c>
      <x:c r="J14" s="22" t="str">
        <x:v>lease/refcount transition + fallback result</x:v>
      </x:c>
      <x:c r="K14" s="22" t="str">
        <x:v>租约冲突或状态异常时阻断消费、quarantine 并按原因码执行备用副本或重算</x:v>
      </x:c>
      <x:c r="L14" s="22" t="str">
        <x:v>建议冻结（P0 baseline 后锁定阈值）</x:v>
      </x:c>
      <x:c r="M14" s="22" t="n">
        <x:f>COUNTIF('追溯与覆盖'!$K$5:$K$153,A14)</x:f>
        <x:v>7</x:v>
      </x:c>
    </x:row>
    <x:row r="15" ht="92" customHeight="1">
      <x:c r="A15" s="25" t="str">
        <x:v>IR-01-11</x:v>
      </x:c>
      <x:c r="B15" s="25" t="str">
        <x:v>SF-01</x:v>
      </x:c>
      <x:c r="C15" s="22" t="str">
        <x:v>提供可编程、可寻址、可执行的统一异构 KVCache 存储池</x:v>
      </x:c>
      <x:c r="D15" s="22" t="str">
        <x:v>支持KV发布迁移一致性、多租户隔离和前后台传输QoS</x:v>
      </x:c>
      <x:c r="E15" s="22" t="str">
        <x:v>MVCC/RCU + ReadyBitmap + TokenBucket/WFQ + TrafficClass</x:v>
      </x:c>
      <x:c r="F15" s="22" t="str">
        <x:v>系统应建立 KV 对象发布、ready、版本、租约、引用、迁移和回收之间的并发一致性规则，并对 TTFT 加载、Decode 关键传输、预取、写回和冷回源设置独立流量等级、带宽预算和抢占关系；同时按 tenant/security domain 隔离容量、队列和访问权限，确保后台治理和其他租户不会破坏前台 TPOT、数据正确性或服务公平性。</x:v>
      </x:c>
      <x:c r="G15" s="22" t="str">
        <x:v>data corruption=0；后台干扰降低≥50%；TPOT p99回退&lt;3%；租户间干扰&lt;5%；越权访问=0。</x:v>
      </x:c>
      <x:c r="H15" s="22" t="str">
        <x:v>TM5</x:v>
      </x:c>
      <x:c r="I15" s="22" t="str">
        <x:v>object state + traffic class + tenant quota</x:v>
      </x:c>
      <x:c r="J15" s="22" t="str">
        <x:v>atomic visibility + scheduled transfer budget</x:v>
      </x:c>
      <x:c r="K15" s="22" t="str">
        <x:v>冲突对象进入等待/隔离；后台队列可暂停、drain 或限速；前台超预算直接重算</x:v>
      </x:c>
      <x:c r="L15" s="22" t="str">
        <x:v>建议冻结（P0 baseline 后锁定阈值）</x:v>
      </x:c>
      <x:c r="M15" s="22" t="n">
        <x:f>COUNTIF('追溯与覆盖'!$K$5:$K$153,A15)</x:f>
        <x:v>10</x:v>
      </x:c>
    </x:row>
    <x:row r="16" ht="92" customHeight="1">
      <x:c r="A16" s="25" t="str">
        <x:v>IR-01-12</x:v>
      </x:c>
      <x:c r="B16" s="25" t="str">
        <x:v>SF-01</x:v>
      </x:c>
      <x:c r="C16" s="22" t="str">
        <x:v>提供可编程、可寻址、可执行的统一异构 KVCache 存储池</x:v>
      </x:c>
      <x:c r="D16" s="22" t="str">
        <x:v>支持跨介质KV完整性校验、访问保护及硬件故障恢复</x:v>
      </x:c>
      <x:c r="E16" s="22" t="str">
        <x:v>IOMMU/MR Protection + CRC32C/xxHash + RAS Map + IntegrityPolicy</x:v>
      </x:c>
      <x:c r="F16" s="22" t="str">
        <x:v>系统应在 KV 对象进入 ready 或被 attach 前，根据介质和路径能力验证版本、长度、布局、完成状态、ECC/RAS、后端 checksum 或硬件端到端校验证据，并通过 IOMMU、MR 和安全域限制访问范围。证据缺失、数据损坏、句柄越权或硬件故障必须阻断消费、隔离副本并触发可追踪回退，保证任何错误或过期 KV 都不会进入推理计算。</x:v>
      </x:c>
      <x:c r="G16" s="22" t="str">
        <x:v>错误/过期 KV 被消费=0；越权访问=0；view revocation p99&lt;1ms；故障注入覆盖率=100%。</x:v>
      </x:c>
      <x:c r="H16" s="22" t="str">
        <x:v>TM5/TM6</x:v>
      </x:c>
      <x:c r="I16" s="22" t="str">
        <x:v>path evidence + security domain + object version</x:v>
      </x:c>
      <x:c r="J16" s="22" t="str">
        <x:v>ready/quarantine decision + error map</x:v>
      </x:c>
      <x:c r="K16" s="22" t="str">
        <x:v>证据不足不得 ready；完整性失败立即 quarantine、撤销句柄并切副本或重算</x:v>
      </x:c>
      <x:c r="L16" s="22" t="str">
        <x:v>建议冻结（P0 baseline 后锁定阈值）</x:v>
      </x:c>
      <x:c r="M16" s="22" t="n">
        <x:f>COUNTIF('追溯与覆盖'!$K$5:$K$153,A16)</x:f>
        <x:v>15</x:v>
      </x:c>
    </x:row>
    <x:row r="17" ht="92" customHeight="1">
      <x:c r="A17" s="25" t="str">
        <x:v>IR-02-01</x:v>
      </x:c>
      <x:c r="B17" s="25" t="str">
        <x:v>SF-02</x:v>
      </x:c>
      <x:c r="C17" s="22" t="str">
        <x:v>提供集群级语义复用与推理 SLO 闭环的在线加速能力</x:v>
      </x:c>
      <x:c r="D17" s="22" t="str">
        <x:v>面向vLLM/SGLang的统一KVCache访问接口和后端插件规范</x:v>
      </x:c>
      <x:c r="E17" s="22" t="str">
        <x:v>C++ API + Python Protocol + gRPC/Protobuf：KVAccessIntent/QueryPlan/AttachHandle</x:v>
      </x:c>
      <x:c r="F17" s="22" t="str">
        <x:v>系统应向 vLLM、SGLang 及 KV 传输/存储后端提供版本化的统一访问协议，覆盖 publish、lookup、load、prefetch、attach、evict、status、metrics 和 fallback，使框架只表达 KV 语义身份、访问意图、时限和消费目标，不绑定具体介质或后端。新框架或新后端应通过同一兼容性测试接入，避免为每种组合重复开发。</x:v>
      </x:c>
      <x:c r="G17" s="22" t="str">
        <x:v>conformance通过率=100%；接口调用&lt;5 μs；元数据编解码&lt;200 ns/次；新后端接入工期降低≥50%。</x:v>
      </x:c>
      <x:c r="H17" s="22" t="str">
        <x:v>TM1</x:v>
      </x:c>
      <x:c r="I17" s="22" t="str">
        <x:v>framework intent + semantic identity + budget</x:v>
      </x:c>
      <x:c r="J17" s="22" t="str">
        <x:v>versioned request/response + typed error/fallback</x:v>
      </x:c>
      <x:c r="K17" s="22" t="str">
        <x:v>版本不兼容拒绝消费；feature flag关闭时恢复原生框架路径</x:v>
      </x:c>
      <x:c r="L17" s="22" t="str">
        <x:v>建议冻结（P0 baseline 后锁定阈值）</x:v>
      </x:c>
      <x:c r="M17" s="22" t="n">
        <x:f>COUNTIF('追溯与覆盖'!$K$5:$K$153,A17)</x:f>
        <x:v>5</x:v>
      </x:c>
    </x:row>
    <x:row r="18" ht="92" customHeight="1">
      <x:c r="A18" s="25" t="str">
        <x:v>IR-02-02</x:v>
      </x:c>
      <x:c r="B18" s="25" t="str">
        <x:v>SF-02</x:v>
      </x:c>
      <x:c r="C18" s="22" t="str">
        <x:v>提供集群级语义复用与推理 SLO 闭环的在线加速能力</x:v>
      </x:c>
      <x:c r="D18" s="22" t="str">
        <x:v>基于缓存位置、加载收益和水位预算的推理调度与准入</x:v>
      </x:c>
      <x:c r="E18" s="22" t="str">
        <x:v>vLLM Scheduler/BlockSpaceManager + SGLang Scheduler + Load-vs-Recompute Admission</x:v>
      </x:c>
      <x:c r="F18" s="22" t="str">
        <x:v>系统应在请求进入执行实例和 Prefix Hit 被消费之前，根据前缀判断预算、KV 所在位置、加载/附加/同步成本、重算可节省时间、HBM 水位和实例负载完成路由与准入。只有预计在 TTFT deadline 内获得正收益的 KV 才允许加载，否则立即选择局部命中、部分重算、完全重算或平滑拒绝，避免命中反而拖慢业务。</x:v>
      </x:c>
      <x:c r="G18" s="22" t="str">
        <x:v>p99 TTFT降低≥20%；abandoned remote load降低≥50%；跨节点bytes/request降低≥30%；QPS提升≥10%。</x:v>
      </x:c>
      <x:c r="H18" s="22" t="str">
        <x:v>TM1</x:v>
      </x:c>
      <x:c r="I18" s="22" t="str">
        <x:v>PrefixBudget + placement summary + recompute estimate</x:v>
      </x:c>
      <x:c r="J18" s="22" t="str">
        <x:v>admission/routing decision + QueryPlan id</x:v>
      </x:c>
      <x:c r="K18" s="22" t="str">
        <x:v>超预算立即 partial hit/recompute；水位高时平滑拒绝，不得 OOM 崩溃</x:v>
      </x:c>
      <x:c r="L18" s="22" t="str">
        <x:v>建议冻结（P0 baseline 后锁定阈值）</x:v>
      </x:c>
      <x:c r="M18" s="22" t="n">
        <x:f>COUNTIF('追溯与覆盖'!$K$5:$K$153,A18)</x:f>
        <x:v>5</x:v>
      </x:c>
    </x:row>
    <x:row r="19" ht="92" customHeight="1">
      <x:c r="A19" s="25" t="str">
        <x:v>IR-02-03</x:v>
      </x:c>
      <x:c r="B19" s="25" t="str">
        <x:v>SF-02</x:v>
      </x:c>
      <x:c r="C19" s="22" t="str">
        <x:v>提供集群级语义复用与推理 SLO 闭环的在线加速能力</x:v>
      </x:c>
      <x:c r="D19" s="22" t="str">
        <x:v>支持vLLM哈希和SGLang RadixTree的低时延前缀匹配</x:v>
      </x:c>
      <x:c r="E19" s="22" t="str">
        <x:v>SGLang RadixTree + vLLM block hash + C++/Cython RCU + AVX2/NEON + xxHash</x:v>
      </x:c>
      <x:c r="F19" s="22" t="str">
        <x:v>系统应对 vLLM token-block hash 和 SGLang RadixTree 最长前缀匹配提供统一的低时延查询能力，支持会话增量哈希、并发读、长前缀匹配和路径压缩，使前缀判断不再受 Python GIL、重复 token/hash 计算或深树遍历限制。输出应是可继续进行语义与消费资格校验的候选 prefix span，而不是仅返回简单 hit/miss。</x:v>
      </x:c>
      <x:c r="G19" s="22" t="str">
        <x:v>Prefix lookup p99&lt;200 μs；100并发吞吐提升≥8x；Usable Hit Rate提升≥15%；GIL持有时间降低≥90%。</x:v>
      </x:c>
      <x:c r="H19" s="22" t="str">
        <x:v>TM1/TM2</x:v>
      </x:c>
      <x:c r="I19" s="22" t="str">
        <x:v>tokens + semantic salt + session rolling state</x:v>
      </x:c>
      <x:c r="J19" s="22" t="str">
        <x:v>prefix spans + local candidate ids</x:v>
      </x:c>
      <x:c r="K19" s="22" t="str">
        <x:v>索引超时或版本不一致按 miss 处理；不得阻塞 Scheduler</x:v>
      </x:c>
      <x:c r="L19" s="22" t="str">
        <x:v>建议冻结（P0 baseline 后锁定阈值）</x:v>
      </x:c>
      <x:c r="M19" s="22" t="n">
        <x:f>COUNTIF('追溯与覆盖'!$K$5:$K$153,A19)</x:f>
        <x:v>3</x:v>
      </x:c>
    </x:row>
    <x:row r="20" ht="92" customHeight="1">
      <x:c r="A20" s="25" t="str">
        <x:v>IR-02-04</x:v>
      </x:c>
      <x:c r="B20" s="25" t="str">
        <x:v>SF-02</x:v>
      </x:c>
      <x:c r="C20" s="22" t="str">
        <x:v>提供集群级语义复用与推理 SLO 闭环的在线加速能力</x:v>
      </x:c>
      <x:c r="D20" s="22" t="str">
        <x:v>支持本地元数据缓存、Negative Cache及批量查询的命中快判</x:v>
      </x:c>
      <x:c r="E20" s="22" t="str">
        <x:v>absl::flat_hash_map/Folly F14 + Bloom/Cuckoo Filter + Batch/Range Lookup</x:v>
      </x:c>
      <x:c r="F20" s="22" t="str">
        <x:v>系统应在推理节点本地维护热前缀元数据、目录镜像、Negative Cache 和快速过滤结构，并提供 Batch/Range Lookup，使确定 miss 和高频命中无需每次访问远端目录。所有本地结果必须携带版本或新鲜度证据，在 TTL 过期、收到 invalidation 或一致性不确定时自动绕过本地结果，兼顾 TTFT 快判和命中正确性。</x:v>
      </x:c>
      <x:c r="G20" s="22" t="str">
        <x:v>本地命中查询&lt;10 μs；确定miss p99&lt;5 μs；remote lookup QPS降低≥50%；Bloom FPR&lt;0.1%。</x:v>
      </x:c>
      <x:c r="H20" s="22" t="str">
        <x:v>TM2</x:v>
      </x:c>
      <x:c r="I20" s="22" t="str">
        <x:v>semantic key + prefix range + version watermark</x:v>
      </x:c>
      <x:c r="J20" s="22" t="str">
        <x:v>candidate/negative result + freshness evidence</x:v>
      </x:c>
      <x:c r="K20" s="22" t="str">
        <x:v>TTL/版本失效立即绕过本地缓存；stale guard失败返回不可消费</x:v>
      </x:c>
      <x:c r="L20" s="22" t="str">
        <x:v>建议冻结（P0 baseline 后锁定阈值）</x:v>
      </x:c>
      <x:c r="M20" s="22" t="n">
        <x:f>COUNTIF('追溯与覆盖'!$K$5:$K$153,A20)</x:f>
        <x:v>4</x:v>
      </x:c>
    </x:row>
    <x:row r="21" ht="92" customHeight="1">
      <x:c r="A21" s="25" t="str">
        <x:v>IR-02-05</x:v>
      </x:c>
      <x:c r="B21" s="25" t="str">
        <x:v>SF-02</x:v>
      </x:c>
      <x:c r="C21" s="22" t="str">
        <x:v>提供集群级语义复用与推理 SLO 闭环的在线加速能力</x:v>
      </x:c>
      <x:c r="D21" s="22" t="str">
        <x:v>支持集群级前缀目录、KV位置索引及副本可用性查询</x:v>
      </x:c>
      <x:c r="E21" s="22" t="str">
        <x:v>Compressed Radix/Hash Index + Consistent Hash + RocksDB/braft + Directory Mirror</x:v>
      </x:c>
      <x:c r="F21" s="22" t="str">
        <x:v>系统应提供集群级 PrefixDirectory 和 KV 元数据服务，统一记录语义身份、对象 ID、extent、placement、副本、布局、版本、ready、lease、健康状态和 tombstone，回答前缀是否存在、是否可安全消费、有哪些副本以及从哪个位置获取最有利。目录应支持分片、副本、镜像、失效传播和故障恢复，避免同步远端查询成为 TTFT 单点瓶颈。</x:v>
      </x:c>
      <x:c r="G21" s="22" t="str">
        <x:v>remote directory RTT降低≥50%；lookup p99降低≥30%；目录可用性≥99.99%；stale hit=0。</x:v>
      </x:c>
      <x:c r="H21" s="22" t="str">
        <x:v>TM2</x:v>
      </x:c>
      <x:c r="I21" s="22" t="str">
        <x:v>publish/invalidations + prefix query + topology</x:v>
      </x:c>
      <x:c r="J21" s="22" t="str">
        <x:v>PrefixDirectoryRecord + replica candidates + consume eligibility</x:v>
      </x:c>
      <x:c r="K21" s="22" t="str">
        <x:v>主分片故障切副本；镜像过期强制精确查询；未ready/已tombstone对象不可返回</x:v>
      </x:c>
      <x:c r="L21" s="22" t="str">
        <x:v>建议冻结（P0 baseline 后锁定阈值）</x:v>
      </x:c>
      <x:c r="M21" s="22" t="n">
        <x:f>COUNTIF('追溯与覆盖'!$K$5:$K$153,A21)</x:f>
        <x:v>17</x:v>
      </x:c>
    </x:row>
    <x:row r="22" ht="92" customHeight="1">
      <x:c r="A22" s="25" t="str">
        <x:v>IR-02-06</x:v>
      </x:c>
      <x:c r="B22" s="25" t="str">
        <x:v>SF-02</x:v>
      </x:c>
      <x:c r="C22" s="22" t="str">
        <x:v>提供集群级语义复用与推理 SLO 闭环的在线加速能力</x:v>
      </x:c>
      <x:c r="D22" s="22" t="str">
        <x:v>支持KV卸载加载、分层回源及计算—传输流水并行</x:v>
      </x:c>
      <x:c r="E22" s="22" t="str">
        <x:v>vLLM KVConnector + SGLang HiCache + CUDA/NPU Stream/Event + async pipeline</x:v>
      </x:c>
      <x:c r="F22" s="22" t="str">
        <x:v>系统应把 KV swap、offload、load、SSD/远端回源和 Layer/Page 级加载从同步等待改造成可批量、可取消、可与 Prefill/Decode 重叠的异步流水；当部分层或页面就绪时，框架能够在满足依赖的前提下提前开始计算，而无需等待整个 KV 对象完成加载，从而隐藏数据传输时延并减少 NPU 空闲。</x:v>
      </x:c>
      <x:c r="G22" s="22" t="str">
        <x:v>计算/传输重叠≥60%；swap-in TTFT降低≥25%；批量传输时延降低≥50%；额外内存≤15%。</x:v>
      </x:c>
      <x:c r="H22" s="22" t="str">
        <x:v>TM1/TM4</x:v>
      </x:c>
      <x:c r="I22" s="22" t="str">
        <x:v>schedule lookahead + block/page spans + stream budget</x:v>
      </x:c>
      <x:c r="J22" s="22" t="str">
        <x:v>prefetch/load ticket + per-layer ready</x:v>
      </x:c>
      <x:c r="K22" s="22" t="str">
        <x:v>超时转同步安全路径或重算；取消请求必须释放预取 buffer</x:v>
      </x:c>
      <x:c r="L22" s="22" t="str">
        <x:v>建议冻结（P0 baseline 后锁定阈值）</x:v>
      </x:c>
      <x:c r="M22" s="22" t="n">
        <x:f>COUNTIF('追溯与覆盖'!$K$5:$K$153,A22)</x:f>
        <x:v>4</x:v>
      </x:c>
    </x:row>
    <x:row r="23" ht="92" customHeight="1">
      <x:c r="A23" s="25" t="str">
        <x:v>IR-02-07</x:v>
      </x:c>
      <x:c r="B23" s="25" t="str">
        <x:v>SF-02</x:v>
      </x:c>
      <x:c r="C23" s="22" t="str">
        <x:v>提供集群级语义复用与推理 SLO 闭环的在线加速能力</x:v>
      </x:c>
      <x:c r="D23" s="22" t="str">
        <x:v>基于请求趋势和复用概率的KV投机预取及效果反馈</x:v>
      </x:c>
      <x:c r="E23" s="22" t="str">
        <x:v>PrefetchEngine + EMA/Markov Reuse Predictor + admission feedback</x:v>
      </x:c>
      <x:c r="F23" s="22" t="str">
        <x:v>系统应依据调度 lookahead、同前缀请求聚集、session 连续性、历史复用概率、可用 HBM block 和路径时延，在请求真正需要 KV 之前生成有界预取计划；同时记录命中、等待节省、误预取、取消和内存占用，自动调整预取窗口和预算，使预取带来可证明的 TTFT 收益而不是额外占用与带宽浪费。</x:v>
      </x:c>
      <x:c r="G23" s="22" t="str">
        <x:v>预取命中率≥70%；命中时等待时延降低≥60%；误预取率&lt;20%；额外HBM≤10%。</x:v>
      </x:c>
      <x:c r="H23" s="22" t="str">
        <x:v>TM1/TM4</x:v>
      </x:c>
      <x:c r="I23" s="22" t="str">
        <x:v>lookahead + reuse score + free blocks + deadline</x:v>
      </x:c>
      <x:c r="J23" s="22" t="str">
        <x:v>bounded prefetch plan + hit/waste feedback</x:v>
      </x:c>
      <x:c r="K23" s="22" t="str">
        <x:v>预算不足或预测置信低时不预取；取消/过期即时回收</x:v>
      </x:c>
      <x:c r="L23" s="22" t="str">
        <x:v>建议冻结（P0 baseline 后锁定阈值）</x:v>
      </x:c>
      <x:c r="M23" s="22" t="n">
        <x:f>COUNTIF('追溯与覆盖'!$K$5:$K$153,A23)</x:f>
        <x:v>1</x:v>
      </x:c>
    </x:row>
    <x:row r="24" ht="92" customHeight="1">
      <x:c r="A24" s="25" t="str">
        <x:v>IR-02-08</x:v>
      </x:c>
      <x:c r="B24" s="25" t="str">
        <x:v>SF-02</x:v>
      </x:c>
      <x:c r="C24" s="22" t="str">
        <x:v>提供集群级语义复用与推理 SLO 闭环的在线加速能力</x:v>
      </x:c>
      <x:c r="D24" s="22" t="str">
        <x:v>支持模型级KV容量估算、水位准入及全生命周期状态管理</x:v>
      </x:c>
      <x:c r="E24" s="22" t="str">
        <x:v>KVBlockSpec + ModelProfile + WatermarkAdmission + KVObjectStateMachine</x:v>
      </x:c>
      <x:c r="F24" s="22" t="str">
        <x:v>系统应根据模型层数、KV head、head_dim、dtype、并行切分、block/page 大小、上下文长度和并发量计算每请求及全池 KV 容量需求，并结合各 tier 水位执行准入、预留和回收。每个 KV 对象从创建、写入、发布、附加、迁移、淘汰到释放都必须有明确状态和合法转换，防止 OOM、过量预留和悬空引用。</x:v>
      </x:c>
      <x:c r="G24" s="22" t="str">
        <x:v>估算误差&lt;5%；OOM/preemption降低≥50%；碎片率&lt;5%；节点变化只失效一致性哈希对应比例。</x:v>
      </x:c>
      <x:c r="H24" s="22" t="str">
        <x:v>TM1/TM3</x:v>
      </x:c>
      <x:c r="I24" s="22" t="str">
        <x:v>model config + workload + pool watermarks</x:v>
      </x:c>
      <x:c r="J24" s="22" t="str">
        <x:v>capacity budget + lifecycle event + admission</x:v>
      </x:c>
      <x:c r="K24" s="22" t="str">
        <x:v>容量不足平滑拒绝；状态转换失败保留旧副本或重算，不产生悬空引用</x:v>
      </x:c>
      <x:c r="L24" s="22" t="str">
        <x:v>建议冻结（P0 baseline 后锁定阈值）</x:v>
      </x:c>
      <x:c r="M24" s="22" t="n">
        <x:f>COUNTIF('追溯与覆盖'!$K$5:$K$153,A24)</x:f>
        <x:v>3</x:v>
      </x:c>
    </x:row>
    <x:row r="25" ht="92" customHeight="1">
      <x:c r="A25" s="25" t="str">
        <x:v>IR-02-09</x:v>
      </x:c>
      <x:c r="B25" s="25" t="str">
        <x:v>SF-02</x:v>
      </x:c>
      <x:c r="C25" s="22" t="str">
        <x:v>提供集群级语义复用与推理 SLO 闭环的在线加速能力</x:v>
      </x:c>
      <x:c r="D25" s="22" t="str">
        <x:v>面向Decode活跃KV、热前缀和冷KV的分层驻留与淘汰</x:v>
      </x:c>
      <x:c r="E25" s="22" t="str">
        <x:v>DECODE_ACTIVE/WARM_PREFIX Classifier + View-vs-Copy Planner + CAVE/TinyLFU</x:v>
      </x:c>
      <x:c r="F25" s="22" t="str">
        <x:v>系统应区分正在参与 Decode 的活跃 KV、近期可能复用的热前缀和可低成本回源的冷 KV，根据复用价值、重算代价、对象大小、访问模式和介质成本决定保留 HBM、驻留 DDR/C2C、直接 view、回填 HBM、下沉 SSD 或淘汰。策略必须优先保护 Decode 活跃数据，在扩大有效容量的同时控制 TPOT 干扰。</x:v>
      </x:c>
      <x:c r="G25" s="22" t="str">
        <x:v>HBM有效容量提升≥20%；TPOT p99回退&lt;3%；prefill FLOPs/request降低≥15%；每GB saved tokens提升≥25%。</x:v>
      </x:c>
      <x:c r="H25" s="22" t="str">
        <x:v>TM1/TM3</x:v>
      </x:c>
      <x:c r="I25" s="22" t="str">
        <x:v>reuse score + access mode + tier cost</x:v>
      </x:c>
      <x:c r="J25" s="22" t="str">
        <x:v>residency class + placement action</x:v>
      </x:c>
      <x:c r="K25" s="22" t="str">
        <x:v>active对象受保护；直接访问预计拖慢decode时强制copy-to-HBM</x:v>
      </x:c>
      <x:c r="L25" s="22" t="str">
        <x:v>建议冻结（P0 baseline 后锁定阈值）</x:v>
      </x:c>
      <x:c r="M25" s="22" t="n">
        <x:f>COUNTIF('追溯与覆盖'!$K$5:$K$153,A25)</x:f>
        <x:v>3</x:v>
      </x:c>
    </x:row>
    <x:row r="26" ht="92" customHeight="1">
      <x:c r="A26" s="25" t="str">
        <x:v>IR-02-10</x:v>
      </x:c>
      <x:c r="B26" s="25" t="str">
        <x:v>SF-02</x:v>
      </x:c>
      <x:c r="C26" s="22" t="str">
        <x:v>提供集群级语义复用与推理 SLO 闭环的在线加速能力</x:v>
      </x:c>
      <x:c r="D26" s="22" t="str">
        <x:v>支持张量/流水并行多卡KV一致消费及指标治理</x:v>
      </x:c>
      <x:c r="E26" s="22" t="str">
        <x:v>HCCL/NCCL/torch.distributed Rank Consensus + KV Observability SDK</x:v>
      </x:c>
      <x:c r="F26" s="22" t="str">
        <x:v>系统应在 tensor parallel、pipeline parallel 等多卡推理场景中，让各 rank 对命中长度、对象版本、ready、attach 和错误状态形成一致结论；只有全部必需 rank 均可消费时才进入共享 KV 路径，否则按组执行统一回退。同时输出 raw/usable/abandoned hit、rank wait 和收益指标，支持多卡正确性验证与调度优化。</x:v>
      </x:c>
      <x:c r="G26" s="22" t="str">
        <x:v>correctness fault=0；rank wait p99&lt;100 μs；指标字段覆盖率=100%；观测开销&lt;1%。</x:v>
      </x:c>
      <x:c r="H26" s="22" t="str">
        <x:v>TM1/TM5/TM6</x:v>
      </x:c>
      <x:c r="I26" s="22" t="str">
        <x:v>per-rank hit/ready/error + request context</x:v>
      </x:c>
      <x:c r="J26" s="22" t="str">
        <x:v>consensus result + semantic metrics</x:v>
      </x:c>
      <x:c r="K26" s="22" t="str">
        <x:v>任一rank不满足消费条件则全组按约定降级，禁止部分rank误消费</x:v>
      </x:c>
      <x:c r="L26" s="22" t="str">
        <x:v>建议冻结（P0 baseline 后锁定阈值）</x:v>
      </x:c>
      <x:c r="M26" s="22" t="n">
        <x:f>COUNTIF('追溯与覆盖'!$K$5:$K$153,A26)</x:f>
        <x:v>4</x:v>
      </x:c>
    </x:row>
    <x:row r="27" ht="92" customHeight="1">
      <x:c r="A27" s="25" t="str">
        <x:v>IR-02-11</x:v>
      </x:c>
      <x:c r="B27" s="25" t="str">
        <x:v>SF-02</x:v>
      </x:c>
      <x:c r="C27" s="22" t="str">
        <x:v>提供集群级语义复用与推理 SLO 闭环的在线加速能力</x:v>
      </x:c>
      <x:c r="D27" s="22" t="str">
        <x:v>支持请求—计划—对象—路径的全链路观测及故障定位</x:v>
      </x:c>
      <x:c r="E27" s="22" t="str">
        <x:v>OpenTelemetry + Prometheus/Grafana + eBPF/perf + KVInspect API</x:v>
      </x:c>
      <x:c r="F27" s="22" t="str">
        <x:v>系统应使用统一标识把一次请求从 prefix lookup、QueryPlan 决策、对象/副本选择、路径执行、状态迁移、fallback 到最终 TTFT/TPOT 结果串联起来，提供按请求、对象、tier、路径和原因查询的 metrics、trace、inspect 与告警。其目标是证明命中是否产生真实收益、解释为何变慢或降级，并把故障定位时间缩短到分钟级。</x:v>
      </x:c>
      <x:c r="G27" s="22" t="str">
        <x:v>cost预测误差&lt;20%；常态探针开销&lt;1%；fallback reason覆盖率=100%；MTTR降至分钟级。</x:v>
      </x:c>
      <x:c r="H27" s="22" t="str">
        <x:v>TM6</x:v>
      </x:c>
      <x:c r="I27" s="22" t="str">
        <x:v>cross-layer events + hardware counters + SLO result</x:v>
      </x:c>
      <x:c r="J27" s="22" t="str">
        <x:v>trace/metrics/inspect response + alert</x:v>
      </x:c>
      <x:c r="K27" s="22" t="str">
        <x:v>采集失败不得阻塞数据面；高基数标签必须限额并可采样</x:v>
      </x:c>
      <x:c r="L27" s="22" t="str">
        <x:v>建议冻结（P0 baseline 后锁定阈值）</x:v>
      </x:c>
      <x:c r="M27" s="22" t="n">
        <x:f>COUNTIF('追溯与覆盖'!$K$5:$K$153,A27)</x:f>
        <x:v>5</x:v>
      </x:c>
    </x:row>
    <x:row r="28" ht="92" customHeight="1">
      <x:c r="A28" s="26" t="str">
        <x:v>IR-02-12</x:v>
      </x:c>
      <x:c r="B28" s="26" t="str">
        <x:v>SF-02</x:v>
      </x:c>
      <x:c r="C28" s="23" t="str">
        <x:v>提供集群级语义复用与推理 SLO 闭环的在线加速能力</x:v>
      </x:c>
      <x:c r="D28" s="23" t="str">
        <x:v>支持跨平台构建、自动化测试、性能基线及灰度发布的工程交付体系</x:v>
      </x:c>
      <x:c r="E28" s="23" t="str">
        <x:v>CMake/ccache + clang-tidy + ASAN/TSAN/LSAN + Chaos Mesh + GitLab CI + Benchmark</x:v>
      </x:c>
      <x:c r="F28" s="23" t="str">
        <x:v>系统应提供覆盖 CPU/NPU、vLLM/SGLang 和不同传输后端的标准构建、静态检查、单元/集成/性能/故障注入/长稳测试、制品发布、灰度放量和自动回滚流程；每次变更必须能够与冻结 baseline 做可复现对比，并以覆盖率、性能退化、泄漏、错误率和 SLO 门槛自动决定是否允许合并或发布。</x:v>
      </x:c>
      <x:c r="G28" s="23" t="str">
        <x:v>核心覆盖率&gt;85%；MR反馈&lt;15min；72h长稳零泄漏；故障fallback&lt;500ms且0错误；回滚&lt;1min。</x:v>
      </x:c>
      <x:c r="H28" s="23" t="str">
        <x:v>TM6</x:v>
      </x:c>
      <x:c r="I28" s="23" t="str">
        <x:v>source + test matrix + deployment manifest</x:v>
      </x:c>
      <x:c r="J28" s="23" t="str">
        <x:v>quality report + benchmark baseline + release artifact</x:v>
      </x:c>
      <x:c r="K28" s="23" t="str">
        <x:v>任一P0门禁失败阻断合并；灰度SLO异常自动回滚</x:v>
      </x:c>
      <x:c r="L28" s="23" t="str">
        <x:v>建议冻结（P0 baseline 后锁定阈值）</x:v>
      </x:c>
      <x:c r="M28" s="23" t="n">
        <x:f>COUNTIF('追溯与覆盖'!$K$5:$K$153,A28)</x:f>
        <x:v>5</x:v>
      </x:c>
    </x:row>
  </x:sheetData>
  <x:mergeCells>
    <x:mergeCell ref="A1:M1"/>
    <x:mergeCell ref="A2:M2"/>
  </x:mergeCells>
  <x:pageMargins left="0.7" right="0.7" top="0.75" bottom="0.75" header="0.3" footer="0.3"/>
  <x:tableParts count="1">
    <x:tablePart xmlns:r="http://schemas.openxmlformats.org/officeDocument/2006/relationships" r:id="Rd4e6b17e85e14e8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0" hidden="0" customWidth="1"/>
    <x:col min="2" max="2" width="8" hidden="0" customWidth="1"/>
    <x:col min="3" max="3" width="10" hidden="0" customWidth="1"/>
    <x:col min="4" max="4" width="28" hidden="0" customWidth="1"/>
    <x:col min="5" max="5" width="18" hidden="0" customWidth="1"/>
    <x:col min="6" max="6" width="52" hidden="0" customWidth="1"/>
    <x:col min="7" max="7" width="32" hidden="0" customWidth="1"/>
    <x:col min="8" max="8" width="80" hidden="0" customWidth="1"/>
    <x:col min="9" max="9" width="40" hidden="0" customWidth="1"/>
    <x:col min="10" max="10" width="48" hidden="0" customWidth="1"/>
    <x:col min="11" max="11" width="28" hidden="0" customWidth="1"/>
    <x:col min="12" max="12" width="24" hidden="0" customWidth="1"/>
  </x:cols>
  <x:sheetData>
    <x:row r="1" ht="34" customHeight="1">
      <x:c r="A1" s="3" t="str">
        <x:v>全量需求树 V2.1（SF → IR → SR → AR）</x:v>
      </x:c>
      <x:c r="B1" s="3"/>
      <x:c r="C1" s="3"/>
      <x:c r="D1" s="3"/>
      <x:c r="E1" s="3"/>
      <x:c r="F1" s="3"/>
      <x:c r="G1" s="3"/>
      <x:c r="H1" s="3"/>
      <x:c r="I1" s="3"/>
      <x:c r="J1" s="3"/>
      <x:c r="K1" s="3"/>
      <x:c r="L1" s="3"/>
    </x:row>
    <x:row r="2" ht="30" customHeight="1">
      <x:c r="A2" s="7" t="str">
        <x:v>2 SF → 24 IR → 149 SR → 447 AR；IR已改为功能目的表达，AR仍为可独立 PR 的叶子，跨层属性与来源详见“AR开发认领”和“追溯与覆盖”。</x:v>
      </x:c>
      <x:c r="B2" s="7"/>
      <x:c r="C2" s="7"/>
      <x:c r="D2" s="7"/>
      <x:c r="E2" s="7"/>
      <x:c r="F2" s="7"/>
      <x:c r="G2" s="7"/>
      <x:c r="H2" s="7"/>
      <x:c r="I2" s="7"/>
      <x:c r="J2" s="7"/>
      <x:c r="K2" s="7"/>
      <x:c r="L2" s="7"/>
    </x:row>
    <x:row r="4" ht="42" customHeight="1">
      <x:c r="A4" s="13" t="str">
        <x:v>排序路径</x:v>
      </x:c>
      <x:c r="B4" s="13" t="str">
        <x:v>深度</x:v>
      </x:c>
      <x:c r="C4" s="13" t="str">
        <x:v>节点类型</x:v>
      </x:c>
      <x:c r="D4" s="13" t="str">
        <x:v>节点 ID</x:v>
      </x:c>
      <x:c r="E4" s="13" t="str">
        <x:v>父节点 ID</x:v>
      </x:c>
      <x:c r="F4" s="13" t="str">
        <x:v>树形显示</x:v>
      </x:c>
      <x:c r="G4" s="13" t="str">
        <x:v>节点名称/任务类型</x:v>
      </x:c>
      <x:c r="H4" s="13" t="str">
        <x:v>需求/技术设计/原子任务</x:v>
      </x:c>
      <x:c r="I4" s="13" t="str">
        <x:v>KPI/验收门槛</x:v>
      </x:c>
      <x:c r="J4" s="13" t="str">
        <x:v>代码对象</x:v>
      </x:c>
      <x:c r="K4" s="13" t="str">
        <x:v>责任层级/角色</x:v>
      </x:c>
      <x:c r="L4" s="13" t="str">
        <x:v>来源</x:v>
      </x:c>
    </x:row>
    <x:row r="5" ht="76" customHeight="1">
      <x:c r="A5" s="28" t="str">
        <x:v>SF-01</x:v>
      </x:c>
      <x:c r="B5" s="28" t="n">
        <x:v>1</x:v>
      </x:c>
      <x:c r="C5" s="28" t="str">
        <x:v>SF</x:v>
      </x:c>
      <x:c r="D5" s="28" t="str">
        <x:v>SF-01</x:v>
      </x:c>
      <x:c r="E5" s="28" t="str">
        <x:v>ROOT</x:v>
      </x:c>
      <x:c r="F5" s="28" t="str">
        <x:v>● SF-01 提供可编程、可寻址、可执行的统一异构 KVCache 存储池</x:v>
      </x:c>
      <x:c r="G5" s="28" t="str">
        <x:v>提供可编程、可寻址、可执行的统一异构 KVCache 存储池</x:v>
      </x:c>
      <x:c r="H5" s="28" t="str">
        <x:v>以 KVObject、ExtentManifest、Placement、CapabilityMatrix 与 QueryPlan 为统一抽象，把 HBM、本地/远端 DDR、本地/远端 SSD/object 纳入同一对象与数据路径体系；以 UBMEM 内存语义、URMA/RDMA 传输语义和 SSD/DPU I/O 作为可插拔执行底座。</x:v>
      </x:c>
      <x:c r="I5" s="28" t="str">
        <x:v>五类介质纳管覆盖率=100%；错误/过期 KV 被消费=0；默认 Direct 路径 Host Payload touch=0；代表路径带宽达到线速的≥80%；路径故障可在&lt;200ms内切换或显式回退。</x:v>
      </x:c>
      <x:c r="J5" s="28" t="str"/>
      <x:c r="K5" s="28" t="str">
        <x:v>全系统</x:v>
      </x:c>
      <x:c r="L5" s="28" t="str">
        <x:v>V2.1定义</x:v>
      </x:c>
    </x:row>
    <x:row r="6" ht="76" customHeight="1">
      <x:c r="A6" s="29" t="str">
        <x:v>SF-01/IR-01-01</x:v>
      </x:c>
      <x:c r="B6" s="29" t="n">
        <x:v>2</x:v>
      </x:c>
      <x:c r="C6" s="30" t="str">
        <x:v>IR</x:v>
      </x:c>
      <x:c r="D6" s="30" t="str">
        <x:v>IR-01-01</x:v>
      </x:c>
      <x:c r="E6" s="30" t="str">
        <x:v>SF-01</x:v>
      </x:c>
      <x:c r="F6" s="30" t="str">
        <x:v>    ├─ IR-01-01 支持HBM、DDR、SSD及远端介质的统一存储池与分层管理</x:v>
      </x:c>
      <x:c r="G6" s="30" t="str">
        <x:v>支持HBM、DDR、SSD及远端介质的统一存储池与分层管理</x:v>
      </x:c>
      <x:c r="H6" s="29" t="str">
        <x:v>系统应以统一 KVObject 接口纳管 HBM、本地 DDR、远端 DDR、本地 SSD 和远端 SSD/object 中的 KVCache，保留各介质容量、时延、带宽和拓扑差异，并能依据热度、水位、访问时限和复用收益自动完成分配、分层驻留、迁移、淘汰及空间整理，使上层框架获得一个容量可扩展、状态一致且不会因单一介质耗尽而失效的逻辑存储池。
技术锚点：KVObject/ExtentManifest + Page/Extent Allocator + HBM/DDR/NVMe TierManager</x:v>
      </x:c>
      <x:c r="I6" s="29" t="str">
        <x:v>碎片率&lt;5%；HBM有效容量提升≥30%；OOM/preemption降低≥50%；池分配P99≤XXX μs（P0实测冻结）。</x:v>
      </x:c>
      <x:c r="J6" s="29" t="str"/>
      <x:c r="K6" s="29" t="str">
        <x:v>TM3</x:v>
      </x:c>
      <x:c r="L6" s="29" t="str">
        <x:v>V2.1修订定义</x:v>
      </x:c>
    </x:row>
    <x:row r="7" ht="76" customHeight="1">
      <x:c r="A7" s="31" t="str">
        <x:v>SF-01/IR-01-01/SR-01-01-01</x:v>
      </x:c>
      <x:c r="B7" s="31" t="n">
        <x:v>3</x:v>
      </x:c>
      <x:c r="C7" s="32" t="str">
        <x:v>SR</x:v>
      </x:c>
      <x:c r="D7" s="32" t="str">
        <x:v>SR-01-01-01</x:v>
      </x:c>
      <x:c r="E7" s="32" t="str">
        <x:v>IR-01-01</x:v>
      </x:c>
      <x:c r="F7" s="32" t="str">
        <x:v>        ├─ SR-01-01-01 非连续 KV 块存储与批量传输</x:v>
      </x:c>
      <x:c r="G7" s="32" t="str">
        <x:v>非连续 KV 块存储与批量传输｜L3-MC-ExtentManifest-076</x:v>
      </x:c>
      <x:c r="H7" s="31" t="str">
        <x:v>系统重构：本需求要求为每个 KV object 维护 extent manifest，将逻辑 KV page/block 映射到物理 HBM/DDR/SSD/RDMA/UB extent；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x:v>
      </x:c>
      <x:c r="I7" s="31" t="str">
        <x:v>全局内存利用率提升至≥85%，跨级冷热数据迁移过程中的TPOT抖动 &lt; 5%。</x:v>
      </x:c>
      <x:c r="J7" s="31" t="str"/>
      <x:c r="K7" s="31" t="str">
        <x:v>L3 传输管理层 / 统一存储池与分层管理</x:v>
      </x:c>
      <x:c r="L7" s="31" t="str">
        <x:v>L3-MC-ExtentManifest-076</x:v>
      </x:c>
    </x:row>
    <x:row r="8" ht="76" customHeight="1">
      <x:c r="A8" s="33" t="str">
        <x:v>SF-01/IR-01-01/SR-01-01-01/AR-L3-MC-ExtentManifest-076-01</x:v>
      </x:c>
      <x:c r="B8" s="33" t="n">
        <x:v>4</x:v>
      </x:c>
      <x:c r="C8" s="34" t="str">
        <x:v>AR</x:v>
      </x:c>
      <x:c r="D8" s="34" t="str">
        <x:v>AR-L3-MC-ExtentManifest-076-01</x:v>
      </x:c>
      <x:c r="E8" s="34" t="str">
        <x:v>SR-01-01-01</x:v>
      </x:c>
      <x:c r="F8" s="34" t="str">
        <x:v>            ├─ AR-L3-MC-ExtentManifest-076-01 核心实现</x:v>
      </x:c>
      <x:c r="G8" s="34" t="str">
        <x:v>核心实现</x:v>
      </x:c>
      <x:c r="H8" s="33" t="str">
        <x:v>在 `src/pool/tiering/extent_manifest.{h,cc}` 新增或重写 `ExtentManifestManager`，把“非连续 KV 块存储与批量传输”落实为 L3 传输管理层 可调用主路径：本需求要求为每个 KV object 维护 extent manifest，将逻辑 KV page/block 映射到物理 HBM/DDR/SSD/RDMA/UB extent； 输入必须显式消费 KVAccessIntent + KVBlockSpec + tier telemetry，输出 KVObjectHandle + Placement + state transition，不得用全局单例或隐藏同步 I/O 绕开预算与状态机。</x:v>
      </x:c>
      <x:c r="I8" s="33" t="str">
        <x:v>全局内存利用率提升至≥85%，跨级冷热数据迁移过程中的TPOT抖动 &lt; 5%。</x:v>
      </x:c>
      <x:c r="J8" s="33" t="str">
        <x:v>src/pool/tiering/extent_manifest.{h,cc}</x:v>
      </x:c>
      <x:c r="K8" s="33" t="str">
        <x:v>L3 传输管理层 / 存储池/传输管理开发</x:v>
      </x:c>
      <x:c r="L8" s="33" t="str">
        <x:v>L3-MC-ExtentManifest-076</x:v>
      </x:c>
    </x:row>
    <x:row r="9" ht="76" customHeight="1">
      <x:c r="A9" s="33" t="str">
        <x:v>SF-01/IR-01-01/SR-01-01-01/AR-L3-MC-ExtentManifest-076-02</x:v>
      </x:c>
      <x:c r="B9" s="33" t="n">
        <x:v>4</x:v>
      </x:c>
      <x:c r="C9" s="34" t="str">
        <x:v>AR</x:v>
      </x:c>
      <x:c r="D9" s="34" t="str">
        <x:v>AR-L3-MC-ExtentManifest-076-02</x:v>
      </x:c>
      <x:c r="E9" s="34" t="str">
        <x:v>SR-01-01-01</x:v>
      </x:c>
      <x:c r="F9" s="34" t="str">
        <x:v>            ├─ AR-L3-MC-ExtentManifest-076-02 契约配置与降级</x:v>
      </x:c>
      <x:c r="G9" s="34" t="str">
        <x:v>契约配置与降级</x:v>
      </x:c>
      <x:c r="H9" s="33" t="str">
        <x:v>为 `ExtentManifestOptions` 增加 `kvcache.extent_manifest.enabled`、deadline/容量/队列预算及版本字段；在调用点接入 typed error、decision_reason、fallback_reason，确保配置热更新、灰度关闭和向后兼容均可审计。</x:v>
      </x:c>
      <x:c r="I9" s="33" t="str">
        <x:v>全局内存利用率提升至≥85%，跨级冷热数据迁移过程中的TPOT抖动 &lt; 5%。</x:v>
      </x:c>
      <x:c r="J9" s="33" t="str">
        <x:v>api/kvcache/v1/extent_manifest.proto + config/runtime/extent_manifest.yaml</x:v>
      </x:c>
      <x:c r="K9" s="33" t="str">
        <x:v>L3 传输管理层 / 存储池/传输管理开发</x:v>
      </x:c>
      <x:c r="L9" s="33" t="str">
        <x:v>L3-MC-ExtentManifest-076</x:v>
      </x:c>
    </x:row>
    <x:row r="10" ht="76" customHeight="1">
      <x:c r="A10" s="33" t="str">
        <x:v>SF-01/IR-01-01/SR-01-01-01/AR-L3-MC-ExtentManifest-076-03</x:v>
      </x:c>
      <x:c r="B10" s="33" t="n">
        <x:v>4</x:v>
      </x:c>
      <x:c r="C10" s="34" t="str">
        <x:v>AR</x:v>
      </x:c>
      <x:c r="D10" s="34" t="str">
        <x:v>AR-L3-MC-ExtentManifest-076-03</x:v>
      </x:c>
      <x:c r="E10" s="34" t="str">
        <x:v>SR-01-01-01</x:v>
      </x:c>
      <x:c r="F10" s="34" t="str">
        <x:v>            └─ AR-L3-MC-ExtentManifest-076-03 验证与观测</x:v>
      </x:c>
      <x:c r="G10" s="34" t="str">
        <x:v>验证与观测</x:v>
      </x:c>
      <x:c r="H10" s="33" t="str">
        <x:v>新增正常、边界、并发、超时、stale metadata、迁移冲突、路径拥塞/故障与 feature-flag-off 用例；在 benchmark 中固定模型、tokenizer、prompt、并发、拓扑和 baseline，采集 lookup/load/attach、TTFT、TPOT、usable/abandoned hit、带宽/时延及 CPU/NPU 利用率。</x:v>
      </x:c>
      <x:c r="I10" s="33" t="str">
        <x:v>全局内存利用率提升至≥85%，跨级冷热数据迁移过程中的TPOT抖动 &lt; 5%。</x:v>
      </x:c>
      <x:c r="J10" s="33" t="str">
        <x:v>tests/pool/tiering/extent_manifest_test.cc + benchmarks/pool/tiering/extent_manifest_benchmark.cc</x:v>
      </x:c>
      <x:c r="K10" s="33" t="str">
        <x:v>L3 传输管理层 / 存储池/传输管理开发</x:v>
      </x:c>
      <x:c r="L10" s="33" t="str">
        <x:v>L3-MC-ExtentManifest-076</x:v>
      </x:c>
    </x:row>
    <x:row r="11" ht="76" customHeight="1">
      <x:c r="A11" s="31" t="str">
        <x:v>SF-01/IR-01-01/SR-01-01-02</x:v>
      </x:c>
      <x:c r="B11" s="31" t="n">
        <x:v>3</x:v>
      </x:c>
      <x:c r="C11" s="32" t="str">
        <x:v>SR</x:v>
      </x:c>
      <x:c r="D11" s="32" t="str">
        <x:v>SR-01-01-02</x:v>
      </x:c>
      <x:c r="E11" s="32" t="str">
        <x:v>IR-01-01</x:v>
      </x:c>
      <x:c r="F11" s="32" t="str">
        <x:v>        ├─ SR-01-01-02 KV 块跨介质统一存储结构</x:v>
      </x:c>
      <x:c r="G11" s="32" t="str">
        <x:v>KV 块跨介质统一存储结构｜L3-MC-KVBlockStorageSchema-075</x:v>
      </x:c>
      <x:c r="H11" s="31" t="str">
        <x:v>系统重构：本需求要求统一 KV 内存池定义 KV block/page 存储 schema，至少包含 model layout、layer range、head range、token range、rank slice、dtype、scale metadata、physical extent list、alignment、checksum 和 compression flag，使 HBM/DDR/SSD/远端节点中的 KV 具备统一可解释结构。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x:v>
      </x:c>
      <x:c r="I11" s="31" t="str">
        <x:v>节点动态加入/退出时的缓存失效控制在局部范围内（遵循一致性哈希比例）。</x:v>
      </x:c>
      <x:c r="J11" s="31" t="str"/>
      <x:c r="K11" s="31" t="str">
        <x:v>L3 传输管理层 / 统一存储池与分层管理</x:v>
      </x:c>
      <x:c r="L11" s="31" t="str">
        <x:v>L3-MC-KVBlockStorageSchema-075</x:v>
      </x:c>
    </x:row>
    <x:row r="12" ht="76" customHeight="1">
      <x:c r="A12" s="33" t="str">
        <x:v>SF-01/IR-01-01/SR-01-01-02/AR-L3-MC-KVBlockStorageSchema-075-01</x:v>
      </x:c>
      <x:c r="B12" s="33" t="n">
        <x:v>4</x:v>
      </x:c>
      <x:c r="C12" s="34" t="str">
        <x:v>AR</x:v>
      </x:c>
      <x:c r="D12" s="34" t="str">
        <x:v>AR-L3-MC-KVBlockStorageSchema-075-01</x:v>
      </x:c>
      <x:c r="E12" s="34" t="str">
        <x:v>SR-01-01-02</x:v>
      </x:c>
      <x:c r="F12" s="34" t="str">
        <x:v>            ├─ AR-L3-MC-KVBlockStorageSchema-075-01 核心实现</x:v>
      </x:c>
      <x:c r="G12" s="34" t="str">
        <x:v>核心实现</x:v>
      </x:c>
      <x:c r="H12" s="33" t="str">
        <x:v>在 `src/pool/tiering/kvblock_storage_schema.{h,cc}` 新增或重写 `KVBlockStorageSchemaManager`，把“KV 块跨介质统一存储结构”落实为 L3 传输管理层 可调用主路径：本需求要求统一 KV 内存池定义 KV block/page 存储 schema，至少包含 model layout、layer range、head range、token range、rank slice、dtype、scale metadata、physical extent list、alignment、checksum 和 compression flag，使 HBM/DDR/SSD/远端节点中的 KV 具备统一可解释结构。 输入必须显式消费 KVAccessIntent + KVBlockSpec + tier telemetry，输出 KVObjectHandle + Placement + state transition，不得用全局单例或隐藏同步 I/O 绕开预算与状态机。</x:v>
      </x:c>
      <x:c r="I12" s="33" t="str">
        <x:v>节点动态加入/退出时的缓存失效控制在局部范围内（遵循一致性哈希比例）。</x:v>
      </x:c>
      <x:c r="J12" s="33" t="str">
        <x:v>src/pool/tiering/kvblock_storage_schema.{h,cc}</x:v>
      </x:c>
      <x:c r="K12" s="33" t="str">
        <x:v>L3 传输管理层 / 存储池/传输管理开发</x:v>
      </x:c>
      <x:c r="L12" s="33" t="str">
        <x:v>L3-MC-KVBlockStorageSchema-075</x:v>
      </x:c>
    </x:row>
    <x:row r="13" ht="76" customHeight="1">
      <x:c r="A13" s="33" t="str">
        <x:v>SF-01/IR-01-01/SR-01-01-02/AR-L3-MC-KVBlockStorageSchema-075-02</x:v>
      </x:c>
      <x:c r="B13" s="33" t="n">
        <x:v>4</x:v>
      </x:c>
      <x:c r="C13" s="34" t="str">
        <x:v>AR</x:v>
      </x:c>
      <x:c r="D13" s="34" t="str">
        <x:v>AR-L3-MC-KVBlockStorageSchema-075-02</x:v>
      </x:c>
      <x:c r="E13" s="34" t="str">
        <x:v>SR-01-01-02</x:v>
      </x:c>
      <x:c r="F13" s="34" t="str">
        <x:v>            ├─ AR-L3-MC-KVBlockStorageSchema-075-02 契约配置与降级</x:v>
      </x:c>
      <x:c r="G13" s="34" t="str">
        <x:v>契约配置与降级</x:v>
      </x:c>
      <x:c r="H13" s="33" t="str">
        <x:v>为 `KVBlockStorageSchemaOptions` 增加 `kvcache.kvblock_storage_schema.enabled`、deadline/容量/队列预算及版本字段；在调用点接入 typed error、decision_reason、fallback_reason，确保配置热更新、灰度关闭和向后兼容均可审计。</x:v>
      </x:c>
      <x:c r="I13" s="33" t="str">
        <x:v>节点动态加入/退出时的缓存失效控制在局部范围内（遵循一致性哈希比例）。</x:v>
      </x:c>
      <x:c r="J13" s="33" t="str">
        <x:v>api/kvcache/v1/kvblock_storage_schema.proto + config/runtime/kvblock_storage_schema.yaml</x:v>
      </x:c>
      <x:c r="K13" s="33" t="str">
        <x:v>L3 传输管理层 / 存储池/传输管理开发</x:v>
      </x:c>
      <x:c r="L13" s="33" t="str">
        <x:v>L3-MC-KVBlockStorageSchema-075</x:v>
      </x:c>
    </x:row>
    <x:row r="14" ht="76" customHeight="1">
      <x:c r="A14" s="33" t="str">
        <x:v>SF-01/IR-01-01/SR-01-01-02/AR-L3-MC-KVBlockStorageSchema-075-03</x:v>
      </x:c>
      <x:c r="B14" s="33" t="n">
        <x:v>4</x:v>
      </x:c>
      <x:c r="C14" s="34" t="str">
        <x:v>AR</x:v>
      </x:c>
      <x:c r="D14" s="34" t="str">
        <x:v>AR-L3-MC-KVBlockStorageSchema-075-03</x:v>
      </x:c>
      <x:c r="E14" s="34" t="str">
        <x:v>SR-01-01-02</x:v>
      </x:c>
      <x:c r="F14" s="34" t="str">
        <x:v>            └─ AR-L3-MC-KVBlockStorageSchema-075-03 验证与观测</x:v>
      </x:c>
      <x:c r="G14" s="34" t="str">
        <x:v>验证与观测</x:v>
      </x:c>
      <x:c r="H14" s="33" t="str">
        <x:v>新增正常、边界、并发、超时、stale metadata、迁移冲突、路径拥塞/故障与 feature-flag-off 用例；在 benchmark 中固定模型、tokenizer、prompt、并发、拓扑和 baseline，采集 lookup/load/attach、TTFT、TPOT、usable/abandoned hit、带宽/时延及 CPU/NPU 利用率。</x:v>
      </x:c>
      <x:c r="I14" s="33" t="str">
        <x:v>节点动态加入/退出时的缓存失效控制在局部范围内（遵循一致性哈希比例）。</x:v>
      </x:c>
      <x:c r="J14" s="33" t="str">
        <x:v>tests/pool/tiering/kvblock_storage_schema_test.cc + benchmarks/pool/tiering/kvblock_storage_schema_benchmark.cc</x:v>
      </x:c>
      <x:c r="K14" s="33" t="str">
        <x:v>L3 传输管理层 / 存储池/传输管理开发</x:v>
      </x:c>
      <x:c r="L14" s="33" t="str">
        <x:v>L3-MC-KVBlockStorageSchema-075</x:v>
      </x:c>
    </x:row>
    <x:row r="15" ht="76" customHeight="1">
      <x:c r="A15" s="31" t="str">
        <x:v>SF-01/IR-01-01/SR-01-01-03</x:v>
      </x:c>
      <x:c r="B15" s="31" t="n">
        <x:v>3</x:v>
      </x:c>
      <x:c r="C15" s="32" t="str">
        <x:v>SR</x:v>
      </x:c>
      <x:c r="D15" s="32" t="str">
        <x:v>SR-01-01-03</x:v>
      </x:c>
      <x:c r="E15" s="32" t="str">
        <x:v>IR-01-01</x:v>
      </x:c>
      <x:c r="F15" s="32" t="str">
        <x:v>        ├─ SR-01-01-03 集群KVCache统一管理</x:v>
      </x:c>
      <x:c r="G15" s="32" t="str">
        <x:v>集群KVCache统一管理｜L3-MC-POOL-GLOBAL-001</x:v>
      </x:c>
      <x:c r="H15" s="31" t="str">
        <x:v>系统重构：本需求要求实现Mooncake集群级统一KVCache内存池，维护全集群内存注册表，支持节点动态加入/退出，提供基于RDMA的跨节点KVCache直接读取路由，以及两级索引（本地 + 全局），将集群KVCache内存利用率提升至≥90%。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x:v>
      </x:c>
      <x:c r="I15" s="31" t="str">
        <x:v>同机架内本地及远端DDR命中率（Local Usable Hit Rate）提升≥30%。</x:v>
      </x:c>
      <x:c r="J15" s="31" t="str"/>
      <x:c r="K15" s="31" t="str">
        <x:v>L3 传输管理层 / 统一存储池与分层管理</x:v>
      </x:c>
      <x:c r="L15" s="31" t="str">
        <x:v>L3-MC-POOL-GLOBAL-001</x:v>
      </x:c>
    </x:row>
    <x:row r="16" ht="76" customHeight="1">
      <x:c r="A16" s="33" t="str">
        <x:v>SF-01/IR-01-01/SR-01-01-03/AR-L3-MC-POOL-GLOBAL-001-01</x:v>
      </x:c>
      <x:c r="B16" s="33" t="n">
        <x:v>4</x:v>
      </x:c>
      <x:c r="C16" s="34" t="str">
        <x:v>AR</x:v>
      </x:c>
      <x:c r="D16" s="34" t="str">
        <x:v>AR-L3-MC-POOL-GLOBAL-001-01</x:v>
      </x:c>
      <x:c r="E16" s="34" t="str">
        <x:v>SR-01-01-03</x:v>
      </x:c>
      <x:c r="F16" s="34" t="str">
        <x:v>            ├─ AR-L3-MC-POOL-GLOBAL-001-01 核心实现</x:v>
      </x:c>
      <x:c r="G16" s="34" t="str">
        <x:v>核心实现</x:v>
      </x:c>
      <x:c r="H16" s="33" t="str">
        <x:v>在 `src/pool/tiering/pool_global.{h,cc}` 新增或重写 `POOLGLOBALManager`，把“集群KVCache统一管理”落实为 L3 传输管理层 可调用主路径：本需求要求实现Mooncake集群级统一KVCache内存池，维护全集群内存注册表，支持节点动态加入/退出，提供基于RDMA的跨节点KVCache直接读取路由，以及两级索引（本地 + 全局），将集群KVCache内存利用率提升至≥90%。 输入必须显式消费 KVAccessIntent + KVBlockSpec + tier telemetry，输出 KVObjectHandle + Placement + state transition，不得用全局单例或隐藏同步 I/O 绕开预算与状态机。</x:v>
      </x:c>
      <x:c r="I16" s="33" t="str">
        <x:v>同机架内本地及远端DDR命中率（Local Usable Hit Rate）提升≥30%。</x:v>
      </x:c>
      <x:c r="J16" s="33" t="str">
        <x:v>src/pool/tiering/pool_global.{h,cc}</x:v>
      </x:c>
      <x:c r="K16" s="33" t="str">
        <x:v>L3 传输管理层 / 存储池/传输管理开发</x:v>
      </x:c>
      <x:c r="L16" s="33" t="str">
        <x:v>L3-MC-POOL-GLOBAL-001</x:v>
      </x:c>
    </x:row>
    <x:row r="17" ht="76" customHeight="1">
      <x:c r="A17" s="33" t="str">
        <x:v>SF-01/IR-01-01/SR-01-01-03/AR-L3-MC-POOL-GLOBAL-001-02</x:v>
      </x:c>
      <x:c r="B17" s="33" t="n">
        <x:v>4</x:v>
      </x:c>
      <x:c r="C17" s="34" t="str">
        <x:v>AR</x:v>
      </x:c>
      <x:c r="D17" s="34" t="str">
        <x:v>AR-L3-MC-POOL-GLOBAL-001-02</x:v>
      </x:c>
      <x:c r="E17" s="34" t="str">
        <x:v>SR-01-01-03</x:v>
      </x:c>
      <x:c r="F17" s="34" t="str">
        <x:v>            ├─ AR-L3-MC-POOL-GLOBAL-001-02 契约配置与降级</x:v>
      </x:c>
      <x:c r="G17" s="34" t="str">
        <x:v>契约配置与降级</x:v>
      </x:c>
      <x:c r="H17" s="33" t="str">
        <x:v>为 `POOLGLOBALOptions` 增加 `kvcache.pool_global.enabled`、deadline/容量/队列预算及版本字段；在调用点接入 typed error、decision_reason、fallback_reason，确保配置热更新、灰度关闭和向后兼容均可审计。</x:v>
      </x:c>
      <x:c r="I17" s="33" t="str">
        <x:v>同机架内本地及远端DDR命中率（Local Usable Hit Rate）提升≥30%。</x:v>
      </x:c>
      <x:c r="J17" s="33" t="str">
        <x:v>api/kvcache/v1/pool_global.proto + config/runtime/pool_global.yaml</x:v>
      </x:c>
      <x:c r="K17" s="33" t="str">
        <x:v>L3 传输管理层 / 存储池/传输管理开发</x:v>
      </x:c>
      <x:c r="L17" s="33" t="str">
        <x:v>L3-MC-POOL-GLOBAL-001</x:v>
      </x:c>
    </x:row>
    <x:row r="18" ht="76" customHeight="1">
      <x:c r="A18" s="33" t="str">
        <x:v>SF-01/IR-01-01/SR-01-01-03/AR-L3-MC-POOL-GLOBAL-001-03</x:v>
      </x:c>
      <x:c r="B18" s="33" t="n">
        <x:v>4</x:v>
      </x:c>
      <x:c r="C18" s="34" t="str">
        <x:v>AR</x:v>
      </x:c>
      <x:c r="D18" s="34" t="str">
        <x:v>AR-L3-MC-POOL-GLOBAL-001-03</x:v>
      </x:c>
      <x:c r="E18" s="34" t="str">
        <x:v>SR-01-01-03</x:v>
      </x:c>
      <x:c r="F18" s="34" t="str">
        <x:v>            └─ AR-L3-MC-POOL-GLOBAL-001-03 验证与观测</x:v>
      </x:c>
      <x:c r="G18" s="34" t="str">
        <x:v>验证与观测</x:v>
      </x:c>
      <x:c r="H18" s="33" t="str">
        <x:v>新增正常、边界、并发、超时、stale metadata、迁移冲突、路径拥塞/故障与 feature-flag-off 用例；在 benchmark 中固定模型、tokenizer、prompt、并发、拓扑和 baseline，采集 lookup/load/attach、TTFT、TPOT、usable/abandoned hit、带宽/时延及 CPU/NPU 利用率。</x:v>
      </x:c>
      <x:c r="I18" s="33" t="str">
        <x:v>同机架内本地及远端DDR命中率（Local Usable Hit Rate）提升≥30%。</x:v>
      </x:c>
      <x:c r="J18" s="33" t="str">
        <x:v>tests/pool/tiering/pool_global_test.cc + benchmarks/pool/tiering/pool_global_benchmark.cc</x:v>
      </x:c>
      <x:c r="K18" s="33" t="str">
        <x:v>L3 传输管理层 / 存储池/传输管理开发</x:v>
      </x:c>
      <x:c r="L18" s="33" t="str">
        <x:v>L3-MC-POOL-GLOBAL-001</x:v>
      </x:c>
    </x:row>
    <x:row r="19" ht="76" customHeight="1">
      <x:c r="A19" s="31" t="str">
        <x:v>SF-01/IR-01-01/SR-01-01-04</x:v>
      </x:c>
      <x:c r="B19" s="31" t="n">
        <x:v>3</x:v>
      </x:c>
      <x:c r="C19" s="32" t="str">
        <x:v>SR</x:v>
      </x:c>
      <x:c r="D19" s="32" t="str">
        <x:v>SR-01-01-04</x:v>
      </x:c>
      <x:c r="E19" s="32" t="str">
        <x:v>IR-01-01</x:v>
      </x:c>
      <x:c r="F19" s="32" t="str">
        <x:v>        ├─ SR-01-01-04 KV 全生命周期状态一致性管理</x:v>
      </x:c>
      <x:c r="G19" s="32" t="str">
        <x:v>KV 全生命周期状态一致性管理｜L3-MS-KVObjectStateMachine-058</x:v>
      </x:c>
      <x:c r="H19" s="31" t="str">
        <x:v>系统重构：本需求要求统一 KV 内存池为每个 KV object 建立显式对象状态机，至少覆盖 INIT、WRITING、COMMITTED、READY、ACTIVE_ATTACHED、PREFETCHING、LOADING、MIGRATING、COMPACTING、EVICTING、TOMBSTONE、FAILED、QUARANTINED 状态；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x:v>
      </x:c>
      <x:c r="I19" s="31" t="str">
        <x:v>KV 对象状态机能准确防范半写入或悬空内存泄漏，状态机流转清晰，覆盖所有关键物理介质迁移状态。</x:v>
      </x:c>
      <x:c r="J19" s="31" t="str"/>
      <x:c r="K19" s="31" t="str">
        <x:v>L3 传输管理层 / 统一存储池与分层管理</x:v>
      </x:c>
      <x:c r="L19" s="31" t="str">
        <x:v>L3-MS-KVObjectStateMachine-058</x:v>
      </x:c>
    </x:row>
    <x:row r="20" ht="76" customHeight="1">
      <x:c r="A20" s="33" t="str">
        <x:v>SF-01/IR-01-01/SR-01-01-04/AR-L3-MS-KVObjectStateMachine-058-01</x:v>
      </x:c>
      <x:c r="B20" s="33" t="n">
        <x:v>4</x:v>
      </x:c>
      <x:c r="C20" s="34" t="str">
        <x:v>AR</x:v>
      </x:c>
      <x:c r="D20" s="34" t="str">
        <x:v>AR-L3-MS-KVObjectStateMachine-058-01</x:v>
      </x:c>
      <x:c r="E20" s="34" t="str">
        <x:v>SR-01-01-04</x:v>
      </x:c>
      <x:c r="F20" s="34" t="str">
        <x:v>            ├─ AR-L3-MS-KVObjectStateMachine-058-01 核心实现</x:v>
      </x:c>
      <x:c r="G20" s="34" t="str">
        <x:v>核心实现</x:v>
      </x:c>
      <x:c r="H20" s="33" t="str">
        <x:v>在 `src/pool/tiering/kvobject_state_machine.{h,cc}` 新增或重写 `KVObjectStateMachineManager`，把“KV 全生命周期状态一致性管理”落实为 L3 传输管理层 可调用主路径：本需求要求统一 KV 内存池为每个 KV object 建立显式对象状态机，至少覆盖 INIT、WRITING、COMMITTED、READY、ACTIVE_ATTACHED、PREFETCHING、LOADING、MIGRATING、COMPACTING、EVICTING、TOMBSTONE、FAILED、QUARANTINED 状态； 输入必须显式消费 KVAccessIntent + KVBlockSpec + tier telemetry，输出 KVObjectHandle + Placement + state transition，不得用全局单例或隐藏同步 I/O 绕开预算与状态机。</x:v>
      </x:c>
      <x:c r="I20" s="33" t="str">
        <x:v>KV 对象状态机能准确防范半写入或悬空内存泄漏，状态机流转清晰，覆盖所有关键物理介质迁移状态。</x:v>
      </x:c>
      <x:c r="J20" s="33" t="str">
        <x:v>src/pool/tiering/kvobject_state_machine.{h,cc}</x:v>
      </x:c>
      <x:c r="K20" s="33" t="str">
        <x:v>L3 传输管理层 / 存储池/传输管理开发</x:v>
      </x:c>
      <x:c r="L20" s="33" t="str">
        <x:v>L3-MS-KVObjectStateMachine-058</x:v>
      </x:c>
    </x:row>
    <x:row r="21" ht="76" customHeight="1">
      <x:c r="A21" s="33" t="str">
        <x:v>SF-01/IR-01-01/SR-01-01-04/AR-L3-MS-KVObjectStateMachine-058-02</x:v>
      </x:c>
      <x:c r="B21" s="33" t="n">
        <x:v>4</x:v>
      </x:c>
      <x:c r="C21" s="34" t="str">
        <x:v>AR</x:v>
      </x:c>
      <x:c r="D21" s="34" t="str">
        <x:v>AR-L3-MS-KVObjectStateMachine-058-02</x:v>
      </x:c>
      <x:c r="E21" s="34" t="str">
        <x:v>SR-01-01-04</x:v>
      </x:c>
      <x:c r="F21" s="34" t="str">
        <x:v>            ├─ AR-L3-MS-KVObjectStateMachine-058-02 契约配置与降级</x:v>
      </x:c>
      <x:c r="G21" s="34" t="str">
        <x:v>契约配置与降级</x:v>
      </x:c>
      <x:c r="H21" s="33" t="str">
        <x:v>为 `KVObjectStateMachineOptions` 增加 `kvcache.kvobject_state_machine.enabled`、deadline/容量/队列预算及版本字段；在调用点接入 typed error、decision_reason、fallback_reason，确保配置热更新、灰度关闭和向后兼容均可审计。</x:v>
      </x:c>
      <x:c r="I21" s="33" t="str">
        <x:v>KV 对象状态机能准确防范半写入或悬空内存泄漏，状态机流转清晰，覆盖所有关键物理介质迁移状态。</x:v>
      </x:c>
      <x:c r="J21" s="33" t="str">
        <x:v>api/kvcache/v1/kvobject_state_machine.proto + config/runtime/kvobject_state_machine.yaml</x:v>
      </x:c>
      <x:c r="K21" s="33" t="str">
        <x:v>L3 传输管理层 / 存储池/传输管理开发</x:v>
      </x:c>
      <x:c r="L21" s="33" t="str">
        <x:v>L3-MS-KVObjectStateMachine-058</x:v>
      </x:c>
    </x:row>
    <x:row r="22" ht="76" customHeight="1">
      <x:c r="A22" s="33" t="str">
        <x:v>SF-01/IR-01-01/SR-01-01-04/AR-L3-MS-KVObjectStateMachine-058-03</x:v>
      </x:c>
      <x:c r="B22" s="33" t="n">
        <x:v>4</x:v>
      </x:c>
      <x:c r="C22" s="34" t="str">
        <x:v>AR</x:v>
      </x:c>
      <x:c r="D22" s="34" t="str">
        <x:v>AR-L3-MS-KVObjectStateMachine-058-03</x:v>
      </x:c>
      <x:c r="E22" s="34" t="str">
        <x:v>SR-01-01-04</x:v>
      </x:c>
      <x:c r="F22" s="34" t="str">
        <x:v>            └─ AR-L3-MS-KVObjectStateMachine-058-03 验证与观测</x:v>
      </x:c>
      <x:c r="G22" s="34" t="str">
        <x:v>验证与观测</x:v>
      </x:c>
      <x:c r="H22" s="33" t="str">
        <x:v>新增正常、边界、并发、超时、stale metadata、迁移冲突、路径拥塞/故障与 feature-flag-off 用例；在 benchmark 中固定模型、tokenizer、prompt、并发、拓扑和 baseline，采集 lookup/load/attach、TTFT、TPOT、usable/abandoned hit、带宽/时延及 CPU/NPU 利用率。</x:v>
      </x:c>
      <x:c r="I22" s="33" t="str">
        <x:v>KV 对象状态机能准确防范半写入或悬空内存泄漏，状态机流转清晰，覆盖所有关键物理介质迁移状态。</x:v>
      </x:c>
      <x:c r="J22" s="33" t="str">
        <x:v>tests/pool/tiering/kvobject_state_machine_test.cc + benchmarks/pool/tiering/kvobject_state_machine_benchmark.cc</x:v>
      </x:c>
      <x:c r="K22" s="33" t="str">
        <x:v>L3 传输管理层 / 存储池/传输管理开发</x:v>
      </x:c>
      <x:c r="L22" s="33" t="str">
        <x:v>L3-MS-KVObjectStateMachine-058</x:v>
      </x:c>
    </x:row>
    <x:row r="23" ht="76" customHeight="1">
      <x:c r="A23" s="31" t="str">
        <x:v>SF-01/IR-01-01/SR-01-01-05</x:v>
      </x:c>
      <x:c r="B23" s="31" t="n">
        <x:v>3</x:v>
      </x:c>
      <x:c r="C23" s="32" t="str">
        <x:v>SR</x:v>
      </x:c>
      <x:c r="D23" s="32" t="str">
        <x:v>SR-01-01-05</x:v>
      </x:c>
      <x:c r="E23" s="32" t="str">
        <x:v>IR-01-01</x:v>
      </x:c>
      <x:c r="F23" s="32" t="str">
        <x:v>        ├─ SR-01-01-05 KV 升降级/碎片整理期间的安全消费</x:v>
      </x:c>
      <x:c r="G23" s="32" t="str">
        <x:v>KV 升降级/碎片整理期间的安全消费｜L3-MS-MigrationInterlock-062</x:v>
      </x:c>
      <x:c r="H23" s="31" t="str">
        <x:v>系统重构：本需求要求在 KV 正处于 MIGRATING、COMPACTING、EVICTING 等状态时提供访问互锁机制：若已有 active lease，则延迟迁移或执行 copy-on-migrate；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x:v>
      </x:c>
      <x:c r="I23" s="31" t="str">
        <x:v>节点动态加入/退出时的缓存失效控制在局部范围内（遵循一致性哈希比例）。</x:v>
      </x:c>
      <x:c r="J23" s="31" t="str"/>
      <x:c r="K23" s="31" t="str">
        <x:v>L3 传输管理层 / 统一存储池与分层管理</x:v>
      </x:c>
      <x:c r="L23" s="31" t="str">
        <x:v>L3-MS-MigrationInterlock-062</x:v>
      </x:c>
    </x:row>
    <x:row r="24" ht="76" customHeight="1">
      <x:c r="A24" s="33" t="str">
        <x:v>SF-01/IR-01-01/SR-01-01-05/AR-L3-MS-MigrationInterlock-062-01</x:v>
      </x:c>
      <x:c r="B24" s="33" t="n">
        <x:v>4</x:v>
      </x:c>
      <x:c r="C24" s="34" t="str">
        <x:v>AR</x:v>
      </x:c>
      <x:c r="D24" s="34" t="str">
        <x:v>AR-L3-MS-MigrationInterlock-062-01</x:v>
      </x:c>
      <x:c r="E24" s="34" t="str">
        <x:v>SR-01-01-05</x:v>
      </x:c>
      <x:c r="F24" s="34" t="str">
        <x:v>            ├─ AR-L3-MS-MigrationInterlock-062-01 核心实现</x:v>
      </x:c>
      <x:c r="G24" s="34" t="str">
        <x:v>核心实现</x:v>
      </x:c>
      <x:c r="H24" s="33" t="str">
        <x:v>在 `src/pool/tiering/migration_interlock.{h,cc}` 新增或重写 `MigrationInterlockManager`，把“KV 升降级/碎片整理期间的安全消费”落实为 L3 传输管理层 可调用主路径：本需求要求在 KV 正处于 MIGRATING、COMPACTING、EVICTING 等状态时提供访问互锁机制：若已有 active lease，则延迟迁移或执行 copy-on-migrate； 输入必须显式消费 KVAccessIntent + KVBlockSpec + tier telemetry，输出 KVObjectHandle + Placement + state transition，不得用全局单例或隐藏同步 I/O 绕开预算与状态机。</x:v>
      </x:c>
      <x:c r="I24" s="33" t="str">
        <x:v>节点动态加入/退出时的缓存失效控制在局部范围内（遵循一致性哈希比例）。</x:v>
      </x:c>
      <x:c r="J24" s="33" t="str">
        <x:v>src/pool/tiering/migration_interlock.{h,cc}</x:v>
      </x:c>
      <x:c r="K24" s="33" t="str">
        <x:v>L3 传输管理层 / 存储池/传输管理开发</x:v>
      </x:c>
      <x:c r="L24" s="33" t="str">
        <x:v>L3-MS-MigrationInterlock-062</x:v>
      </x:c>
    </x:row>
    <x:row r="25" ht="76" customHeight="1">
      <x:c r="A25" s="33" t="str">
        <x:v>SF-01/IR-01-01/SR-01-01-05/AR-L3-MS-MigrationInterlock-062-02</x:v>
      </x:c>
      <x:c r="B25" s="33" t="n">
        <x:v>4</x:v>
      </x:c>
      <x:c r="C25" s="34" t="str">
        <x:v>AR</x:v>
      </x:c>
      <x:c r="D25" s="34" t="str">
        <x:v>AR-L3-MS-MigrationInterlock-062-02</x:v>
      </x:c>
      <x:c r="E25" s="34" t="str">
        <x:v>SR-01-01-05</x:v>
      </x:c>
      <x:c r="F25" s="34" t="str">
        <x:v>            ├─ AR-L3-MS-MigrationInterlock-062-02 契约配置与降级</x:v>
      </x:c>
      <x:c r="G25" s="34" t="str">
        <x:v>契约配置与降级</x:v>
      </x:c>
      <x:c r="H25" s="33" t="str">
        <x:v>为 `MigrationInterlockOptions` 增加 `kvcache.migration_interlock.enabled`、deadline/容量/队列预算及版本字段；在调用点接入 typed error、decision_reason、fallback_reason，确保配置热更新、灰度关闭和向后兼容均可审计。</x:v>
      </x:c>
      <x:c r="I25" s="33" t="str">
        <x:v>节点动态加入/退出时的缓存失效控制在局部范围内（遵循一致性哈希比例）。</x:v>
      </x:c>
      <x:c r="J25" s="33" t="str">
        <x:v>api/kvcache/v1/migration_interlock.proto + config/runtime/migration_interlock.yaml</x:v>
      </x:c>
      <x:c r="K25" s="33" t="str">
        <x:v>L3 传输管理层 / 存储池/传输管理开发</x:v>
      </x:c>
      <x:c r="L25" s="33" t="str">
        <x:v>L3-MS-MigrationInterlock-062</x:v>
      </x:c>
    </x:row>
    <x:row r="26" ht="76" customHeight="1">
      <x:c r="A26" s="33" t="str">
        <x:v>SF-01/IR-01-01/SR-01-01-05/AR-L3-MS-MigrationInterlock-062-03</x:v>
      </x:c>
      <x:c r="B26" s="33" t="n">
        <x:v>4</x:v>
      </x:c>
      <x:c r="C26" s="34" t="str">
        <x:v>AR</x:v>
      </x:c>
      <x:c r="D26" s="34" t="str">
        <x:v>AR-L3-MS-MigrationInterlock-062-03</x:v>
      </x:c>
      <x:c r="E26" s="34" t="str">
        <x:v>SR-01-01-05</x:v>
      </x:c>
      <x:c r="F26" s="34" t="str">
        <x:v>            └─ AR-L3-MS-MigrationInterlock-062-03 验证与观测</x:v>
      </x:c>
      <x:c r="G26" s="34" t="str">
        <x:v>验证与观测</x:v>
      </x:c>
      <x:c r="H26" s="33" t="str">
        <x:v>新增正常、边界、并发、超时、stale metadata、迁移冲突、路径拥塞/故障与 feature-flag-off 用例；在 benchmark 中固定模型、tokenizer、prompt、并发、拓扑和 baseline，采集 lookup/load/attach、TTFT、TPOT、usable/abandoned hit、带宽/时延及 CPU/NPU 利用率。</x:v>
      </x:c>
      <x:c r="I26" s="33" t="str">
        <x:v>节点动态加入/退出时的缓存失效控制在局部范围内（遵循一致性哈希比例）。</x:v>
      </x:c>
      <x:c r="J26" s="33" t="str">
        <x:v>tests/pool/tiering/migration_interlock_test.cc + benchmarks/pool/tiering/migration_interlock_benchmark.cc</x:v>
      </x:c>
      <x:c r="K26" s="33" t="str">
        <x:v>L3 传输管理层 / 存储池/传输管理开发</x:v>
      </x:c>
      <x:c r="L26" s="33" t="str">
        <x:v>L3-MS-MigrationInterlock-062</x:v>
      </x:c>
    </x:row>
    <x:row r="27" ht="76" customHeight="1">
      <x:c r="A27" s="31" t="str">
        <x:v>SF-01/IR-01-01/SR-01-01-06</x:v>
      </x:c>
      <x:c r="B27" s="31" t="n">
        <x:v>3</x:v>
      </x:c>
      <x:c r="C27" s="32" t="str">
        <x:v>SR</x:v>
      </x:c>
      <x:c r="D27" s="32" t="str">
        <x:v>SR-01-01-06</x:v>
      </x:c>
      <x:c r="E27" s="32" t="str">
        <x:v>IR-01-01</x:v>
      </x:c>
      <x:c r="F27" s="32" t="str">
        <x:v>        ├─ SR-01-01-06 防止活跃 KV 被误淘汰</x:v>
      </x:c>
      <x:c r="G27" s="32" t="str">
        <x:v>防止活跃 KV 被误淘汰｜L3-MS-StateAwareEviction-082</x:v>
      </x:c>
      <x:c r="H27" s="31" t="str">
        <x:v>系统重构：本需求要求淘汰/降级决策必须检查 active lease、refcount、ready bitmap、replica count 和 tombstone 状态；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x:v>
      </x:c>
      <x:c r="I27" s="31" t="str">
        <x:v>节点动态加入/退出时的缓存失效控制在局部范围内（遵循一致性哈希比例）。</x:v>
      </x:c>
      <x:c r="J27" s="31" t="str"/>
      <x:c r="K27" s="31" t="str">
        <x:v>L3 传输管理层 / 统一存储池与分层管理</x:v>
      </x:c>
      <x:c r="L27" s="31" t="str">
        <x:v>L3-MS-StateAwareEviction-082</x:v>
      </x:c>
    </x:row>
    <x:row r="28" ht="76" customHeight="1">
      <x:c r="A28" s="33" t="str">
        <x:v>SF-01/IR-01-01/SR-01-01-06/AR-L3-MS-StateAwareEviction-082-01</x:v>
      </x:c>
      <x:c r="B28" s="33" t="n">
        <x:v>4</x:v>
      </x:c>
      <x:c r="C28" s="34" t="str">
        <x:v>AR</x:v>
      </x:c>
      <x:c r="D28" s="34" t="str">
        <x:v>AR-L3-MS-StateAwareEviction-082-01</x:v>
      </x:c>
      <x:c r="E28" s="34" t="str">
        <x:v>SR-01-01-06</x:v>
      </x:c>
      <x:c r="F28" s="34" t="str">
        <x:v>            ├─ AR-L3-MS-StateAwareEviction-082-01 核心实现</x:v>
      </x:c>
      <x:c r="G28" s="34" t="str">
        <x:v>核心实现</x:v>
      </x:c>
      <x:c r="H28" s="33" t="str">
        <x:v>在 `src/pool/tiering/state_aware_eviction.{h,cc}` 新增或重写 `StateAwareEvictionManager`，把“防止活跃 KV 被误淘汰”落实为 L3 传输管理层 可调用主路径：本需求要求淘汰/降级决策必须检查 active lease、refcount、ready bitmap、replica count 和 tombstone 状态； 输入必须显式消费 KVAccessIntent + KVBlockSpec + tier telemetry，输出 KVObjectHandle + Placement + state transition，不得用全局单例或隐藏同步 I/O 绕开预算与状态机。</x:v>
      </x:c>
      <x:c r="I28" s="33" t="str">
        <x:v>节点动态加入/退出时的缓存失效控制在局部范围内（遵循一致性哈希比例）。</x:v>
      </x:c>
      <x:c r="J28" s="33" t="str">
        <x:v>src/pool/tiering/state_aware_eviction.{h,cc}</x:v>
      </x:c>
      <x:c r="K28" s="33" t="str">
        <x:v>L3 传输管理层 / 存储池/传输管理开发</x:v>
      </x:c>
      <x:c r="L28" s="33" t="str">
        <x:v>L3-MS-StateAwareEviction-082</x:v>
      </x:c>
    </x:row>
    <x:row r="29" ht="76" customHeight="1">
      <x:c r="A29" s="33" t="str">
        <x:v>SF-01/IR-01-01/SR-01-01-06/AR-L3-MS-StateAwareEviction-082-02</x:v>
      </x:c>
      <x:c r="B29" s="33" t="n">
        <x:v>4</x:v>
      </x:c>
      <x:c r="C29" s="34" t="str">
        <x:v>AR</x:v>
      </x:c>
      <x:c r="D29" s="34" t="str">
        <x:v>AR-L3-MS-StateAwareEviction-082-02</x:v>
      </x:c>
      <x:c r="E29" s="34" t="str">
        <x:v>SR-01-01-06</x:v>
      </x:c>
      <x:c r="F29" s="34" t="str">
        <x:v>            ├─ AR-L3-MS-StateAwareEviction-082-02 契约配置与降级</x:v>
      </x:c>
      <x:c r="G29" s="34" t="str">
        <x:v>契约配置与降级</x:v>
      </x:c>
      <x:c r="H29" s="33" t="str">
        <x:v>为 `StateAwareEvictionOptions` 增加 `kvcache.state_aware_eviction.enabled`、deadline/容量/队列预算及版本字段；在调用点接入 typed error、decision_reason、fallback_reason，确保配置热更新、灰度关闭和向后兼容均可审计。</x:v>
      </x:c>
      <x:c r="I29" s="33" t="str">
        <x:v>节点动态加入/退出时的缓存失效控制在局部范围内（遵循一致性哈希比例）。</x:v>
      </x:c>
      <x:c r="J29" s="33" t="str">
        <x:v>api/kvcache/v1/state_aware_eviction.proto + config/runtime/state_aware_eviction.yaml</x:v>
      </x:c>
      <x:c r="K29" s="33" t="str">
        <x:v>L3 传输管理层 / 存储池/传输管理开发</x:v>
      </x:c>
      <x:c r="L29" s="33" t="str">
        <x:v>L3-MS-StateAwareEviction-082</x:v>
      </x:c>
    </x:row>
    <x:row r="30" ht="76" customHeight="1">
      <x:c r="A30" s="33" t="str">
        <x:v>SF-01/IR-01-01/SR-01-01-06/AR-L3-MS-StateAwareEviction-082-03</x:v>
      </x:c>
      <x:c r="B30" s="33" t="n">
        <x:v>4</x:v>
      </x:c>
      <x:c r="C30" s="34" t="str">
        <x:v>AR</x:v>
      </x:c>
      <x:c r="D30" s="34" t="str">
        <x:v>AR-L3-MS-StateAwareEviction-082-03</x:v>
      </x:c>
      <x:c r="E30" s="34" t="str">
        <x:v>SR-01-01-06</x:v>
      </x:c>
      <x:c r="F30" s="34" t="str">
        <x:v>            └─ AR-L3-MS-StateAwareEviction-082-03 验证与观测</x:v>
      </x:c>
      <x:c r="G30" s="34" t="str">
        <x:v>验证与观测</x:v>
      </x:c>
      <x:c r="H30" s="33" t="str">
        <x:v>新增正常、边界、并发、超时、stale metadata、迁移冲突、路径拥塞/故障与 feature-flag-off 用例；在 benchmark 中固定模型、tokenizer、prompt、并发、拓扑和 baseline，采集 lookup/load/attach、TTFT、TPOT、usable/abandoned hit、带宽/时延及 CPU/NPU 利用率。</x:v>
      </x:c>
      <x:c r="I30" s="33" t="str">
        <x:v>节点动态加入/退出时的缓存失效控制在局部范围内（遵循一致性哈希比例）。</x:v>
      </x:c>
      <x:c r="J30" s="33" t="str">
        <x:v>tests/pool/tiering/state_aware_eviction_test.cc + benchmarks/pool/tiering/state_aware_eviction_benchmark.cc</x:v>
      </x:c>
      <x:c r="K30" s="33" t="str">
        <x:v>L3 传输管理层 / 存储池/传输管理开发</x:v>
      </x:c>
      <x:c r="L30" s="33" t="str">
        <x:v>L3-MS-StateAwareEviction-082</x:v>
      </x:c>
    </x:row>
    <x:row r="31" ht="76" customHeight="1">
      <x:c r="A31" s="31" t="str">
        <x:v>SF-01/IR-01-01/SR-01-01-07</x:v>
      </x:c>
      <x:c r="B31" s="31" t="n">
        <x:v>3</x:v>
      </x:c>
      <x:c r="C31" s="32" t="str">
        <x:v>SR</x:v>
      </x:c>
      <x:c r="D31" s="32" t="str">
        <x:v>SR-01-01-07</x:v>
      </x:c>
      <x:c r="E31" s="32" t="str">
        <x:v>IR-01-01</x:v>
      </x:c>
      <x:c r="F31" s="32" t="str">
        <x:v>        ├─ SR-01-01-07 KV 热存储容量扩展</x:v>
      </x:c>
      <x:c r="G31" s="32" t="str">
        <x:v>KV 热存储容量扩展｜L3-MS-Tiering-038</x:v>
      </x:c>
      <x:c r="H31" s="31" t="str">
        <x:v>系统重构：本需求要求实现多级 KV tiering manager：根据 active/warm/cold 状态、reuse probability、load cost、memory rent 和 SLO，将 KV 在 HBM、本地 DDR、远端 DDR、本地 SSD、远端 SSD/object 之间 提级或降级。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x:v>
      </x:c>
      <x:c r="I31" s="31" t="str">
        <x:v>HBM effective capacity 提升 ≥30%；GPU OOM/preemption 降低 ≥50%；</x:v>
      </x:c>
      <x:c r="J31" s="31" t="str"/>
      <x:c r="K31" s="31" t="str">
        <x:v>L3 传输管理层 / 统一存储池与分层管理</x:v>
      </x:c>
      <x:c r="L31" s="31" t="str">
        <x:v>L3-MS-Tiering-038</x:v>
      </x:c>
    </x:row>
    <x:row r="32" ht="76" customHeight="1">
      <x:c r="A32" s="33" t="str">
        <x:v>SF-01/IR-01-01/SR-01-01-07/AR-L3-MS-Tiering-038-01</x:v>
      </x:c>
      <x:c r="B32" s="33" t="n">
        <x:v>4</x:v>
      </x:c>
      <x:c r="C32" s="34" t="str">
        <x:v>AR</x:v>
      </x:c>
      <x:c r="D32" s="34" t="str">
        <x:v>AR-L3-MS-Tiering-038-01</x:v>
      </x:c>
      <x:c r="E32" s="34" t="str">
        <x:v>SR-01-01-07</x:v>
      </x:c>
      <x:c r="F32" s="34" t="str">
        <x:v>            ├─ AR-L3-MS-Tiering-038-01 核心实现</x:v>
      </x:c>
      <x:c r="G32" s="34" t="str">
        <x:v>核心实现</x:v>
      </x:c>
      <x:c r="H32" s="33" t="str">
        <x:v>在 `src/pool/tiering/tiering.{h,cc}` 新增或重写 `TieringManager`，把“KV 热存储容量扩展”落实为 L3 传输管理层 可调用主路径：本需求要求实现多级 KV tiering manager：根据 active/warm/cold 状态、reuse probability、load cost、memory rent 和 SLO，将 KV 在 HBM、本地 DDR、远端 DDR、本地 SSD、远端 SSD/object 之间 提级或降级。 输入必须显式消费 KVAccessIntent + KVBlockSpec + tier telemetry，输出 KVObjectHandle + Placement + state transition，不得用全局单例或隐藏同步 I/O 绕开预算与状态机。</x:v>
      </x:c>
      <x:c r="I32" s="33" t="str">
        <x:v>HBM effective capacity 提升 ≥30%；GPU OOM/preemption 降低 ≥50%；</x:v>
      </x:c>
      <x:c r="J32" s="33" t="str">
        <x:v>src/pool/tiering/tiering.{h,cc}</x:v>
      </x:c>
      <x:c r="K32" s="33" t="str">
        <x:v>L3 传输管理层 / 存储池/传输管理开发</x:v>
      </x:c>
      <x:c r="L32" s="33" t="str">
        <x:v>L3-MS-Tiering-038</x:v>
      </x:c>
    </x:row>
    <x:row r="33" ht="76" customHeight="1">
      <x:c r="A33" s="33" t="str">
        <x:v>SF-01/IR-01-01/SR-01-01-07/AR-L3-MS-Tiering-038-02</x:v>
      </x:c>
      <x:c r="B33" s="33" t="n">
        <x:v>4</x:v>
      </x:c>
      <x:c r="C33" s="34" t="str">
        <x:v>AR</x:v>
      </x:c>
      <x:c r="D33" s="34" t="str">
        <x:v>AR-L3-MS-Tiering-038-02</x:v>
      </x:c>
      <x:c r="E33" s="34" t="str">
        <x:v>SR-01-01-07</x:v>
      </x:c>
      <x:c r="F33" s="34" t="str">
        <x:v>            ├─ AR-L3-MS-Tiering-038-02 契约配置与降级</x:v>
      </x:c>
      <x:c r="G33" s="34" t="str">
        <x:v>契约配置与降级</x:v>
      </x:c>
      <x:c r="H33" s="33" t="str">
        <x:v>为 `TieringOptions` 增加 `kvcache.tiering.enabled`、deadline/容量/队列预算及版本字段；在调用点接入 typed error、decision_reason、fallback_reason，确保配置热更新、灰度关闭和向后兼容均可审计。</x:v>
      </x:c>
      <x:c r="I33" s="33" t="str">
        <x:v>HBM effective capacity 提升 ≥30%；GPU OOM/preemption 降低 ≥50%；</x:v>
      </x:c>
      <x:c r="J33" s="33" t="str">
        <x:v>api/kvcache/v1/tiering.proto + config/runtime/tiering.yaml</x:v>
      </x:c>
      <x:c r="K33" s="33" t="str">
        <x:v>L3 传输管理层 / 存储池/传输管理开发</x:v>
      </x:c>
      <x:c r="L33" s="33" t="str">
        <x:v>L3-MS-Tiering-038</x:v>
      </x:c>
    </x:row>
    <x:row r="34" ht="76" customHeight="1">
      <x:c r="A34" s="33" t="str">
        <x:v>SF-01/IR-01-01/SR-01-01-07/AR-L3-MS-Tiering-038-03</x:v>
      </x:c>
      <x:c r="B34" s="33" t="n">
        <x:v>4</x:v>
      </x:c>
      <x:c r="C34" s="34" t="str">
        <x:v>AR</x:v>
      </x:c>
      <x:c r="D34" s="34" t="str">
        <x:v>AR-L3-MS-Tiering-038-03</x:v>
      </x:c>
      <x:c r="E34" s="34" t="str">
        <x:v>SR-01-01-07</x:v>
      </x:c>
      <x:c r="F34" s="34" t="str">
        <x:v>            └─ AR-L3-MS-Tiering-038-03 验证与观测</x:v>
      </x:c>
      <x:c r="G34" s="34" t="str">
        <x:v>验证与观测</x:v>
      </x:c>
      <x:c r="H34" s="33" t="str">
        <x:v>新增正常、边界、并发、超时、stale metadata、迁移冲突、路径拥塞/故障与 feature-flag-off 用例；在 benchmark 中固定模型、tokenizer、prompt、并发、拓扑和 baseline，采集 lookup/load/attach、TTFT、TPOT、usable/abandoned hit、带宽/时延及 CPU/NPU 利用率。</x:v>
      </x:c>
      <x:c r="I34" s="33" t="str">
        <x:v>HBM effective capacity 提升 ≥30%；GPU OOM/preemption 降低 ≥50%；</x:v>
      </x:c>
      <x:c r="J34" s="33" t="str">
        <x:v>tests/pool/tiering/tiering_test.cc + benchmarks/pool/tiering/tiering_benchmark.cc</x:v>
      </x:c>
      <x:c r="K34" s="33" t="str">
        <x:v>L3 传输管理层 / 存储池/传输管理开发</x:v>
      </x:c>
      <x:c r="L34" s="33" t="str">
        <x:v>L3-MS-Tiering-038</x:v>
      </x:c>
    </x:row>
    <x:row r="35" ht="76" customHeight="1">
      <x:c r="A35" s="31" t="str">
        <x:v>SF-01/IR-01-01/SR-01-01-08</x:v>
      </x:c>
      <x:c r="B35" s="31" t="n">
        <x:v>3</x:v>
      </x:c>
      <x:c r="C35" s="32" t="str">
        <x:v>SR</x:v>
      </x:c>
      <x:c r="D35" s="32" t="str">
        <x:v>SR-01-01-08</x:v>
      </x:c>
      <x:c r="E35" s="32" t="str">
        <x:v>IR-01-01</x:v>
      </x:c>
      <x:c r="F35" s="32" t="str">
        <x:v>        ├─ SR-01-01-08 长周期运行内存紧凑整理</x:v>
      </x:c>
      <x:c r="G35" s="32" t="str">
        <x:v>长周期运行内存紧凑整理｜L3-MC-CompactionEngine-056</x:v>
      </x:c>
      <x:c r="H35" s="31" t="str">
        <x:v>系统重构：本需求要求实现集群/节点双级 KVCache 内存紧凑引擎（Compaction Engine）。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x:v>
      </x:c>
      <x:c r="I35" s="31" t="str">
        <x:v>节点动态加入/退出时的缓存失效控制在局部范围内（遵循一致性哈希比例）。</x:v>
      </x:c>
      <x:c r="J35" s="31" t="str"/>
      <x:c r="K35" s="31" t="str">
        <x:v>L3 传输管理层 / 统一存储池与分层管理</x:v>
      </x:c>
      <x:c r="L35" s="31" t="str">
        <x:v>L3-MC-CompactionEngine-056</x:v>
      </x:c>
    </x:row>
    <x:row r="36" ht="76" customHeight="1">
      <x:c r="A36" s="33" t="str">
        <x:v>SF-01/IR-01-01/SR-01-01-08/AR-L3-MC-CompactionEngine-056-01</x:v>
      </x:c>
      <x:c r="B36" s="33" t="n">
        <x:v>4</x:v>
      </x:c>
      <x:c r="C36" s="34" t="str">
        <x:v>AR</x:v>
      </x:c>
      <x:c r="D36" s="34" t="str">
        <x:v>AR-L3-MC-CompactionEngine-056-01</x:v>
      </x:c>
      <x:c r="E36" s="34" t="str">
        <x:v>SR-01-01-08</x:v>
      </x:c>
      <x:c r="F36" s="34" t="str">
        <x:v>            ├─ AR-L3-MC-CompactionEngine-056-01 核心实现</x:v>
      </x:c>
      <x:c r="G36" s="34" t="str">
        <x:v>核心实现</x:v>
      </x:c>
      <x:c r="H36" s="33" t="str">
        <x:v>在 `src/pool/tiering/compaction_engine.{h,cc}` 新增或重写 `CompactionEngineManager`，把“长周期运行内存紧凑整理”落实为 L3 传输管理层 可调用主路径：本需求要求实现集群/节点双级 KVCache 内存紧凑引擎（Compaction Engine）。 输入必须显式消费 KVAccessIntent + KVBlockSpec + tier telemetry，输出 KVObjectHandle + Placement + state transition，不得用全局单例或隐藏同步 I/O 绕开预算与状态机。</x:v>
      </x:c>
      <x:c r="I36" s="33" t="str">
        <x:v>节点动态加入/退出时的缓存失效控制在局部范围内（遵循一致性哈希比例）。</x:v>
      </x:c>
      <x:c r="J36" s="33" t="str">
        <x:v>src/pool/tiering/compaction_engine.{h,cc}</x:v>
      </x:c>
      <x:c r="K36" s="33" t="str">
        <x:v>L3 传输管理层 / 存储池/传输管理开发</x:v>
      </x:c>
      <x:c r="L36" s="33" t="str">
        <x:v>L3-MC-CompactionEngine-056</x:v>
      </x:c>
    </x:row>
    <x:row r="37" ht="76" customHeight="1">
      <x:c r="A37" s="33" t="str">
        <x:v>SF-01/IR-01-01/SR-01-01-08/AR-L3-MC-CompactionEngine-056-02</x:v>
      </x:c>
      <x:c r="B37" s="33" t="n">
        <x:v>4</x:v>
      </x:c>
      <x:c r="C37" s="34" t="str">
        <x:v>AR</x:v>
      </x:c>
      <x:c r="D37" s="34" t="str">
        <x:v>AR-L3-MC-CompactionEngine-056-02</x:v>
      </x:c>
      <x:c r="E37" s="34" t="str">
        <x:v>SR-01-01-08</x:v>
      </x:c>
      <x:c r="F37" s="34" t="str">
        <x:v>            ├─ AR-L3-MC-CompactionEngine-056-02 契约配置与降级</x:v>
      </x:c>
      <x:c r="G37" s="34" t="str">
        <x:v>契约配置与降级</x:v>
      </x:c>
      <x:c r="H37" s="33" t="str">
        <x:v>为 `CompactionEngineOptions` 增加 `kvcache.compaction_engine.enabled`、deadline/容量/队列预算及版本字段；在调用点接入 typed error、decision_reason、fallback_reason，确保配置热更新、灰度关闭和向后兼容均可审计。</x:v>
      </x:c>
      <x:c r="I37" s="33" t="str">
        <x:v>节点动态加入/退出时的缓存失效控制在局部范围内（遵循一致性哈希比例）。</x:v>
      </x:c>
      <x:c r="J37" s="33" t="str">
        <x:v>api/kvcache/v1/compaction_engine.proto + config/runtime/compaction_engine.yaml</x:v>
      </x:c>
      <x:c r="K37" s="33" t="str">
        <x:v>L3 传输管理层 / 存储池/传输管理开发</x:v>
      </x:c>
      <x:c r="L37" s="33" t="str">
        <x:v>L3-MC-CompactionEngine-056</x:v>
      </x:c>
    </x:row>
    <x:row r="38" ht="76" customHeight="1">
      <x:c r="A38" s="33" t="str">
        <x:v>SF-01/IR-01-01/SR-01-01-08/AR-L3-MC-CompactionEngine-056-03</x:v>
      </x:c>
      <x:c r="B38" s="33" t="n">
        <x:v>4</x:v>
      </x:c>
      <x:c r="C38" s="34" t="str">
        <x:v>AR</x:v>
      </x:c>
      <x:c r="D38" s="34" t="str">
        <x:v>AR-L3-MC-CompactionEngine-056-03</x:v>
      </x:c>
      <x:c r="E38" s="34" t="str">
        <x:v>SR-01-01-08</x:v>
      </x:c>
      <x:c r="F38" s="34" t="str">
        <x:v>            └─ AR-L3-MC-CompactionEngine-056-03 验证与观测</x:v>
      </x:c>
      <x:c r="G38" s="34" t="str">
        <x:v>验证与观测</x:v>
      </x:c>
      <x:c r="H38" s="33" t="str">
        <x:v>新增正常、边界、并发、超时、stale metadata、迁移冲突、路径拥塞/故障与 feature-flag-off 用例；在 benchmark 中固定模型、tokenizer、prompt、并发、拓扑和 baseline，采集 lookup/load/attach、TTFT、TPOT、usable/abandoned hit、带宽/时延及 CPU/NPU 利用率。</x:v>
      </x:c>
      <x:c r="I38" s="33" t="str">
        <x:v>节点动态加入/退出时的缓存失效控制在局部范围内（遵循一致性哈希比例）。</x:v>
      </x:c>
      <x:c r="J38" s="33" t="str">
        <x:v>tests/pool/tiering/compaction_engine_test.cc + benchmarks/pool/tiering/compaction_engine_benchmark.cc</x:v>
      </x:c>
      <x:c r="K38" s="33" t="str">
        <x:v>L3 传输管理层 / 存储池/传输管理开发</x:v>
      </x:c>
      <x:c r="L38" s="33" t="str">
        <x:v>L3-MC-CompactionEngine-056</x:v>
      </x:c>
    </x:row>
    <x:row r="39" ht="76" customHeight="1">
      <x:c r="A39" s="31" t="str">
        <x:v>SF-01/IR-01-01/SR-01-01-09</x:v>
      </x:c>
      <x:c r="B39" s="31" t="n">
        <x:v>3</x:v>
      </x:c>
      <x:c r="C39" s="32" t="str">
        <x:v>SR</x:v>
      </x:c>
      <x:c r="D39" s="32" t="str">
        <x:v>SR-01-01-09</x:v>
      </x:c>
      <x:c r="E39" s="32" t="str">
        <x:v>IR-01-01</x:v>
      </x:c>
      <x:c r="F39" s="32" t="str">
        <x:v>        ├─ SR-01-01-09 KVCache三层冷热分级</x:v>
      </x:c>
      <x:c r="G39" s="32" t="str">
        <x:v>KVCache三层冷热分级｜L3-MC-HIER-STORE-002</x:v>
      </x:c>
      <x:c r="H39" s="31" t="str">
        <x:v>系统重构：本需求要求实现KVCache三层分级调度器，按访问时间将KVCache分配到DDR（热，&lt;1min）/本地SSD（温，1-60min）/远端SSD（冷，&gt;1hr）三层存储，支持后台异步下沉（目标≥2GB/s）和异步预热，以及NPUDirect Storage（File）实现SSD到NPU HBM的零CPU拷贝直读路径。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x:v>
      </x:c>
      <x:c r="I39" s="31" t="str">
        <x:v>节点动态加入/退出时的缓存失效控制在局部范围内（遵循一致性哈希比例）。</x:v>
      </x:c>
      <x:c r="J39" s="31" t="str"/>
      <x:c r="K39" s="31" t="str">
        <x:v>L3 传输管理层 / 统一存储池与分层管理</x:v>
      </x:c>
      <x:c r="L39" s="31" t="str">
        <x:v>L3-MC-HIER-STORE-002</x:v>
      </x:c>
    </x:row>
    <x:row r="40" ht="76" customHeight="1">
      <x:c r="A40" s="33" t="str">
        <x:v>SF-01/IR-01-01/SR-01-01-09/AR-L3-MC-HIER-STORE-002-01</x:v>
      </x:c>
      <x:c r="B40" s="33" t="n">
        <x:v>4</x:v>
      </x:c>
      <x:c r="C40" s="34" t="str">
        <x:v>AR</x:v>
      </x:c>
      <x:c r="D40" s="34" t="str">
        <x:v>AR-L3-MC-HIER-STORE-002-01</x:v>
      </x:c>
      <x:c r="E40" s="34" t="str">
        <x:v>SR-01-01-09</x:v>
      </x:c>
      <x:c r="F40" s="34" t="str">
        <x:v>            ├─ AR-L3-MC-HIER-STORE-002-01 核心实现</x:v>
      </x:c>
      <x:c r="G40" s="34" t="str">
        <x:v>核心实现</x:v>
      </x:c>
      <x:c r="H40" s="33" t="str">
        <x:v>在 `src/pool/tiering/hier_store.{h,cc}` 新增或重写 `HIERSTOREManager`，把“KVCache三层冷热分级”落实为 L3 传输管理层 可调用主路径：本需求要求实现KVCache三层分级调度器，按访问时间将KVCache分配到DDR（热，&lt;1min）/本地SSD（温，1-60min）/远端SSD（冷，&gt;1hr）三层存储，支持后台异步下沉（目标≥2GB/s）和异步预热，以及NPUDirect Storage（File）实现SSD到NPU HBM的零CPU拷贝直读路径。 输入必须显式消费 KVAccessIntent + KVBlockSpec + tier telemetry，输出 KVObjectHandle + Placement + state transition，不得用全局单例或隐藏同步 I/O 绕开预算与状态机。</x:v>
      </x:c>
      <x:c r="I40" s="33" t="str">
        <x:v>节点动态加入/退出时的缓存失效控制在局部范围内（遵循一致性哈希比例）。</x:v>
      </x:c>
      <x:c r="J40" s="33" t="str">
        <x:v>src/pool/tiering/hier_store.{h,cc}</x:v>
      </x:c>
      <x:c r="K40" s="33" t="str">
        <x:v>L3 传输管理层 / 存储池/传输管理开发</x:v>
      </x:c>
      <x:c r="L40" s="33" t="str">
        <x:v>L3-MC-HIER-STORE-002</x:v>
      </x:c>
    </x:row>
    <x:row r="41" ht="76" customHeight="1">
      <x:c r="A41" s="33" t="str">
        <x:v>SF-01/IR-01-01/SR-01-01-09/AR-L3-MC-HIER-STORE-002-02</x:v>
      </x:c>
      <x:c r="B41" s="33" t="n">
        <x:v>4</x:v>
      </x:c>
      <x:c r="C41" s="34" t="str">
        <x:v>AR</x:v>
      </x:c>
      <x:c r="D41" s="34" t="str">
        <x:v>AR-L3-MC-HIER-STORE-002-02</x:v>
      </x:c>
      <x:c r="E41" s="34" t="str">
        <x:v>SR-01-01-09</x:v>
      </x:c>
      <x:c r="F41" s="34" t="str">
        <x:v>            ├─ AR-L3-MC-HIER-STORE-002-02 契约配置与降级</x:v>
      </x:c>
      <x:c r="G41" s="34" t="str">
        <x:v>契约配置与降级</x:v>
      </x:c>
      <x:c r="H41" s="33" t="str">
        <x:v>为 `HIERSTOREOptions` 增加 `kvcache.hier_store.enabled`、deadline/容量/队列预算及版本字段；在调用点接入 typed error、decision_reason、fallback_reason，确保配置热更新、灰度关闭和向后兼容均可审计。</x:v>
      </x:c>
      <x:c r="I41" s="33" t="str">
        <x:v>节点动态加入/退出时的缓存失效控制在局部范围内（遵循一致性哈希比例）。</x:v>
      </x:c>
      <x:c r="J41" s="33" t="str">
        <x:v>api/kvcache/v1/hier_store.proto + config/runtime/hier_store.yaml</x:v>
      </x:c>
      <x:c r="K41" s="33" t="str">
        <x:v>L3 传输管理层 / 存储池/传输管理开发</x:v>
      </x:c>
      <x:c r="L41" s="33" t="str">
        <x:v>L3-MC-HIER-STORE-002</x:v>
      </x:c>
    </x:row>
    <x:row r="42" ht="76" customHeight="1">
      <x:c r="A42" s="33" t="str">
        <x:v>SF-01/IR-01-01/SR-01-01-09/AR-L3-MC-HIER-STORE-002-03</x:v>
      </x:c>
      <x:c r="B42" s="33" t="n">
        <x:v>4</x:v>
      </x:c>
      <x:c r="C42" s="34" t="str">
        <x:v>AR</x:v>
      </x:c>
      <x:c r="D42" s="34" t="str">
        <x:v>AR-L3-MC-HIER-STORE-002-03</x:v>
      </x:c>
      <x:c r="E42" s="34" t="str">
        <x:v>SR-01-01-09</x:v>
      </x:c>
      <x:c r="F42" s="34" t="str">
        <x:v>            └─ AR-L3-MC-HIER-STORE-002-03 验证与观测</x:v>
      </x:c>
      <x:c r="G42" s="34" t="str">
        <x:v>验证与观测</x:v>
      </x:c>
      <x:c r="H42" s="33" t="str">
        <x:v>新增正常、边界、并发、超时、stale metadata、迁移冲突、路径拥塞/故障与 feature-flag-off 用例；在 benchmark 中固定模型、tokenizer、prompt、并发、拓扑和 baseline，采集 lookup/load/attach、TTFT、TPOT、usable/abandoned hit、带宽/时延及 CPU/NPU 利用率。</x:v>
      </x:c>
      <x:c r="I42" s="33" t="str">
        <x:v>节点动态加入/退出时的缓存失效控制在局部范围内（遵循一致性哈希比例）。</x:v>
      </x:c>
      <x:c r="J42" s="33" t="str">
        <x:v>tests/pool/tiering/hier_store_test.cc + benchmarks/pool/tiering/hier_store_benchmark.cc</x:v>
      </x:c>
      <x:c r="K42" s="33" t="str">
        <x:v>L3 传输管理层 / 存储池/传输管理开发</x:v>
      </x:c>
      <x:c r="L42" s="33" t="str">
        <x:v>L3-MC-HIER-STORE-002</x:v>
      </x:c>
    </x:row>
    <x:row r="43" ht="76" customHeight="1">
      <x:c r="A43" s="31" t="str">
        <x:v>SF-01/IR-01-01/SR-01-01-10</x:v>
      </x:c>
      <x:c r="B43" s="31" t="n">
        <x:v>3</x:v>
      </x:c>
      <x:c r="C43" s="32" t="str">
        <x:v>SR</x:v>
      </x:c>
      <x:c r="D43" s="32" t="str">
        <x:v>SR-01-01-10</x:v>
      </x:c>
      <x:c r="E43" s="32" t="str">
        <x:v>IR-01-01</x:v>
      </x:c>
      <x:c r="F43" s="32" t="str">
        <x:v>        ├─ SR-01-01-10 跨异构介质智能主动搬移</x:v>
      </x:c>
      <x:c r="G43" s="32" t="str">
        <x:v>跨异构介质智能主动搬移｜L3-MC-IntelligentMigration-057</x:v>
      </x:c>
      <x:c r="H43" s="31" t="str">
        <x:v>系统重构：本需求要求设计三级水位（Low-70%, High-85%, Critical-95%）监测与智能迁移决策引擎。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x:v>
      </x:c>
      <x:c r="I43" s="31" t="str">
        <x:v>节点动态加入/退出时的缓存失效控制在局部范围内（遵循一致性哈希比例）。</x:v>
      </x:c>
      <x:c r="J43" s="31" t="str"/>
      <x:c r="K43" s="31" t="str">
        <x:v>L3 传输管理层 / 统一存储池与分层管理</x:v>
      </x:c>
      <x:c r="L43" s="31" t="str">
        <x:v>L3-MC-IntelligentMigration-057</x:v>
      </x:c>
    </x:row>
    <x:row r="44" ht="76" customHeight="1">
      <x:c r="A44" s="33" t="str">
        <x:v>SF-01/IR-01-01/SR-01-01-10/AR-L3-MC-IntelligentMigration-057-01</x:v>
      </x:c>
      <x:c r="B44" s="33" t="n">
        <x:v>4</x:v>
      </x:c>
      <x:c r="C44" s="34" t="str">
        <x:v>AR</x:v>
      </x:c>
      <x:c r="D44" s="34" t="str">
        <x:v>AR-L3-MC-IntelligentMigration-057-01</x:v>
      </x:c>
      <x:c r="E44" s="34" t="str">
        <x:v>SR-01-01-10</x:v>
      </x:c>
      <x:c r="F44" s="34" t="str">
        <x:v>            ├─ AR-L3-MC-IntelligentMigration-057-01 核心实现</x:v>
      </x:c>
      <x:c r="G44" s="34" t="str">
        <x:v>核心实现</x:v>
      </x:c>
      <x:c r="H44" s="33" t="str">
        <x:v>在 `src/pool/tiering/intelligent_migration.{h,cc}` 新增或重写 `IntelligentMigrationManager`，把“跨异构介质智能主动搬移”落实为 L3 传输管理层 可调用主路径：本需求要求设计三级水位（Low-70%, High-85%, Critical-95%）监测与智能迁移决策引擎。 输入必须显式消费 KVAccessIntent + KVBlockSpec + tier telemetry，输出 KVObjectHandle + Placement + state transition，不得用全局单例或隐藏同步 I/O 绕开预算与状态机。</x:v>
      </x:c>
      <x:c r="I44" s="33" t="str">
        <x:v>节点动态加入/退出时的缓存失效控制在局部范围内（遵循一致性哈希比例）。</x:v>
      </x:c>
      <x:c r="J44" s="33" t="str">
        <x:v>src/pool/tiering/intelligent_migration.{h,cc}</x:v>
      </x:c>
      <x:c r="K44" s="33" t="str">
        <x:v>L3 传输管理层 / 存储池/传输管理开发</x:v>
      </x:c>
      <x:c r="L44" s="33" t="str">
        <x:v>L3-MC-IntelligentMigration-057</x:v>
      </x:c>
    </x:row>
    <x:row r="45" ht="76" customHeight="1">
      <x:c r="A45" s="33" t="str">
        <x:v>SF-01/IR-01-01/SR-01-01-10/AR-L3-MC-IntelligentMigration-057-02</x:v>
      </x:c>
      <x:c r="B45" s="33" t="n">
        <x:v>4</x:v>
      </x:c>
      <x:c r="C45" s="34" t="str">
        <x:v>AR</x:v>
      </x:c>
      <x:c r="D45" s="34" t="str">
        <x:v>AR-L3-MC-IntelligentMigration-057-02</x:v>
      </x:c>
      <x:c r="E45" s="34" t="str">
        <x:v>SR-01-01-10</x:v>
      </x:c>
      <x:c r="F45" s="34" t="str">
        <x:v>            ├─ AR-L3-MC-IntelligentMigration-057-02 契约配置与降级</x:v>
      </x:c>
      <x:c r="G45" s="34" t="str">
        <x:v>契约配置与降级</x:v>
      </x:c>
      <x:c r="H45" s="33" t="str">
        <x:v>为 `IntelligentMigrationOptions` 增加 `kvcache.intelligent_migration.enabled`、deadline/容量/队列预算及版本字段；在调用点接入 typed error、decision_reason、fallback_reason，确保配置热更新、灰度关闭和向后兼容均可审计。</x:v>
      </x:c>
      <x:c r="I45" s="33" t="str">
        <x:v>节点动态加入/退出时的缓存失效控制在局部范围内（遵循一致性哈希比例）。</x:v>
      </x:c>
      <x:c r="J45" s="33" t="str">
        <x:v>api/kvcache/v1/intelligent_migration.proto + config/runtime/intelligent_migration.yaml</x:v>
      </x:c>
      <x:c r="K45" s="33" t="str">
        <x:v>L3 传输管理层 / 存储池/传输管理开发</x:v>
      </x:c>
      <x:c r="L45" s="33" t="str">
        <x:v>L3-MC-IntelligentMigration-057</x:v>
      </x:c>
    </x:row>
    <x:row r="46" ht="76" customHeight="1">
      <x:c r="A46" s="33" t="str">
        <x:v>SF-01/IR-01-01/SR-01-01-10/AR-L3-MC-IntelligentMigration-057-03</x:v>
      </x:c>
      <x:c r="B46" s="33" t="n">
        <x:v>4</x:v>
      </x:c>
      <x:c r="C46" s="34" t="str">
        <x:v>AR</x:v>
      </x:c>
      <x:c r="D46" s="34" t="str">
        <x:v>AR-L3-MC-IntelligentMigration-057-03</x:v>
      </x:c>
      <x:c r="E46" s="34" t="str">
        <x:v>SR-01-01-10</x:v>
      </x:c>
      <x:c r="F46" s="34" t="str">
        <x:v>            └─ AR-L3-MC-IntelligentMigration-057-03 验证与观测</x:v>
      </x:c>
      <x:c r="G46" s="34" t="str">
        <x:v>验证与观测</x:v>
      </x:c>
      <x:c r="H46" s="33" t="str">
        <x:v>新增正常、边界、并发、超时、stale metadata、迁移冲突、路径拥塞/故障与 feature-flag-off 用例；在 benchmark 中固定模型、tokenizer、prompt、并发、拓扑和 baseline，采集 lookup/load/attach、TTFT、TPOT、usable/abandoned hit、带宽/时延及 CPU/NPU 利用率。</x:v>
      </x:c>
      <x:c r="I46" s="33" t="str">
        <x:v>节点动态加入/退出时的缓存失效控制在局部范围内（遵循一致性哈希比例）。</x:v>
      </x:c>
      <x:c r="J46" s="33" t="str">
        <x:v>tests/pool/tiering/intelligent_migration_test.cc + benchmarks/pool/tiering/intelligent_migration_benchmark.cc</x:v>
      </x:c>
      <x:c r="K46" s="33" t="str">
        <x:v>L3 传输管理层 / 存储池/传输管理开发</x:v>
      </x:c>
      <x:c r="L46" s="33" t="str">
        <x:v>L3-MC-IntelligentMigration-057</x:v>
      </x:c>
    </x:row>
    <x:row r="47" ht="76" customHeight="1">
      <x:c r="A47" s="31" t="str">
        <x:v>SF-01/IR-01-01/SR-01-01-11</x:v>
      </x:c>
      <x:c r="B47" s="31" t="n">
        <x:v>3</x:v>
      </x:c>
      <x:c r="C47" s="32" t="str">
        <x:v>SR</x:v>
      </x:c>
      <x:c r="D47" s="32" t="str">
        <x:v>SR-01-01-11</x:v>
      </x:c>
      <x:c r="E47" s="32" t="str">
        <x:v>IR-01-01</x:v>
      </x:c>
      <x:c r="F47" s="32" t="str">
        <x:v>        ├─ SR-01-01-11 HND/NHD/page-first/cross-layer 布局兼容</x:v>
      </x:c>
      <x:c r="G47" s="32" t="str">
        <x:v>HND/NHD/page-first/cross-layer 布局兼容｜L3-MC-LayoutTransformPlan-078</x:v>
      </x:c>
      <x:c r="H47" s="31" t="str">
        <x:v>系统重构：本需求要求当源 KV layout 与目标 attention runtime layout 不一致时，统一 KV 内存池必须生成 layout transform plan，明确是否需要 permute、copy-to-HBM、cross-layer regroup、dtype/scale 转换或直接拒绝复用。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x:v>
      </x:c>
      <x:c r="I47" s="31" t="str">
        <x:v>节点动态加入/退出时的缓存失效控制在局部范围内（遵循一致性哈希比例）。</x:v>
      </x:c>
      <x:c r="J47" s="31" t="str"/>
      <x:c r="K47" s="31" t="str">
        <x:v>L3 传输管理层 / 统一存储池与分层管理</x:v>
      </x:c>
      <x:c r="L47" s="31" t="str">
        <x:v>L3-MC-LayoutTransformPlan-078</x:v>
      </x:c>
    </x:row>
    <x:row r="48" ht="76" customHeight="1">
      <x:c r="A48" s="33" t="str">
        <x:v>SF-01/IR-01-01/SR-01-01-11/AR-L3-MC-LayoutTransformPlan-078-01</x:v>
      </x:c>
      <x:c r="B48" s="33" t="n">
        <x:v>4</x:v>
      </x:c>
      <x:c r="C48" s="34" t="str">
        <x:v>AR</x:v>
      </x:c>
      <x:c r="D48" s="34" t="str">
        <x:v>AR-L3-MC-LayoutTransformPlan-078-01</x:v>
      </x:c>
      <x:c r="E48" s="34" t="str">
        <x:v>SR-01-01-11</x:v>
      </x:c>
      <x:c r="F48" s="34" t="str">
        <x:v>            ├─ AR-L3-MC-LayoutTransformPlan-078-01 核心实现</x:v>
      </x:c>
      <x:c r="G48" s="34" t="str">
        <x:v>核心实现</x:v>
      </x:c>
      <x:c r="H48" s="33" t="str">
        <x:v>在 `src/pool/tiering/layout_transform_plan.{h,cc}` 新增或重写 `LayoutTransformPlanManager`，把“HND/NHD/page-first/cross-layer 布局兼容”落实为 L3 传输管理层 可调用主路径：本需求要求当源 KV layout 与目标 attention runtime layout 不一致时，统一 KV 内存池必须生成 layout transform plan，明确是否需要 permute、copy-to-HBM、cross-layer regroup、dtype/scale 转换或直接拒绝复用。 输入必须显式消费 KVAccessIntent + KVBlockSpec + tier telemetry，输出 KVObjectHandle + Placement + state transition，不得用全局单例或隐藏同步 I/O 绕开预算与状态机。</x:v>
      </x:c>
      <x:c r="I48" s="33" t="str">
        <x:v>节点动态加入/退出时的缓存失效控制在局部范围内（遵循一致性哈希比例）。</x:v>
      </x:c>
      <x:c r="J48" s="33" t="str">
        <x:v>src/pool/tiering/layout_transform_plan.{h,cc}</x:v>
      </x:c>
      <x:c r="K48" s="33" t="str">
        <x:v>L3 传输管理层 / 存储池/传输管理开发</x:v>
      </x:c>
      <x:c r="L48" s="33" t="str">
        <x:v>L3-MC-LayoutTransformPlan-078</x:v>
      </x:c>
    </x:row>
    <x:row r="49" ht="76" customHeight="1">
      <x:c r="A49" s="33" t="str">
        <x:v>SF-01/IR-01-01/SR-01-01-11/AR-L3-MC-LayoutTransformPlan-078-02</x:v>
      </x:c>
      <x:c r="B49" s="33" t="n">
        <x:v>4</x:v>
      </x:c>
      <x:c r="C49" s="34" t="str">
        <x:v>AR</x:v>
      </x:c>
      <x:c r="D49" s="34" t="str">
        <x:v>AR-L3-MC-LayoutTransformPlan-078-02</x:v>
      </x:c>
      <x:c r="E49" s="34" t="str">
        <x:v>SR-01-01-11</x:v>
      </x:c>
      <x:c r="F49" s="34" t="str">
        <x:v>            ├─ AR-L3-MC-LayoutTransformPlan-078-02 契约配置与降级</x:v>
      </x:c>
      <x:c r="G49" s="34" t="str">
        <x:v>契约配置与降级</x:v>
      </x:c>
      <x:c r="H49" s="33" t="str">
        <x:v>为 `LayoutTransformPlanOptions` 增加 `kvcache.layout_transform_plan.enabled`、deadline/容量/队列预算及版本字段；在调用点接入 typed error、decision_reason、fallback_reason，确保配置热更新、灰度关闭和向后兼容均可审计。</x:v>
      </x:c>
      <x:c r="I49" s="33" t="str">
        <x:v>节点动态加入/退出时的缓存失效控制在局部范围内（遵循一致性哈希比例）。</x:v>
      </x:c>
      <x:c r="J49" s="33" t="str">
        <x:v>api/kvcache/v1/layout_transform_plan.proto + config/runtime/layout_transform_plan.yaml</x:v>
      </x:c>
      <x:c r="K49" s="33" t="str">
        <x:v>L3 传输管理层 / 存储池/传输管理开发</x:v>
      </x:c>
      <x:c r="L49" s="33" t="str">
        <x:v>L3-MC-LayoutTransformPlan-078</x:v>
      </x:c>
    </x:row>
    <x:row r="50" ht="76" customHeight="1">
      <x:c r="A50" s="33" t="str">
        <x:v>SF-01/IR-01-01/SR-01-01-11/AR-L3-MC-LayoutTransformPlan-078-03</x:v>
      </x:c>
      <x:c r="B50" s="33" t="n">
        <x:v>4</x:v>
      </x:c>
      <x:c r="C50" s="34" t="str">
        <x:v>AR</x:v>
      </x:c>
      <x:c r="D50" s="34" t="str">
        <x:v>AR-L3-MC-LayoutTransformPlan-078-03</x:v>
      </x:c>
      <x:c r="E50" s="34" t="str">
        <x:v>SR-01-01-11</x:v>
      </x:c>
      <x:c r="F50" s="34" t="str">
        <x:v>            └─ AR-L3-MC-LayoutTransformPlan-078-03 验证与观测</x:v>
      </x:c>
      <x:c r="G50" s="34" t="str">
        <x:v>验证与观测</x:v>
      </x:c>
      <x:c r="H50" s="33" t="str">
        <x:v>新增正常、边界、并发、超时、stale metadata、迁移冲突、路径拥塞/故障与 feature-flag-off 用例；在 benchmark 中固定模型、tokenizer、prompt、并发、拓扑和 baseline，采集 lookup/load/attach、TTFT、TPOT、usable/abandoned hit、带宽/时延及 CPU/NPU 利用率。</x:v>
      </x:c>
      <x:c r="I50" s="33" t="str">
        <x:v>节点动态加入/退出时的缓存失效控制在局部范围内（遵循一致性哈希比例）。</x:v>
      </x:c>
      <x:c r="J50" s="33" t="str">
        <x:v>tests/pool/tiering/layout_transform_plan_test.cc + benchmarks/pool/tiering/layout_transform_plan_benchmark.cc</x:v>
      </x:c>
      <x:c r="K50" s="33" t="str">
        <x:v>L3 传输管理层 / 存储池/传输管理开发</x:v>
      </x:c>
      <x:c r="L50" s="33" t="str">
        <x:v>L3-MC-LayoutTransformPlan-078</x:v>
      </x:c>
    </x:row>
    <x:row r="51" ht="76" customHeight="1">
      <x:c r="A51" s="31" t="str">
        <x:v>SF-01/IR-01-01/SR-01-01-12</x:v>
      </x:c>
      <x:c r="B51" s="31" t="n">
        <x:v>3</x:v>
      </x:c>
      <x:c r="C51" s="32" t="str">
        <x:v>SR</x:v>
      </x:c>
      <x:c r="D51" s="32" t="str">
        <x:v>SR-01-01-12</x:v>
      </x:c>
      <x:c r="E51" s="32" t="str">
        <x:v>IR-01-01</x:v>
      </x:c>
      <x:c r="F51" s="32" t="str">
        <x:v>        ├─ SR-01-01-12 长周期运行下 KV 存储碎片控制</x:v>
      </x:c>
      <x:c r="G51" s="32" t="str">
        <x:v>长周期运行下 KV 存储碎片控制｜L3-MC-PageExtentAllocator-077</x:v>
      </x:c>
      <x:c r="H51" s="31" t="str">
        <x:v>系统重构：本需求要求统一 KV 内存池实现 page/extent allocator，支持按 layer、page、rank、tier 分配物理空间，并支持 split、merge、coalesce、relocate 和 defrag hint，避免长期运行后小块碎片破坏 bulk descriptor 合并效率。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x:v>
      </x:c>
      <x:c r="I51" s="31" t="str">
        <x:v>节点动态加入/退出时的缓存失效控制在局部范围内（遵循一致性哈希比例）。</x:v>
      </x:c>
      <x:c r="J51" s="31" t="str"/>
      <x:c r="K51" s="31" t="str">
        <x:v>L3 传输管理层 / 统一存储池与分层管理</x:v>
      </x:c>
      <x:c r="L51" s="31" t="str">
        <x:v>L3-MC-PageExtentAllocator-077</x:v>
      </x:c>
    </x:row>
    <x:row r="52" ht="76" customHeight="1">
      <x:c r="A52" s="33" t="str">
        <x:v>SF-01/IR-01-01/SR-01-01-12/AR-L3-MC-PageExtentAllocator-077-01</x:v>
      </x:c>
      <x:c r="B52" s="33" t="n">
        <x:v>4</x:v>
      </x:c>
      <x:c r="C52" s="34" t="str">
        <x:v>AR</x:v>
      </x:c>
      <x:c r="D52" s="34" t="str">
        <x:v>AR-L3-MC-PageExtentAllocator-077-01</x:v>
      </x:c>
      <x:c r="E52" s="34" t="str">
        <x:v>SR-01-01-12</x:v>
      </x:c>
      <x:c r="F52" s="34" t="str">
        <x:v>            ├─ AR-L3-MC-PageExtentAllocator-077-01 核心实现</x:v>
      </x:c>
      <x:c r="G52" s="34" t="str">
        <x:v>核心实现</x:v>
      </x:c>
      <x:c r="H52" s="33" t="str">
        <x:v>在 `src/pool/tiering/page_extent_allocator.{h,cc}` 新增或重写 `PageExtentAllocatorManager`，把“长周期运行下 KV 存储碎片控制”落实为 L3 传输管理层 可调用主路径：本需求要求统一 KV 内存池实现 page/extent allocator，支持按 layer、page、rank、tier 分配物理空间，并支持 split、merge、coalesce、relocate 和 defrag hint，避免长期运行后小块碎片破坏 bulk descriptor 合并效率。 输入必须显式消费 KVAccessIntent + KVBlockSpec + tier telemetry，输出 KVObjectHandle + Placement + state transition，不得用全局单例或隐藏同步 I/O 绕开预算与状态机。</x:v>
      </x:c>
      <x:c r="I52" s="33" t="str">
        <x:v>节点动态加入/退出时的缓存失效控制在局部范围内（遵循一致性哈希比例）。</x:v>
      </x:c>
      <x:c r="J52" s="33" t="str">
        <x:v>src/pool/tiering/page_extent_allocator.{h,cc}</x:v>
      </x:c>
      <x:c r="K52" s="33" t="str">
        <x:v>L3 传输管理层 / 存储池/传输管理开发</x:v>
      </x:c>
      <x:c r="L52" s="33" t="str">
        <x:v>L3-MC-PageExtentAllocator-077</x:v>
      </x:c>
    </x:row>
    <x:row r="53" ht="76" customHeight="1">
      <x:c r="A53" s="33" t="str">
        <x:v>SF-01/IR-01-01/SR-01-01-12/AR-L3-MC-PageExtentAllocator-077-02</x:v>
      </x:c>
      <x:c r="B53" s="33" t="n">
        <x:v>4</x:v>
      </x:c>
      <x:c r="C53" s="34" t="str">
        <x:v>AR</x:v>
      </x:c>
      <x:c r="D53" s="34" t="str">
        <x:v>AR-L3-MC-PageExtentAllocator-077-02</x:v>
      </x:c>
      <x:c r="E53" s="34" t="str">
        <x:v>SR-01-01-12</x:v>
      </x:c>
      <x:c r="F53" s="34" t="str">
        <x:v>            ├─ AR-L3-MC-PageExtentAllocator-077-02 契约配置与降级</x:v>
      </x:c>
      <x:c r="G53" s="34" t="str">
        <x:v>契约配置与降级</x:v>
      </x:c>
      <x:c r="H53" s="33" t="str">
        <x:v>为 `PageExtentAllocatorOptions` 增加 `kvcache.page_extent_allocator.enabled`、deadline/容量/队列预算及版本字段；在调用点接入 typed error、decision_reason、fallback_reason，确保配置热更新、灰度关闭和向后兼容均可审计。</x:v>
      </x:c>
      <x:c r="I53" s="33" t="str">
        <x:v>节点动态加入/退出时的缓存失效控制在局部范围内（遵循一致性哈希比例）。</x:v>
      </x:c>
      <x:c r="J53" s="33" t="str">
        <x:v>api/kvcache/v1/page_extent_allocator.proto + config/runtime/page_extent_allocator.yaml</x:v>
      </x:c>
      <x:c r="K53" s="33" t="str">
        <x:v>L3 传输管理层 / 存储池/传输管理开发</x:v>
      </x:c>
      <x:c r="L53" s="33" t="str">
        <x:v>L3-MC-PageExtentAllocator-077</x:v>
      </x:c>
    </x:row>
    <x:row r="54" ht="76" customHeight="1">
      <x:c r="A54" s="33" t="str">
        <x:v>SF-01/IR-01-01/SR-01-01-12/AR-L3-MC-PageExtentAllocator-077-03</x:v>
      </x:c>
      <x:c r="B54" s="33" t="n">
        <x:v>4</x:v>
      </x:c>
      <x:c r="C54" s="34" t="str">
        <x:v>AR</x:v>
      </x:c>
      <x:c r="D54" s="34" t="str">
        <x:v>AR-L3-MC-PageExtentAllocator-077-03</x:v>
      </x:c>
      <x:c r="E54" s="34" t="str">
        <x:v>SR-01-01-12</x:v>
      </x:c>
      <x:c r="F54" s="34" t="str">
        <x:v>            └─ AR-L3-MC-PageExtentAllocator-077-03 验证与观测</x:v>
      </x:c>
      <x:c r="G54" s="34" t="str">
        <x:v>验证与观测</x:v>
      </x:c>
      <x:c r="H54" s="33" t="str">
        <x:v>新增正常、边界、并发、超时、stale metadata、迁移冲突、路径拥塞/故障与 feature-flag-off 用例；在 benchmark 中固定模型、tokenizer、prompt、并发、拓扑和 baseline，采集 lookup/load/attach、TTFT、TPOT、usable/abandoned hit、带宽/时延及 CPU/NPU 利用率。</x:v>
      </x:c>
      <x:c r="I54" s="33" t="str">
        <x:v>节点动态加入/退出时的缓存失效控制在局部范围内（遵循一致性哈希比例）。</x:v>
      </x:c>
      <x:c r="J54" s="33" t="str">
        <x:v>tests/pool/tiering/page_extent_allocator_test.cc + benchmarks/pool/tiering/page_extent_allocator_benchmark.cc</x:v>
      </x:c>
      <x:c r="K54" s="33" t="str">
        <x:v>L3 传输管理层 / 存储池/传输管理开发</x:v>
      </x:c>
      <x:c r="L54" s="33" t="str">
        <x:v>L3-MC-PageExtentAllocator-077</x:v>
      </x:c>
    </x:row>
    <x:row r="55" ht="76" customHeight="1">
      <x:c r="A55" s="31" t="str">
        <x:v>SF-01/IR-01-01/SR-01-01-13</x:v>
      </x:c>
      <x:c r="B55" s="31" t="n">
        <x:v>3</x:v>
      </x:c>
      <x:c r="C55" s="32" t="str">
        <x:v>SR</x:v>
      </x:c>
      <x:c r="D55" s="32" t="str">
        <x:v>SR-01-01-13</x:v>
      </x:c>
      <x:c r="E55" s="32" t="str">
        <x:v>IR-01-01</x:v>
      </x:c>
      <x:c r="F55" s="32" t="str">
        <x:v>        ├─ SR-01-01-13 KVCache 成本感知淘汰与降级</x:v>
      </x:c>
      <x:c r="G55" s="32" t="str">
        <x:v>KVCache 成本感知淘汰与降级｜L3-MS-CostEviction-039</x:v>
      </x:c>
      <x:c r="H55" s="31" t="str">
        <x:v>系统重构：本需求要求实现KV提级/降级算法，使用多维因素决定保留、降级或驱逐 KV：score 至少包含 saved prefill time、future reuse probability、transfer cost、interference cost、memory rent 和 tenant priority。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x:v>
      </x:c>
      <x:c r="I55" s="31" t="str">
        <x:v>每 GB KV 带来的 saved prefill tokens 提升 ≥25%；</x:v>
      </x:c>
      <x:c r="J55" s="31" t="str"/>
      <x:c r="K55" s="31" t="str">
        <x:v>L3 传输管理层 / 统一存储池与分层管理</x:v>
      </x:c>
      <x:c r="L55" s="31" t="str">
        <x:v>L3-MS-CostEviction-039</x:v>
      </x:c>
    </x:row>
    <x:row r="56" ht="76" customHeight="1">
      <x:c r="A56" s="33" t="str">
        <x:v>SF-01/IR-01-01/SR-01-01-13/AR-L3-MS-CostEviction-039-01</x:v>
      </x:c>
      <x:c r="B56" s="33" t="n">
        <x:v>4</x:v>
      </x:c>
      <x:c r="C56" s="34" t="str">
        <x:v>AR</x:v>
      </x:c>
      <x:c r="D56" s="34" t="str">
        <x:v>AR-L3-MS-CostEviction-039-01</x:v>
      </x:c>
      <x:c r="E56" s="34" t="str">
        <x:v>SR-01-01-13</x:v>
      </x:c>
      <x:c r="F56" s="34" t="str">
        <x:v>            ├─ AR-L3-MS-CostEviction-039-01 核心实现</x:v>
      </x:c>
      <x:c r="G56" s="34" t="str">
        <x:v>核心实现</x:v>
      </x:c>
      <x:c r="H56" s="33" t="str">
        <x:v>在 `src/pool/tiering/cost_eviction.{h,cc}` 新增或重写 `CostEvictionManager`，把“KVCache 成本感知淘汰与降级”落实为 L3 传输管理层 可调用主路径：本需求要求实现KV提级/降级算法，使用多维因素决定保留、降级或驱逐 KV：score 至少包含 saved prefill time、future reuse probability、transfer cost、interference cost、memory rent 和 tenant priority。 输入必须显式消费 KVAccessIntent + KVBlockSpec + tier telemetry，输出 KVObjectHandle + Placement + state transition，不得用全局单例或隐藏同步 I/O 绕开预算与状态机。</x:v>
      </x:c>
      <x:c r="I56" s="33" t="str">
        <x:v>每 GB KV 带来的 saved prefill tokens 提升 ≥25%；</x:v>
      </x:c>
      <x:c r="J56" s="33" t="str">
        <x:v>src/pool/tiering/cost_eviction.{h,cc}</x:v>
      </x:c>
      <x:c r="K56" s="33" t="str">
        <x:v>L3 传输管理层 / 存储池/传输管理开发</x:v>
      </x:c>
      <x:c r="L56" s="33" t="str">
        <x:v>L3-MS-CostEviction-039</x:v>
      </x:c>
    </x:row>
    <x:row r="57" ht="76" customHeight="1">
      <x:c r="A57" s="33" t="str">
        <x:v>SF-01/IR-01-01/SR-01-01-13/AR-L3-MS-CostEviction-039-02</x:v>
      </x:c>
      <x:c r="B57" s="33" t="n">
        <x:v>4</x:v>
      </x:c>
      <x:c r="C57" s="34" t="str">
        <x:v>AR</x:v>
      </x:c>
      <x:c r="D57" s="34" t="str">
        <x:v>AR-L3-MS-CostEviction-039-02</x:v>
      </x:c>
      <x:c r="E57" s="34" t="str">
        <x:v>SR-01-01-13</x:v>
      </x:c>
      <x:c r="F57" s="34" t="str">
        <x:v>            ├─ AR-L3-MS-CostEviction-039-02 契约配置与降级</x:v>
      </x:c>
      <x:c r="G57" s="34" t="str">
        <x:v>契约配置与降级</x:v>
      </x:c>
      <x:c r="H57" s="33" t="str">
        <x:v>为 `CostEvictionOptions` 增加 `kvcache.cost_eviction.enabled`、deadline/容量/队列预算及版本字段；在调用点接入 typed error、decision_reason、fallback_reason，确保配置热更新、灰度关闭和向后兼容均可审计。</x:v>
      </x:c>
      <x:c r="I57" s="33" t="str">
        <x:v>每 GB KV 带来的 saved prefill tokens 提升 ≥25%；</x:v>
      </x:c>
      <x:c r="J57" s="33" t="str">
        <x:v>api/kvcache/v1/cost_eviction.proto + config/runtime/cost_eviction.yaml</x:v>
      </x:c>
      <x:c r="K57" s="33" t="str">
        <x:v>L3 传输管理层 / 存储池/传输管理开发</x:v>
      </x:c>
      <x:c r="L57" s="33" t="str">
        <x:v>L3-MS-CostEviction-039</x:v>
      </x:c>
    </x:row>
    <x:row r="58" ht="76" customHeight="1">
      <x:c r="A58" s="33" t="str">
        <x:v>SF-01/IR-01-01/SR-01-01-13/AR-L3-MS-CostEviction-039-03</x:v>
      </x:c>
      <x:c r="B58" s="33" t="n">
        <x:v>4</x:v>
      </x:c>
      <x:c r="C58" s="34" t="str">
        <x:v>AR</x:v>
      </x:c>
      <x:c r="D58" s="34" t="str">
        <x:v>AR-L3-MS-CostEviction-039-03</x:v>
      </x:c>
      <x:c r="E58" s="34" t="str">
        <x:v>SR-01-01-13</x:v>
      </x:c>
      <x:c r="F58" s="34" t="str">
        <x:v>            └─ AR-L3-MS-CostEviction-039-03 验证与观测</x:v>
      </x:c>
      <x:c r="G58" s="34" t="str">
        <x:v>验证与观测</x:v>
      </x:c>
      <x:c r="H58" s="33" t="str">
        <x:v>新增正常、边界、并发、超时、stale metadata、迁移冲突、路径拥塞/故障与 feature-flag-off 用例；在 benchmark 中固定模型、tokenizer、prompt、并发、拓扑和 baseline，采集 lookup/load/attach、TTFT、TPOT、usable/abandoned hit、带宽/时延及 CPU/NPU 利用率。</x:v>
      </x:c>
      <x:c r="I58" s="33" t="str">
        <x:v>每 GB KV 带来的 saved prefill tokens 提升 ≥25%；</x:v>
      </x:c>
      <x:c r="J58" s="33" t="str">
        <x:v>tests/pool/tiering/cost_eviction_test.cc + benchmarks/pool/tiering/cost_eviction_benchmark.cc</x:v>
      </x:c>
      <x:c r="K58" s="33" t="str">
        <x:v>L3 传输管理层 / 存储池/传输管理开发</x:v>
      </x:c>
      <x:c r="L58" s="33" t="str">
        <x:v>L3-MS-CostEviction-039</x:v>
      </x:c>
    </x:row>
    <x:row r="59" ht="76" customHeight="1">
      <x:c r="A59" s="31" t="str">
        <x:v>SF-01/IR-01-01/SR-01-01-14</x:v>
      </x:c>
      <x:c r="B59" s="31" t="n">
        <x:v>3</x:v>
      </x:c>
      <x:c r="C59" s="32" t="str">
        <x:v>SR</x:v>
      </x:c>
      <x:c r="D59" s="32" t="str">
        <x:v>SR-01-01-14</x:v>
      </x:c>
      <x:c r="E59" s="32" t="str">
        <x:v>IR-01-01</x:v>
      </x:c>
      <x:c r="F59" s="32" t="str">
        <x:v>        ├─ SR-01-01-14 热点 KV、远端低时延容量、预取与SSD尾时延屏蔽</x:v>
      </x:c>
      <x:c r="G59" s="32" t="str">
        <x:v>热点 KV、远端低时延容量、预取与SSD尾时延屏蔽｜L3-MS-DDRRolePolicy-092</x:v>
      </x:c>
      <x:c r="H59" s="31" t="str">
        <x:v>系统重构：本需求要求为 DDR 建立角色化准入策略，至少区分 metadata/control、local warm KV、remote DDR tier、prefetch/burst buffer、registered pool 和 fallback staging。 技术路径：P1 建立 role tag、admission 与 telemetry；P2 在selected workload灰度。</x:v>
      </x:c>
      <x:c r="I59" s="31" t="str">
        <x:v>输出各 DDR 角色的容量、带宽和净收益曲线，明确主用、条件启用和禁用边界。</x:v>
      </x:c>
      <x:c r="J59" s="31" t="str"/>
      <x:c r="K59" s="31" t="str">
        <x:v>L3 传输管理层 / 统一存储池与分层管理</x:v>
      </x:c>
      <x:c r="L59" s="31" t="str">
        <x:v>L3-MS-DDRRolePolicy-092</x:v>
      </x:c>
    </x:row>
    <x:row r="60" ht="76" customHeight="1">
      <x:c r="A60" s="33" t="str">
        <x:v>SF-01/IR-01-01/SR-01-01-14/AR-L3-MS-DDRRolePolicy-092-01</x:v>
      </x:c>
      <x:c r="B60" s="33" t="n">
        <x:v>4</x:v>
      </x:c>
      <x:c r="C60" s="34" t="str">
        <x:v>AR</x:v>
      </x:c>
      <x:c r="D60" s="34" t="str">
        <x:v>AR-L3-MS-DDRRolePolicy-092-01</x:v>
      </x:c>
      <x:c r="E60" s="34" t="str">
        <x:v>SR-01-01-14</x:v>
      </x:c>
      <x:c r="F60" s="34" t="str">
        <x:v>            ├─ AR-L3-MS-DDRRolePolicy-092-01 核心实现</x:v>
      </x:c>
      <x:c r="G60" s="34" t="str">
        <x:v>核心实现</x:v>
      </x:c>
      <x:c r="H60" s="33" t="str">
        <x:v>在 `src/pool/tiering/ddrrole_policy.{h,cc}` 新增或重写 `DDRRolePolicyManager`，把“热点 KV、远端低时延容量、预取与SSD尾时延屏蔽”落实为 L3 传输管理层 可调用主路径：本需求要求为 DDR 建立角色化准入策略，至少区分 metadata/control、local warm KV、remote DDR tier、prefetch/burst buffer、registered pool 和 fallback staging。 输入必须显式消费 KVAccessIntent + KVBlockSpec + tier telemetry，输出 KVObjectHandle + Placement + state transition，不得用全局单例或隐藏同步 I/O 绕开预算与状态机。</x:v>
      </x:c>
      <x:c r="I60" s="33" t="str">
        <x:v>输出各 DDR 角色的容量、带宽和净收益曲线，明确主用、条件启用和禁用边界。</x:v>
      </x:c>
      <x:c r="J60" s="33" t="str">
        <x:v>src/pool/tiering/ddrrole_policy.{h,cc}</x:v>
      </x:c>
      <x:c r="K60" s="33" t="str">
        <x:v>L3 传输管理层 / 存储池/传输管理开发</x:v>
      </x:c>
      <x:c r="L60" s="33" t="str">
        <x:v>L3-MS-DDRRolePolicy-092</x:v>
      </x:c>
    </x:row>
    <x:row r="61" ht="76" customHeight="1">
      <x:c r="A61" s="33" t="str">
        <x:v>SF-01/IR-01-01/SR-01-01-14/AR-L3-MS-DDRRolePolicy-092-02</x:v>
      </x:c>
      <x:c r="B61" s="33" t="n">
        <x:v>4</x:v>
      </x:c>
      <x:c r="C61" s="34" t="str">
        <x:v>AR</x:v>
      </x:c>
      <x:c r="D61" s="34" t="str">
        <x:v>AR-L3-MS-DDRRolePolicy-092-02</x:v>
      </x:c>
      <x:c r="E61" s="34" t="str">
        <x:v>SR-01-01-14</x:v>
      </x:c>
      <x:c r="F61" s="34" t="str">
        <x:v>            ├─ AR-L3-MS-DDRRolePolicy-092-02 契约配置与降级</x:v>
      </x:c>
      <x:c r="G61" s="34" t="str">
        <x:v>契约配置与降级</x:v>
      </x:c>
      <x:c r="H61" s="33" t="str">
        <x:v>为 `DDRRolePolicyOptions` 增加 `kvcache.ddrrole_policy.enabled`、deadline/容量/队列预算及版本字段；在调用点接入 typed error、decision_reason、fallback_reason，确保配置热更新、灰度关闭和向后兼容均可审计。</x:v>
      </x:c>
      <x:c r="I61" s="33" t="str">
        <x:v>输出各 DDR 角色的容量、带宽和净收益曲线，明确主用、条件启用和禁用边界。</x:v>
      </x:c>
      <x:c r="J61" s="33" t="str">
        <x:v>api/kvcache/v1/ddrrole_policy.proto + config/runtime/ddrrole_policy.yaml</x:v>
      </x:c>
      <x:c r="K61" s="33" t="str">
        <x:v>L3 传输管理层 / 存储池/传输管理开发</x:v>
      </x:c>
      <x:c r="L61" s="33" t="str">
        <x:v>L3-MS-DDRRolePolicy-092</x:v>
      </x:c>
    </x:row>
    <x:row r="62" ht="76" customHeight="1">
      <x:c r="A62" s="33" t="str">
        <x:v>SF-01/IR-01-01/SR-01-01-14/AR-L3-MS-DDRRolePolicy-092-03</x:v>
      </x:c>
      <x:c r="B62" s="33" t="n">
        <x:v>4</x:v>
      </x:c>
      <x:c r="C62" s="34" t="str">
        <x:v>AR</x:v>
      </x:c>
      <x:c r="D62" s="34" t="str">
        <x:v>AR-L3-MS-DDRRolePolicy-092-03</x:v>
      </x:c>
      <x:c r="E62" s="34" t="str">
        <x:v>SR-01-01-14</x:v>
      </x:c>
      <x:c r="F62" s="34" t="str">
        <x:v>            └─ AR-L3-MS-DDRRolePolicy-092-03 验证与观测</x:v>
      </x:c>
      <x:c r="G62" s="34" t="str">
        <x:v>验证与观测</x:v>
      </x:c>
      <x:c r="H62" s="33" t="str">
        <x:v>新增正常、边界、并发、超时、stale metadata、迁移冲突、路径拥塞/故障与 feature-flag-off 用例；在 benchmark 中固定模型、tokenizer、prompt、并发、拓扑和 baseline，采集 lookup/load/attach、TTFT、TPOT、usable/abandoned hit、带宽/时延及 CPU/NPU 利用率。</x:v>
      </x:c>
      <x:c r="I62" s="33" t="str">
        <x:v>输出各 DDR 角色的容量、带宽和净收益曲线，明确主用、条件启用和禁用边界。</x:v>
      </x:c>
      <x:c r="J62" s="33" t="str">
        <x:v>tests/pool/tiering/ddrrole_policy_test.cc + benchmarks/pool/tiering/ddrrole_policy_benchmark.cc</x:v>
      </x:c>
      <x:c r="K62" s="33" t="str">
        <x:v>L3 传输管理层 / 存储池/传输管理开发</x:v>
      </x:c>
      <x:c r="L62" s="33" t="str">
        <x:v>L3-MS-DDRRolePolicy-092</x:v>
      </x:c>
    </x:row>
    <x:row r="63" ht="76" customHeight="1">
      <x:c r="A63" s="31" t="str">
        <x:v>SF-01/IR-01-01/SR-01-01-15</x:v>
      </x:c>
      <x:c r="B63" s="31" t="n">
        <x:v>3</x:v>
      </x:c>
      <x:c r="C63" s="32" t="str">
        <x:v>SR</x:v>
      </x:c>
      <x:c r="D63" s="32" t="str">
        <x:v>SR-01-01-15</x:v>
      </x:c>
      <x:c r="E63" s="32" t="str">
        <x:v>IR-01-01</x:v>
      </x:c>
      <x:c r="F63" s="32" t="str">
        <x:v>        ├─ SR-01-01-15 NUMA亲和性KV分配</x:v>
      </x:c>
      <x:c r="G63" s="32" t="str">
        <x:v>NUMA亲和性KV分配｜L3-MC-POOL-ALLOC-005</x:v>
      </x:c>
      <x:c r="H63" s="31" t="str">
        <x:v>系统重构：本需求要求为Mooncake统一内存池实现NUMA感知的KVCache Block分配器，通过查询NPU与CPU NUMA节点的亲和关系，优先将KVCache Block分配到最近NUMA节点的DDR内存（numa_alloc_onnode），将Cross-NUMA KVCache访问比例从当前&gt;50%降至&lt;10%。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x:v>
      </x:c>
      <x:c r="I63" s="31" t="str">
        <x:v>节点动态加入/退出时的缓存失效控制在局部范围内（遵循一致性哈希比例）。</x:v>
      </x:c>
      <x:c r="J63" s="31" t="str"/>
      <x:c r="K63" s="31" t="str">
        <x:v>L3 传输管理层 / 统一存储池与分层管理</x:v>
      </x:c>
      <x:c r="L63" s="31" t="str">
        <x:v>L3-MC-POOL-ALLOC-005</x:v>
      </x:c>
    </x:row>
    <x:row r="64" ht="76" customHeight="1">
      <x:c r="A64" s="33" t="str">
        <x:v>SF-01/IR-01-01/SR-01-01-15/AR-L3-MC-POOL-ALLOC-005-01</x:v>
      </x:c>
      <x:c r="B64" s="33" t="n">
        <x:v>4</x:v>
      </x:c>
      <x:c r="C64" s="34" t="str">
        <x:v>AR</x:v>
      </x:c>
      <x:c r="D64" s="34" t="str">
        <x:v>AR-L3-MC-POOL-ALLOC-005-01</x:v>
      </x:c>
      <x:c r="E64" s="34" t="str">
        <x:v>SR-01-01-15</x:v>
      </x:c>
      <x:c r="F64" s="34" t="str">
        <x:v>            ├─ AR-L3-MC-POOL-ALLOC-005-01 核心实现</x:v>
      </x:c>
      <x:c r="G64" s="34" t="str">
        <x:v>核心实现</x:v>
      </x:c>
      <x:c r="H64" s="33" t="str">
        <x:v>在 `src/pool/tiering/pool_alloc.{h,cc}` 新增或重写 `POOLALLOCManager`，把“NUMA亲和性KV分配”落实为 L3 传输管理层 可调用主路径：本需求要求为Mooncake统一内存池实现NUMA感知的KVCache Block分配器，通过查询NPU与CPU NUMA节点的亲和关系，优先将KVCache Block分配到最近NUMA节点的DDR内存（numa_alloc_onnode），将Cross-NUMA KVCache访问比例从当前&gt;50%降至&lt;10%。 输入必须显式消费 KVAccessIntent + KVBlockSpec + tier telemetry，输出 KVObjectHandle + Placement + state transition，不得用全局单例或隐藏同步 I/O 绕开预算与状态机。</x:v>
      </x:c>
      <x:c r="I64" s="33" t="str">
        <x:v>节点动态加入/退出时的缓存失效控制在局部范围内（遵循一致性哈希比例）。</x:v>
      </x:c>
      <x:c r="J64" s="33" t="str">
        <x:v>src/pool/tiering/pool_alloc.{h,cc}</x:v>
      </x:c>
      <x:c r="K64" s="33" t="str">
        <x:v>L3 传输管理层 / 存储池/传输管理开发</x:v>
      </x:c>
      <x:c r="L64" s="33" t="str">
        <x:v>L3-MC-POOL-ALLOC-005</x:v>
      </x:c>
    </x:row>
    <x:row r="65" ht="76" customHeight="1">
      <x:c r="A65" s="33" t="str">
        <x:v>SF-01/IR-01-01/SR-01-01-15/AR-L3-MC-POOL-ALLOC-005-02</x:v>
      </x:c>
      <x:c r="B65" s="33" t="n">
        <x:v>4</x:v>
      </x:c>
      <x:c r="C65" s="34" t="str">
        <x:v>AR</x:v>
      </x:c>
      <x:c r="D65" s="34" t="str">
        <x:v>AR-L3-MC-POOL-ALLOC-005-02</x:v>
      </x:c>
      <x:c r="E65" s="34" t="str">
        <x:v>SR-01-01-15</x:v>
      </x:c>
      <x:c r="F65" s="34" t="str">
        <x:v>            ├─ AR-L3-MC-POOL-ALLOC-005-02 契约配置与降级</x:v>
      </x:c>
      <x:c r="G65" s="34" t="str">
        <x:v>契约配置与降级</x:v>
      </x:c>
      <x:c r="H65" s="33" t="str">
        <x:v>为 `POOLALLOCOptions` 增加 `kvcache.pool_alloc.enabled`、deadline/容量/队列预算及版本字段；在调用点接入 typed error、decision_reason、fallback_reason，确保配置热更新、灰度关闭和向后兼容均可审计。</x:v>
      </x:c>
      <x:c r="I65" s="33" t="str">
        <x:v>节点动态加入/退出时的缓存失效控制在局部范围内（遵循一致性哈希比例）。</x:v>
      </x:c>
      <x:c r="J65" s="33" t="str">
        <x:v>api/kvcache/v1/pool_alloc.proto + config/runtime/pool_alloc.yaml</x:v>
      </x:c>
      <x:c r="K65" s="33" t="str">
        <x:v>L3 传输管理层 / 存储池/传输管理开发</x:v>
      </x:c>
      <x:c r="L65" s="33" t="str">
        <x:v>L3-MC-POOL-ALLOC-005</x:v>
      </x:c>
    </x:row>
    <x:row r="66" ht="76" customHeight="1">
      <x:c r="A66" s="33" t="str">
        <x:v>SF-01/IR-01-01/SR-01-01-15/AR-L3-MC-POOL-ALLOC-005-03</x:v>
      </x:c>
      <x:c r="B66" s="33" t="n">
        <x:v>4</x:v>
      </x:c>
      <x:c r="C66" s="34" t="str">
        <x:v>AR</x:v>
      </x:c>
      <x:c r="D66" s="34" t="str">
        <x:v>AR-L3-MC-POOL-ALLOC-005-03</x:v>
      </x:c>
      <x:c r="E66" s="34" t="str">
        <x:v>SR-01-01-15</x:v>
      </x:c>
      <x:c r="F66" s="34" t="str">
        <x:v>            └─ AR-L3-MC-POOL-ALLOC-005-03 验证与观测</x:v>
      </x:c>
      <x:c r="G66" s="34" t="str">
        <x:v>验证与观测</x:v>
      </x:c>
      <x:c r="H66" s="33" t="str">
        <x:v>新增正常、边界、并发、超时、stale metadata、迁移冲突、路径拥塞/故障与 feature-flag-off 用例；在 benchmark 中固定模型、tokenizer、prompt、并发、拓扑和 baseline，采集 lookup/load/attach、TTFT、TPOT、usable/abandoned hit、带宽/时延及 CPU/NPU 利用率。</x:v>
      </x:c>
      <x:c r="I66" s="33" t="str">
        <x:v>节点动态加入/退出时的缓存失效控制在局部范围内（遵循一致性哈希比例）。</x:v>
      </x:c>
      <x:c r="J66" s="33" t="str">
        <x:v>tests/pool/tiering/pool_alloc_test.cc + benchmarks/pool/tiering/pool_alloc_benchmark.cc</x:v>
      </x:c>
      <x:c r="K66" s="33" t="str">
        <x:v>L3 传输管理层 / 存储池/传输管理开发</x:v>
      </x:c>
      <x:c r="L66" s="33" t="str">
        <x:v>L3-MC-POOL-ALLOC-005</x:v>
      </x:c>
    </x:row>
    <x:row r="67" ht="76" customHeight="1">
      <x:c r="A67" s="31" t="str">
        <x:v>SF-01/IR-01-01/SR-01-01-16</x:v>
      </x:c>
      <x:c r="B67" s="31" t="n">
        <x:v>3</x:v>
      </x:c>
      <x:c r="C67" s="32" t="str">
        <x:v>SR</x:v>
      </x:c>
      <x:c r="D67" s="32" t="str">
        <x:v>SR-01-01-16</x:v>
      </x:c>
      <x:c r="E67" s="32" t="str">
        <x:v>IR-01-01</x:v>
      </x:c>
      <x:c r="F67" s="32" t="str">
        <x:v>        ├─ SR-01-01-16 UB 共享 KV 热存储池管理</x:v>
      </x:c>
      <x:c r="G67" s="32" t="str">
        <x:v>UB 共享 KV 热存储池管理｜L3-MC-UBAllocator-049</x:v>
      </x:c>
      <x:c r="H67" s="31" t="str">
        <x:v>系统重构：本需求要求实现 UB pooled memory 专用 KV allocator：采用 offset-based addressing、hugepage/page coloring、NUMA/fabric locality、free-list、defrag 与 quota 控制，将 UB pool 从裸内存资源变成可管理 KV tier。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x:v>
      </x:c>
      <x:c r="I67" s="31" t="str">
        <x:v>全局内存利用率提升至≥85%，跨级冷热数据迁移过程中的TPOT抖动 &lt; 5%。</x:v>
      </x:c>
      <x:c r="J67" s="31" t="str"/>
      <x:c r="K67" s="31" t="str">
        <x:v>L3 传输管理层 / 统一存储池与分层管理</x:v>
      </x:c>
      <x:c r="L67" s="31" t="str">
        <x:v>L3-MC-UBAllocator-049</x:v>
      </x:c>
    </x:row>
    <x:row r="68" ht="76" customHeight="1">
      <x:c r="A68" s="33" t="str">
        <x:v>SF-01/IR-01-01/SR-01-01-16/AR-L3-MC-UBAllocator-049-01</x:v>
      </x:c>
      <x:c r="B68" s="33" t="n">
        <x:v>4</x:v>
      </x:c>
      <x:c r="C68" s="34" t="str">
        <x:v>AR</x:v>
      </x:c>
      <x:c r="D68" s="34" t="str">
        <x:v>AR-L3-MC-UBAllocator-049-01</x:v>
      </x:c>
      <x:c r="E68" s="34" t="str">
        <x:v>SR-01-01-16</x:v>
      </x:c>
      <x:c r="F68" s="34" t="str">
        <x:v>            ├─ AR-L3-MC-UBAllocator-049-01 核心实现</x:v>
      </x:c>
      <x:c r="G68" s="34" t="str">
        <x:v>核心实现</x:v>
      </x:c>
      <x:c r="H68" s="33" t="str">
        <x:v>在 `src/pool/tiering/uballocator.{h,cc}` 新增或重写 `UBAllocatorManager`，把“UB 共享 KV 热存储池管理”落实为 L3 传输管理层 可调用主路径：本需求要求实现 UB pooled memory 专用 KV allocator：采用 offset-based addressing、hugepage/page coloring、NUMA/fabric locality、free-list、defrag 与 quota 控制，将 UB pool 从裸内存资源变成可管理 KV tier。 输入必须显式消费 KVAccessIntent + KVBlockSpec + tier telemetry，输出 KVObjectHandle + Placement + state transition，不得用全局单例或隐藏同步 I/O 绕开预算与状态机。</x:v>
      </x:c>
      <x:c r="I68" s="33" t="str">
        <x:v>全局内存利用率提升至≥85%，跨级冷热数据迁移过程中的TPOT抖动 &lt; 5%。</x:v>
      </x:c>
      <x:c r="J68" s="33" t="str">
        <x:v>src/pool/tiering/uballocator.{h,cc}</x:v>
      </x:c>
      <x:c r="K68" s="33" t="str">
        <x:v>L3 传输管理层 / 存储池/传输管理开发</x:v>
      </x:c>
      <x:c r="L68" s="33" t="str">
        <x:v>L3-MC-UBAllocator-049</x:v>
      </x:c>
    </x:row>
    <x:row r="69" ht="76" customHeight="1">
      <x:c r="A69" s="33" t="str">
        <x:v>SF-01/IR-01-01/SR-01-01-16/AR-L3-MC-UBAllocator-049-02</x:v>
      </x:c>
      <x:c r="B69" s="33" t="n">
        <x:v>4</x:v>
      </x:c>
      <x:c r="C69" s="34" t="str">
        <x:v>AR</x:v>
      </x:c>
      <x:c r="D69" s="34" t="str">
        <x:v>AR-L3-MC-UBAllocator-049-02</x:v>
      </x:c>
      <x:c r="E69" s="34" t="str">
        <x:v>SR-01-01-16</x:v>
      </x:c>
      <x:c r="F69" s="34" t="str">
        <x:v>            ├─ AR-L3-MC-UBAllocator-049-02 契约配置与降级</x:v>
      </x:c>
      <x:c r="G69" s="34" t="str">
        <x:v>契约配置与降级</x:v>
      </x:c>
      <x:c r="H69" s="33" t="str">
        <x:v>为 `UBAllocatorOptions` 增加 `kvcache.uballocator.enabled`、deadline/容量/队列预算及版本字段；在调用点接入 typed error、decision_reason、fallback_reason，确保配置热更新、灰度关闭和向后兼容均可审计。</x:v>
      </x:c>
      <x:c r="I69" s="33" t="str">
        <x:v>全局内存利用率提升至≥85%，跨级冷热数据迁移过程中的TPOT抖动 &lt; 5%。</x:v>
      </x:c>
      <x:c r="J69" s="33" t="str">
        <x:v>api/kvcache/v1/uballocator.proto + config/runtime/uballocator.yaml</x:v>
      </x:c>
      <x:c r="K69" s="33" t="str">
        <x:v>L3 传输管理层 / 存储池/传输管理开发</x:v>
      </x:c>
      <x:c r="L69" s="33" t="str">
        <x:v>L3-MC-UBAllocator-049</x:v>
      </x:c>
    </x:row>
    <x:row r="70" ht="76" customHeight="1">
      <x:c r="A70" s="33" t="str">
        <x:v>SF-01/IR-01-01/SR-01-01-16/AR-L3-MC-UBAllocator-049-03</x:v>
      </x:c>
      <x:c r="B70" s="33" t="n">
        <x:v>4</x:v>
      </x:c>
      <x:c r="C70" s="34" t="str">
        <x:v>AR</x:v>
      </x:c>
      <x:c r="D70" s="34" t="str">
        <x:v>AR-L3-MC-UBAllocator-049-03</x:v>
      </x:c>
      <x:c r="E70" s="34" t="str">
        <x:v>SR-01-01-16</x:v>
      </x:c>
      <x:c r="F70" s="34" t="str">
        <x:v>            └─ AR-L3-MC-UBAllocator-049-03 验证与观测</x:v>
      </x:c>
      <x:c r="G70" s="34" t="str">
        <x:v>验证与观测</x:v>
      </x:c>
      <x:c r="H70" s="33" t="str">
        <x:v>新增正常、边界、并发、超时、stale metadata、迁移冲突、路径拥塞/故障与 feature-flag-off 用例；在 benchmark 中固定模型、tokenizer、prompt、并发、拓扑和 baseline，采集 lookup/load/attach、TTFT、TPOT、usable/abandoned hit、带宽/时延及 CPU/NPU 利用率。</x:v>
      </x:c>
      <x:c r="I70" s="33" t="str">
        <x:v>全局内存利用率提升至≥85%，跨级冷热数据迁移过程中的TPOT抖动 &lt; 5%。</x:v>
      </x:c>
      <x:c r="J70" s="33" t="str">
        <x:v>tests/pool/tiering/uballocator_test.cc + benchmarks/pool/tiering/uballocator_benchmark.cc</x:v>
      </x:c>
      <x:c r="K70" s="33" t="str">
        <x:v>L3 传输管理层 / 存储池/传输管理开发</x:v>
      </x:c>
      <x:c r="L70" s="33" t="str">
        <x:v>L3-MC-UBAllocator-049</x:v>
      </x:c>
    </x:row>
    <x:row r="71" ht="76" customHeight="1">
      <x:c r="A71" s="29" t="str">
        <x:v>SF-01/IR-01-02</x:v>
      </x:c>
      <x:c r="B71" s="29" t="n">
        <x:v>2</x:v>
      </x:c>
      <x:c r="C71" s="30" t="str">
        <x:v>IR</x:v>
      </x:c>
      <x:c r="D71" s="30" t="str">
        <x:v>IR-01-02</x:v>
      </x:c>
      <x:c r="E71" s="30" t="str">
        <x:v>SF-01</x:v>
      </x:c>
      <x:c r="F71" s="30" t="str">
        <x:v>    ├─ IR-01-02 支持vLLM/SGLang KV块跨介质批量传输的布局适配与描述生成</x:v>
      </x:c>
      <x:c r="G71" s="30" t="str">
        <x:v>支持vLLM/SGLang KV块跨介质批量传输的布局适配与描述生成</x:v>
      </x:c>
      <x:c r="H71" s="29" t="str">
        <x:v>系统应接收 vLLM block、SGLang page/radix span 等不同框架产生的逻辑 KV 片段，自动适配目标 HBM、DDR、SSD、RDMA 或 UBMEM 路径的内存布局和传输约束，生成可由底层一次或少量批次执行的统一传输任务。其目的不是暴露 SG、对齐或 fence 细节，而是消除逐块拷贝、重复后端适配和小 I/O 风暴，让同一份 KVCache 能在不同介质与传输后端之间高效流转。
技术锚点：ExtentManifest + Scatter/Gather Descriptor Compiler + FlatBuffers/Protobuf ABI</x:v>
      </x:c>
      <x:c r="I71" s="29" t="str">
        <x:v>descriptor 数降低≥50%；effective BW提升≥30%；CPU submit time降低≥40%；布局协商错误=0。</x:v>
      </x:c>
      <x:c r="J71" s="29" t="str"/>
      <x:c r="K71" s="29" t="str">
        <x:v>TM4</x:v>
      </x:c>
      <x:c r="L71" s="29" t="str">
        <x:v>V2.1修订定义</x:v>
      </x:c>
    </x:row>
    <x:row r="72" ht="76" customHeight="1">
      <x:c r="A72" s="31" t="str">
        <x:v>SF-01/IR-01-02/SR-01-02-01</x:v>
      </x:c>
      <x:c r="B72" s="31" t="n">
        <x:v>3</x:v>
      </x:c>
      <x:c r="C72" s="32" t="str">
        <x:v>SR</x:v>
      </x:c>
      <x:c r="D72" s="32" t="str">
        <x:v>SR-01-02-01</x:v>
      </x:c>
      <x:c r="E72" s="32" t="str">
        <x:v>IR-01-02</x:v>
      </x:c>
      <x:c r="F72" s="32" t="str">
        <x:v>        ├─ SR-01-02-01 部分前缀命中复用</x:v>
      </x:c>
      <x:c r="G72" s="32" t="str">
        <x:v>部分前缀命中复用｜L2-KV-PartialAttachPlan-038</x:v>
      </x:c>
      <x:c r="H72" s="31" t="str">
        <x:v>系统重构：本需求要求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x:v>
      </x:c>
      <x:c r="I72" s="31" t="str">
        <x:v>Prefix命中判定P99耗时 &lt; 200us；在Share-Prefix业务下，Usable Hit Rate提升≥15%。</x:v>
      </x:c>
      <x:c r="J72" s="31" t="str"/>
      <x:c r="K72" s="31" t="str">
        <x:v>L2 KVConnector层 / 传输描述与布局协商</x:v>
      </x:c>
      <x:c r="L72" s="31" t="str">
        <x:v>L2-KV-PartialAttachPlan-038</x:v>
      </x:c>
    </x:row>
    <x:row r="73" ht="76" customHeight="1">
      <x:c r="A73" s="33" t="str">
        <x:v>SF-01/IR-01-02/SR-01-02-01/AR-L2-KV-PartialAttachPlan-038-01</x:v>
      </x:c>
      <x:c r="B73" s="33" t="n">
        <x:v>4</x:v>
      </x:c>
      <x:c r="C73" s="34" t="str">
        <x:v>AR</x:v>
      </x:c>
      <x:c r="D73" s="34" t="str">
        <x:v>AR-L2-KV-PartialAttachPlan-038-01</x:v>
      </x:c>
      <x:c r="E73" s="34" t="str">
        <x:v>SR-01-02-01</x:v>
      </x:c>
      <x:c r="F73" s="34" t="str">
        <x:v>            ├─ AR-L2-KV-PartialAttachPlan-038-01 核心实现</x:v>
      </x:c>
      <x:c r="G73" s="34" t="str">
        <x:v>核心实现</x:v>
      </x:c>
      <x:c r="H73" s="33" t="str">
        <x:v>在 `src/transfer/descriptor/partial_attach_plan.{h,cc}` 新增或重写 `PartialAttachPlanCompiler`，把“部分前缀命中复用”落实为 L2 KVConnector层 可调用主路径：本需求要求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 输入必须显式消费 KV layout + logical spans + target capability，输出 BulkDescriptor + LayoutTransformPlan，不得用全局单例或隐藏同步 I/O 绕开预算与状态机。</x:v>
      </x:c>
      <x:c r="I73" s="33" t="str">
        <x:v>Prefix命中判定P99耗时 &lt; 200us；在Share-Prefix业务下，Usable Hit Rate提升≥15%。</x:v>
      </x:c>
      <x:c r="J73" s="33" t="str">
        <x:v>src/transfer/descriptor/partial_attach_plan.{h,cc}</x:v>
      </x:c>
      <x:c r="K73" s="33" t="str">
        <x:v>L2 KVConnector层 / Connector开发</x:v>
      </x:c>
      <x:c r="L73" s="33" t="str">
        <x:v>L2-KV-PartialAttachPlan-038</x:v>
      </x:c>
    </x:row>
    <x:row r="74" ht="76" customHeight="1">
      <x:c r="A74" s="33" t="str">
        <x:v>SF-01/IR-01-02/SR-01-02-01/AR-L2-KV-PartialAttachPlan-038-02</x:v>
      </x:c>
      <x:c r="B74" s="33" t="n">
        <x:v>4</x:v>
      </x:c>
      <x:c r="C74" s="34" t="str">
        <x:v>AR</x:v>
      </x:c>
      <x:c r="D74" s="34" t="str">
        <x:v>AR-L2-KV-PartialAttachPlan-038-02</x:v>
      </x:c>
      <x:c r="E74" s="34" t="str">
        <x:v>SR-01-02-01</x:v>
      </x:c>
      <x:c r="F74" s="34" t="str">
        <x:v>            ├─ AR-L2-KV-PartialAttachPlan-038-02 契约配置与降级</x:v>
      </x:c>
      <x:c r="G74" s="34" t="str">
        <x:v>契约配置与降级</x:v>
      </x:c>
      <x:c r="H74" s="33" t="str">
        <x:v>为 `PartialAttachPlanOptions` 增加 `kvcache.partial_attach_plan.enabled`、deadline/容量/队列预算及版本字段；在调用点接入 typed error、decision_reason、fallback_reason，确保配置热更新、灰度关闭和向后兼容均可审计。</x:v>
      </x:c>
      <x:c r="I74" s="33" t="str">
        <x:v>Prefix命中判定P99耗时 &lt; 200us；在Share-Prefix业务下，Usable Hit Rate提升≥15%。</x:v>
      </x:c>
      <x:c r="J74" s="33" t="str">
        <x:v>api/kvcache/v1/partial_attach_plan.proto + config/runtime/partial_attach_plan.yaml</x:v>
      </x:c>
      <x:c r="K74" s="33" t="str">
        <x:v>L2 KVConnector层 / Connector开发</x:v>
      </x:c>
      <x:c r="L74" s="33" t="str">
        <x:v>L2-KV-PartialAttachPlan-038</x:v>
      </x:c>
    </x:row>
    <x:row r="75" ht="76" customHeight="1">
      <x:c r="A75" s="33" t="str">
        <x:v>SF-01/IR-01-02/SR-01-02-01/AR-L2-KV-PartialAttachPlan-038-03</x:v>
      </x:c>
      <x:c r="B75" s="33" t="n">
        <x:v>4</x:v>
      </x:c>
      <x:c r="C75" s="34" t="str">
        <x:v>AR</x:v>
      </x:c>
      <x:c r="D75" s="34" t="str">
        <x:v>AR-L2-KV-PartialAttachPlan-038-03</x:v>
      </x:c>
      <x:c r="E75" s="34" t="str">
        <x:v>SR-01-02-01</x:v>
      </x:c>
      <x:c r="F75" s="34" t="str">
        <x:v>            └─ AR-L2-KV-PartialAttachPlan-038-03 验证与观测</x:v>
      </x:c>
      <x:c r="G75" s="34" t="str">
        <x:v>验证与观测</x:v>
      </x:c>
      <x:c r="H75" s="33" t="str">
        <x:v>新增正常、边界、并发、超时、stale metadata、迁移冲突、路径拥塞/故障与 feature-flag-off 用例；在 benchmark 中固定模型、tokenizer、prompt、并发、拓扑和 baseline，采集 lookup/load/attach、TTFT、TPOT、usable/abandoned hit、带宽/时延及 CPU/NPU 利用率。</x:v>
      </x:c>
      <x:c r="I75" s="33" t="str">
        <x:v>Prefix命中判定P99耗时 &lt; 200us；在Share-Prefix业务下，Usable Hit Rate提升≥15%。</x:v>
      </x:c>
      <x:c r="J75" s="33" t="str">
        <x:v>tests/transfer/descriptor/partial_attach_plan_test.cc + benchmarks/transfer/descriptor/partial_attach_plan_benchmark.cc</x:v>
      </x:c>
      <x:c r="K75" s="33" t="str">
        <x:v>L2 KVConnector层 / Connector开发</x:v>
      </x:c>
      <x:c r="L75" s="33" t="str">
        <x:v>L2-KV-PartialAttachPlan-038</x:v>
      </x:c>
    </x:row>
    <x:row r="76" ht="76" customHeight="1">
      <x:c r="A76" s="31" t="str">
        <x:v>SF-01/IR-01-02/SR-01-02-02</x:v>
      </x:c>
      <x:c r="B76" s="31" t="n">
        <x:v>3</x:v>
      </x:c>
      <x:c r="C76" s="32" t="str">
        <x:v>SR</x:v>
      </x:c>
      <x:c r="D76" s="32" t="str">
        <x:v>SR-01-02-02</x:v>
      </x:c>
      <x:c r="E76" s="32" t="str">
        <x:v>IR-01-02</x:v>
      </x:c>
      <x:c r="F76" s="32" t="str">
        <x:v>        ├─ SR-01-02-02 KVCache 批量卸载与批量加载</x:v>
      </x:c>
      <x:c r="G76" s="32" t="str">
        <x:v>KVCache 批量卸载与批量加载｜L2-OL-BulkDescriptor-025</x:v>
      </x:c>
      <x:c r="H76" s="31" t="str">
        <x:v>系统重构：本需求要求 Connector 将多个不连续 KV block/page 合并为 scatter-gather bulk descriptor，支持 coalescing、max descriptor count、min transfer granularity、batch submit，避免 for-loop 式小块传输放大 CPU submit 与 DMA/RDMA setup 开销。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x:v>
      </x:c>
      <x:c r="I76" s="31" t="str">
        <x:v>CPU submit time 降低 ≥40%；</x:v>
      </x:c>
      <x:c r="J76" s="31" t="str"/>
      <x:c r="K76" s="31" t="str">
        <x:v>L2 KVConnector层 / 传输描述与布局协商</x:v>
      </x:c>
      <x:c r="L76" s="31" t="str">
        <x:v>L2-OL-BulkDescriptor-025</x:v>
      </x:c>
    </x:row>
    <x:row r="77" ht="76" customHeight="1">
      <x:c r="A77" s="33" t="str">
        <x:v>SF-01/IR-01-02/SR-01-02-02/AR-L2-OL-BulkDescriptor-025-01</x:v>
      </x:c>
      <x:c r="B77" s="33" t="n">
        <x:v>4</x:v>
      </x:c>
      <x:c r="C77" s="34" t="str">
        <x:v>AR</x:v>
      </x:c>
      <x:c r="D77" s="34" t="str">
        <x:v>AR-L2-OL-BulkDescriptor-025-01</x:v>
      </x:c>
      <x:c r="E77" s="34" t="str">
        <x:v>SR-01-02-02</x:v>
      </x:c>
      <x:c r="F77" s="34" t="str">
        <x:v>            ├─ AR-L2-OL-BulkDescriptor-025-01 核心实现</x:v>
      </x:c>
      <x:c r="G77" s="34" t="str">
        <x:v>核心实现</x:v>
      </x:c>
      <x:c r="H77" s="33" t="str">
        <x:v>在 `src/transfer/descriptor/bulk_descriptor.{h,cc}` 新增或重写 `BulkDescriptorCompiler`，把“KVCache 批量卸载与批量加载”落实为 L2 KVConnector层 可调用主路径：本需求要求 Connector 将多个不连续 KV block/page 合并为 scatter-gather bulk descriptor，支持 coalescing、max descriptor count、min transfer granularity、batch submit，避免 for-loop 式小块传输放大 CPU submit 与 DMA/RDMA setup 开销。 输入必须显式消费 KV layout + logical spans + target capability，输出 BulkDescriptor + LayoutTransformPlan，不得用全局单例或隐藏同步 I/O 绕开预算与状态机。</x:v>
      </x:c>
      <x:c r="I77" s="33" t="str">
        <x:v>CPU submit time 降低 ≥40%；</x:v>
      </x:c>
      <x:c r="J77" s="33" t="str">
        <x:v>src/transfer/descriptor/bulk_descriptor.{h,cc}</x:v>
      </x:c>
      <x:c r="K77" s="33" t="str">
        <x:v>L2 KVConnector层 / Connector开发</x:v>
      </x:c>
      <x:c r="L77" s="33" t="str">
        <x:v>L2-OL-BulkDescriptor-025</x:v>
      </x:c>
    </x:row>
    <x:row r="78" ht="76" customHeight="1">
      <x:c r="A78" s="33" t="str">
        <x:v>SF-01/IR-01-02/SR-01-02-02/AR-L2-OL-BulkDescriptor-025-02</x:v>
      </x:c>
      <x:c r="B78" s="33" t="n">
        <x:v>4</x:v>
      </x:c>
      <x:c r="C78" s="34" t="str">
        <x:v>AR</x:v>
      </x:c>
      <x:c r="D78" s="34" t="str">
        <x:v>AR-L2-OL-BulkDescriptor-025-02</x:v>
      </x:c>
      <x:c r="E78" s="34" t="str">
        <x:v>SR-01-02-02</x:v>
      </x:c>
      <x:c r="F78" s="34" t="str">
        <x:v>            ├─ AR-L2-OL-BulkDescriptor-025-02 契约配置与降级</x:v>
      </x:c>
      <x:c r="G78" s="34" t="str">
        <x:v>契约配置与降级</x:v>
      </x:c>
      <x:c r="H78" s="33" t="str">
        <x:v>为 `BulkDescriptorOptions` 增加 `kvcache.bulk_descriptor.enabled`、deadline/容量/队列预算及版本字段；在调用点接入 typed error、decision_reason、fallback_reason，确保配置热更新、灰度关闭和向后兼容均可审计。</x:v>
      </x:c>
      <x:c r="I78" s="33" t="str">
        <x:v>CPU submit time 降低 ≥40%；</x:v>
      </x:c>
      <x:c r="J78" s="33" t="str">
        <x:v>api/kvcache/v1/bulk_descriptor.proto + config/runtime/bulk_descriptor.yaml</x:v>
      </x:c>
      <x:c r="K78" s="33" t="str">
        <x:v>L2 KVConnector层 / Connector开发</x:v>
      </x:c>
      <x:c r="L78" s="33" t="str">
        <x:v>L2-OL-BulkDescriptor-025</x:v>
      </x:c>
    </x:row>
    <x:row r="79" ht="76" customHeight="1">
      <x:c r="A79" s="33" t="str">
        <x:v>SF-01/IR-01-02/SR-01-02-02/AR-L2-OL-BulkDescriptor-025-03</x:v>
      </x:c>
      <x:c r="B79" s="33" t="n">
        <x:v>4</x:v>
      </x:c>
      <x:c r="C79" s="34" t="str">
        <x:v>AR</x:v>
      </x:c>
      <x:c r="D79" s="34" t="str">
        <x:v>AR-L2-OL-BulkDescriptor-025-03</x:v>
      </x:c>
      <x:c r="E79" s="34" t="str">
        <x:v>SR-01-02-02</x:v>
      </x:c>
      <x:c r="F79" s="34" t="str">
        <x:v>            └─ AR-L2-OL-BulkDescriptor-025-03 验证与观测</x:v>
      </x:c>
      <x:c r="G79" s="34" t="str">
        <x:v>验证与观测</x:v>
      </x:c>
      <x:c r="H79" s="33" t="str">
        <x:v>新增正常、边界、并发、超时、stale metadata、迁移冲突、路径拥塞/故障与 feature-flag-off 用例；在 benchmark 中固定模型、tokenizer、prompt、并发、拓扑和 baseline，采集 lookup/load/attach、TTFT、TPOT、usable/abandoned hit、带宽/时延及 CPU/NPU 利用率。</x:v>
      </x:c>
      <x:c r="I79" s="33" t="str">
        <x:v>CPU submit time 降低 ≥40%；</x:v>
      </x:c>
      <x:c r="J79" s="33" t="str">
        <x:v>tests/transfer/descriptor/bulk_descriptor_test.cc + benchmarks/transfer/descriptor/bulk_descriptor_benchmark.cc</x:v>
      </x:c>
      <x:c r="K79" s="33" t="str">
        <x:v>L2 KVConnector层 / Connector开发</x:v>
      </x:c>
      <x:c r="L79" s="33" t="str">
        <x:v>L2-OL-BulkDescriptor-025</x:v>
      </x:c>
    </x:row>
    <x:row r="80" ht="76" customHeight="1">
      <x:c r="A80" s="31" t="str">
        <x:v>SF-01/IR-01-02/SR-01-02-03</x:v>
      </x:c>
      <x:c r="B80" s="31" t="n">
        <x:v>3</x:v>
      </x:c>
      <x:c r="C80" s="32" t="str">
        <x:v>SR</x:v>
      </x:c>
      <x:c r="D80" s="32" t="str">
        <x:v>SR-01-02-03</x:v>
      </x:c>
      <x:c r="E80" s="32" t="str">
        <x:v>IR-01-02</x:v>
      </x:c>
      <x:c r="F80" s="32" t="str">
        <x:v>        ├─ SR-01-02-03 KVCache 高效传输布局协商</x:v>
      </x:c>
      <x:c r="G80" s="32" t="str">
        <x:v>KVCache 高效传输布局协商｜L2-OL-LayoutNegotiation-024</x:v>
      </x:c>
      <x:c r="H80" s="31" t="str">
        <x:v>系统重构：本需求要求 Connector 与后端协商 KV layout：对 RDMA优先选择 MB 级连续 cross-layer block，对 SGLang HiCache/L存储支持 page-first/page-first-direct，对 SSD/object 支持 segment layout，减少 relayout 和小 descriptor 传输。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x:v>
      </x:c>
      <x:c r="I80" s="31" t="str">
        <x:v>descriptor 数降低 ≥50%；effective BW 提升 ≥30%；</x:v>
      </x:c>
      <x:c r="J80" s="31" t="str"/>
      <x:c r="K80" s="31" t="str">
        <x:v>L2 KVConnector层 / 传输描述与布局协商</x:v>
      </x:c>
      <x:c r="L80" s="31" t="str">
        <x:v>L2-OL-LayoutNegotiation-024</x:v>
      </x:c>
    </x:row>
    <x:row r="81" ht="76" customHeight="1">
      <x:c r="A81" s="33" t="str">
        <x:v>SF-01/IR-01-02/SR-01-02-03/AR-L2-OL-LayoutNegotiation-024-01</x:v>
      </x:c>
      <x:c r="B81" s="33" t="n">
        <x:v>4</x:v>
      </x:c>
      <x:c r="C81" s="34" t="str">
        <x:v>AR</x:v>
      </x:c>
      <x:c r="D81" s="34" t="str">
        <x:v>AR-L2-OL-LayoutNegotiation-024-01</x:v>
      </x:c>
      <x:c r="E81" s="34" t="str">
        <x:v>SR-01-02-03</x:v>
      </x:c>
      <x:c r="F81" s="34" t="str">
        <x:v>            ├─ AR-L2-OL-LayoutNegotiation-024-01 核心实现</x:v>
      </x:c>
      <x:c r="G81" s="34" t="str">
        <x:v>核心实现</x:v>
      </x:c>
      <x:c r="H81" s="33" t="str">
        <x:v>在 `src/transfer/descriptor/layout_negotiation.{h,cc}` 新增或重写 `LayoutNegotiationCompiler`，把“KVCache 高效传输布局协商”落实为 L2 KVConnector层 可调用主路径：本需求要求 Connector 与后端协商 KV layout：对 RDMA优先选择 MB 级连续 cross-layer block，对 SGLang HiCache/L存储支持 page-first/page-first-direct，对 SSD/object 支持 segment layout，减少 relayout 和小 descriptor 传输。 输入必须显式消费 KV layout + logical spans + target capability，输出 BulkDescriptor + LayoutTransformPlan，不得用全局单例或隐藏同步 I/O 绕开预算与状态机。</x:v>
      </x:c>
      <x:c r="I81" s="33" t="str">
        <x:v>descriptor 数降低 ≥50%；effective BW 提升 ≥30%；</x:v>
      </x:c>
      <x:c r="J81" s="33" t="str">
        <x:v>src/transfer/descriptor/layout_negotiation.{h,cc}</x:v>
      </x:c>
      <x:c r="K81" s="33" t="str">
        <x:v>L2 KVConnector层 / Connector开发</x:v>
      </x:c>
      <x:c r="L81" s="33" t="str">
        <x:v>L2-OL-LayoutNegotiation-024</x:v>
      </x:c>
    </x:row>
    <x:row r="82" ht="76" customHeight="1">
      <x:c r="A82" s="33" t="str">
        <x:v>SF-01/IR-01-02/SR-01-02-03/AR-L2-OL-LayoutNegotiation-024-02</x:v>
      </x:c>
      <x:c r="B82" s="33" t="n">
        <x:v>4</x:v>
      </x:c>
      <x:c r="C82" s="34" t="str">
        <x:v>AR</x:v>
      </x:c>
      <x:c r="D82" s="34" t="str">
        <x:v>AR-L2-OL-LayoutNegotiation-024-02</x:v>
      </x:c>
      <x:c r="E82" s="34" t="str">
        <x:v>SR-01-02-03</x:v>
      </x:c>
      <x:c r="F82" s="34" t="str">
        <x:v>            ├─ AR-L2-OL-LayoutNegotiation-024-02 契约配置与降级</x:v>
      </x:c>
      <x:c r="G82" s="34" t="str">
        <x:v>契约配置与降级</x:v>
      </x:c>
      <x:c r="H82" s="33" t="str">
        <x:v>为 `LayoutNegotiationOptions` 增加 `kvcache.layout_negotiation.enabled`、deadline/容量/队列预算及版本字段；在调用点接入 typed error、decision_reason、fallback_reason，确保配置热更新、灰度关闭和向后兼容均可审计。</x:v>
      </x:c>
      <x:c r="I82" s="33" t="str">
        <x:v>descriptor 数降低 ≥50%；effective BW 提升 ≥30%；</x:v>
      </x:c>
      <x:c r="J82" s="33" t="str">
        <x:v>api/kvcache/v1/layout_negotiation.proto + config/runtime/layout_negotiation.yaml</x:v>
      </x:c>
      <x:c r="K82" s="33" t="str">
        <x:v>L2 KVConnector层 / Connector开发</x:v>
      </x:c>
      <x:c r="L82" s="33" t="str">
        <x:v>L2-OL-LayoutNegotiation-024</x:v>
      </x:c>
    </x:row>
    <x:row r="83" ht="76" customHeight="1">
      <x:c r="A83" s="33" t="str">
        <x:v>SF-01/IR-01-02/SR-01-02-03/AR-L2-OL-LayoutNegotiation-024-03</x:v>
      </x:c>
      <x:c r="B83" s="33" t="n">
        <x:v>4</x:v>
      </x:c>
      <x:c r="C83" s="34" t="str">
        <x:v>AR</x:v>
      </x:c>
      <x:c r="D83" s="34" t="str">
        <x:v>AR-L2-OL-LayoutNegotiation-024-03</x:v>
      </x:c>
      <x:c r="E83" s="34" t="str">
        <x:v>SR-01-02-03</x:v>
      </x:c>
      <x:c r="F83" s="34" t="str">
        <x:v>            └─ AR-L2-OL-LayoutNegotiation-024-03 验证与观测</x:v>
      </x:c>
      <x:c r="G83" s="34" t="str">
        <x:v>验证与观测</x:v>
      </x:c>
      <x:c r="H83" s="33" t="str">
        <x:v>新增正常、边界、并发、超时、stale metadata、迁移冲突、路径拥塞/故障与 feature-flag-off 用例；在 benchmark 中固定模型、tokenizer、prompt、并发、拓扑和 baseline，采集 lookup/load/attach、TTFT、TPOT、usable/abandoned hit、带宽/时延及 CPU/NPU 利用率。</x:v>
      </x:c>
      <x:c r="I83" s="33" t="str">
        <x:v>descriptor 数降低 ≥50%；effective BW 提升 ≥30%；</x:v>
      </x:c>
      <x:c r="J83" s="33" t="str">
        <x:v>tests/transfer/descriptor/layout_negotiation_test.cc + benchmarks/transfer/descriptor/layout_negotiation_benchmark.cc</x:v>
      </x:c>
      <x:c r="K83" s="33" t="str">
        <x:v>L2 KVConnector层 / Connector开发</x:v>
      </x:c>
      <x:c r="L83" s="33" t="str">
        <x:v>L2-OL-LayoutNegotiation-024</x:v>
      </x:c>
    </x:row>
    <x:row r="84" ht="76" customHeight="1">
      <x:c r="A84" s="29" t="str">
        <x:v>SF-01/IR-01-03</x:v>
      </x:c>
      <x:c r="B84" s="29" t="n">
        <x:v>2</x:v>
      </x:c>
      <x:c r="C84" s="30" t="str">
        <x:v>IR</x:v>
      </x:c>
      <x:c r="D84" s="30" t="str">
        <x:v>IR-01-03</x:v>
      </x:c>
      <x:c r="E84" s="30" t="str">
        <x:v>SF-01</x:v>
      </x:c>
      <x:c r="F84" s="30" t="str">
        <x:v>    ├─ IR-01-03 面向TTFT收益与资源成本的KV访问决策和QueryPlan生成</x:v>
      </x:c>
      <x:c r="G84" s="30" t="str">
        <x:v>面向TTFT收益与资源成本的KV访问决策和QueryPlan生成</x:v>
      </x:c>
      <x:c r="H84" s="29" t="str">
        <x:v>系统应在发现多个 KV 副本或访问路径后，综合请求 TTFT deadline、预计重算时间、加载/附加成本、HBM 水位、路径拥塞和 TPOT 干扰，明确选择本地复用、远端加载、直接访问、回填 HBM、部分重算或完全重算，并输出包含候选位置、预估成本、执行动作和回退顺序的 QueryPlan，确保只消费收益为正且可安全使用的 KVCache。
技术锚点：QueryPlan + PlacementResolver + EWMA CostModel + PolicyEngine</x:v>
      </x:c>
      <x:c r="I84" s="29" t="str">
        <x:v>Usable Hit Rate提升≥20%；路径成本预测误差&lt;20%；单次策略调用&lt;5 μs；负收益命中强制放弃。</x:v>
      </x:c>
      <x:c r="J84" s="29" t="str"/>
      <x:c r="K84" s="29" t="str">
        <x:v>TM1/TM3/TM4</x:v>
      </x:c>
      <x:c r="L84" s="29" t="str">
        <x:v>V2.1修订定义</x:v>
      </x:c>
    </x:row>
    <x:row r="85" ht="76" customHeight="1">
      <x:c r="A85" s="31" t="str">
        <x:v>SF-01/IR-01-03/SR-01-03-01</x:v>
      </x:c>
      <x:c r="B85" s="31" t="n">
        <x:v>3</x:v>
      </x:c>
      <x:c r="C85" s="32" t="str">
        <x:v>SR</x:v>
      </x:c>
      <x:c r="D85" s="32" t="str">
        <x:v>SR-01-03-01</x:v>
      </x:c>
      <x:c r="E85" s="32" t="str">
        <x:v>IR-01-03</x:v>
      </x:c>
      <x:c r="F85" s="32" t="str">
        <x:v>        ├─ SR-01-03-01 从 KV 存储结构自动生成高效传输描述符</x:v>
      </x:c>
      <x:c r="G85" s="32" t="str">
        <x:v>从 KV 存储结构自动生成高效传输描述符｜L3-SE-DescriptorFromManifest-079</x:v>
      </x:c>
      <x:c r="H85" s="31" t="str">
        <x:v>系统重构：本需求要求 Transfer Manager 能根据 extent manifest 自动生成 scatter-gather bulk descriptor，并按 max descriptor count、alignment、min transfer granularity、target tier 和 backend capability 进行 coalescing，减少逐 block 传输提交开销。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x:v>
      </x:c>
      <x:c r="I85" s="31" t="str">
        <x:v>节点动态加入/退出时的缓存失效控制在局部范围内（遵循一致性哈希比例）。</x:v>
      </x:c>
      <x:c r="J85" s="31" t="str"/>
      <x:c r="K85" s="31" t="str">
        <x:v>L3 传输管理层 / 语义策略与路径管理</x:v>
      </x:c>
      <x:c r="L85" s="31" t="str">
        <x:v>L3-SE-DescriptorFromManifest-079</x:v>
      </x:c>
    </x:row>
    <x:row r="86" ht="76" customHeight="1">
      <x:c r="A86" s="33" t="str">
        <x:v>SF-01/IR-01-03/SR-01-03-01/AR-L3-SE-DescriptorFromManifest-079-01</x:v>
      </x:c>
      <x:c r="B86" s="33" t="n">
        <x:v>4</x:v>
      </x:c>
      <x:c r="C86" s="34" t="str">
        <x:v>AR</x:v>
      </x:c>
      <x:c r="D86" s="34" t="str">
        <x:v>AR-L3-SE-DescriptorFromManifest-079-01</x:v>
      </x:c>
      <x:c r="E86" s="34" t="str">
        <x:v>SR-01-03-01</x:v>
      </x:c>
      <x:c r="F86" s="34" t="str">
        <x:v>            ├─ AR-L3-SE-DescriptorFromManifest-079-01 核心实现</x:v>
      </x:c>
      <x:c r="G86" s="34" t="str">
        <x:v>核心实现</x:v>
      </x:c>
      <x:c r="H86" s="33" t="str">
        <x:v>在 `src/policy/query_plan/descriptor_from_manifest.{h,cc}` 新增或重写 `DescriptorFromManifestPolicy`，把“从 KV 存储结构自动生成高效传输描述符”落实为 L3 传输管理层 可调用主路径：本需求要求 Transfer Manager 能根据 extent manifest 自动生成 scatter-gather bulk descriptor，并按 max descriptor count、alignment、min transfer granularity、target tier 和 backend capability 进行 coalescing，减少逐 block 传输提交开销。 输入必须显式消费 candidate placements + deadline + telemetry，输出 ranked QueryPlan + fallback chain + decision reason，不得用全局单例或隐藏同步 I/O 绕开预算与状态机。</x:v>
      </x:c>
      <x:c r="I86" s="33" t="str">
        <x:v>节点动态加入/退出时的缓存失效控制在局部范围内（遵循一致性哈希比例）。</x:v>
      </x:c>
      <x:c r="J86" s="33" t="str">
        <x:v>src/policy/query_plan/descriptor_from_manifest.{h,cc}</x:v>
      </x:c>
      <x:c r="K86" s="33" t="str">
        <x:v>L3 传输管理层 / 存储池/传输管理开发</x:v>
      </x:c>
      <x:c r="L86" s="33" t="str">
        <x:v>L3-SE-DescriptorFromManifest-079</x:v>
      </x:c>
    </x:row>
    <x:row r="87" ht="76" customHeight="1">
      <x:c r="A87" s="33" t="str">
        <x:v>SF-01/IR-01-03/SR-01-03-01/AR-L3-SE-DescriptorFromManifest-079-02</x:v>
      </x:c>
      <x:c r="B87" s="33" t="n">
        <x:v>4</x:v>
      </x:c>
      <x:c r="C87" s="34" t="str">
        <x:v>AR</x:v>
      </x:c>
      <x:c r="D87" s="34" t="str">
        <x:v>AR-L3-SE-DescriptorFromManifest-079-02</x:v>
      </x:c>
      <x:c r="E87" s="34" t="str">
        <x:v>SR-01-03-01</x:v>
      </x:c>
      <x:c r="F87" s="34" t="str">
        <x:v>            ├─ AR-L3-SE-DescriptorFromManifest-079-02 契约配置与降级</x:v>
      </x:c>
      <x:c r="G87" s="34" t="str">
        <x:v>契约配置与降级</x:v>
      </x:c>
      <x:c r="H87" s="33" t="str">
        <x:v>为 `DescriptorFromManifestOptions` 增加 `kvcache.descriptor_from_manifest.enabled`、deadline/容量/队列预算及版本字段；在调用点接入 typed error、decision_reason、fallback_reason，确保配置热更新、灰度关闭和向后兼容均可审计。</x:v>
      </x:c>
      <x:c r="I87" s="33" t="str">
        <x:v>节点动态加入/退出时的缓存失效控制在局部范围内（遵循一致性哈希比例）。</x:v>
      </x:c>
      <x:c r="J87" s="33" t="str">
        <x:v>api/kvcache/v1/descriptor_from_manifest.proto + config/runtime/descriptor_from_manifest.yaml</x:v>
      </x:c>
      <x:c r="K87" s="33" t="str">
        <x:v>L3 传输管理层 / 存储池/传输管理开发</x:v>
      </x:c>
      <x:c r="L87" s="33" t="str">
        <x:v>L3-SE-DescriptorFromManifest-079</x:v>
      </x:c>
    </x:row>
    <x:row r="88" ht="76" customHeight="1">
      <x:c r="A88" s="33" t="str">
        <x:v>SF-01/IR-01-03/SR-01-03-01/AR-L3-SE-DescriptorFromManifest-079-03</x:v>
      </x:c>
      <x:c r="B88" s="33" t="n">
        <x:v>4</x:v>
      </x:c>
      <x:c r="C88" s="34" t="str">
        <x:v>AR</x:v>
      </x:c>
      <x:c r="D88" s="34" t="str">
        <x:v>AR-L3-SE-DescriptorFromManifest-079-03</x:v>
      </x:c>
      <x:c r="E88" s="34" t="str">
        <x:v>SR-01-03-01</x:v>
      </x:c>
      <x:c r="F88" s="34" t="str">
        <x:v>            └─ AR-L3-SE-DescriptorFromManifest-079-03 验证与观测</x:v>
      </x:c>
      <x:c r="G88" s="34" t="str">
        <x:v>验证与观测</x:v>
      </x:c>
      <x:c r="H88" s="33" t="str">
        <x:v>新增正常、边界、并发、超时、stale metadata、迁移冲突、路径拥塞/故障与 feature-flag-off 用例；在 benchmark 中固定模型、tokenizer、prompt、并发、拓扑和 baseline，采集 lookup/load/attach、TTFT、TPOT、usable/abandoned hit、带宽/时延及 CPU/NPU 利用率。</x:v>
      </x:c>
      <x:c r="I88" s="33" t="str">
        <x:v>节点动态加入/退出时的缓存失效控制在局部范围内（遵循一致性哈希比例）。</x:v>
      </x:c>
      <x:c r="J88" s="33" t="str">
        <x:v>tests/policy/query_plan/descriptor_from_manifest_test.cc + benchmarks/policy/query_plan/descriptor_from_manifest_benchmark.cc</x:v>
      </x:c>
      <x:c r="K88" s="33" t="str">
        <x:v>L3 传输管理层 / 存储池/传输管理开发</x:v>
      </x:c>
      <x:c r="L88" s="33" t="str">
        <x:v>L3-SE-DescriptorFromManifest-079</x:v>
      </x:c>
    </x:row>
    <x:row r="89" ht="76" customHeight="1">
      <x:c r="A89" s="31" t="str">
        <x:v>SF-01/IR-01-03/SR-01-03-02</x:v>
      </x:c>
      <x:c r="B89" s="31" t="n">
        <x:v>3</x:v>
      </x:c>
      <x:c r="C89" s="32" t="str">
        <x:v>SR</x:v>
      </x:c>
      <x:c r="D89" s="32" t="str">
        <x:v>SR-01-03-02</x:v>
      </x:c>
      <x:c r="E89" s="32" t="str">
        <x:v>IR-01-03</x:v>
      </x:c>
      <x:c r="F89" s="32" t="str">
        <x:v>        ├─ SR-01-03-02 多位置 KV 副本的最优读取源选择</x:v>
      </x:c>
      <x:c r="G89" s="32" t="str">
        <x:v>多位置 KV 副本的最优读取源选择｜L3-SE-PlacementResolver-061</x:v>
      </x:c>
      <x:c r="H89" s="31" t="str">
        <x:v>系统重构：本需求要求实现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x:v>
      </x:c>
      <x:c r="I89" s="31" t="str">
        <x:v>节点动态加入/退出时的缓存失效控制在局部范围内（遵循一致性哈希比例）。</x:v>
      </x:c>
      <x:c r="J89" s="31" t="str"/>
      <x:c r="K89" s="31" t="str">
        <x:v>L3 传输管理层 / 语义策略与路径管理</x:v>
      </x:c>
      <x:c r="L89" s="31" t="str">
        <x:v>L3-SE-PlacementResolver-061</x:v>
      </x:c>
    </x:row>
    <x:row r="90" ht="76" customHeight="1">
      <x:c r="A90" s="33" t="str">
        <x:v>SF-01/IR-01-03/SR-01-03-02/AR-L3-SE-PlacementResolver-061-01</x:v>
      </x:c>
      <x:c r="B90" s="33" t="n">
        <x:v>4</x:v>
      </x:c>
      <x:c r="C90" s="34" t="str">
        <x:v>AR</x:v>
      </x:c>
      <x:c r="D90" s="34" t="str">
        <x:v>AR-L3-SE-PlacementResolver-061-01</x:v>
      </x:c>
      <x:c r="E90" s="34" t="str">
        <x:v>SR-01-03-02</x:v>
      </x:c>
      <x:c r="F90" s="34" t="str">
        <x:v>            ├─ AR-L3-SE-PlacementResolver-061-01 核心实现</x:v>
      </x:c>
      <x:c r="G90" s="34" t="str">
        <x:v>核心实现</x:v>
      </x:c>
      <x:c r="H90" s="33" t="str">
        <x:v>在 `src/policy/query_plan/placement_resolver.{h,cc}` 新增或重写 `PlacementResolverPolicy`，把“多位置 KV 副本的最优读取源选择”落实为 L3 传输管理层 可调用主路径：本需求要求实现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 输入必须显式消费 candidate placements + deadline + telemetry，输出 ranked QueryPlan + fallback chain + decision reason，不得用全局单例或隐藏同步 I/O 绕开预算与状态机。</x:v>
      </x:c>
      <x:c r="I90" s="33" t="str">
        <x:v>节点动态加入/退出时的缓存失效控制在局部范围内（遵循一致性哈希比例）。</x:v>
      </x:c>
      <x:c r="J90" s="33" t="str">
        <x:v>src/policy/query_plan/placement_resolver.{h,cc}</x:v>
      </x:c>
      <x:c r="K90" s="33" t="str">
        <x:v>L3 传输管理层 / 存储池/传输管理开发</x:v>
      </x:c>
      <x:c r="L90" s="33" t="str">
        <x:v>L3-SE-PlacementResolver-061</x:v>
      </x:c>
    </x:row>
    <x:row r="91" ht="76" customHeight="1">
      <x:c r="A91" s="33" t="str">
        <x:v>SF-01/IR-01-03/SR-01-03-02/AR-L3-SE-PlacementResolver-061-02</x:v>
      </x:c>
      <x:c r="B91" s="33" t="n">
        <x:v>4</x:v>
      </x:c>
      <x:c r="C91" s="34" t="str">
        <x:v>AR</x:v>
      </x:c>
      <x:c r="D91" s="34" t="str">
        <x:v>AR-L3-SE-PlacementResolver-061-02</x:v>
      </x:c>
      <x:c r="E91" s="34" t="str">
        <x:v>SR-01-03-02</x:v>
      </x:c>
      <x:c r="F91" s="34" t="str">
        <x:v>            ├─ AR-L3-SE-PlacementResolver-061-02 契约配置与降级</x:v>
      </x:c>
      <x:c r="G91" s="34" t="str">
        <x:v>契约配置与降级</x:v>
      </x:c>
      <x:c r="H91" s="33" t="str">
        <x:v>为 `PlacementResolverOptions` 增加 `kvcache.placement_resolver.enabled`、deadline/容量/队列预算及版本字段；在调用点接入 typed error、decision_reason、fallback_reason，确保配置热更新、灰度关闭和向后兼容均可审计。</x:v>
      </x:c>
      <x:c r="I91" s="33" t="str">
        <x:v>节点动态加入/退出时的缓存失效控制在局部范围内（遵循一致性哈希比例）。</x:v>
      </x:c>
      <x:c r="J91" s="33" t="str">
        <x:v>api/kvcache/v1/placement_resolver.proto + config/runtime/placement_resolver.yaml</x:v>
      </x:c>
      <x:c r="K91" s="33" t="str">
        <x:v>L3 传输管理层 / 存储池/传输管理开发</x:v>
      </x:c>
      <x:c r="L91" s="33" t="str">
        <x:v>L3-SE-PlacementResolver-061</x:v>
      </x:c>
    </x:row>
    <x:row r="92" ht="76" customHeight="1">
      <x:c r="A92" s="33" t="str">
        <x:v>SF-01/IR-01-03/SR-01-03-02/AR-L3-SE-PlacementResolver-061-03</x:v>
      </x:c>
      <x:c r="B92" s="33" t="n">
        <x:v>4</x:v>
      </x:c>
      <x:c r="C92" s="34" t="str">
        <x:v>AR</x:v>
      </x:c>
      <x:c r="D92" s="34" t="str">
        <x:v>AR-L3-SE-PlacementResolver-061-03</x:v>
      </x:c>
      <x:c r="E92" s="34" t="str">
        <x:v>SR-01-03-02</x:v>
      </x:c>
      <x:c r="F92" s="34" t="str">
        <x:v>            └─ AR-L3-SE-PlacementResolver-061-03 验证与观测</x:v>
      </x:c>
      <x:c r="G92" s="34" t="str">
        <x:v>验证与观测</x:v>
      </x:c>
      <x:c r="H92" s="33" t="str">
        <x:v>新增正常、边界、并发、超时、stale metadata、迁移冲突、路径拥塞/故障与 feature-flag-off 用例；在 benchmark 中固定模型、tokenizer、prompt、并发、拓扑和 baseline，采集 lookup/load/attach、TTFT、TPOT、usable/abandoned hit、带宽/时延及 CPU/NPU 利用率。</x:v>
      </x:c>
      <x:c r="I92" s="33" t="str">
        <x:v>节点动态加入/退出时的缓存失效控制在局部范围内（遵循一致性哈希比例）。</x:v>
      </x:c>
      <x:c r="J92" s="33" t="str">
        <x:v>tests/policy/query_plan/placement_resolver_test.cc + benchmarks/policy/query_plan/placement_resolver_benchmark.cc</x:v>
      </x:c>
      <x:c r="K92" s="33" t="str">
        <x:v>L3 传输管理层 / 存储池/传输管理开发</x:v>
      </x:c>
      <x:c r="L92" s="33" t="str">
        <x:v>L3-SE-PlacementResolver-061</x:v>
      </x:c>
    </x:row>
    <x:row r="93" ht="76" customHeight="1">
      <x:c r="A93" s="31" t="str">
        <x:v>SF-01/IR-01-03/SR-01-03-03</x:v>
      </x:c>
      <x:c r="B93" s="31" t="n">
        <x:v>3</x:v>
      </x:c>
      <x:c r="C93" s="32" t="str">
        <x:v>SR</x:v>
      </x:c>
      <x:c r="D93" s="32" t="str">
        <x:v>SR-01-03-03</x:v>
      </x:c>
      <x:c r="E93" s="32" t="str">
        <x:v>IR-01-03</x:v>
      </x:c>
      <x:c r="F93" s="32" t="str">
        <x:v>        ├─ SR-01-03-03 统一 KVCache 存储池智能路径选择</x:v>
      </x:c>
      <x:c r="G93" s="32" t="str">
        <x:v>统一 KVCache 存储池智能路径选择｜L3-SE-PolicyEngine-032</x:v>
      </x:c>
      <x:c r="H93" s="31" t="str">
        <x:v>系统重构：本需求要求 Transfer Manager 实现 semantic policy engine：根据 KVAccessIntent、KV size、deadline、reuse value、topology、telemetry、tier state 自动选择 memory view、bulk transfer、stream object 或 recompute 路径。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x:v>
      </x:c>
      <x:c r="I93" s="31" t="str">
        <x:v>usable hit rate 提升 ≥20%；</x:v>
      </x:c>
      <x:c r="J93" s="31" t="str"/>
      <x:c r="K93" s="31" t="str">
        <x:v>L3 传输管理层 / 语义策略与路径管理</x:v>
      </x:c>
      <x:c r="L93" s="31" t="str">
        <x:v>L3-SE-PolicyEngine-032</x:v>
      </x:c>
    </x:row>
    <x:row r="94" ht="76" customHeight="1">
      <x:c r="A94" s="33" t="str">
        <x:v>SF-01/IR-01-03/SR-01-03-03/AR-L3-SE-PolicyEngine-032-01</x:v>
      </x:c>
      <x:c r="B94" s="33" t="n">
        <x:v>4</x:v>
      </x:c>
      <x:c r="C94" s="34" t="str">
        <x:v>AR</x:v>
      </x:c>
      <x:c r="D94" s="34" t="str">
        <x:v>AR-L3-SE-PolicyEngine-032-01</x:v>
      </x:c>
      <x:c r="E94" s="34" t="str">
        <x:v>SR-01-03-03</x:v>
      </x:c>
      <x:c r="F94" s="34" t="str">
        <x:v>            ├─ AR-L3-SE-PolicyEngine-032-01 核心实现</x:v>
      </x:c>
      <x:c r="G94" s="34" t="str">
        <x:v>核心实现</x:v>
      </x:c>
      <x:c r="H94" s="33" t="str">
        <x:v>在 `src/policy/query_plan/policy_engine.{h,cc}` 新增或重写 `PolicyEnginePolicy`，把“统一 KVCache 存储池智能路径选择”落实为 L3 传输管理层 可调用主路径：本需求要求 Transfer Manager 实现 semantic policy engine：根据 KVAccessIntent、KV size、deadline、reuse value、topology、telemetry、tier state 自动选择 memory view、bulk transfer、stream object 或 recompute 路径。 输入必须显式消费 candidate placements + deadline + telemetry，输出 ranked QueryPlan + fallback chain + decision reason，不得用全局单例或隐藏同步 I/O 绕开预算与状态机。</x:v>
      </x:c>
      <x:c r="I94" s="33" t="str">
        <x:v>usable hit rate 提升 ≥20%；</x:v>
      </x:c>
      <x:c r="J94" s="33" t="str">
        <x:v>src/policy/query_plan/policy_engine.{h,cc}</x:v>
      </x:c>
      <x:c r="K94" s="33" t="str">
        <x:v>L3 传输管理层 / 存储池/传输管理开发</x:v>
      </x:c>
      <x:c r="L94" s="33" t="str">
        <x:v>L3-SE-PolicyEngine-032</x:v>
      </x:c>
    </x:row>
    <x:row r="95" ht="76" customHeight="1">
      <x:c r="A95" s="33" t="str">
        <x:v>SF-01/IR-01-03/SR-01-03-03/AR-L3-SE-PolicyEngine-032-02</x:v>
      </x:c>
      <x:c r="B95" s="33" t="n">
        <x:v>4</x:v>
      </x:c>
      <x:c r="C95" s="34" t="str">
        <x:v>AR</x:v>
      </x:c>
      <x:c r="D95" s="34" t="str">
        <x:v>AR-L3-SE-PolicyEngine-032-02</x:v>
      </x:c>
      <x:c r="E95" s="34" t="str">
        <x:v>SR-01-03-03</x:v>
      </x:c>
      <x:c r="F95" s="34" t="str">
        <x:v>            ├─ AR-L3-SE-PolicyEngine-032-02 契约配置与降级</x:v>
      </x:c>
      <x:c r="G95" s="34" t="str">
        <x:v>契约配置与降级</x:v>
      </x:c>
      <x:c r="H95" s="33" t="str">
        <x:v>为 `PolicyEngineOptions` 增加 `kvcache.policy_engine.enabled`、deadline/容量/队列预算及版本字段；在调用点接入 typed error、decision_reason、fallback_reason，确保配置热更新、灰度关闭和向后兼容均可审计。</x:v>
      </x:c>
      <x:c r="I95" s="33" t="str">
        <x:v>usable hit rate 提升 ≥20%；</x:v>
      </x:c>
      <x:c r="J95" s="33" t="str">
        <x:v>api/kvcache/v1/policy_engine.proto + config/runtime/policy_engine.yaml</x:v>
      </x:c>
      <x:c r="K95" s="33" t="str">
        <x:v>L3 传输管理层 / 存储池/传输管理开发</x:v>
      </x:c>
      <x:c r="L95" s="33" t="str">
        <x:v>L3-SE-PolicyEngine-032</x:v>
      </x:c>
    </x:row>
    <x:row r="96" ht="76" customHeight="1">
      <x:c r="A96" s="33" t="str">
        <x:v>SF-01/IR-01-03/SR-01-03-03/AR-L3-SE-PolicyEngine-032-03</x:v>
      </x:c>
      <x:c r="B96" s="33" t="n">
        <x:v>4</x:v>
      </x:c>
      <x:c r="C96" s="34" t="str">
        <x:v>AR</x:v>
      </x:c>
      <x:c r="D96" s="34" t="str">
        <x:v>AR-L3-SE-PolicyEngine-032-03</x:v>
      </x:c>
      <x:c r="E96" s="34" t="str">
        <x:v>SR-01-03-03</x:v>
      </x:c>
      <x:c r="F96" s="34" t="str">
        <x:v>            └─ AR-L3-SE-PolicyEngine-032-03 验证与观测</x:v>
      </x:c>
      <x:c r="G96" s="34" t="str">
        <x:v>验证与观测</x:v>
      </x:c>
      <x:c r="H96" s="33" t="str">
        <x:v>新增正常、边界、并发、超时、stale metadata、迁移冲突、路径拥塞/故障与 feature-flag-off 用例；在 benchmark 中固定模型、tokenizer、prompt、并发、拓扑和 baseline，采集 lookup/load/attach、TTFT、TPOT、usable/abandoned hit、带宽/时延及 CPU/NPU 利用率。</x:v>
      </x:c>
      <x:c r="I96" s="33" t="str">
        <x:v>usable hit rate 提升 ≥20%；</x:v>
      </x:c>
      <x:c r="J96" s="33" t="str">
        <x:v>tests/policy/query_plan/policy_engine_test.cc + benchmarks/policy/query_plan/policy_engine_benchmark.cc</x:v>
      </x:c>
      <x:c r="K96" s="33" t="str">
        <x:v>L3 传输管理层 / 存储池/传输管理开发</x:v>
      </x:c>
      <x:c r="L96" s="33" t="str">
        <x:v>L3-SE-PolicyEngine-032</x:v>
      </x:c>
    </x:row>
    <x:row r="97" ht="76" customHeight="1">
      <x:c r="A97" s="31" t="str">
        <x:v>SF-01/IR-01-03/SR-01-03-04</x:v>
      </x:c>
      <x:c r="B97" s="31" t="n">
        <x:v>3</x:v>
      </x:c>
      <x:c r="C97" s="32" t="str">
        <x:v>SR</x:v>
      </x:c>
      <x:c r="D97" s="32" t="str">
        <x:v>SR-01-03-04</x:v>
      </x:c>
      <x:c r="E97" s="32" t="str">
        <x:v>IR-01-03</x:v>
      </x:c>
      <x:c r="F97" s="32" t="str">
        <x:v>        ├─ SR-01-03-04 TTFT 关键路径上的单次查询决策</x:v>
      </x:c>
      <x:c r="G97" s="32" t="str">
        <x:v>TTFT 关键路径上的单次查询决策｜L3-SE-QueryPlanFastPath-072</x:v>
      </x:c>
      <x:c r="H97" s="31" t="str">
        <x:v>系统重构：本需求要求 L3 查询接口返回 QueryPlan，而不是原始元数据；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x:v>
      </x:c>
      <x:c r="I97" s="31" t="str">
        <x:v>确保底层物理存储直接向外暴露“可执行查询计划(QueryPlan)”，而非裸机物理地址(Raw Address)。</x:v>
      </x:c>
      <x:c r="J97" s="31" t="str"/>
      <x:c r="K97" s="31" t="str">
        <x:v>L3 传输管理层 / 语义策略与路径管理</x:v>
      </x:c>
      <x:c r="L97" s="31" t="str">
        <x:v>L3-SE-QueryPlanFastPath-072</x:v>
      </x:c>
    </x:row>
    <x:row r="98" ht="76" customHeight="1">
      <x:c r="A98" s="33" t="str">
        <x:v>SF-01/IR-01-03/SR-01-03-04/AR-L3-SE-QueryPlanFastPath-072-01</x:v>
      </x:c>
      <x:c r="B98" s="33" t="n">
        <x:v>4</x:v>
      </x:c>
      <x:c r="C98" s="34" t="str">
        <x:v>AR</x:v>
      </x:c>
      <x:c r="D98" s="34" t="str">
        <x:v>AR-L3-SE-QueryPlanFastPath-072-01</x:v>
      </x:c>
      <x:c r="E98" s="34" t="str">
        <x:v>SR-01-03-04</x:v>
      </x:c>
      <x:c r="F98" s="34" t="str">
        <x:v>            ├─ AR-L3-SE-QueryPlanFastPath-072-01 核心实现</x:v>
      </x:c>
      <x:c r="G98" s="34" t="str">
        <x:v>核心实现</x:v>
      </x:c>
      <x:c r="H98" s="33" t="str">
        <x:v>在 `src/policy/query_plan/query_plan_fast_path.{h,cc}` 新增或重写 `QueryPlanFastPathPolicy`，把“TTFT 关键路径上的单次查询决策”落实为 L3 传输管理层 可调用主路径：本需求要求 L3 查询接口返回 QueryPlan，而不是原始元数据； 输入必须显式消费 candidate placements + deadline + telemetry，输出 ranked QueryPlan + fallback chain + decision reason，不得用全局单例或隐藏同步 I/O 绕开预算与状态机。</x:v>
      </x:c>
      <x:c r="I98" s="33" t="str">
        <x:v>确保底层物理存储直接向外暴露“可执行查询计划(QueryPlan)”，而非裸机物理地址(Raw Address)。</x:v>
      </x:c>
      <x:c r="J98" s="33" t="str">
        <x:v>src/policy/query_plan/query_plan_fast_path.{h,cc}</x:v>
      </x:c>
      <x:c r="K98" s="33" t="str">
        <x:v>L3 传输管理层 / 存储池/传输管理开发</x:v>
      </x:c>
      <x:c r="L98" s="33" t="str">
        <x:v>L3-SE-QueryPlanFastPath-072</x:v>
      </x:c>
    </x:row>
    <x:row r="99" ht="76" customHeight="1">
      <x:c r="A99" s="33" t="str">
        <x:v>SF-01/IR-01-03/SR-01-03-04/AR-L3-SE-QueryPlanFastPath-072-02</x:v>
      </x:c>
      <x:c r="B99" s="33" t="n">
        <x:v>4</x:v>
      </x:c>
      <x:c r="C99" s="34" t="str">
        <x:v>AR</x:v>
      </x:c>
      <x:c r="D99" s="34" t="str">
        <x:v>AR-L3-SE-QueryPlanFastPath-072-02</x:v>
      </x:c>
      <x:c r="E99" s="34" t="str">
        <x:v>SR-01-03-04</x:v>
      </x:c>
      <x:c r="F99" s="34" t="str">
        <x:v>            ├─ AR-L3-SE-QueryPlanFastPath-072-02 契约配置与降级</x:v>
      </x:c>
      <x:c r="G99" s="34" t="str">
        <x:v>契约配置与降级</x:v>
      </x:c>
      <x:c r="H99" s="33" t="str">
        <x:v>为 `QueryPlanFastPathOptions` 增加 `kvcache.query_plan_fast_path.enabled`、deadline/容量/队列预算及版本字段；在调用点接入 typed error、decision_reason、fallback_reason，确保配置热更新、灰度关闭和向后兼容均可审计。</x:v>
      </x:c>
      <x:c r="I99" s="33" t="str">
        <x:v>确保底层物理存储直接向外暴露“可执行查询计划(QueryPlan)”，而非裸机物理地址(Raw Address)。</x:v>
      </x:c>
      <x:c r="J99" s="33" t="str">
        <x:v>api/kvcache/v1/query_plan_fast_path.proto + config/runtime/query_plan_fast_path.yaml</x:v>
      </x:c>
      <x:c r="K99" s="33" t="str">
        <x:v>L3 传输管理层 / 存储池/传输管理开发</x:v>
      </x:c>
      <x:c r="L99" s="33" t="str">
        <x:v>L3-SE-QueryPlanFastPath-072</x:v>
      </x:c>
    </x:row>
    <x:row r="100" ht="76" customHeight="1">
      <x:c r="A100" s="33" t="str">
        <x:v>SF-01/IR-01-03/SR-01-03-04/AR-L3-SE-QueryPlanFastPath-072-03</x:v>
      </x:c>
      <x:c r="B100" s="33" t="n">
        <x:v>4</x:v>
      </x:c>
      <x:c r="C100" s="34" t="str">
        <x:v>AR</x:v>
      </x:c>
      <x:c r="D100" s="34" t="str">
        <x:v>AR-L3-SE-QueryPlanFastPath-072-03</x:v>
      </x:c>
      <x:c r="E100" s="34" t="str">
        <x:v>SR-01-03-04</x:v>
      </x:c>
      <x:c r="F100" s="34" t="str">
        <x:v>            └─ AR-L3-SE-QueryPlanFastPath-072-03 验证与观测</x:v>
      </x:c>
      <x:c r="G100" s="34" t="str">
        <x:v>验证与观测</x:v>
      </x:c>
      <x:c r="H100" s="33" t="str">
        <x:v>新增正常、边界、并发、超时、stale metadata、迁移冲突、路径拥塞/故障与 feature-flag-off 用例；在 benchmark 中固定模型、tokenizer、prompt、并发、拓扑和 baseline，采集 lookup/load/attach、TTFT、TPOT、usable/abandoned hit、带宽/时延及 CPU/NPU 利用率。</x:v>
      </x:c>
      <x:c r="I100" s="33" t="str">
        <x:v>确保底层物理存储直接向外暴露“可执行查询计划(QueryPlan)”，而非裸机物理地址(Raw Address)。</x:v>
      </x:c>
      <x:c r="J100" s="33" t="str">
        <x:v>tests/policy/query_plan/query_plan_fast_path_test.cc + benchmarks/policy/query_plan/query_plan_fast_path_benchmark.cc</x:v>
      </x:c>
      <x:c r="K100" s="33" t="str">
        <x:v>L3 传输管理层 / 存储池/传输管理开发</x:v>
      </x:c>
      <x:c r="L100" s="33" t="str">
        <x:v>L3-SE-QueryPlanFastPath-072</x:v>
      </x:c>
    </x:row>
    <x:row r="101" ht="76" customHeight="1">
      <x:c r="A101" s="31" t="str">
        <x:v>SF-01/IR-01-03/SR-01-03-05</x:v>
      </x:c>
      <x:c r="B101" s="31" t="n">
        <x:v>3</x:v>
      </x:c>
      <x:c r="C101" s="32" t="str">
        <x:v>SR</x:v>
      </x:c>
      <x:c r="D101" s="32" t="str">
        <x:v>SR-01-03-05</x:v>
      </x:c>
      <x:c r="E101" s="32" t="str">
        <x:v>IR-01-03</x:v>
      </x:c>
      <x:c r="F101" s="32" t="str">
        <x:v>        ├─ SR-01-03-05 DDR成本约束、SSD容量主路径、异构路径动态选择</x:v>
      </x:c>
      <x:c r="G101" s="32" t="str">
        <x:v>DDR成本约束、SSD容量主路径、异构路径动态选择｜L3-SE-TierBypassPolicy-091</x:v>
      </x:c>
      <x:c r="H101" s="31" t="str">
        <x:v>系统重构：本需求要求 QueryPlan 与路径规划器采用图式路径模型，显式支持 HBM↔SSD direct/低Host参与、HBM↔DDR、DDR↔SSD、remote DDR 和 remote SSD 等路径； 技术路径：P0 冻结 path graph、capability 和 trace 字段；P1 接入至少一条 HBM↔SSD 真实路径。</x:v>
      </x:c>
      <x:c r="I101" s="31" t="str">
        <x:v>禁用 DDR Payload tier 后，Prefix Hit、Load/Attach、Publish/Lifecycle 仍可通过 SSD 或重算形成闭环；不得出现隐式 CPU staging。</x:v>
      </x:c>
      <x:c r="J101" s="31" t="str"/>
      <x:c r="K101" s="31" t="str">
        <x:v>L3 传输管理层 / 语义策略与路径管理</x:v>
      </x:c>
      <x:c r="L101" s="31" t="str">
        <x:v>L3-SE-TierBypassPolicy-091</x:v>
      </x:c>
    </x:row>
    <x:row r="102" ht="76" customHeight="1">
      <x:c r="A102" s="33" t="str">
        <x:v>SF-01/IR-01-03/SR-01-03-05/AR-L3-SE-TierBypassPolicy-091-01</x:v>
      </x:c>
      <x:c r="B102" s="33" t="n">
        <x:v>4</x:v>
      </x:c>
      <x:c r="C102" s="34" t="str">
        <x:v>AR</x:v>
      </x:c>
      <x:c r="D102" s="34" t="str">
        <x:v>AR-L3-SE-TierBypassPolicy-091-01</x:v>
      </x:c>
      <x:c r="E102" s="34" t="str">
        <x:v>SR-01-03-05</x:v>
      </x:c>
      <x:c r="F102" s="34" t="str">
        <x:v>            ├─ AR-L3-SE-TierBypassPolicy-091-01 核心实现</x:v>
      </x:c>
      <x:c r="G102" s="34" t="str">
        <x:v>核心实现</x:v>
      </x:c>
      <x:c r="H102" s="33" t="str">
        <x:v>在 `src/policy/query_plan/tier_bypass_policy.{h,cc}` 新增或重写 `TierBypassPolicyPolicy`，把“DDR成本约束、SSD容量主路径、异构路径动态选择”落实为 L3 传输管理层 可调用主路径：本需求要求 QueryPlan 与路径规划器采用图式路径模型，显式支持 HBM↔SSD direct/低Host参与、HBM↔DDR、DDR↔SSD、remote DDR 和 remote SSD 等路径； 输入必须显式消费 candidate placements + deadline + telemetry，输出 ranked QueryPlan + fallback chain + decision reason，不得用全局单例或隐藏同步 I/O 绕开预算与状态机。</x:v>
      </x:c>
      <x:c r="I102" s="33" t="str">
        <x:v>禁用 DDR Payload tier 后，Prefix Hit、Load/Attach、Publish/Lifecycle 仍可通过 SSD 或重算形成闭环；不得出现隐式 CPU staging。</x:v>
      </x:c>
      <x:c r="J102" s="33" t="str">
        <x:v>src/policy/query_plan/tier_bypass_policy.{h,cc}</x:v>
      </x:c>
      <x:c r="K102" s="33" t="str">
        <x:v>L3 传输管理层 / 存储池/传输管理开发</x:v>
      </x:c>
      <x:c r="L102" s="33" t="str">
        <x:v>L3-SE-TierBypassPolicy-091</x:v>
      </x:c>
    </x:row>
    <x:row r="103" ht="76" customHeight="1">
      <x:c r="A103" s="33" t="str">
        <x:v>SF-01/IR-01-03/SR-01-03-05/AR-L3-SE-TierBypassPolicy-091-02</x:v>
      </x:c>
      <x:c r="B103" s="33" t="n">
        <x:v>4</x:v>
      </x:c>
      <x:c r="C103" s="34" t="str">
        <x:v>AR</x:v>
      </x:c>
      <x:c r="D103" s="34" t="str">
        <x:v>AR-L3-SE-TierBypassPolicy-091-02</x:v>
      </x:c>
      <x:c r="E103" s="34" t="str">
        <x:v>SR-01-03-05</x:v>
      </x:c>
      <x:c r="F103" s="34" t="str">
        <x:v>            ├─ AR-L3-SE-TierBypassPolicy-091-02 契约配置与降级</x:v>
      </x:c>
      <x:c r="G103" s="34" t="str">
        <x:v>契约配置与降级</x:v>
      </x:c>
      <x:c r="H103" s="33" t="str">
        <x:v>为 `TierBypassPolicyOptions` 增加 `kvcache.tier_bypass_policy.enabled`、deadline/容量/队列预算及版本字段；在调用点接入 typed error、decision_reason、fallback_reason，确保配置热更新、灰度关闭和向后兼容均可审计。</x:v>
      </x:c>
      <x:c r="I103" s="33" t="str">
        <x:v>禁用 DDR Payload tier 后，Prefix Hit、Load/Attach、Publish/Lifecycle 仍可通过 SSD 或重算形成闭环；不得出现隐式 CPU staging。</x:v>
      </x:c>
      <x:c r="J103" s="33" t="str">
        <x:v>api/kvcache/v1/tier_bypass_policy.proto + config/runtime/tier_bypass_policy.yaml</x:v>
      </x:c>
      <x:c r="K103" s="33" t="str">
        <x:v>L3 传输管理层 / 存储池/传输管理开发</x:v>
      </x:c>
      <x:c r="L103" s="33" t="str">
        <x:v>L3-SE-TierBypassPolicy-091</x:v>
      </x:c>
    </x:row>
    <x:row r="104" ht="76" customHeight="1">
      <x:c r="A104" s="33" t="str">
        <x:v>SF-01/IR-01-03/SR-01-03-05/AR-L3-SE-TierBypassPolicy-091-03</x:v>
      </x:c>
      <x:c r="B104" s="33" t="n">
        <x:v>4</x:v>
      </x:c>
      <x:c r="C104" s="34" t="str">
        <x:v>AR</x:v>
      </x:c>
      <x:c r="D104" s="34" t="str">
        <x:v>AR-L3-SE-TierBypassPolicy-091-03</x:v>
      </x:c>
      <x:c r="E104" s="34" t="str">
        <x:v>SR-01-03-05</x:v>
      </x:c>
      <x:c r="F104" s="34" t="str">
        <x:v>            └─ AR-L3-SE-TierBypassPolicy-091-03 验证与观测</x:v>
      </x:c>
      <x:c r="G104" s="34" t="str">
        <x:v>验证与观测</x:v>
      </x:c>
      <x:c r="H104" s="33" t="str">
        <x:v>新增正常、边界、并发、超时、stale metadata、迁移冲突、路径拥塞/故障与 feature-flag-off 用例；在 benchmark 中固定模型、tokenizer、prompt、并发、拓扑和 baseline，采集 lookup/load/attach、TTFT、TPOT、usable/abandoned hit、带宽/时延及 CPU/NPU 利用率。</x:v>
      </x:c>
      <x:c r="I104" s="33" t="str">
        <x:v>禁用 DDR Payload tier 后，Prefix Hit、Load/Attach、Publish/Lifecycle 仍可通过 SSD 或重算形成闭环；不得出现隐式 CPU staging。</x:v>
      </x:c>
      <x:c r="J104" s="33" t="str">
        <x:v>tests/policy/query_plan/tier_bypass_policy_test.cc + benchmarks/policy/query_plan/tier_bypass_policy_benchmark.cc</x:v>
      </x:c>
      <x:c r="K104" s="33" t="str">
        <x:v>L3 传输管理层 / 存储池/传输管理开发</x:v>
      </x:c>
      <x:c r="L104" s="33" t="str">
        <x:v>L3-SE-TierBypassPolicy-091</x:v>
      </x:c>
    </x:row>
    <x:row r="105" ht="76" customHeight="1">
      <x:c r="A105" s="31" t="str">
        <x:v>SF-01/IR-01-03/SR-01-03-06</x:v>
      </x:c>
      <x:c r="B105" s="31" t="n">
        <x:v>3</x:v>
      </x:c>
      <x:c r="C105" s="32" t="str">
        <x:v>SR</x:v>
      </x:c>
      <x:c r="D105" s="32" t="str">
        <x:v>SR-01-03-06</x:v>
      </x:c>
      <x:c r="E105" s="32" t="str">
        <x:v>IR-01-03</x:v>
      </x:c>
      <x:c r="F105" s="32" t="str">
        <x:v>        ├─ SR-01-03-06 跨框架 KVCache 传输任务统一编排</x:v>
      </x:c>
      <x:c r="G105" s="32" t="str">
        <x:v>跨框架 KVCache 传输任务统一编排｜L3-SE-UnifiedDescriptor-018</x:v>
      </x:c>
      <x:c r="H105" s="31" t="str">
        <x:v>系统重构：本需求要求定义统一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x:v>
      </x:c>
      <x:c r="I105" s="31" t="str">
        <x:v>节点动态加入/退出时的缓存失效控制在局部范围内（遵循一致性哈希比例）。</x:v>
      </x:c>
      <x:c r="J105" s="31" t="str"/>
      <x:c r="K105" s="31" t="str">
        <x:v>L3 传输管理层 / 语义策略与路径管理</x:v>
      </x:c>
      <x:c r="L105" s="31" t="str">
        <x:v>L3-SE-UnifiedDescriptor-018</x:v>
      </x:c>
    </x:row>
    <x:row r="106" ht="76" customHeight="1">
      <x:c r="A106" s="33" t="str">
        <x:v>SF-01/IR-01-03/SR-01-03-06/AR-L3-SE-UnifiedDescriptor-018-01</x:v>
      </x:c>
      <x:c r="B106" s="33" t="n">
        <x:v>4</x:v>
      </x:c>
      <x:c r="C106" s="34" t="str">
        <x:v>AR</x:v>
      </x:c>
      <x:c r="D106" s="34" t="str">
        <x:v>AR-L3-SE-UnifiedDescriptor-018-01</x:v>
      </x:c>
      <x:c r="E106" s="34" t="str">
        <x:v>SR-01-03-06</x:v>
      </x:c>
      <x:c r="F106" s="34" t="str">
        <x:v>            ├─ AR-L3-SE-UnifiedDescriptor-018-01 核心实现</x:v>
      </x:c>
      <x:c r="G106" s="34" t="str">
        <x:v>核心实现</x:v>
      </x:c>
      <x:c r="H106" s="33" t="str">
        <x:v>在 `src/policy/query_plan/unified_descriptor.{h,cc}` 新增或重写 `UnifiedDescriptorPolicy`，把“跨框架 KVCache 传输任务统一编排”落实为 L3 传输管理层 可调用主路径：本需求要求定义统一 KV access descriptor，显式支持四类访问语义：MEMORY_VIEW、BULK_TRANSFER、STREAM_OBJECT、MANAGED_INTENT，覆盖 Mooncake、NIXL、LMCache、HiCache 后端所需的 key、layout、source/destination tier、semantic type、visibility、deadline、fallback、rank … 输入必须显式消费 candidate placements + deadline + telemetry，输出 ranked QueryPlan + fallback chain + decision reason，不得用全局单例或隐藏同步 I/O 绕开预算与状态机。</x:v>
      </x:c>
      <x:c r="I106" s="33" t="str">
        <x:v>节点动态加入/退出时的缓存失效控制在局部范围内（遵循一致性哈希比例）。</x:v>
      </x:c>
      <x:c r="J106" s="33" t="str">
        <x:v>src/policy/query_plan/unified_descriptor.{h,cc}</x:v>
      </x:c>
      <x:c r="K106" s="33" t="str">
        <x:v>L3 传输管理层 / 存储池/传输管理开发</x:v>
      </x:c>
      <x:c r="L106" s="33" t="str">
        <x:v>L3-SE-UnifiedDescriptor-018</x:v>
      </x:c>
    </x:row>
    <x:row r="107" ht="76" customHeight="1">
      <x:c r="A107" s="33" t="str">
        <x:v>SF-01/IR-01-03/SR-01-03-06/AR-L3-SE-UnifiedDescriptor-018-02</x:v>
      </x:c>
      <x:c r="B107" s="33" t="n">
        <x:v>4</x:v>
      </x:c>
      <x:c r="C107" s="34" t="str">
        <x:v>AR</x:v>
      </x:c>
      <x:c r="D107" s="34" t="str">
        <x:v>AR-L3-SE-UnifiedDescriptor-018-02</x:v>
      </x:c>
      <x:c r="E107" s="34" t="str">
        <x:v>SR-01-03-06</x:v>
      </x:c>
      <x:c r="F107" s="34" t="str">
        <x:v>            ├─ AR-L3-SE-UnifiedDescriptor-018-02 契约配置与降级</x:v>
      </x:c>
      <x:c r="G107" s="34" t="str">
        <x:v>契约配置与降级</x:v>
      </x:c>
      <x:c r="H107" s="33" t="str">
        <x:v>为 `UnifiedDescriptorOptions` 增加 `kvcache.unified_descriptor.enabled`、deadline/容量/队列预算及版本字段；在调用点接入 typed error、decision_reason、fallback_reason，确保配置热更新、灰度关闭和向后兼容均可审计。</x:v>
      </x:c>
      <x:c r="I107" s="33" t="str">
        <x:v>节点动态加入/退出时的缓存失效控制在局部范围内（遵循一致性哈希比例）。</x:v>
      </x:c>
      <x:c r="J107" s="33" t="str">
        <x:v>api/kvcache/v1/unified_descriptor.proto + config/runtime/unified_descriptor.yaml</x:v>
      </x:c>
      <x:c r="K107" s="33" t="str">
        <x:v>L3 传输管理层 / 存储池/传输管理开发</x:v>
      </x:c>
      <x:c r="L107" s="33" t="str">
        <x:v>L3-SE-UnifiedDescriptor-018</x:v>
      </x:c>
    </x:row>
    <x:row r="108" ht="76" customHeight="1">
      <x:c r="A108" s="33" t="str">
        <x:v>SF-01/IR-01-03/SR-01-03-06/AR-L3-SE-UnifiedDescriptor-018-03</x:v>
      </x:c>
      <x:c r="B108" s="33" t="n">
        <x:v>4</x:v>
      </x:c>
      <x:c r="C108" s="34" t="str">
        <x:v>AR</x:v>
      </x:c>
      <x:c r="D108" s="34" t="str">
        <x:v>AR-L3-SE-UnifiedDescriptor-018-03</x:v>
      </x:c>
      <x:c r="E108" s="34" t="str">
        <x:v>SR-01-03-06</x:v>
      </x:c>
      <x:c r="F108" s="34" t="str">
        <x:v>            └─ AR-L3-SE-UnifiedDescriptor-018-03 验证与观测</x:v>
      </x:c>
      <x:c r="G108" s="34" t="str">
        <x:v>验证与观测</x:v>
      </x:c>
      <x:c r="H108" s="33" t="str">
        <x:v>新增正常、边界、并发、超时、stale metadata、迁移冲突、路径拥塞/故障与 feature-flag-off 用例；在 benchmark 中固定模型、tokenizer、prompt、并发、拓扑和 baseline，采集 lookup/load/attach、TTFT、TPOT、usable/abandoned hit、带宽/时延及 CPU/NPU 利用率。</x:v>
      </x:c>
      <x:c r="I108" s="33" t="str">
        <x:v>节点动态加入/退出时的缓存失效控制在局部范围内（遵循一致性哈希比例）。</x:v>
      </x:c>
      <x:c r="J108" s="33" t="str">
        <x:v>tests/policy/query_plan/unified_descriptor_test.cc + benchmarks/policy/query_plan/unified_descriptor_benchmark.cc</x:v>
      </x:c>
      <x:c r="K108" s="33" t="str">
        <x:v>L3 传输管理层 / 存储池/传输管理开发</x:v>
      </x:c>
      <x:c r="L108" s="33" t="str">
        <x:v>L3-SE-UnifiedDescriptor-018</x:v>
      </x:c>
    </x:row>
    <x:row r="109" ht="76" customHeight="1">
      <x:c r="A109" s="31" t="str">
        <x:v>SF-01/IR-01-03/SR-01-03-07</x:v>
      </x:c>
      <x:c r="B109" s="31" t="n">
        <x:v>3</x:v>
      </x:c>
      <x:c r="C109" s="32" t="str">
        <x:v>SR</x:v>
      </x:c>
      <x:c r="D109" s="32" t="str">
        <x:v>SR-01-03-07</x:v>
      </x:c>
      <x:c r="E109" s="32" t="str">
        <x:v>IR-01-03</x:v>
      </x:c>
      <x:c r="F109" s="32" t="str">
        <x:v>        ├─ SR-01-03-07 平台无关能力感知</x:v>
      </x:c>
      <x:c r="G109" s="32" t="str">
        <x:v>平台无关能力感知｜L3-TRANS-CAP-API-002</x:v>
      </x:c>
      <x:c r="H109" s="31" t="str">
        <x:v>系统重构：本需求要求实现标准化的硬件传输能力查询API（HardwareCapabilityAPI），暴露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x:v>
      </x:c>
      <x:c r="I109" s="31" t="str">
        <x:v>新推理后端接入适配代码量减少80%，单一接口调用开销(Overhead) &lt; 5us。</x:v>
      </x:c>
      <x:c r="J109" s="31" t="str"/>
      <x:c r="K109" s="31" t="str">
        <x:v>L3 传输管理层 / 语义策略与路径管理</x:v>
      </x:c>
      <x:c r="L109" s="31" t="str">
        <x:v>L3-TRANS-CAP-API-002</x:v>
      </x:c>
    </x:row>
    <x:row r="110" ht="76" customHeight="1">
      <x:c r="A110" s="33" t="str">
        <x:v>SF-01/IR-01-03/SR-01-03-07/AR-L3-TRANS-CAP-API-002-01</x:v>
      </x:c>
      <x:c r="B110" s="33" t="n">
        <x:v>4</x:v>
      </x:c>
      <x:c r="C110" s="34" t="str">
        <x:v>AR</x:v>
      </x:c>
      <x:c r="D110" s="34" t="str">
        <x:v>AR-L3-TRANS-CAP-API-002-01</x:v>
      </x:c>
      <x:c r="E110" s="34" t="str">
        <x:v>SR-01-03-07</x:v>
      </x:c>
      <x:c r="F110" s="34" t="str">
        <x:v>            ├─ AR-L3-TRANS-CAP-API-002-01 核心实现</x:v>
      </x:c>
      <x:c r="G110" s="34" t="str">
        <x:v>核心实现</x:v>
      </x:c>
      <x:c r="H110" s="33" t="str">
        <x:v>在 `src/policy/query_plan/cap_api.{h,cc}` 新增或重写 `CAPAPIPolicy`，把“平台无关能力感知”落实为 L3 传输管理层 可调用主路径：本需求要求实现标准化的硬件传输能力查询API（HardwareCapabilityAPI），暴露 backend capability discovery：包括 coherent view、atomic、RDMA/GDR、GDS、CXL view、TCP stream、QoS、fence、NPU DMA、max segment size、registration requirement 等能力，提供get_transport_capa… 输入必须显式消费 candidate placements + deadline + telemetry，输出 ranked QueryPlan + fallback chain + decision reason，不得用全局单例或隐藏同步 I/O 绕开预算与状态机。</x:v>
      </x:c>
      <x:c r="I110" s="33" t="str">
        <x:v>新推理后端接入适配代码量减少80%，单一接口调用开销(Overhead) &lt; 5us。</x:v>
      </x:c>
      <x:c r="J110" s="33" t="str">
        <x:v>src/policy/query_plan/cap_api.{h,cc}</x:v>
      </x:c>
      <x:c r="K110" s="33" t="str">
        <x:v>L3 传输管理层 / 存储池/传输管理开发</x:v>
      </x:c>
      <x:c r="L110" s="33" t="str">
        <x:v>L3-TRANS-CAP-API-002</x:v>
      </x:c>
    </x:row>
    <x:row r="111" ht="76" customHeight="1">
      <x:c r="A111" s="33" t="str">
        <x:v>SF-01/IR-01-03/SR-01-03-07/AR-L3-TRANS-CAP-API-002-02</x:v>
      </x:c>
      <x:c r="B111" s="33" t="n">
        <x:v>4</x:v>
      </x:c>
      <x:c r="C111" s="34" t="str">
        <x:v>AR</x:v>
      </x:c>
      <x:c r="D111" s="34" t="str">
        <x:v>AR-L3-TRANS-CAP-API-002-02</x:v>
      </x:c>
      <x:c r="E111" s="34" t="str">
        <x:v>SR-01-03-07</x:v>
      </x:c>
      <x:c r="F111" s="34" t="str">
        <x:v>            ├─ AR-L3-TRANS-CAP-API-002-02 契约配置与降级</x:v>
      </x:c>
      <x:c r="G111" s="34" t="str">
        <x:v>契约配置与降级</x:v>
      </x:c>
      <x:c r="H111" s="33" t="str">
        <x:v>为 `CAPAPIOptions` 增加 `kvcache.cap_api.enabled`、deadline/容量/队列预算及版本字段；在调用点接入 typed error、decision_reason、fallback_reason，确保配置热更新、灰度关闭和向后兼容均可审计。</x:v>
      </x:c>
      <x:c r="I111" s="33" t="str">
        <x:v>新推理后端接入适配代码量减少80%，单一接口调用开销(Overhead) &lt; 5us。</x:v>
      </x:c>
      <x:c r="J111" s="33" t="str">
        <x:v>api/kvcache/v1/cap_api.proto + config/runtime/cap_api.yaml</x:v>
      </x:c>
      <x:c r="K111" s="33" t="str">
        <x:v>L3 传输管理层 / 存储池/传输管理开发</x:v>
      </x:c>
      <x:c r="L111" s="33" t="str">
        <x:v>L3-TRANS-CAP-API-002</x:v>
      </x:c>
    </x:row>
    <x:row r="112" ht="76" customHeight="1">
      <x:c r="A112" s="33" t="str">
        <x:v>SF-01/IR-01-03/SR-01-03-07/AR-L3-TRANS-CAP-API-002-03</x:v>
      </x:c>
      <x:c r="B112" s="33" t="n">
        <x:v>4</x:v>
      </x:c>
      <x:c r="C112" s="34" t="str">
        <x:v>AR</x:v>
      </x:c>
      <x:c r="D112" s="34" t="str">
        <x:v>AR-L3-TRANS-CAP-API-002-03</x:v>
      </x:c>
      <x:c r="E112" s="34" t="str">
        <x:v>SR-01-03-07</x:v>
      </x:c>
      <x:c r="F112" s="34" t="str">
        <x:v>            └─ AR-L3-TRANS-CAP-API-002-03 验证与观测</x:v>
      </x:c>
      <x:c r="G112" s="34" t="str">
        <x:v>验证与观测</x:v>
      </x:c>
      <x:c r="H112" s="33" t="str">
        <x:v>新增正常、边界、并发、超时、stale metadata、迁移冲突、路径拥塞/故障与 feature-flag-off 用例；在 benchmark 中固定模型、tokenizer、prompt、并发、拓扑和 baseline，采集 lookup/load/attach、TTFT、TPOT、usable/abandoned hit、带宽/时延及 CPU/NPU 利用率。</x:v>
      </x:c>
      <x:c r="I112" s="33" t="str">
        <x:v>新推理后端接入适配代码量减少80%，单一接口调用开销(Overhead) &lt; 5us。</x:v>
      </x:c>
      <x:c r="J112" s="33" t="str">
        <x:v>tests/policy/query_plan/cap_api_test.cc + benchmarks/policy/query_plan/cap_api_benchmark.cc</x:v>
      </x:c>
      <x:c r="K112" s="33" t="str">
        <x:v>L3 传输管理层 / 存储池/传输管理开发</x:v>
      </x:c>
      <x:c r="L112" s="33" t="str">
        <x:v>L3-TRANS-CAP-API-002</x:v>
      </x:c>
    </x:row>
    <x:row r="113" ht="76" customHeight="1">
      <x:c r="A113" s="31" t="str">
        <x:v>SF-01/IR-01-03/SR-01-03-08</x:v>
      </x:c>
      <x:c r="B113" s="31" t="n">
        <x:v>3</x:v>
      </x:c>
      <x:c r="C113" s="32" t="str">
        <x:v>SR</x:v>
      </x:c>
      <x:c r="D113" s="32" t="str">
        <x:v>SR-01-03-08</x:v>
      </x:c>
      <x:c r="E113" s="32" t="str">
        <x:v>IR-01-03</x:v>
      </x:c>
      <x:c r="F113" s="32" t="str">
        <x:v>        ├─ SR-01-03-08 多平台统一传输管理</x:v>
      </x:c>
      <x:c r="G113" s="32" t="str">
        <x:v>多平台统一传输管理｜L3-TRANS-SEM-ENGINE-001</x:v>
      </x:c>
      <x:c r="H113" s="31" t="str">
        <x:v>系统重构：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x:v>
      </x:c>
      <x:c r="I113" s="31" t="str">
        <x:v>同机架内本地及远端DDR命中率（Local Usable Hit Rate）提升≥30%。</x:v>
      </x:c>
      <x:c r="J113" s="31" t="str"/>
      <x:c r="K113" s="31" t="str">
        <x:v>L3 传输管理层 / 语义策略与路径管理</x:v>
      </x:c>
      <x:c r="L113" s="31" t="str">
        <x:v>L3-TRANS-SEM-ENGINE-001</x:v>
      </x:c>
    </x:row>
    <x:row r="114" ht="76" customHeight="1">
      <x:c r="A114" s="33" t="str">
        <x:v>SF-01/IR-01-03/SR-01-03-08/AR-L3-TRANS-SEM-ENGINE-001-01</x:v>
      </x:c>
      <x:c r="B114" s="33" t="n">
        <x:v>4</x:v>
      </x:c>
      <x:c r="C114" s="34" t="str">
        <x:v>AR</x:v>
      </x:c>
      <x:c r="D114" s="34" t="str">
        <x:v>AR-L3-TRANS-SEM-ENGINE-001-01</x:v>
      </x:c>
      <x:c r="E114" s="34" t="str">
        <x:v>SR-01-03-08</x:v>
      </x:c>
      <x:c r="F114" s="34" t="str">
        <x:v>            ├─ AR-L3-TRANS-SEM-ENGINE-001-01 核心实现</x:v>
      </x:c>
      <x:c r="G114" s="34" t="str">
        <x:v>核心实现</x:v>
      </x:c>
      <x:c r="H114" s="33" t="str">
        <x:v>在 `src/policy/query_plan/sem_engine.{h,cc}` 新增或重写 `SEMENGINEPolicy`，把“多平台统一传输管理”落实为 L3 传输管理层 可调用主路径：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 输入必须显式消费 candidate placements + deadline + telemetry，输出 ranked QueryPlan + fallback chain + decision reason，不得用全局单例或隐藏同步 I/O 绕开预算与状态机。</x:v>
      </x:c>
      <x:c r="I114" s="33" t="str">
        <x:v>同机架内本地及远端DDR命中率（Local Usable Hit Rate）提升≥30%。</x:v>
      </x:c>
      <x:c r="J114" s="33" t="str">
        <x:v>src/policy/query_plan/sem_engine.{h,cc}</x:v>
      </x:c>
      <x:c r="K114" s="33" t="str">
        <x:v>L3 传输管理层 / 存储池/传输管理开发</x:v>
      </x:c>
      <x:c r="L114" s="33" t="str">
        <x:v>L3-TRANS-SEM-ENGINE-001</x:v>
      </x:c>
    </x:row>
    <x:row r="115" ht="76" customHeight="1">
      <x:c r="A115" s="33" t="str">
        <x:v>SF-01/IR-01-03/SR-01-03-08/AR-L3-TRANS-SEM-ENGINE-001-02</x:v>
      </x:c>
      <x:c r="B115" s="33" t="n">
        <x:v>4</x:v>
      </x:c>
      <x:c r="C115" s="34" t="str">
        <x:v>AR</x:v>
      </x:c>
      <x:c r="D115" s="34" t="str">
        <x:v>AR-L3-TRANS-SEM-ENGINE-001-02</x:v>
      </x:c>
      <x:c r="E115" s="34" t="str">
        <x:v>SR-01-03-08</x:v>
      </x:c>
      <x:c r="F115" s="34" t="str">
        <x:v>            ├─ AR-L3-TRANS-SEM-ENGINE-001-02 契约配置与降级</x:v>
      </x:c>
      <x:c r="G115" s="34" t="str">
        <x:v>契约配置与降级</x:v>
      </x:c>
      <x:c r="H115" s="33" t="str">
        <x:v>为 `SEMENGINEOptions` 增加 `kvcache.sem_engine.enabled`、deadline/容量/队列预算及版本字段；在调用点接入 typed error、decision_reason、fallback_reason，确保配置热更新、灰度关闭和向后兼容均可审计。</x:v>
      </x:c>
      <x:c r="I115" s="33" t="str">
        <x:v>同机架内本地及远端DDR命中率（Local Usable Hit Rate）提升≥30%。</x:v>
      </x:c>
      <x:c r="J115" s="33" t="str">
        <x:v>api/kvcache/v1/sem_engine.proto + config/runtime/sem_engine.yaml</x:v>
      </x:c>
      <x:c r="K115" s="33" t="str">
        <x:v>L3 传输管理层 / 存储池/传输管理开发</x:v>
      </x:c>
      <x:c r="L115" s="33" t="str">
        <x:v>L3-TRANS-SEM-ENGINE-001</x:v>
      </x:c>
    </x:row>
    <x:row r="116" ht="76" customHeight="1">
      <x:c r="A116" s="33" t="str">
        <x:v>SF-01/IR-01-03/SR-01-03-08/AR-L3-TRANS-SEM-ENGINE-001-03</x:v>
      </x:c>
      <x:c r="B116" s="33" t="n">
        <x:v>4</x:v>
      </x:c>
      <x:c r="C116" s="34" t="str">
        <x:v>AR</x:v>
      </x:c>
      <x:c r="D116" s="34" t="str">
        <x:v>AR-L3-TRANS-SEM-ENGINE-001-03</x:v>
      </x:c>
      <x:c r="E116" s="34" t="str">
        <x:v>SR-01-03-08</x:v>
      </x:c>
      <x:c r="F116" s="34" t="str">
        <x:v>            └─ AR-L3-TRANS-SEM-ENGINE-001-03 验证与观测</x:v>
      </x:c>
      <x:c r="G116" s="34" t="str">
        <x:v>验证与观测</x:v>
      </x:c>
      <x:c r="H116" s="33" t="str">
        <x:v>新增正常、边界、并发、超时、stale metadata、迁移冲突、路径拥塞/故障与 feature-flag-off 用例；在 benchmark 中固定模型、tokenizer、prompt、并发、拓扑和 baseline，采集 lookup/load/attach、TTFT、TPOT、usable/abandoned hit、带宽/时延及 CPU/NPU 利用率。</x:v>
      </x:c>
      <x:c r="I116" s="33" t="str">
        <x:v>同机架内本地及远端DDR命中率（Local Usable Hit Rate）提升≥30%。</x:v>
      </x:c>
      <x:c r="J116" s="33" t="str">
        <x:v>tests/policy/query_plan/sem_engine_test.cc + benchmarks/policy/query_plan/sem_engine_benchmark.cc</x:v>
      </x:c>
      <x:c r="K116" s="33" t="str">
        <x:v>L3 传输管理层 / 存储池/传输管理开发</x:v>
      </x:c>
      <x:c r="L116" s="33" t="str">
        <x:v>L3-TRANS-SEM-ENGINE-001</x:v>
      </x:c>
    </x:row>
    <x:row r="117" ht="76" customHeight="1">
      <x:c r="A117" s="31" t="str">
        <x:v>SF-01/IR-01-03/SR-01-03-09</x:v>
      </x:c>
      <x:c r="B117" s="31" t="n">
        <x:v>3</x:v>
      </x:c>
      <x:c r="C117" s="32" t="str">
        <x:v>SR</x:v>
      </x:c>
      <x:c r="D117" s="32" t="str">
        <x:v>SR-01-03-09</x:v>
      </x:c>
      <x:c r="E117" s="32" t="str">
        <x:v>IR-01-03</x:v>
      </x:c>
      <x:c r="F117" s="32" t="str">
        <x:v>        ├─ SR-01-03-09 KV 元数据与 KV 数据分流传输</x:v>
      </x:c>
      <x:c r="G117" s="32" t="str">
        <x:v>KV 元数据与 KV 数据分流传输｜L3-SE-GranularityDispatch-033</x:v>
      </x:c>
      <x:c r="H117" s="31" t="str">
        <x:v>系统重构：本需求要求 Transfer Manager 按数据粒度自动分发访问语义：64B–4KB metadata 优先 memory-view，0.5–8MB KV block/page 优先 bulk transfer，冷 segment/object 优先 stream/object，避免协议与数据粒度错配。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x:v>
      </x:c>
      <x:c r="I117" s="31" t="str">
        <x:v>lookup p99 降低 ≥30%，bulk BW 提升 ≥20%；</x:v>
      </x:c>
      <x:c r="J117" s="31" t="str"/>
      <x:c r="K117" s="31" t="str">
        <x:v>L3 传输管理层 / 语义策略与路径管理</x:v>
      </x:c>
      <x:c r="L117" s="31" t="str">
        <x:v>L3-SE-GranularityDispatch-033</x:v>
      </x:c>
    </x:row>
    <x:row r="118" ht="76" customHeight="1">
      <x:c r="A118" s="33" t="str">
        <x:v>SF-01/IR-01-03/SR-01-03-09/AR-L3-SE-GranularityDispatch-033-01</x:v>
      </x:c>
      <x:c r="B118" s="33" t="n">
        <x:v>4</x:v>
      </x:c>
      <x:c r="C118" s="34" t="str">
        <x:v>AR</x:v>
      </x:c>
      <x:c r="D118" s="34" t="str">
        <x:v>AR-L3-SE-GranularityDispatch-033-01</x:v>
      </x:c>
      <x:c r="E118" s="34" t="str">
        <x:v>SR-01-03-09</x:v>
      </x:c>
      <x:c r="F118" s="34" t="str">
        <x:v>            ├─ AR-L3-SE-GranularityDispatch-033-01 核心实现</x:v>
      </x:c>
      <x:c r="G118" s="34" t="str">
        <x:v>核心实现</x:v>
      </x:c>
      <x:c r="H118" s="33" t="str">
        <x:v>在 `src/policy/query_plan/granularity_dispatch.{h,cc}` 新增或重写 `GranularityDispatchPolicy`，把“KV 元数据与 KV 数据分流传输”落实为 L3 传输管理层 可调用主路径：本需求要求 Transfer Manager 按数据粒度自动分发访问语义：64B–4KB metadata 优先 memory-view，0.5–8MB KV block/page 优先 bulk transfer，冷 segment/object 优先 stream/object，避免协议与数据粒度错配。 输入必须显式消费 candidate placements + deadline + telemetry，输出 ranked QueryPlan + fallback chain + decision reason，不得用全局单例或隐藏同步 I/O 绕开预算与状态机。</x:v>
      </x:c>
      <x:c r="I118" s="33" t="str">
        <x:v>lookup p99 降低 ≥30%，bulk BW 提升 ≥20%；</x:v>
      </x:c>
      <x:c r="J118" s="33" t="str">
        <x:v>src/policy/query_plan/granularity_dispatch.{h,cc}</x:v>
      </x:c>
      <x:c r="K118" s="33" t="str">
        <x:v>L3 传输管理层 / 存储池/传输管理开发</x:v>
      </x:c>
      <x:c r="L118" s="33" t="str">
        <x:v>L3-SE-GranularityDispatch-033</x:v>
      </x:c>
    </x:row>
    <x:row r="119" ht="76" customHeight="1">
      <x:c r="A119" s="33" t="str">
        <x:v>SF-01/IR-01-03/SR-01-03-09/AR-L3-SE-GranularityDispatch-033-02</x:v>
      </x:c>
      <x:c r="B119" s="33" t="n">
        <x:v>4</x:v>
      </x:c>
      <x:c r="C119" s="34" t="str">
        <x:v>AR</x:v>
      </x:c>
      <x:c r="D119" s="34" t="str">
        <x:v>AR-L3-SE-GranularityDispatch-033-02</x:v>
      </x:c>
      <x:c r="E119" s="34" t="str">
        <x:v>SR-01-03-09</x:v>
      </x:c>
      <x:c r="F119" s="34" t="str">
        <x:v>            ├─ AR-L3-SE-GranularityDispatch-033-02 契约配置与降级</x:v>
      </x:c>
      <x:c r="G119" s="34" t="str">
        <x:v>契约配置与降级</x:v>
      </x:c>
      <x:c r="H119" s="33" t="str">
        <x:v>为 `GranularityDispatchOptions` 增加 `kvcache.granularity_dispatch.enabled`、deadline/容量/队列预算及版本字段；在调用点接入 typed error、decision_reason、fallback_reason，确保配置热更新、灰度关闭和向后兼容均可审计。</x:v>
      </x:c>
      <x:c r="I119" s="33" t="str">
        <x:v>lookup p99 降低 ≥30%，bulk BW 提升 ≥20%；</x:v>
      </x:c>
      <x:c r="J119" s="33" t="str">
        <x:v>api/kvcache/v1/granularity_dispatch.proto + config/runtime/granularity_dispatch.yaml</x:v>
      </x:c>
      <x:c r="K119" s="33" t="str">
        <x:v>L3 传输管理层 / 存储池/传输管理开发</x:v>
      </x:c>
      <x:c r="L119" s="33" t="str">
        <x:v>L3-SE-GranularityDispatch-033</x:v>
      </x:c>
    </x:row>
    <x:row r="120" ht="76" customHeight="1">
      <x:c r="A120" s="33" t="str">
        <x:v>SF-01/IR-01-03/SR-01-03-09/AR-L3-SE-GranularityDispatch-033-03</x:v>
      </x:c>
      <x:c r="B120" s="33" t="n">
        <x:v>4</x:v>
      </x:c>
      <x:c r="C120" s="34" t="str">
        <x:v>AR</x:v>
      </x:c>
      <x:c r="D120" s="34" t="str">
        <x:v>AR-L3-SE-GranularityDispatch-033-03</x:v>
      </x:c>
      <x:c r="E120" s="34" t="str">
        <x:v>SR-01-03-09</x:v>
      </x:c>
      <x:c r="F120" s="34" t="str">
        <x:v>            └─ AR-L3-SE-GranularityDispatch-033-03 验证与观测</x:v>
      </x:c>
      <x:c r="G120" s="34" t="str">
        <x:v>验证与观测</x:v>
      </x:c>
      <x:c r="H120" s="33" t="str">
        <x:v>新增正常、边界、并发、超时、stale metadata、迁移冲突、路径拥塞/故障与 feature-flag-off 用例；在 benchmark 中固定模型、tokenizer、prompt、并发、拓扑和 baseline，采集 lookup/load/attach、TTFT、TPOT、usable/abandoned hit、带宽/时延及 CPU/NPU 利用率。</x:v>
      </x:c>
      <x:c r="I120" s="33" t="str">
        <x:v>lookup p99 降低 ≥30%，bulk BW 提升 ≥20%；</x:v>
      </x:c>
      <x:c r="J120" s="33" t="str">
        <x:v>tests/policy/query_plan/granularity_dispatch_test.cc + benchmarks/policy/query_plan/granularity_dispatch_benchmark.cc</x:v>
      </x:c>
      <x:c r="K120" s="33" t="str">
        <x:v>L3 传输管理层 / 存储池/传输管理开发</x:v>
      </x:c>
      <x:c r="L120" s="33" t="str">
        <x:v>L3-SE-GranularityDispatch-033</x:v>
      </x:c>
    </x:row>
    <x:row r="121" ht="76" customHeight="1">
      <x:c r="A121" s="31" t="str">
        <x:v>SF-01/IR-01-03/SR-01-03-10</x:v>
      </x:c>
      <x:c r="B121" s="31" t="n">
        <x:v>3</x:v>
      </x:c>
      <x:c r="C121" s="32" t="str">
        <x:v>SR</x:v>
      </x:c>
      <x:c r="D121" s="32" t="str">
        <x:v>SR-01-03-10</x:v>
      </x:c>
      <x:c r="E121" s="32" t="str">
        <x:v>IR-01-03</x:v>
      </x:c>
      <x:c r="F121" s="32" t="str">
        <x:v>        ├─ SR-01-03-10 异构分布式多副本的最优路径路由决策</x:v>
      </x:c>
      <x:c r="G121" s="32" t="str">
        <x:v>异构分布式多副本的最优路径路由决策｜L3-SE-MultiReplicaResolver-089</x:v>
      </x:c>
      <x:c r="H121" s="31" t="str">
        <x:v>系统重构：本需求要求实现多副本位置自适应感知与最优路由路径解析算法（Multi-Replica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x:v>
      </x:c>
      <x:c r="I121" s="31" t="str">
        <x:v>同机架内本地及远端DDR命中率（Local Usable Hit Rate）提升≥30%。</x:v>
      </x:c>
      <x:c r="J121" s="31" t="str"/>
      <x:c r="K121" s="31" t="str">
        <x:v>L3 传输管理层 / 语义策略与路径管理</x:v>
      </x:c>
      <x:c r="L121" s="31" t="str">
        <x:v>L3-SE-MultiReplicaResolver-089</x:v>
      </x:c>
    </x:row>
    <x:row r="122" ht="76" customHeight="1">
      <x:c r="A122" s="33" t="str">
        <x:v>SF-01/IR-01-03/SR-01-03-10/AR-L3-SE-MultiReplicaResolver-089-01</x:v>
      </x:c>
      <x:c r="B122" s="33" t="n">
        <x:v>4</x:v>
      </x:c>
      <x:c r="C122" s="34" t="str">
        <x:v>AR</x:v>
      </x:c>
      <x:c r="D122" s="34" t="str">
        <x:v>AR-L3-SE-MultiReplicaResolver-089-01</x:v>
      </x:c>
      <x:c r="E122" s="34" t="str">
        <x:v>SR-01-03-10</x:v>
      </x:c>
      <x:c r="F122" s="34" t="str">
        <x:v>            ├─ AR-L3-SE-MultiReplicaResolver-089-01 核心实现</x:v>
      </x:c>
      <x:c r="G122" s="34" t="str">
        <x:v>核心实现</x:v>
      </x:c>
      <x:c r="H122" s="33" t="str">
        <x:v>在 `src/policy/query_plan/multi_replica_resolver.{h,cc}` 新增或重写 `MultiReplicaResolverPolicy`，把“异构分布式多副本的最优路径路由决策”落实为 L3 传输管理层 可调用主路径：本需求要求实现多副本位置自适应感知与最优路由路径解析算法（Multi-Replica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 输入必须显式消费 candidate placements + deadline + telemetry，输出 ranked QueryPlan + fallback chain + decision reason，不得用全局单例或隐藏同步 I/O 绕开预算与状态机。</x:v>
      </x:c>
      <x:c r="I122" s="33" t="str">
        <x:v>同机架内本地及远端DDR命中率（Local Usable Hit Rate）提升≥30%。</x:v>
      </x:c>
      <x:c r="J122" s="33" t="str">
        <x:v>src/policy/query_plan/multi_replica_resolver.{h,cc}</x:v>
      </x:c>
      <x:c r="K122" s="33" t="str">
        <x:v>L3 传输管理层 / 存储池/传输管理开发</x:v>
      </x:c>
      <x:c r="L122" s="33" t="str">
        <x:v>L3-SE-MultiReplicaResolver-089</x:v>
      </x:c>
    </x:row>
    <x:row r="123" ht="76" customHeight="1">
      <x:c r="A123" s="33" t="str">
        <x:v>SF-01/IR-01-03/SR-01-03-10/AR-L3-SE-MultiReplicaResolver-089-02</x:v>
      </x:c>
      <x:c r="B123" s="33" t="n">
        <x:v>4</x:v>
      </x:c>
      <x:c r="C123" s="34" t="str">
        <x:v>AR</x:v>
      </x:c>
      <x:c r="D123" s="34" t="str">
        <x:v>AR-L3-SE-MultiReplicaResolver-089-02</x:v>
      </x:c>
      <x:c r="E123" s="34" t="str">
        <x:v>SR-01-03-10</x:v>
      </x:c>
      <x:c r="F123" s="34" t="str">
        <x:v>            ├─ AR-L3-SE-MultiReplicaResolver-089-02 契约配置与降级</x:v>
      </x:c>
      <x:c r="G123" s="34" t="str">
        <x:v>契约配置与降级</x:v>
      </x:c>
      <x:c r="H123" s="33" t="str">
        <x:v>为 `MultiReplicaResolverOptions` 增加 `kvcache.multi_replica_resolver.enabled`、deadline/容量/队列预算及版本字段；在调用点接入 typed error、decision_reason、fallback_reason，确保配置热更新、灰度关闭和向后兼容均可审计。</x:v>
      </x:c>
      <x:c r="I123" s="33" t="str">
        <x:v>同机架内本地及远端DDR命中率（Local Usable Hit Rate）提升≥30%。</x:v>
      </x:c>
      <x:c r="J123" s="33" t="str">
        <x:v>api/kvcache/v1/multi_replica_resolver.proto + config/runtime/multi_replica_resolver.yaml</x:v>
      </x:c>
      <x:c r="K123" s="33" t="str">
        <x:v>L3 传输管理层 / 存储池/传输管理开发</x:v>
      </x:c>
      <x:c r="L123" s="33" t="str">
        <x:v>L3-SE-MultiReplicaResolver-089</x:v>
      </x:c>
    </x:row>
    <x:row r="124" ht="76" customHeight="1">
      <x:c r="A124" s="33" t="str">
        <x:v>SF-01/IR-01-03/SR-01-03-10/AR-L3-SE-MultiReplicaResolver-089-03</x:v>
      </x:c>
      <x:c r="B124" s="33" t="n">
        <x:v>4</x:v>
      </x:c>
      <x:c r="C124" s="34" t="str">
        <x:v>AR</x:v>
      </x:c>
      <x:c r="D124" s="34" t="str">
        <x:v>AR-L3-SE-MultiReplicaResolver-089-03</x:v>
      </x:c>
      <x:c r="E124" s="34" t="str">
        <x:v>SR-01-03-10</x:v>
      </x:c>
      <x:c r="F124" s="34" t="str">
        <x:v>            └─ AR-L3-SE-MultiReplicaResolver-089-03 验证与观测</x:v>
      </x:c>
      <x:c r="G124" s="34" t="str">
        <x:v>验证与观测</x:v>
      </x:c>
      <x:c r="H124" s="33" t="str">
        <x:v>新增正常、边界、并发、超时、stale metadata、迁移冲突、路径拥塞/故障与 feature-flag-off 用例；在 benchmark 中固定模型、tokenizer、prompt、并发、拓扑和 baseline，采集 lookup/load/attach、TTFT、TPOT、usable/abandoned hit、带宽/时延及 CPU/NPU 利用率。</x:v>
      </x:c>
      <x:c r="I124" s="33" t="str">
        <x:v>同机架内本地及远端DDR命中率（Local Usable Hit Rate）提升≥30%。</x:v>
      </x:c>
      <x:c r="J124" s="33" t="str">
        <x:v>tests/policy/query_plan/multi_replica_resolver_test.cc + benchmarks/policy/query_plan/multi_replica_resolver_benchmark.cc</x:v>
      </x:c>
      <x:c r="K124" s="33" t="str">
        <x:v>L3 传输管理层 / 存储池/传输管理开发</x:v>
      </x:c>
      <x:c r="L124" s="33" t="str">
        <x:v>L3-SE-MultiReplicaResolver-089</x:v>
      </x:c>
    </x:row>
    <x:row r="125" ht="76" customHeight="1">
      <x:c r="A125" s="31" t="str">
        <x:v>SF-01/IR-01-03/SR-01-03-11</x:v>
      </x:c>
      <x:c r="B125" s="31" t="n">
        <x:v>3</x:v>
      </x:c>
      <x:c r="C125" s="32" t="str">
        <x:v>SR</x:v>
      </x:c>
      <x:c r="D125" s="32" t="str">
        <x:v>SR-01-03-11</x:v>
      </x:c>
      <x:c r="E125" s="32" t="str">
        <x:v>IR-01-03</x:v>
      </x:c>
      <x:c r="F125" s="32" t="str">
        <x:v>        ├─ SR-01-03-11 近端热 KV 直访与回填优化</x:v>
      </x:c>
      <x:c r="G125" s="32" t="str">
        <x:v>近端热 KV 直访与回填优化｜L3-SE-ViewCopyCostModel-034</x:v>
      </x:c>
      <x:c r="H125" s="31" t="str">
        <x:v>系统重构：本需求要求实现 view-vs-copy cost model：综合 direct view stall cycles、copy-to-HBM cost、expected reuse count、deadline 和 TPOT 敏感性，判断 UB/C2C warm KV 应直接访问还是先 copy 到 HBM。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x:v>
      </x:c>
      <x:c r="I125" s="31" t="str">
        <x:v>TPOT 回退 &lt;3%，TTFT 降低 ≥10%；</x:v>
      </x:c>
      <x:c r="J125" s="31" t="str"/>
      <x:c r="K125" s="31" t="str">
        <x:v>L3 传输管理层 / 语义策略与路径管理</x:v>
      </x:c>
      <x:c r="L125" s="31" t="str">
        <x:v>L3-SE-ViewCopyCostModel-034</x:v>
      </x:c>
    </x:row>
    <x:row r="126" ht="76" customHeight="1">
      <x:c r="A126" s="33" t="str">
        <x:v>SF-01/IR-01-03/SR-01-03-11/AR-L3-SE-ViewCopyCostModel-034-01</x:v>
      </x:c>
      <x:c r="B126" s="33" t="n">
        <x:v>4</x:v>
      </x:c>
      <x:c r="C126" s="34" t="str">
        <x:v>AR</x:v>
      </x:c>
      <x:c r="D126" s="34" t="str">
        <x:v>AR-L3-SE-ViewCopyCostModel-034-01</x:v>
      </x:c>
      <x:c r="E126" s="34" t="str">
        <x:v>SR-01-03-11</x:v>
      </x:c>
      <x:c r="F126" s="34" t="str">
        <x:v>            ├─ AR-L3-SE-ViewCopyCostModel-034-01 核心实现</x:v>
      </x:c>
      <x:c r="G126" s="34" t="str">
        <x:v>核心实现</x:v>
      </x:c>
      <x:c r="H126" s="33" t="str">
        <x:v>在 `src/policy/query_plan/view_copy_cost_model.{h,cc}` 新增或重写 `ViewCopyCostModelPolicy`，把“近端热 KV 直访与回填优化”落实为 L3 传输管理层 可调用主路径：本需求要求实现 view-vs-copy cost model：综合 direct view stall cycles、copy-to-HBM cost、expected reuse count、deadline 和 TPOT 敏感性，判断 UB/C2C warm KV 应直接访问还是先 copy 到 HBM。 输入必须显式消费 candidate placements + deadline + telemetry，输出 ranked QueryPlan + fallback chain + decision reason，不得用全局单例或隐藏同步 I/O 绕开预算与状态机。</x:v>
      </x:c>
      <x:c r="I126" s="33" t="str">
        <x:v>TPOT 回退 &lt;3%，TTFT 降低 ≥10%；</x:v>
      </x:c>
      <x:c r="J126" s="33" t="str">
        <x:v>src/policy/query_plan/view_copy_cost_model.{h,cc}</x:v>
      </x:c>
      <x:c r="K126" s="33" t="str">
        <x:v>L3 传输管理层 / 存储池/传输管理开发</x:v>
      </x:c>
      <x:c r="L126" s="33" t="str">
        <x:v>L3-SE-ViewCopyCostModel-034</x:v>
      </x:c>
    </x:row>
    <x:row r="127" ht="76" customHeight="1">
      <x:c r="A127" s="33" t="str">
        <x:v>SF-01/IR-01-03/SR-01-03-11/AR-L3-SE-ViewCopyCostModel-034-02</x:v>
      </x:c>
      <x:c r="B127" s="33" t="n">
        <x:v>4</x:v>
      </x:c>
      <x:c r="C127" s="34" t="str">
        <x:v>AR</x:v>
      </x:c>
      <x:c r="D127" s="34" t="str">
        <x:v>AR-L3-SE-ViewCopyCostModel-034-02</x:v>
      </x:c>
      <x:c r="E127" s="34" t="str">
        <x:v>SR-01-03-11</x:v>
      </x:c>
      <x:c r="F127" s="34" t="str">
        <x:v>            ├─ AR-L3-SE-ViewCopyCostModel-034-02 契约配置与降级</x:v>
      </x:c>
      <x:c r="G127" s="34" t="str">
        <x:v>契约配置与降级</x:v>
      </x:c>
      <x:c r="H127" s="33" t="str">
        <x:v>为 `ViewCopyCostModelOptions` 增加 `kvcache.view_copy_cost_model.enabled`、deadline/容量/队列预算及版本字段；在调用点接入 typed error、decision_reason、fallback_reason，确保配置热更新、灰度关闭和向后兼容均可审计。</x:v>
      </x:c>
      <x:c r="I127" s="33" t="str">
        <x:v>TPOT 回退 &lt;3%，TTFT 降低 ≥10%；</x:v>
      </x:c>
      <x:c r="J127" s="33" t="str">
        <x:v>api/kvcache/v1/view_copy_cost_model.proto + config/runtime/view_copy_cost_model.yaml</x:v>
      </x:c>
      <x:c r="K127" s="33" t="str">
        <x:v>L3 传输管理层 / 存储池/传输管理开发</x:v>
      </x:c>
      <x:c r="L127" s="33" t="str">
        <x:v>L3-SE-ViewCopyCostModel-034</x:v>
      </x:c>
    </x:row>
    <x:row r="128" ht="76" customHeight="1">
      <x:c r="A128" s="33" t="str">
        <x:v>SF-01/IR-01-03/SR-01-03-11/AR-L3-SE-ViewCopyCostModel-034-03</x:v>
      </x:c>
      <x:c r="B128" s="33" t="n">
        <x:v>4</x:v>
      </x:c>
      <x:c r="C128" s="34" t="str">
        <x:v>AR</x:v>
      </x:c>
      <x:c r="D128" s="34" t="str">
        <x:v>AR-L3-SE-ViewCopyCostModel-034-03</x:v>
      </x:c>
      <x:c r="E128" s="34" t="str">
        <x:v>SR-01-03-11</x:v>
      </x:c>
      <x:c r="F128" s="34" t="str">
        <x:v>            └─ AR-L3-SE-ViewCopyCostModel-034-03 验证与观测</x:v>
      </x:c>
      <x:c r="G128" s="34" t="str">
        <x:v>验证与观测</x:v>
      </x:c>
      <x:c r="H128" s="33" t="str">
        <x:v>新增正常、边界、并发、超时、stale metadata、迁移冲突、路径拥塞/故障与 feature-flag-off 用例；在 benchmark 中固定模型、tokenizer、prompt、并发、拓扑和 baseline，采集 lookup/load/attach、TTFT、TPOT、usable/abandoned hit、带宽/时延及 CPU/NPU 利用率。</x:v>
      </x:c>
      <x:c r="I128" s="33" t="str">
        <x:v>TPOT 回退 &lt;3%，TTFT 降低 ≥10%；</x:v>
      </x:c>
      <x:c r="J128" s="33" t="str">
        <x:v>tests/policy/query_plan/view_copy_cost_model_test.cc + benchmarks/policy/query_plan/view_copy_cost_model_benchmark.cc</x:v>
      </x:c>
      <x:c r="K128" s="33" t="str">
        <x:v>L3 传输管理层 / 存储池/传输管理开发</x:v>
      </x:c>
      <x:c r="L128" s="33" t="str">
        <x:v>L3-SE-ViewCopyCostModel-034</x:v>
      </x:c>
    </x:row>
    <x:row r="129" ht="76" customHeight="1">
      <x:c r="A129" s="31" t="str">
        <x:v>SF-01/IR-01-03/SR-01-03-12</x:v>
      </x:c>
      <x:c r="B129" s="31" t="n">
        <x:v>3</x:v>
      </x:c>
      <x:c r="C129" s="32" t="str">
        <x:v>SR</x:v>
      </x:c>
      <x:c r="D129" s="32" t="str">
        <x:v>SR-01-03-12</x:v>
      </x:c>
      <x:c r="E129" s="32" t="str">
        <x:v>IR-01-03</x:v>
      </x:c>
      <x:c r="F129" s="32" t="str">
        <x:v>        ├─ SR-01-03-12 动态传输质量适应</x:v>
      </x:c>
      <x:c r="G129" s="32" t="str">
        <x:v>动态传输质量适应｜L3-TRANS-TOPO-SENSE-004</x:v>
      </x:c>
      <x:c r="H129" s="31" t="str">
        <x:v>系统重构：本需求要求实现传输路径质量实时感知机制，以100ms为周期采样各路径P50/P99时延（RDMA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x:v>
      </x:c>
      <x:c r="I129" s="31" t="str">
        <x:v>传输端到端延迟降低≥40%，CPU占用率(System Load)下降。</x:v>
      </x:c>
      <x:c r="J129" s="31" t="str"/>
      <x:c r="K129" s="31" t="str">
        <x:v>L3 传输管理层 / 语义策略与路径管理</x:v>
      </x:c>
      <x:c r="L129" s="31" t="str">
        <x:v>L3-TRANS-TOPO-SENSE-004</x:v>
      </x:c>
    </x:row>
    <x:row r="130" ht="76" customHeight="1">
      <x:c r="A130" s="33" t="str">
        <x:v>SF-01/IR-01-03/SR-01-03-12/AR-L3-TRANS-TOPO-SENSE-004-01</x:v>
      </x:c>
      <x:c r="B130" s="33" t="n">
        <x:v>4</x:v>
      </x:c>
      <x:c r="C130" s="34" t="str">
        <x:v>AR</x:v>
      </x:c>
      <x:c r="D130" s="34" t="str">
        <x:v>AR-L3-TRANS-TOPO-SENSE-004-01</x:v>
      </x:c>
      <x:c r="E130" s="34" t="str">
        <x:v>SR-01-03-12</x:v>
      </x:c>
      <x:c r="F130" s="34" t="str">
        <x:v>            ├─ AR-L3-TRANS-TOPO-SENSE-004-01 核心实现</x:v>
      </x:c>
      <x:c r="G130" s="34" t="str">
        <x:v>核心实现</x:v>
      </x:c>
      <x:c r="H130" s="33" t="str">
        <x:v>在 `src/policy/query_plan/topo_sense.{h,cc}` 新增或重写 `TOPOSENSEPolicy`，把“动态传输质量适应”落实为 L3 传输管理层 可调用主路径：本需求要求实现传输路径质量实时感知机制，以100ms为周期采样各路径P50/P99时延（RDMA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 输入必须显式消费 candidate placements + deadline + telemetry，输出 ranked QueryPlan + fallback chain + decision reason，不得用全局单例或隐藏同步 I/O 绕开预算与状态机。</x:v>
      </x:c>
      <x:c r="I130" s="33" t="str">
        <x:v>传输端到端延迟降低≥40%，CPU占用率(System Load)下降。</x:v>
      </x:c>
      <x:c r="J130" s="33" t="str">
        <x:v>src/policy/query_plan/topo_sense.{h,cc}</x:v>
      </x:c>
      <x:c r="K130" s="33" t="str">
        <x:v>L3 传输管理层 / 存储池/传输管理开发</x:v>
      </x:c>
      <x:c r="L130" s="33" t="str">
        <x:v>L3-TRANS-TOPO-SENSE-004</x:v>
      </x:c>
    </x:row>
    <x:row r="131" ht="76" customHeight="1">
      <x:c r="A131" s="33" t="str">
        <x:v>SF-01/IR-01-03/SR-01-03-12/AR-L3-TRANS-TOPO-SENSE-004-02</x:v>
      </x:c>
      <x:c r="B131" s="33" t="n">
        <x:v>4</x:v>
      </x:c>
      <x:c r="C131" s="34" t="str">
        <x:v>AR</x:v>
      </x:c>
      <x:c r="D131" s="34" t="str">
        <x:v>AR-L3-TRANS-TOPO-SENSE-004-02</x:v>
      </x:c>
      <x:c r="E131" s="34" t="str">
        <x:v>SR-01-03-12</x:v>
      </x:c>
      <x:c r="F131" s="34" t="str">
        <x:v>            ├─ AR-L3-TRANS-TOPO-SENSE-004-02 契约配置与降级</x:v>
      </x:c>
      <x:c r="G131" s="34" t="str">
        <x:v>契约配置与降级</x:v>
      </x:c>
      <x:c r="H131" s="33" t="str">
        <x:v>为 `TOPOSENSEOptions` 增加 `kvcache.topo_sense.enabled`、deadline/容量/队列预算及版本字段；在调用点接入 typed error、decision_reason、fallback_reason，确保配置热更新、灰度关闭和向后兼容均可审计。</x:v>
      </x:c>
      <x:c r="I131" s="33" t="str">
        <x:v>传输端到端延迟降低≥40%，CPU占用率(System Load)下降。</x:v>
      </x:c>
      <x:c r="J131" s="33" t="str">
        <x:v>api/kvcache/v1/topo_sense.proto + config/runtime/topo_sense.yaml</x:v>
      </x:c>
      <x:c r="K131" s="33" t="str">
        <x:v>L3 传输管理层 / 存储池/传输管理开发</x:v>
      </x:c>
      <x:c r="L131" s="33" t="str">
        <x:v>L3-TRANS-TOPO-SENSE-004</x:v>
      </x:c>
    </x:row>
    <x:row r="132" ht="76" customHeight="1">
      <x:c r="A132" s="33" t="str">
        <x:v>SF-01/IR-01-03/SR-01-03-12/AR-L3-TRANS-TOPO-SENSE-004-03</x:v>
      </x:c>
      <x:c r="B132" s="33" t="n">
        <x:v>4</x:v>
      </x:c>
      <x:c r="C132" s="34" t="str">
        <x:v>AR</x:v>
      </x:c>
      <x:c r="D132" s="34" t="str">
        <x:v>AR-L3-TRANS-TOPO-SENSE-004-03</x:v>
      </x:c>
      <x:c r="E132" s="34" t="str">
        <x:v>SR-01-03-12</x:v>
      </x:c>
      <x:c r="F132" s="34" t="str">
        <x:v>            └─ AR-L3-TRANS-TOPO-SENSE-004-03 验证与观测</x:v>
      </x:c>
      <x:c r="G132" s="34" t="str">
        <x:v>验证与观测</x:v>
      </x:c>
      <x:c r="H132" s="33" t="str">
        <x:v>新增正常、边界、并发、超时、stale metadata、迁移冲突、路径拥塞/故障与 feature-flag-off 用例；在 benchmark 中固定模型、tokenizer、prompt、并发、拓扑和 baseline，采集 lookup/load/attach、TTFT、TPOT、usable/abandoned hit、带宽/时延及 CPU/NPU 利用率。</x:v>
      </x:c>
      <x:c r="I132" s="33" t="str">
        <x:v>传输端到端延迟降低≥40%，CPU占用率(System Load)下降。</x:v>
      </x:c>
      <x:c r="J132" s="33" t="str">
        <x:v>tests/policy/query_plan/topo_sense_test.cc + benchmarks/policy/query_plan/topo_sense_benchmark.cc</x:v>
      </x:c>
      <x:c r="K132" s="33" t="str">
        <x:v>L3 传输管理层 / 存储池/传输管理开发</x:v>
      </x:c>
      <x:c r="L132" s="33" t="str">
        <x:v>L3-TRANS-TOPO-SENSE-004</x:v>
      </x:c>
    </x:row>
    <x:row r="133" ht="76" customHeight="1">
      <x:c r="A133" s="29" t="str">
        <x:v>SF-01/IR-01-04</x:v>
      </x:c>
      <x:c r="B133" s="29" t="n">
        <x:v>2</x:v>
      </x:c>
      <x:c r="C133" s="30" t="str">
        <x:v>IR</x:v>
      </x:c>
      <x:c r="D133" s="30" t="str">
        <x:v>IR-01-04</x:v>
      </x:c>
      <x:c r="E133" s="30" t="str">
        <x:v>SF-01</x:v>
      </x:c>
      <x:c r="F133" s="30" t="str">
        <x:v>    ├─ IR-01-04 支持P/D分离、流水加载及一对多共享的异步KV传输编排</x:v>
      </x:c>
      <x:c r="G133" s="30" t="str">
        <x:v>支持P/D分离、流水加载及一对多共享的异步KV传输编排</x:v>
      </x:c>
      <x:c r="H133" s="29" t="str">
        <x:v>系统应把 P→D 推送、D→P 拉取、目录会合、Layer/Page 流水加载和公共前缀一对多分发统一组织为异步传输流程，能够管理任务依赖、并发额度、提交顺序、完成通知、目标级结果和取消。其目的在于让 KV 数据移动与推理计算重叠，避免单目标或单阶段串行等待放大 TTFT，并允许部分目标失败时局部重试或回退。
技术锚点：URMA/RDMA/NIXL/Mooncake Async DAG + Rendezvous + Multicast</x:v>
      </x:c>
      <x:c r="I133" s="29" t="str">
        <x:v>P/D handoff p99降低≥20%；热点分发p99降低≥40%；广播完成率≥99.99%；计算/传输重叠≥60%。</x:v>
      </x:c>
      <x:c r="J133" s="29" t="str"/>
      <x:c r="K133" s="29" t="str">
        <x:v>TM4</x:v>
      </x:c>
      <x:c r="L133" s="29" t="str">
        <x:v>V2.1修订定义</x:v>
      </x:c>
    </x:row>
    <x:row r="134" ht="76" customHeight="1">
      <x:c r="A134" s="31" t="str">
        <x:v>SF-01/IR-01-04/SR-01-04-01</x:v>
      </x:c>
      <x:c r="B134" s="31" t="n">
        <x:v>3</x:v>
      </x:c>
      <x:c r="C134" s="32" t="str">
        <x:v>SR</x:v>
      </x:c>
      <x:c r="D134" s="32" t="str">
        <x:v>SR-01-04-01</x:v>
      </x:c>
      <x:c r="E134" s="32" t="str">
        <x:v>IR-01-04</x:v>
      </x:c>
      <x:c r="F134" s="32" t="str">
        <x:v>        ├─ SR-01-04-01 热点前缀 KVCache 多副本扩散</x:v>
      </x:c>
      <x:c r="G134" s="32" t="str">
        <x:v>热点前缀 KVCache 多副本扩散｜L3-MS-HotReplication-040</x:v>
      </x:c>
      <x:c r="H134" s="31" t="str">
        <x:v>系统重构：本需求要求对公共 system prompt、agent tool schema、RAG 热模板等 hot prefix 自动复制到多个本地 DDR、UB pool 或远端 DDR shard，复制决策由 QPS、p99 latency、queue depth 和 cross-node bytes 触发。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x:v>
      </x:c>
      <x:c r="I134" s="31" t="str">
        <x:v>hot shard p99 降低 ≥40%；</x:v>
      </x:c>
      <x:c r="J134" s="31" t="str"/>
      <x:c r="K134" s="31" t="str">
        <x:v>L3 传输管理层 / 传输编排与广播</x:v>
      </x:c>
      <x:c r="L134" s="31" t="str">
        <x:v>L3-MS-HotReplication-040</x:v>
      </x:c>
    </x:row>
    <x:row r="135" ht="76" customHeight="1">
      <x:c r="A135" s="33" t="str">
        <x:v>SF-01/IR-01-04/SR-01-04-01/AR-L3-MS-HotReplication-040-01</x:v>
      </x:c>
      <x:c r="B135" s="33" t="n">
        <x:v>4</x:v>
      </x:c>
      <x:c r="C135" s="34" t="str">
        <x:v>AR</x:v>
      </x:c>
      <x:c r="D135" s="34" t="str">
        <x:v>AR-L3-MS-HotReplication-040-01</x:v>
      </x:c>
      <x:c r="E135" s="34" t="str">
        <x:v>SR-01-04-01</x:v>
      </x:c>
      <x:c r="F135" s="34" t="str">
        <x:v>            ├─ AR-L3-MS-HotReplication-040-01 核心实现</x:v>
      </x:c>
      <x:c r="G135" s="34" t="str">
        <x:v>核心实现</x:v>
      </x:c>
      <x:c r="H135" s="33" t="str">
        <x:v>在 `src/transfer/orchestrator/hot_replication.{h,cc}` 新增或重写 `HotReplicationOrchestrator`，把“热点前缀 KVCache 多副本扩散”落实为 L3 传输管理层 可调用主路径：本需求要求对公共 system prompt、agent tool schema、RAG 热模板等 hot prefix 自动复制到多个本地 DDR、UB pool 或远端 DDR shard，复制决策由 QPS、p99 latency、queue depth 和 cross-node bytes 触发。 输入必须显式消费 QueryPlan + BulkDescriptor + traffic class，输出 TransferTicket + completion/fence + per-target result，不得用全局单例或隐藏同步 I/O 绕开预算与状态机。</x:v>
      </x:c>
      <x:c r="I135" s="33" t="str">
        <x:v>hot shard p99 降低 ≥40%；</x:v>
      </x:c>
      <x:c r="J135" s="33" t="str">
        <x:v>src/transfer/orchestrator/hot_replication.{h,cc}</x:v>
      </x:c>
      <x:c r="K135" s="33" t="str">
        <x:v>L3 传输管理层 / 存储池/传输管理开发</x:v>
      </x:c>
      <x:c r="L135" s="33" t="str">
        <x:v>L3-MS-HotReplication-040</x:v>
      </x:c>
    </x:row>
    <x:row r="136" ht="76" customHeight="1">
      <x:c r="A136" s="33" t="str">
        <x:v>SF-01/IR-01-04/SR-01-04-01/AR-L3-MS-HotReplication-040-02</x:v>
      </x:c>
      <x:c r="B136" s="33" t="n">
        <x:v>4</x:v>
      </x:c>
      <x:c r="C136" s="34" t="str">
        <x:v>AR</x:v>
      </x:c>
      <x:c r="D136" s="34" t="str">
        <x:v>AR-L3-MS-HotReplication-040-02</x:v>
      </x:c>
      <x:c r="E136" s="34" t="str">
        <x:v>SR-01-04-01</x:v>
      </x:c>
      <x:c r="F136" s="34" t="str">
        <x:v>            ├─ AR-L3-MS-HotReplication-040-02 契约配置与降级</x:v>
      </x:c>
      <x:c r="G136" s="34" t="str">
        <x:v>契约配置与降级</x:v>
      </x:c>
      <x:c r="H136" s="33" t="str">
        <x:v>为 `HotReplicationOptions` 增加 `kvcache.hot_replication.enabled`、deadline/容量/队列预算及版本字段；在调用点接入 typed error、decision_reason、fallback_reason，确保配置热更新、灰度关闭和向后兼容均可审计。</x:v>
      </x:c>
      <x:c r="I136" s="33" t="str">
        <x:v>hot shard p99 降低 ≥40%；</x:v>
      </x:c>
      <x:c r="J136" s="33" t="str">
        <x:v>api/kvcache/v1/hot_replication.proto + config/runtime/hot_replication.yaml</x:v>
      </x:c>
      <x:c r="K136" s="33" t="str">
        <x:v>L3 传输管理层 / 存储池/传输管理开发</x:v>
      </x:c>
      <x:c r="L136" s="33" t="str">
        <x:v>L3-MS-HotReplication-040</x:v>
      </x:c>
    </x:row>
    <x:row r="137" ht="76" customHeight="1">
      <x:c r="A137" s="33" t="str">
        <x:v>SF-01/IR-01-04/SR-01-04-01/AR-L3-MS-HotReplication-040-03</x:v>
      </x:c>
      <x:c r="B137" s="33" t="n">
        <x:v>4</x:v>
      </x:c>
      <x:c r="C137" s="34" t="str">
        <x:v>AR</x:v>
      </x:c>
      <x:c r="D137" s="34" t="str">
        <x:v>AR-L3-MS-HotReplication-040-03</x:v>
      </x:c>
      <x:c r="E137" s="34" t="str">
        <x:v>SR-01-04-01</x:v>
      </x:c>
      <x:c r="F137" s="34" t="str">
        <x:v>            └─ AR-L3-MS-HotReplication-040-03 验证与观测</x:v>
      </x:c>
      <x:c r="G137" s="34" t="str">
        <x:v>验证与观测</x:v>
      </x:c>
      <x:c r="H137" s="33" t="str">
        <x:v>新增正常、边界、并发、超时、stale metadata、迁移冲突、路径拥塞/故障与 feature-flag-off 用例；在 benchmark 中固定模型、tokenizer、prompt、并发、拓扑和 baseline，采集 lookup/load/attach、TTFT、TPOT、usable/abandoned hit、带宽/时延及 CPU/NPU 利用率。</x:v>
      </x:c>
      <x:c r="I137" s="33" t="str">
        <x:v>hot shard p99 降低 ≥40%；</x:v>
      </x:c>
      <x:c r="J137" s="33" t="str">
        <x:v>tests/transfer/orchestrator/hot_replication_test.cc + benchmarks/transfer/orchestrator/hot_replication_benchmark.cc</x:v>
      </x:c>
      <x:c r="K137" s="33" t="str">
        <x:v>L3 传输管理层 / 存储池/传输管理开发</x:v>
      </x:c>
      <x:c r="L137" s="33" t="str">
        <x:v>L3-MS-HotReplication-040</x:v>
      </x:c>
    </x:row>
    <x:row r="138" ht="76" customHeight="1">
      <x:c r="A138" s="31" t="str">
        <x:v>SF-01/IR-01-04/SR-01-04-02</x:v>
      </x:c>
      <x:c r="B138" s="31" t="n">
        <x:v>3</x:v>
      </x:c>
      <x:c r="C138" s="32" t="str">
        <x:v>SR</x:v>
      </x:c>
      <x:c r="D138" s="32" t="str">
        <x:v>SR-01-04-02</x:v>
      </x:c>
      <x:c r="E138" s="32" t="str">
        <x:v>IR-01-04</x:v>
      </x:c>
      <x:c r="F138" s="32" t="str">
        <x:v>        ├─ SR-01-04-02 状态感知的 KV 预取</x:v>
      </x:c>
      <x:c r="G138" s="32" t="str">
        <x:v>状态感知的 KV 预取｜L3-MS-StateAwarePrefetch-081</x:v>
      </x:c>
      <x:c r="H138" s="31" t="str">
        <x:v>系统重构：本需求要求预取引擎必须感知 KV object state 和 placement state：对 READY 远端副本可预取，对 MIGRATING 副本延迟或改选源，对 EVICTING 副本禁止预取，对 TOMBSTONE/FAILED 副本直接返回 miss。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x:v>
      </x:c>
      <x:c r="I138" s="31" t="str">
        <x:v>节点动态加入/退出时的缓存失效控制在局部范围内（遵循一致性哈希比例）。</x:v>
      </x:c>
      <x:c r="J138" s="31" t="str"/>
      <x:c r="K138" s="31" t="str">
        <x:v>L3 传输管理层 / 传输编排与广播</x:v>
      </x:c>
      <x:c r="L138" s="31" t="str">
        <x:v>L3-MS-StateAwarePrefetch-081</x:v>
      </x:c>
    </x:row>
    <x:row r="139" ht="76" customHeight="1">
      <x:c r="A139" s="33" t="str">
        <x:v>SF-01/IR-01-04/SR-01-04-02/AR-L3-MS-StateAwarePrefetch-081-01</x:v>
      </x:c>
      <x:c r="B139" s="33" t="n">
        <x:v>4</x:v>
      </x:c>
      <x:c r="C139" s="34" t="str">
        <x:v>AR</x:v>
      </x:c>
      <x:c r="D139" s="34" t="str">
        <x:v>AR-L3-MS-StateAwarePrefetch-081-01</x:v>
      </x:c>
      <x:c r="E139" s="34" t="str">
        <x:v>SR-01-04-02</x:v>
      </x:c>
      <x:c r="F139" s="34" t="str">
        <x:v>            ├─ AR-L3-MS-StateAwarePrefetch-081-01 核心实现</x:v>
      </x:c>
      <x:c r="G139" s="34" t="str">
        <x:v>核心实现</x:v>
      </x:c>
      <x:c r="H139" s="33" t="str">
        <x:v>在 `src/transfer/orchestrator/state_aware_prefetch.{h,cc}` 新增或重写 `StateAwarePrefetchOrchestrator`，把“状态感知的 KV 预取”落实为 L3 传输管理层 可调用主路径：本需求要求预取引擎必须感知 KV object state 和 placement state：对 READY 远端副本可预取，对 MIGRATING 副本延迟或改选源，对 EVICTING 副本禁止预取，对 TOMBSTONE/FAILED 副本直接返回 miss。 输入必须显式消费 QueryPlan + BulkDescriptor + traffic class，输出 TransferTicket + completion/fence + per-target result，不得用全局单例或隐藏同步 I/O 绕开预算与状态机。</x:v>
      </x:c>
      <x:c r="I139" s="33" t="str">
        <x:v>节点动态加入/退出时的缓存失效控制在局部范围内（遵循一致性哈希比例）。</x:v>
      </x:c>
      <x:c r="J139" s="33" t="str">
        <x:v>src/transfer/orchestrator/state_aware_prefetch.{h,cc}</x:v>
      </x:c>
      <x:c r="K139" s="33" t="str">
        <x:v>L3 传输管理层 / 存储池/传输管理开发</x:v>
      </x:c>
      <x:c r="L139" s="33" t="str">
        <x:v>L3-MS-StateAwarePrefetch-081</x:v>
      </x:c>
    </x:row>
    <x:row r="140" ht="76" customHeight="1">
      <x:c r="A140" s="33" t="str">
        <x:v>SF-01/IR-01-04/SR-01-04-02/AR-L3-MS-StateAwarePrefetch-081-02</x:v>
      </x:c>
      <x:c r="B140" s="33" t="n">
        <x:v>4</x:v>
      </x:c>
      <x:c r="C140" s="34" t="str">
        <x:v>AR</x:v>
      </x:c>
      <x:c r="D140" s="34" t="str">
        <x:v>AR-L3-MS-StateAwarePrefetch-081-02</x:v>
      </x:c>
      <x:c r="E140" s="34" t="str">
        <x:v>SR-01-04-02</x:v>
      </x:c>
      <x:c r="F140" s="34" t="str">
        <x:v>            ├─ AR-L3-MS-StateAwarePrefetch-081-02 契约配置与降级</x:v>
      </x:c>
      <x:c r="G140" s="34" t="str">
        <x:v>契约配置与降级</x:v>
      </x:c>
      <x:c r="H140" s="33" t="str">
        <x:v>为 `StateAwarePrefetchOptions` 增加 `kvcache.state_aware_prefetch.enabled`、deadline/容量/队列预算及版本字段；在调用点接入 typed error、decision_reason、fallback_reason，确保配置热更新、灰度关闭和向后兼容均可审计。</x:v>
      </x:c>
      <x:c r="I140" s="33" t="str">
        <x:v>节点动态加入/退出时的缓存失效控制在局部范围内（遵循一致性哈希比例）。</x:v>
      </x:c>
      <x:c r="J140" s="33" t="str">
        <x:v>api/kvcache/v1/state_aware_prefetch.proto + config/runtime/state_aware_prefetch.yaml</x:v>
      </x:c>
      <x:c r="K140" s="33" t="str">
        <x:v>L3 传输管理层 / 存储池/传输管理开发</x:v>
      </x:c>
      <x:c r="L140" s="33" t="str">
        <x:v>L3-MS-StateAwarePrefetch-081</x:v>
      </x:c>
    </x:row>
    <x:row r="141" ht="76" customHeight="1">
      <x:c r="A141" s="33" t="str">
        <x:v>SF-01/IR-01-04/SR-01-04-02/AR-L3-MS-StateAwarePrefetch-081-03</x:v>
      </x:c>
      <x:c r="B141" s="33" t="n">
        <x:v>4</x:v>
      </x:c>
      <x:c r="C141" s="34" t="str">
        <x:v>AR</x:v>
      </x:c>
      <x:c r="D141" s="34" t="str">
        <x:v>AR-L3-MS-StateAwarePrefetch-081-03</x:v>
      </x:c>
      <x:c r="E141" s="34" t="str">
        <x:v>SR-01-04-02</x:v>
      </x:c>
      <x:c r="F141" s="34" t="str">
        <x:v>            └─ AR-L3-MS-StateAwarePrefetch-081-03 验证与观测</x:v>
      </x:c>
      <x:c r="G141" s="34" t="str">
        <x:v>验证与观测</x:v>
      </x:c>
      <x:c r="H141" s="33" t="str">
        <x:v>新增正常、边界、并发、超时、stale metadata、迁移冲突、路径拥塞/故障与 feature-flag-off 用例；在 benchmark 中固定模型、tokenizer、prompt、并发、拓扑和 baseline，采集 lookup/load/attach、TTFT、TPOT、usable/abandoned hit、带宽/时延及 CPU/NPU 利用率。</x:v>
      </x:c>
      <x:c r="I141" s="33" t="str">
        <x:v>节点动态加入/退出时的缓存失效控制在局部范围内（遵循一致性哈希比例）。</x:v>
      </x:c>
      <x:c r="J141" s="33" t="str">
        <x:v>tests/transfer/orchestrator/state_aware_prefetch_test.cc + benchmarks/transfer/orchestrator/state_aware_prefetch_benchmark.cc</x:v>
      </x:c>
      <x:c r="K141" s="33" t="str">
        <x:v>L3 传输管理层 / 存储池/传输管理开发</x:v>
      </x:c>
      <x:c r="L141" s="33" t="str">
        <x:v>L3-MS-StateAwarePrefetch-081</x:v>
      </x:c>
    </x:row>
    <x:row r="142" ht="76" customHeight="1">
      <x:c r="A142" s="31" t="str">
        <x:v>SF-01/IR-01-04/SR-01-04-03</x:v>
      </x:c>
      <x:c r="B142" s="31" t="n">
        <x:v>3</x:v>
      </x:c>
      <x:c r="C142" s="32" t="str">
        <x:v>SR</x:v>
      </x:c>
      <x:c r="D142" s="32" t="str">
        <x:v>SR-01-04-03</x:v>
      </x:c>
      <x:c r="E142" s="32" t="str">
        <x:v>IR-01-04</x:v>
      </x:c>
      <x:c r="F142" s="32" t="str">
        <x:v>        ├─ SR-01-04-03 C2C统一内存热度调度</x:v>
      </x:c>
      <x:c r="G142" s="32" t="str">
        <x:v>C2C统一内存热度调度｜L3-C2C-POOL-SCHED-002</x:v>
      </x:c>
      <x:c r="H142" s="31" t="str">
        <x:v>系统重构：本需求要求基于NPU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x:v>
      </x:c>
      <x:c r="I142" s="31" t="str">
        <x:v>节点动态加入/退出时的缓存失效控制在局部范围内（遵循一致性哈希比例）。</x:v>
      </x:c>
      <x:c r="J142" s="31" t="str"/>
      <x:c r="K142" s="31" t="str">
        <x:v>L3 传输管理层 / 传输编排与广播</x:v>
      </x:c>
      <x:c r="L142" s="31" t="str">
        <x:v>L3-C2C-POOL-SCHED-002</x:v>
      </x:c>
    </x:row>
    <x:row r="143" ht="76" customHeight="1">
      <x:c r="A143" s="33" t="str">
        <x:v>SF-01/IR-01-04/SR-01-04-03/AR-L3-C2C-POOL-SCHED-002-01</x:v>
      </x:c>
      <x:c r="B143" s="33" t="n">
        <x:v>4</x:v>
      </x:c>
      <x:c r="C143" s="34" t="str">
        <x:v>AR</x:v>
      </x:c>
      <x:c r="D143" s="34" t="str">
        <x:v>AR-L3-C2C-POOL-SCHED-002-01</x:v>
      </x:c>
      <x:c r="E143" s="34" t="str">
        <x:v>SR-01-04-03</x:v>
      </x:c>
      <x:c r="F143" s="34" t="str">
        <x:v>            ├─ AR-L3-C2C-POOL-SCHED-002-01 核心实现</x:v>
      </x:c>
      <x:c r="G143" s="34" t="str">
        <x:v>核心实现</x:v>
      </x:c>
      <x:c r="H143" s="33" t="str">
        <x:v>在 `src/transfer/orchestrator/pool_sched.{h,cc}` 新增或重写 `POOLSCHEDOrchestrator`，把“C2C统一内存热度调度”落实为 L3 传输管理层 可调用主路径：本需求要求基于NPU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 输入必须显式消费 QueryPlan + BulkDescriptor + traffic class，输出 TransferTicket + completion/fence + per-target result，不得用全局单例或隐藏同步 I/O 绕开预算与状态机。</x:v>
      </x:c>
      <x:c r="I143" s="33" t="str">
        <x:v>节点动态加入/退出时的缓存失效控制在局部范围内（遵循一致性哈希比例）。</x:v>
      </x:c>
      <x:c r="J143" s="33" t="str">
        <x:v>src/transfer/orchestrator/pool_sched.{h,cc}</x:v>
      </x:c>
      <x:c r="K143" s="33" t="str">
        <x:v>L3 传输管理层 / 存储池/传输管理开发</x:v>
      </x:c>
      <x:c r="L143" s="33" t="str">
        <x:v>L3-C2C-POOL-SCHED-002</x:v>
      </x:c>
    </x:row>
    <x:row r="144" ht="76" customHeight="1">
      <x:c r="A144" s="33" t="str">
        <x:v>SF-01/IR-01-04/SR-01-04-03/AR-L3-C2C-POOL-SCHED-002-02</x:v>
      </x:c>
      <x:c r="B144" s="33" t="n">
        <x:v>4</x:v>
      </x:c>
      <x:c r="C144" s="34" t="str">
        <x:v>AR</x:v>
      </x:c>
      <x:c r="D144" s="34" t="str">
        <x:v>AR-L3-C2C-POOL-SCHED-002-02</x:v>
      </x:c>
      <x:c r="E144" s="34" t="str">
        <x:v>SR-01-04-03</x:v>
      </x:c>
      <x:c r="F144" s="34" t="str">
        <x:v>            ├─ AR-L3-C2C-POOL-SCHED-002-02 契约配置与降级</x:v>
      </x:c>
      <x:c r="G144" s="34" t="str">
        <x:v>契约配置与降级</x:v>
      </x:c>
      <x:c r="H144" s="33" t="str">
        <x:v>为 `POOLSCHEDOptions` 增加 `kvcache.pool_sched.enabled`、deadline/容量/队列预算及版本字段；在调用点接入 typed error、decision_reason、fallback_reason，确保配置热更新、灰度关闭和向后兼容均可审计。</x:v>
      </x:c>
      <x:c r="I144" s="33" t="str">
        <x:v>节点动态加入/退出时的缓存失效控制在局部范围内（遵循一致性哈希比例）。</x:v>
      </x:c>
      <x:c r="J144" s="33" t="str">
        <x:v>api/kvcache/v1/pool_sched.proto + config/runtime/pool_sched.yaml</x:v>
      </x:c>
      <x:c r="K144" s="33" t="str">
        <x:v>L3 传输管理层 / 存储池/传输管理开发</x:v>
      </x:c>
      <x:c r="L144" s="33" t="str">
        <x:v>L3-C2C-POOL-SCHED-002</x:v>
      </x:c>
    </x:row>
    <x:row r="145" ht="76" customHeight="1">
      <x:c r="A145" s="33" t="str">
        <x:v>SF-01/IR-01-04/SR-01-04-03/AR-L3-C2C-POOL-SCHED-002-03</x:v>
      </x:c>
      <x:c r="B145" s="33" t="n">
        <x:v>4</x:v>
      </x:c>
      <x:c r="C145" s="34" t="str">
        <x:v>AR</x:v>
      </x:c>
      <x:c r="D145" s="34" t="str">
        <x:v>AR-L3-C2C-POOL-SCHED-002-03</x:v>
      </x:c>
      <x:c r="E145" s="34" t="str">
        <x:v>SR-01-04-03</x:v>
      </x:c>
      <x:c r="F145" s="34" t="str">
        <x:v>            └─ AR-L3-C2C-POOL-SCHED-002-03 验证与观测</x:v>
      </x:c>
      <x:c r="G145" s="34" t="str">
        <x:v>验证与观测</x:v>
      </x:c>
      <x:c r="H145" s="33" t="str">
        <x:v>新增正常、边界、并发、超时、stale metadata、迁移冲突、路径拥塞/故障与 feature-flag-off 用例；在 benchmark 中固定模型、tokenizer、prompt、并发、拓扑和 baseline，采集 lookup/load/attach、TTFT、TPOT、usable/abandoned hit、带宽/时延及 CPU/NPU 利用率。</x:v>
      </x:c>
      <x:c r="I145" s="33" t="str">
        <x:v>节点动态加入/退出时的缓存失效控制在局部范围内（遵循一致性哈希比例）。</x:v>
      </x:c>
      <x:c r="J145" s="33" t="str">
        <x:v>tests/transfer/orchestrator/pool_sched_test.cc + benchmarks/transfer/orchestrator/pool_sched_benchmark.cc</x:v>
      </x:c>
      <x:c r="K145" s="33" t="str">
        <x:v>L3 传输管理层 / 存储池/传输管理开发</x:v>
      </x:c>
      <x:c r="L145" s="33" t="str">
        <x:v>L3-C2C-POOL-SCHED-002</x:v>
      </x:c>
    </x:row>
    <x:row r="146" ht="76" customHeight="1">
      <x:c r="A146" s="31" t="str">
        <x:v>SF-01/IR-01-04/SR-01-04-04</x:v>
      </x:c>
      <x:c r="B146" s="31" t="n">
        <x:v>3</x:v>
      </x:c>
      <x:c r="C146" s="32" t="str">
        <x:v>SR</x:v>
      </x:c>
      <x:c r="D146" s="32" t="str">
        <x:v>SR-01-04-04</x:v>
      </x:c>
      <x:c r="E146" s="32" t="str">
        <x:v>IR-01-04</x:v>
      </x:c>
      <x:c r="F146" s="32" t="str">
        <x:v>        ├─ SR-01-04-04 冷KVCache预取加热</x:v>
      </x:c>
      <x:c r="G146" s="32" t="str">
        <x:v>冷KVCache预取加热｜L3-LMC-PRFCH-ENGINE-001</x:v>
      </x:c>
      <x:c r="H146" s="31" t="str">
        <x:v>系统重构：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x:v>
      </x:c>
      <x:c r="I146" s="31" t="str">
        <x:v>Prefix命中判定P99耗时 &lt; 200us；在Share-Prefix业务下，Usable Hit Rate提升≥15%。</x:v>
      </x:c>
      <x:c r="J146" s="31" t="str"/>
      <x:c r="K146" s="31" t="str">
        <x:v>L3 传输管理层 / 传输编排与广播</x:v>
      </x:c>
      <x:c r="L146" s="31" t="str">
        <x:v>L3-LMC-PRFCH-ENGINE-001</x:v>
      </x:c>
    </x:row>
    <x:row r="147" ht="76" customHeight="1">
      <x:c r="A147" s="33" t="str">
        <x:v>SF-01/IR-01-04/SR-01-04-04/AR-L3-LMC-PRFCH-ENGINE-001-01</x:v>
      </x:c>
      <x:c r="B147" s="33" t="n">
        <x:v>4</x:v>
      </x:c>
      <x:c r="C147" s="34" t="str">
        <x:v>AR</x:v>
      </x:c>
      <x:c r="D147" s="34" t="str">
        <x:v>AR-L3-LMC-PRFCH-ENGINE-001-01</x:v>
      </x:c>
      <x:c r="E147" s="34" t="str">
        <x:v>SR-01-04-04</x:v>
      </x:c>
      <x:c r="F147" s="34" t="str">
        <x:v>            ├─ AR-L3-LMC-PRFCH-ENGINE-001-01 核心实现</x:v>
      </x:c>
      <x:c r="G147" s="34" t="str">
        <x:v>核心实现</x:v>
      </x:c>
      <x:c r="H147" s="33" t="str">
        <x:v>在 `src/transfer/orchestrator/prfch_engine.{h,cc}` 新增或重写 `PRFCHENGINEOrchestrator`，把“冷KVCache预取加热”落实为 L3 传输管理层 可调用主路径：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 输入必须显式消费 QueryPlan + BulkDescriptor + traffic class，输出 TransferTicket + completion/fence + per-target result，不得用全局单例或隐藏同步 I/O 绕开预算与状态机。</x:v>
      </x:c>
      <x:c r="I147" s="33" t="str">
        <x:v>Prefix命中判定P99耗时 &lt; 200us；在Share-Prefix业务下，Usable Hit Rate提升≥15%。</x:v>
      </x:c>
      <x:c r="J147" s="33" t="str">
        <x:v>src/transfer/orchestrator/prfch_engine.{h,cc}</x:v>
      </x:c>
      <x:c r="K147" s="33" t="str">
        <x:v>L3 传输管理层 / 存储池/传输管理开发</x:v>
      </x:c>
      <x:c r="L147" s="33" t="str">
        <x:v>L3-LMC-PRFCH-ENGINE-001</x:v>
      </x:c>
    </x:row>
    <x:row r="148" ht="76" customHeight="1">
      <x:c r="A148" s="33" t="str">
        <x:v>SF-01/IR-01-04/SR-01-04-04/AR-L3-LMC-PRFCH-ENGINE-001-02</x:v>
      </x:c>
      <x:c r="B148" s="33" t="n">
        <x:v>4</x:v>
      </x:c>
      <x:c r="C148" s="34" t="str">
        <x:v>AR</x:v>
      </x:c>
      <x:c r="D148" s="34" t="str">
        <x:v>AR-L3-LMC-PRFCH-ENGINE-001-02</x:v>
      </x:c>
      <x:c r="E148" s="34" t="str">
        <x:v>SR-01-04-04</x:v>
      </x:c>
      <x:c r="F148" s="34" t="str">
        <x:v>            ├─ AR-L3-LMC-PRFCH-ENGINE-001-02 契约配置与降级</x:v>
      </x:c>
      <x:c r="G148" s="34" t="str">
        <x:v>契约配置与降级</x:v>
      </x:c>
      <x:c r="H148" s="33" t="str">
        <x:v>为 `PRFCHENGINEOptions` 增加 `kvcache.prfch_engine.enabled`、deadline/容量/队列预算及版本字段；在调用点接入 typed error、decision_reason、fallback_reason，确保配置热更新、灰度关闭和向后兼容均可审计。</x:v>
      </x:c>
      <x:c r="I148" s="33" t="str">
        <x:v>Prefix命中判定P99耗时 &lt; 200us；在Share-Prefix业务下，Usable Hit Rate提升≥15%。</x:v>
      </x:c>
      <x:c r="J148" s="33" t="str">
        <x:v>api/kvcache/v1/prfch_engine.proto + config/runtime/prfch_engine.yaml</x:v>
      </x:c>
      <x:c r="K148" s="33" t="str">
        <x:v>L3 传输管理层 / 存储池/传输管理开发</x:v>
      </x:c>
      <x:c r="L148" s="33" t="str">
        <x:v>L3-LMC-PRFCH-ENGINE-001</x:v>
      </x:c>
    </x:row>
    <x:row r="149" ht="76" customHeight="1">
      <x:c r="A149" s="33" t="str">
        <x:v>SF-01/IR-01-04/SR-01-04-04/AR-L3-LMC-PRFCH-ENGINE-001-03</x:v>
      </x:c>
      <x:c r="B149" s="33" t="n">
        <x:v>4</x:v>
      </x:c>
      <x:c r="C149" s="34" t="str">
        <x:v>AR</x:v>
      </x:c>
      <x:c r="D149" s="34" t="str">
        <x:v>AR-L3-LMC-PRFCH-ENGINE-001-03</x:v>
      </x:c>
      <x:c r="E149" s="34" t="str">
        <x:v>SR-01-04-04</x:v>
      </x:c>
      <x:c r="F149" s="34" t="str">
        <x:v>            └─ AR-L3-LMC-PRFCH-ENGINE-001-03 验证与观测</x:v>
      </x:c>
      <x:c r="G149" s="34" t="str">
        <x:v>验证与观测</x:v>
      </x:c>
      <x:c r="H149" s="33" t="str">
        <x:v>新增正常、边界、并发、超时、stale metadata、迁移冲突、路径拥塞/故障与 feature-flag-off 用例；在 benchmark 中固定模型、tokenizer、prompt、并发、拓扑和 baseline，采集 lookup/load/attach、TTFT、TPOT、usable/abandoned hit、带宽/时延及 CPU/NPU 利用率。</x:v>
      </x:c>
      <x:c r="I149" s="33" t="str">
        <x:v>Prefix命中判定P99耗时 &lt; 200us；在Share-Prefix业务下，Usable Hit Rate提升≥15%。</x:v>
      </x:c>
      <x:c r="J149" s="33" t="str">
        <x:v>tests/transfer/orchestrator/prfch_engine_test.cc + benchmarks/transfer/orchestrator/prfch_engine_benchmark.cc</x:v>
      </x:c>
      <x:c r="K149" s="33" t="str">
        <x:v>L3 传输管理层 / 存储池/传输管理开发</x:v>
      </x:c>
      <x:c r="L149" s="33" t="str">
        <x:v>L3-LMC-PRFCH-ENGINE-001</x:v>
      </x:c>
    </x:row>
    <x:row r="150" ht="76" customHeight="1">
      <x:c r="A150" s="31" t="str">
        <x:v>SF-01/IR-01-04/SR-01-04-05</x:v>
      </x:c>
      <x:c r="B150" s="31" t="n">
        <x:v>3</x:v>
      </x:c>
      <x:c r="C150" s="32" t="str">
        <x:v>SR</x:v>
      </x:c>
      <x:c r="D150" s="32" t="str">
        <x:v>SR-01-04-05</x:v>
      </x:c>
      <x:c r="E150" s="32" t="str">
        <x:v>IR-01-04</x:v>
      </x:c>
      <x:c r="F150" s="32" t="str">
        <x:v>        ├─ SR-01-04-05 机内NPU KVCache P2P高速传输</x:v>
      </x:c>
      <x:c r="G150" s="32" t="str">
        <x:v>机内NPU KVCache P2P高速传输｜L3-UB-TOPO-ROUTE-001</x:v>
      </x:c>
      <x:c r="H150" s="31" t="str">
        <x:v>系统重构：本需求要求集成拓扑发现，构建完整的UBLINK连通矩阵，在KVCache P2P传输决策时优先选择UBLINK路径（bandwidth优先），实现跨NPU直接内存映射和P2P ，在同节点8卡环境下实现KVCache P2P传输带宽≥700GB/s。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x:v>
      </x:c>
      <x:c r="I150" s="31" t="str">
        <x:v>节点动态加入/退出时的缓存失效控制在局部范围内（遵循一致性哈希比例）。</x:v>
      </x:c>
      <x:c r="J150" s="31" t="str"/>
      <x:c r="K150" s="31" t="str">
        <x:v>L3 传输管理层 / 传输编排与广播</x:v>
      </x:c>
      <x:c r="L150" s="31" t="str">
        <x:v>L3-UB-TOPO-ROUTE-001</x:v>
      </x:c>
    </x:row>
    <x:row r="151" ht="76" customHeight="1">
      <x:c r="A151" s="33" t="str">
        <x:v>SF-01/IR-01-04/SR-01-04-05/AR-L3-UB-TOPO-ROUTE-001-01</x:v>
      </x:c>
      <x:c r="B151" s="33" t="n">
        <x:v>4</x:v>
      </x:c>
      <x:c r="C151" s="34" t="str">
        <x:v>AR</x:v>
      </x:c>
      <x:c r="D151" s="34" t="str">
        <x:v>AR-L3-UB-TOPO-ROUTE-001-01</x:v>
      </x:c>
      <x:c r="E151" s="34" t="str">
        <x:v>SR-01-04-05</x:v>
      </x:c>
      <x:c r="F151" s="34" t="str">
        <x:v>            ├─ AR-L3-UB-TOPO-ROUTE-001-01 核心实现</x:v>
      </x:c>
      <x:c r="G151" s="34" t="str">
        <x:v>核心实现</x:v>
      </x:c>
      <x:c r="H151" s="33" t="str">
        <x:v>在 `src/transfer/orchestrator/topo_route.{h,cc}` 新增或重写 `TOPOROUTEOrchestrator`，把“机内NPU KVCache P2P高速传输”落实为 L3 传输管理层 可调用主路径：本需求要求集成拓扑发现，构建完整的UBLINK连通矩阵，在KVCache P2P传输决策时优先选择UBLINK路径（bandwidth优先），实现跨NPU直接内存映射和P2P ，在同节点8卡环境下实现KVCache P2P传输带宽≥700GB/s。 输入必须显式消费 QueryPlan + BulkDescriptor + traffic class，输出 TransferTicket + completion/fence + per-target result，不得用全局单例或隐藏同步 I/O 绕开预算与状态机。</x:v>
      </x:c>
      <x:c r="I151" s="33" t="str">
        <x:v>节点动态加入/退出时的缓存失效控制在局部范围内（遵循一致性哈希比例）。</x:v>
      </x:c>
      <x:c r="J151" s="33" t="str">
        <x:v>src/transfer/orchestrator/topo_route.{h,cc}</x:v>
      </x:c>
      <x:c r="K151" s="33" t="str">
        <x:v>L3 传输管理层 / 存储池/传输管理开发</x:v>
      </x:c>
      <x:c r="L151" s="33" t="str">
        <x:v>L3-UB-TOPO-ROUTE-001</x:v>
      </x:c>
    </x:row>
    <x:row r="152" ht="76" customHeight="1">
      <x:c r="A152" s="33" t="str">
        <x:v>SF-01/IR-01-04/SR-01-04-05/AR-L3-UB-TOPO-ROUTE-001-02</x:v>
      </x:c>
      <x:c r="B152" s="33" t="n">
        <x:v>4</x:v>
      </x:c>
      <x:c r="C152" s="34" t="str">
        <x:v>AR</x:v>
      </x:c>
      <x:c r="D152" s="34" t="str">
        <x:v>AR-L3-UB-TOPO-ROUTE-001-02</x:v>
      </x:c>
      <x:c r="E152" s="34" t="str">
        <x:v>SR-01-04-05</x:v>
      </x:c>
      <x:c r="F152" s="34" t="str">
        <x:v>            ├─ AR-L3-UB-TOPO-ROUTE-001-02 契约配置与降级</x:v>
      </x:c>
      <x:c r="G152" s="34" t="str">
        <x:v>契约配置与降级</x:v>
      </x:c>
      <x:c r="H152" s="33" t="str">
        <x:v>为 `TOPOROUTEOptions` 增加 `kvcache.topo_route.enabled`、deadline/容量/队列预算及版本字段；在调用点接入 typed error、decision_reason、fallback_reason，确保配置热更新、灰度关闭和向后兼容均可审计。</x:v>
      </x:c>
      <x:c r="I152" s="33" t="str">
        <x:v>节点动态加入/退出时的缓存失效控制在局部范围内（遵循一致性哈希比例）。</x:v>
      </x:c>
      <x:c r="J152" s="33" t="str">
        <x:v>api/kvcache/v1/topo_route.proto + config/runtime/topo_route.yaml</x:v>
      </x:c>
      <x:c r="K152" s="33" t="str">
        <x:v>L3 传输管理层 / 存储池/传输管理开发</x:v>
      </x:c>
      <x:c r="L152" s="33" t="str">
        <x:v>L3-UB-TOPO-ROUTE-001</x:v>
      </x:c>
    </x:row>
    <x:row r="153" ht="76" customHeight="1">
      <x:c r="A153" s="33" t="str">
        <x:v>SF-01/IR-01-04/SR-01-04-05/AR-L3-UB-TOPO-ROUTE-001-03</x:v>
      </x:c>
      <x:c r="B153" s="33" t="n">
        <x:v>4</x:v>
      </x:c>
      <x:c r="C153" s="34" t="str">
        <x:v>AR</x:v>
      </x:c>
      <x:c r="D153" s="34" t="str">
        <x:v>AR-L3-UB-TOPO-ROUTE-001-03</x:v>
      </x:c>
      <x:c r="E153" s="34" t="str">
        <x:v>SR-01-04-05</x:v>
      </x:c>
      <x:c r="F153" s="34" t="str">
        <x:v>            └─ AR-L3-UB-TOPO-ROUTE-001-03 验证与观测</x:v>
      </x:c>
      <x:c r="G153" s="34" t="str">
        <x:v>验证与观测</x:v>
      </x:c>
      <x:c r="H153" s="33" t="str">
        <x:v>新增正常、边界、并发、超时、stale metadata、迁移冲突、路径拥塞/故障与 feature-flag-off 用例；在 benchmark 中固定模型、tokenizer、prompt、并发、拓扑和 baseline，采集 lookup/load/attach、TTFT、TPOT、usable/abandoned hit、带宽/时延及 CPU/NPU 利用率。</x:v>
      </x:c>
      <x:c r="I153" s="33" t="str">
        <x:v>节点动态加入/退出时的缓存失效控制在局部范围内（遵循一致性哈希比例）。</x:v>
      </x:c>
      <x:c r="J153" s="33" t="str">
        <x:v>tests/transfer/orchestrator/topo_route_test.cc + benchmarks/transfer/orchestrator/topo_route_benchmark.cc</x:v>
      </x:c>
      <x:c r="K153" s="33" t="str">
        <x:v>L3 传输管理层 / 存储池/传输管理开发</x:v>
      </x:c>
      <x:c r="L153" s="33" t="str">
        <x:v>L3-UB-TOPO-ROUTE-001</x:v>
      </x:c>
    </x:row>
    <x:row r="154" ht="76" customHeight="1">
      <x:c r="A154" s="31" t="str">
        <x:v>SF-01/IR-01-04/SR-01-04-06</x:v>
      </x:c>
      <x:c r="B154" s="31" t="n">
        <x:v>3</x:v>
      </x:c>
      <x:c r="C154" s="32" t="str">
        <x:v>SR</x:v>
      </x:c>
      <x:c r="D154" s="32" t="str">
        <x:v>SR-01-04-06</x:v>
      </x:c>
      <x:c r="E154" s="32" t="str">
        <x:v>IR-01-04</x:v>
      </x:c>
      <x:c r="F154" s="32" t="str">
        <x:v>        ├─ SR-01-04-06 一对多KVCache高效分发</x:v>
      </x:c>
      <x:c r="G154" s="32" t="str">
        <x:v>一对多KVCache高效分发｜L3-TRANS-MUL-ENGINE-003</x:v>
      </x:c>
      <x:c r="H154" s="31" t="str">
        <x:v>系统重构：本需求要求实现1→N KVCache多播传输优化引擎，通过路由树构建（最大化局部性最小化跳数）和硬件UD组播+软件P2P relay混合模式，使Disaggregated Prefill场景下同一前缀KVCache多节点分发时发送端BW消耗为O(1)。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x:v>
      </x:c>
      <x:c r="I154" s="31" t="str">
        <x:v>探索直接视图(direct view)、硬件多播及硬件原子页迁移等远期能力，避免 TPOT 被直接视图意外拖慢，不强求 &lt;500ns 等极端指标。</x:v>
      </x:c>
      <x:c r="J154" s="31" t="str"/>
      <x:c r="K154" s="31" t="str">
        <x:v>L3 传输管理层 / 传输编排与广播</x:v>
      </x:c>
      <x:c r="L154" s="31" t="str">
        <x:v>L3-TRANS-MUL-ENGINE-003</x:v>
      </x:c>
    </x:row>
    <x:row r="155" ht="76" customHeight="1">
      <x:c r="A155" s="33" t="str">
        <x:v>SF-01/IR-01-04/SR-01-04-06/AR-L3-TRANS-MUL-ENGINE-003-01</x:v>
      </x:c>
      <x:c r="B155" s="33" t="n">
        <x:v>4</x:v>
      </x:c>
      <x:c r="C155" s="34" t="str">
        <x:v>AR</x:v>
      </x:c>
      <x:c r="D155" s="34" t="str">
        <x:v>AR-L3-TRANS-MUL-ENGINE-003-01</x:v>
      </x:c>
      <x:c r="E155" s="34" t="str">
        <x:v>SR-01-04-06</x:v>
      </x:c>
      <x:c r="F155" s="34" t="str">
        <x:v>            ├─ AR-L3-TRANS-MUL-ENGINE-003-01 核心实现</x:v>
      </x:c>
      <x:c r="G155" s="34" t="str">
        <x:v>核心实现</x:v>
      </x:c>
      <x:c r="H155" s="33" t="str">
        <x:v>在 `src/transfer/orchestrator/mul_engine.{h,cc}` 新增或重写 `MULENGINEOrchestrator`，把“一对多KVCache高效分发”落实为 L3 传输管理层 可调用主路径：本需求要求实现1→N KVCache多播传输优化引擎，通过路由树构建（最大化局部性最小化跳数）和硬件UD组播+软件P2P relay混合模式，使Disaggregated Prefill场景下同一前缀KVCache多节点分发时发送端BW消耗为O(1)。 输入必须显式消费 QueryPlan + BulkDescriptor + traffic class，输出 TransferTicket + completion/fence + per-target result，不得用全局单例或隐藏同步 I/O 绕开预算与状态机。</x:v>
      </x:c>
      <x:c r="I155" s="33" t="str">
        <x:v>探索直接视图(direct view)、硬件多播及硬件原子页迁移等远期能力，避免 TPOT 被直接视图意外拖慢，不强求 &lt;500ns 等极端指标。</x:v>
      </x:c>
      <x:c r="J155" s="33" t="str">
        <x:v>src/transfer/orchestrator/mul_engine.{h,cc}</x:v>
      </x:c>
      <x:c r="K155" s="33" t="str">
        <x:v>L3 传输管理层 / 存储池/传输管理开发</x:v>
      </x:c>
      <x:c r="L155" s="33" t="str">
        <x:v>L3-TRANS-MUL-ENGINE-003</x:v>
      </x:c>
    </x:row>
    <x:row r="156" ht="76" customHeight="1">
      <x:c r="A156" s="33" t="str">
        <x:v>SF-01/IR-01-04/SR-01-04-06/AR-L3-TRANS-MUL-ENGINE-003-02</x:v>
      </x:c>
      <x:c r="B156" s="33" t="n">
        <x:v>4</x:v>
      </x:c>
      <x:c r="C156" s="34" t="str">
        <x:v>AR</x:v>
      </x:c>
      <x:c r="D156" s="34" t="str">
        <x:v>AR-L3-TRANS-MUL-ENGINE-003-02</x:v>
      </x:c>
      <x:c r="E156" s="34" t="str">
        <x:v>SR-01-04-06</x:v>
      </x:c>
      <x:c r="F156" s="34" t="str">
        <x:v>            ├─ AR-L3-TRANS-MUL-ENGINE-003-02 契约配置与降级</x:v>
      </x:c>
      <x:c r="G156" s="34" t="str">
        <x:v>契约配置与降级</x:v>
      </x:c>
      <x:c r="H156" s="33" t="str">
        <x:v>为 `MULENGINEOptions` 增加 `kvcache.mul_engine.enabled`、deadline/容量/队列预算及版本字段；在调用点接入 typed error、decision_reason、fallback_reason，确保配置热更新、灰度关闭和向后兼容均可审计。</x:v>
      </x:c>
      <x:c r="I156" s="33" t="str">
        <x:v>探索直接视图(direct view)、硬件多播及硬件原子页迁移等远期能力，避免 TPOT 被直接视图意外拖慢，不强求 &lt;500ns 等极端指标。</x:v>
      </x:c>
      <x:c r="J156" s="33" t="str">
        <x:v>api/kvcache/v1/mul_engine.proto + config/runtime/mul_engine.yaml</x:v>
      </x:c>
      <x:c r="K156" s="33" t="str">
        <x:v>L3 传输管理层 / 存储池/传输管理开发</x:v>
      </x:c>
      <x:c r="L156" s="33" t="str">
        <x:v>L3-TRANS-MUL-ENGINE-003</x:v>
      </x:c>
    </x:row>
    <x:row r="157" ht="76" customHeight="1">
      <x:c r="A157" s="33" t="str">
        <x:v>SF-01/IR-01-04/SR-01-04-06/AR-L3-TRANS-MUL-ENGINE-003-03</x:v>
      </x:c>
      <x:c r="B157" s="33" t="n">
        <x:v>4</x:v>
      </x:c>
      <x:c r="C157" s="34" t="str">
        <x:v>AR</x:v>
      </x:c>
      <x:c r="D157" s="34" t="str">
        <x:v>AR-L3-TRANS-MUL-ENGINE-003-03</x:v>
      </x:c>
      <x:c r="E157" s="34" t="str">
        <x:v>SR-01-04-06</x:v>
      </x:c>
      <x:c r="F157" s="34" t="str">
        <x:v>            └─ AR-L3-TRANS-MUL-ENGINE-003-03 验证与观测</x:v>
      </x:c>
      <x:c r="G157" s="34" t="str">
        <x:v>验证与观测</x:v>
      </x:c>
      <x:c r="H157" s="33" t="str">
        <x:v>新增正常、边界、并发、超时、stale metadata、迁移冲突、路径拥塞/故障与 feature-flag-off 用例；在 benchmark 中固定模型、tokenizer、prompt、并发、拓扑和 baseline，采集 lookup/load/attach、TTFT、TPOT、usable/abandoned hit、带宽/时延及 CPU/NPU 利用率。</x:v>
      </x:c>
      <x:c r="I157" s="33" t="str">
        <x:v>探索直接视图(direct view)、硬件多播及硬件原子页迁移等远期能力，避免 TPOT 被直接视图意外拖慢，不强求 &lt;500ns 等极端指标。</x:v>
      </x:c>
      <x:c r="J157" s="33" t="str">
        <x:v>tests/transfer/orchestrator/mul_engine_test.cc + benchmarks/transfer/orchestrator/mul_engine_benchmark.cc</x:v>
      </x:c>
      <x:c r="K157" s="33" t="str">
        <x:v>L3 传输管理层 / 存储池/传输管理开发</x:v>
      </x:c>
      <x:c r="L157" s="33" t="str">
        <x:v>L3-TRANS-MUL-ENGINE-003</x:v>
      </x:c>
    </x:row>
    <x:row r="158" ht="76" customHeight="1">
      <x:c r="A158" s="29" t="str">
        <x:v>SF-01/IR-01-05</x:v>
      </x:c>
      <x:c r="B158" s="29" t="n">
        <x:v>2</x:v>
      </x:c>
      <x:c r="C158" s="30" t="str">
        <x:v>IR</x:v>
      </x:c>
      <x:c r="D158" s="30" t="str">
        <x:v>IR-01-05</x:v>
      </x:c>
      <x:c r="E158" s="30" t="str">
        <x:v>SF-01</x:v>
      </x:c>
      <x:c r="F158" s="30" t="str">
        <x:v>    ├─ IR-01-05 面向异构介质与集群拓扑的传输能力探测和动态路径选择</x:v>
      </x:c>
      <x:c r="G158" s="30" t="str">
        <x:v>面向异构介质与集群拓扑的传输能力探测和动态路径选择</x:v>
      </x:c>
      <x:c r="H158" s="29" t="str">
        <x:v>系统应持续识别节点、NPU、NUMA、网卡、SSD及交换网络之间可用的 KV 访问路径，回答每条路径支持什么介质、布局、数据规模和传输语义，以及当前带宽、时延、队列深度和健康状态。调度和存储策略应据此动态选择代价最低且满足 deadline 的路径，并在拥塞或故障时及时降权、切换或禁止使用，避免静态路由造成尾时延放大。
技术锚点：CapabilityMatrix + hwloc/libnuma + PathQualityMonitor</x:v>
      </x:c>
      <x:c r="I158" s="29" t="str">
        <x:v>路径选择准确率≥90%；同机架 Local Usable Hit提升≥30%；故障切换&lt;200ms；探测开销&lt;0.5% BW。</x:v>
      </x:c>
      <x:c r="J158" s="29" t="str"/>
      <x:c r="K158" s="29" t="str">
        <x:v>TM1/TM4</x:v>
      </x:c>
      <x:c r="L158" s="29" t="str">
        <x:v>V2.1修订定义</x:v>
      </x:c>
    </x:row>
    <x:row r="159" ht="76" customHeight="1">
      <x:c r="A159" s="31" t="str">
        <x:v>SF-01/IR-01-05/SR-01-05-01</x:v>
      </x:c>
      <x:c r="B159" s="31" t="n">
        <x:v>3</x:v>
      </x:c>
      <x:c r="C159" s="32" t="str">
        <x:v>SR</x:v>
      </x:c>
      <x:c r="D159" s="32" t="str">
        <x:v>SR-01-05-01</x:v>
      </x:c>
      <x:c r="E159" s="32" t="str">
        <x:v>IR-01-05</x:v>
      </x:c>
      <x:c r="F159" s="32" t="str">
        <x:v>        ├─ SR-01-05-01 动态传输路径路由</x:v>
      </x:c>
      <x:c r="G159" s="32" t="str">
        <x:v>动态传输路径路由｜L2-CONN-TOPO-ROUTE-002</x:v>
      </x:c>
      <x:c r="H159" s="31" t="str">
        <x:v>系统重构：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x:v>
      </x:c>
      <x:c r="I159" s="31" t="str">
        <x:v>同机架内本地及远端DDR命中率（Local Usable Hit Rate）提升≥30%。</x:v>
      </x:c>
      <x:c r="J159" s="31" t="str"/>
      <x:c r="K159" s="31" t="str">
        <x:v>L2 KVConnector层 / 路径路由与能力探测</x:v>
      </x:c>
      <x:c r="L159" s="31" t="str">
        <x:v>L2-CONN-TOPO-ROUTE-002</x:v>
      </x:c>
    </x:row>
    <x:row r="160" ht="76" customHeight="1">
      <x:c r="A160" s="33" t="str">
        <x:v>SF-01/IR-01-05/SR-01-05-01/AR-L2-CONN-TOPO-ROUTE-002-01</x:v>
      </x:c>
      <x:c r="B160" s="33" t="n">
        <x:v>4</x:v>
      </x:c>
      <x:c r="C160" s="34" t="str">
        <x:v>AR</x:v>
      </x:c>
      <x:c r="D160" s="34" t="str">
        <x:v>AR-L2-CONN-TOPO-ROUTE-002-01</x:v>
      </x:c>
      <x:c r="E160" s="34" t="str">
        <x:v>SR-01-05-01</x:v>
      </x:c>
      <x:c r="F160" s="34" t="str">
        <x:v>            ├─ AR-L2-CONN-TOPO-ROUTE-002-01 核心实现</x:v>
      </x:c>
      <x:c r="G160" s="34" t="str">
        <x:v>核心实现</x:v>
      </x:c>
      <x:c r="H160" s="33" t="str">
        <x:v>在 `src/routing/capability/topo_route.{h,cc}` 新增或重写 `TOPOROUTEResolver`，把“动态传输路径路由”落实为 L2 KVConnector层 可调用主路径：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 输入必须显式消费 topology + device capability + queue telemetry，输出 ranked path set + health state + cost，不得用全局单例或隐藏同步 I/O 绕开预算与状态机。</x:v>
      </x:c>
      <x:c r="I160" s="33" t="str">
        <x:v>同机架内本地及远端DDR命中率（Local Usable Hit Rate）提升≥30%。</x:v>
      </x:c>
      <x:c r="J160" s="33" t="str">
        <x:v>src/routing/capability/topo_route.{h,cc}</x:v>
      </x:c>
      <x:c r="K160" s="33" t="str">
        <x:v>L2 KVConnector层 / Connector开发</x:v>
      </x:c>
      <x:c r="L160" s="33" t="str">
        <x:v>L2-CONN-TOPO-ROUTE-002</x:v>
      </x:c>
    </x:row>
    <x:row r="161" ht="76" customHeight="1">
      <x:c r="A161" s="33" t="str">
        <x:v>SF-01/IR-01-05/SR-01-05-01/AR-L2-CONN-TOPO-ROUTE-002-02</x:v>
      </x:c>
      <x:c r="B161" s="33" t="n">
        <x:v>4</x:v>
      </x:c>
      <x:c r="C161" s="34" t="str">
        <x:v>AR</x:v>
      </x:c>
      <x:c r="D161" s="34" t="str">
        <x:v>AR-L2-CONN-TOPO-ROUTE-002-02</x:v>
      </x:c>
      <x:c r="E161" s="34" t="str">
        <x:v>SR-01-05-01</x:v>
      </x:c>
      <x:c r="F161" s="34" t="str">
        <x:v>            ├─ AR-L2-CONN-TOPO-ROUTE-002-02 契约配置与降级</x:v>
      </x:c>
      <x:c r="G161" s="34" t="str">
        <x:v>契约配置与降级</x:v>
      </x:c>
      <x:c r="H161" s="33" t="str">
        <x:v>为 `TOPOROUTEOptions` 增加 `kvcache.topo_route.enabled`、deadline/容量/队列预算及版本字段；在调用点接入 typed error、decision_reason、fallback_reason，确保配置热更新、灰度关闭和向后兼容均可审计。</x:v>
      </x:c>
      <x:c r="I161" s="33" t="str">
        <x:v>同机架内本地及远端DDR命中率（Local Usable Hit Rate）提升≥30%。</x:v>
      </x:c>
      <x:c r="J161" s="33" t="str">
        <x:v>api/kvcache/v1/topo_route.proto + config/runtime/topo_route.yaml</x:v>
      </x:c>
      <x:c r="K161" s="33" t="str">
        <x:v>L2 KVConnector层 / Connector开发</x:v>
      </x:c>
      <x:c r="L161" s="33" t="str">
        <x:v>L2-CONN-TOPO-ROUTE-002</x:v>
      </x:c>
    </x:row>
    <x:row r="162" ht="76" customHeight="1">
      <x:c r="A162" s="33" t="str">
        <x:v>SF-01/IR-01-05/SR-01-05-01/AR-L2-CONN-TOPO-ROUTE-002-03</x:v>
      </x:c>
      <x:c r="B162" s="33" t="n">
        <x:v>4</x:v>
      </x:c>
      <x:c r="C162" s="34" t="str">
        <x:v>AR</x:v>
      </x:c>
      <x:c r="D162" s="34" t="str">
        <x:v>AR-L2-CONN-TOPO-ROUTE-002-03</x:v>
      </x:c>
      <x:c r="E162" s="34" t="str">
        <x:v>SR-01-05-01</x:v>
      </x:c>
      <x:c r="F162" s="34" t="str">
        <x:v>            └─ AR-L2-CONN-TOPO-ROUTE-002-03 验证与观测</x:v>
      </x:c>
      <x:c r="G162" s="34" t="str">
        <x:v>验证与观测</x:v>
      </x:c>
      <x:c r="H162" s="33" t="str">
        <x:v>新增正常、边界、并发、超时、stale metadata、迁移冲突、路径拥塞/故障与 feature-flag-off 用例；在 benchmark 中固定模型、tokenizer、prompt、并发、拓扑和 baseline，采集 lookup/load/attach、TTFT、TPOT、usable/abandoned hit、带宽/时延及 CPU/NPU 利用率。</x:v>
      </x:c>
      <x:c r="I162" s="33" t="str">
        <x:v>同机架内本地及远端DDR命中率（Local Usable Hit Rate）提升≥30%。</x:v>
      </x:c>
      <x:c r="J162" s="33" t="str">
        <x:v>tests/routing/capability/topo_route_test.cc + benchmarks/routing/capability/topo_route_benchmark.cc</x:v>
      </x:c>
      <x:c r="K162" s="33" t="str">
        <x:v>L2 KVConnector层 / Connector开发</x:v>
      </x:c>
      <x:c r="L162" s="33" t="str">
        <x:v>L2-CONN-TOPO-ROUTE-002</x:v>
      </x:c>
    </x:row>
    <x:row r="163" ht="76" customHeight="1">
      <x:c r="A163" s="31" t="str">
        <x:v>SF-01/IR-01-05/SR-01-05-02</x:v>
      </x:c>
      <x:c r="B163" s="31" t="n">
        <x:v>3</x:v>
      </x:c>
      <x:c r="C163" s="32" t="str">
        <x:v>SR</x:v>
      </x:c>
      <x:c r="D163" s="32" t="str">
        <x:v>SR-01-05-02</x:v>
      </x:c>
      <x:c r="E163" s="32" t="str">
        <x:v>IR-01-05</x:v>
      </x:c>
      <x:c r="F163" s="32" t="str">
        <x:v>        ├─ SR-01-05-02 动态拓扑水位路径规避</x:v>
      </x:c>
      <x:c r="G163" s="32" t="str">
        <x:v>动态拓扑水位路径规避｜L2-CONN-WatermarkQuery-032</x:v>
      </x:c>
      <x:c r="H163" s="31" t="str">
        <x:v>系统重构：本需求要求 Connector 将节点内的容量水位提示（Watermark Hints）整合进路径质量探测流中。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x:v>
      </x:c>
      <x:c r="I163" s="31" t="str">
        <x:v>同机架内本地及远端DDR命中率（Local Usable Hit Rate）提升≥30%。</x:v>
      </x:c>
      <x:c r="J163" s="31" t="str"/>
      <x:c r="K163" s="31" t="str">
        <x:v>L2 KVConnector层 / 路径路由与能力探测</x:v>
      </x:c>
      <x:c r="L163" s="31" t="str">
        <x:v>L2-CONN-WatermarkQuery-032</x:v>
      </x:c>
    </x:row>
    <x:row r="164" ht="76" customHeight="1">
      <x:c r="A164" s="33" t="str">
        <x:v>SF-01/IR-01-05/SR-01-05-02/AR-L2-CONN-WatermarkQuery-032-01</x:v>
      </x:c>
      <x:c r="B164" s="33" t="n">
        <x:v>4</x:v>
      </x:c>
      <x:c r="C164" s="34" t="str">
        <x:v>AR</x:v>
      </x:c>
      <x:c r="D164" s="34" t="str">
        <x:v>AR-L2-CONN-WatermarkQuery-032-01</x:v>
      </x:c>
      <x:c r="E164" s="34" t="str">
        <x:v>SR-01-05-02</x:v>
      </x:c>
      <x:c r="F164" s="34" t="str">
        <x:v>            ├─ AR-L2-CONN-WatermarkQuery-032-01 核心实现</x:v>
      </x:c>
      <x:c r="G164" s="34" t="str">
        <x:v>核心实现</x:v>
      </x:c>
      <x:c r="H164" s="33" t="str">
        <x:v>在 `src/routing/capability/watermark_query.{h,cc}` 新增或重写 `WatermarkQueryResolver`，把“动态拓扑水位路径规避”落实为 L2 KVConnector层 可调用主路径：本需求要求 Connector 将节点内的容量水位提示（Watermark Hints）整合进路径质量探测流中。 输入必须显式消费 topology + device capability + queue telemetry，输出 ranked path set + health state + cost，不得用全局单例或隐藏同步 I/O 绕开预算与状态机。</x:v>
      </x:c>
      <x:c r="I164" s="33" t="str">
        <x:v>同机架内本地及远端DDR命中率（Local Usable Hit Rate）提升≥30%。</x:v>
      </x:c>
      <x:c r="J164" s="33" t="str">
        <x:v>src/routing/capability/watermark_query.{h,cc}</x:v>
      </x:c>
      <x:c r="K164" s="33" t="str">
        <x:v>L2 KVConnector层 / Connector开发</x:v>
      </x:c>
      <x:c r="L164" s="33" t="str">
        <x:v>L2-CONN-WatermarkQuery-032</x:v>
      </x:c>
    </x:row>
    <x:row r="165" ht="76" customHeight="1">
      <x:c r="A165" s="33" t="str">
        <x:v>SF-01/IR-01-05/SR-01-05-02/AR-L2-CONN-WatermarkQuery-032-02</x:v>
      </x:c>
      <x:c r="B165" s="33" t="n">
        <x:v>4</x:v>
      </x:c>
      <x:c r="C165" s="34" t="str">
        <x:v>AR</x:v>
      </x:c>
      <x:c r="D165" s="34" t="str">
        <x:v>AR-L2-CONN-WatermarkQuery-032-02</x:v>
      </x:c>
      <x:c r="E165" s="34" t="str">
        <x:v>SR-01-05-02</x:v>
      </x:c>
      <x:c r="F165" s="34" t="str">
        <x:v>            ├─ AR-L2-CONN-WatermarkQuery-032-02 契约配置与降级</x:v>
      </x:c>
      <x:c r="G165" s="34" t="str">
        <x:v>契约配置与降级</x:v>
      </x:c>
      <x:c r="H165" s="33" t="str">
        <x:v>为 `WatermarkQueryOptions` 增加 `kvcache.watermark_query.enabled`、deadline/容量/队列预算及版本字段；在调用点接入 typed error、decision_reason、fallback_reason，确保配置热更新、灰度关闭和向后兼容均可审计。</x:v>
      </x:c>
      <x:c r="I165" s="33" t="str">
        <x:v>同机架内本地及远端DDR命中率（Local Usable Hit Rate）提升≥30%。</x:v>
      </x:c>
      <x:c r="J165" s="33" t="str">
        <x:v>api/kvcache/v1/watermark_query.proto + config/runtime/watermark_query.yaml</x:v>
      </x:c>
      <x:c r="K165" s="33" t="str">
        <x:v>L2 KVConnector层 / Connector开发</x:v>
      </x:c>
      <x:c r="L165" s="33" t="str">
        <x:v>L2-CONN-WatermarkQuery-032</x:v>
      </x:c>
    </x:row>
    <x:row r="166" ht="76" customHeight="1">
      <x:c r="A166" s="33" t="str">
        <x:v>SF-01/IR-01-05/SR-01-05-02/AR-L2-CONN-WatermarkQuery-032-03</x:v>
      </x:c>
      <x:c r="B166" s="33" t="n">
        <x:v>4</x:v>
      </x:c>
      <x:c r="C166" s="34" t="str">
        <x:v>AR</x:v>
      </x:c>
      <x:c r="D166" s="34" t="str">
        <x:v>AR-L2-CONN-WatermarkQuery-032-03</x:v>
      </x:c>
      <x:c r="E166" s="34" t="str">
        <x:v>SR-01-05-02</x:v>
      </x:c>
      <x:c r="F166" s="34" t="str">
        <x:v>            └─ AR-L2-CONN-WatermarkQuery-032-03 验证与观测</x:v>
      </x:c>
      <x:c r="G166" s="34" t="str">
        <x:v>验证与观测</x:v>
      </x:c>
      <x:c r="H166" s="33" t="str">
        <x:v>新增正常、边界、并发、超时、stale metadata、迁移冲突、路径拥塞/故障与 feature-flag-off 用例；在 benchmark 中固定模型、tokenizer、prompt、并发、拓扑和 baseline，采集 lookup/load/attach、TTFT、TPOT、usable/abandoned hit、带宽/时延及 CPU/NPU 利用率。</x:v>
      </x:c>
      <x:c r="I166" s="33" t="str">
        <x:v>同机架内本地及远端DDR命中率（Local Usable Hit Rate）提升≥30%。</x:v>
      </x:c>
      <x:c r="J166" s="33" t="str">
        <x:v>tests/routing/capability/watermark_query_test.cc + benchmarks/routing/capability/watermark_query_benchmark.cc</x:v>
      </x:c>
      <x:c r="K166" s="33" t="str">
        <x:v>L2 KVConnector层 / Connector开发</x:v>
      </x:c>
      <x:c r="L166" s="33" t="str">
        <x:v>L2-CONN-WatermarkQuery-032</x:v>
      </x:c>
    </x:row>
    <x:row r="167" ht="76" customHeight="1">
      <x:c r="A167" s="29" t="str">
        <x:v>SF-01/IR-01-06</x:v>
      </x:c>
      <x:c r="B167" s="29" t="n">
        <x:v>2</x:v>
      </x:c>
      <x:c r="C167" s="30" t="str">
        <x:v>IR</x:v>
      </x:c>
      <x:c r="D167" s="30" t="str">
        <x:v>IR-01-06</x:v>
      </x:c>
      <x:c r="E167" s="30" t="str">
        <x:v>SF-01</x:v>
      </x:c>
      <x:c r="F167" s="30" t="str">
        <x:v>    ├─ IR-01-06 支持跨节点HBM/DDR零拷贝的RDMA高速KV传输</x:v>
      </x:c>
      <x:c r="G167" s="30" t="str">
        <x:v>支持跨节点HBM/DDR零拷贝的RDMA高速KV传输</x:v>
      </x:c>
      <x:c r="H167" s="29" t="str">
        <x:v>系统应在硬件支持时提供跨节点 HBM↔HBM、HBM↔DDR 和 DDR↔DDR 的 RDMA 零拷贝传输能力，使 KV Payload 直接在注册内存区域之间移动，不经过 CPU 缓存或额外 Host staging；同时提供注册区域生命周期、远端句柄、批量提交、流控、完成和错误结果，降低跨节点加载时延与 CPU 占用。
技术锚点：rdma-core/libibverbs + RegisteredPool + GPUDirect/NPU Direct RDMA</x:v>
      </x:c>
      <x:c r="I167" s="29" t="str">
        <x:v>端到端传输时延降低≥40%；有效带宽≥链路线速80%；CPU payload copy=0；CPU提交开销&lt;50 μs。</x:v>
      </x:c>
      <x:c r="J167" s="29" t="str"/>
      <x:c r="K167" s="29" t="str">
        <x:v>TM4</x:v>
      </x:c>
      <x:c r="L167" s="29" t="str">
        <x:v>V2.1修订定义</x:v>
      </x:c>
    </x:row>
    <x:row r="168" ht="76" customHeight="1">
      <x:c r="A168" s="31" t="str">
        <x:v>SF-01/IR-01-06/SR-01-06-01</x:v>
      </x:c>
      <x:c r="B168" s="31" t="n">
        <x:v>3</x:v>
      </x:c>
      <x:c r="C168" s="32" t="str">
        <x:v>SR</x:v>
      </x:c>
      <x:c r="D168" s="32" t="str">
        <x:v>SR-01-06-01</x:v>
      </x:c>
      <x:c r="E168" s="32" t="str">
        <x:v>IR-01-06</x:v>
      </x:c>
      <x:c r="F168" s="32" t="str">
        <x:v>        ├─ SR-01-06-01 高频 KV 传输注册内存池化</x:v>
      </x:c>
      <x:c r="G168" s="32" t="str">
        <x:v>高频 KV 传输注册内存池化｜L4-OL-RegisteredPool-053</x:v>
      </x:c>
      <x:c r="H168" s="31" t="str">
        <x:v>系统重构：本需求要求底层传输层建立长生命周期 registered memory pool：HBM、DDR、UB region 应预注册为大块可复用区域，通过 offset suballocation 供 RDMA/GDR/NIXL/Mooncake 使用，避免每次 KV block 传输临时注册。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x:v>
      </x:c>
      <x:c r="I168" s="31" t="str">
        <x:v>建立前置硬件能力矩阵和注册内存池机制，确保 KV block layout 不被碎片化，并能进行有效的硬件边界隔离。</x:v>
      </x:c>
      <x:c r="J168" s="31" t="str"/>
      <x:c r="K168" s="31" t="str">
        <x:v>L4 底层传输层 / RDMA与零拷贝传输</x:v>
      </x:c>
      <x:c r="L168" s="31" t="str">
        <x:v>L4-OL-RegisteredPool-053</x:v>
      </x:c>
    </x:row>
    <x:row r="169" ht="76" customHeight="1">
      <x:c r="A169" s="33" t="str">
        <x:v>SF-01/IR-01-06/SR-01-06-01/AR-L4-OL-RegisteredPool-053-01</x:v>
      </x:c>
      <x:c r="B169" s="33" t="n">
        <x:v>4</x:v>
      </x:c>
      <x:c r="C169" s="34" t="str">
        <x:v>AR</x:v>
      </x:c>
      <x:c r="D169" s="34" t="str">
        <x:v>AR-L4-OL-RegisteredPool-053-01</x:v>
      </x:c>
      <x:c r="E169" s="34" t="str">
        <x:v>SR-01-06-01</x:v>
      </x:c>
      <x:c r="F169" s="34" t="str">
        <x:v>            ├─ AR-L4-OL-RegisteredPool-053-01 核心实现</x:v>
      </x:c>
      <x:c r="G169" s="34" t="str">
        <x:v>核心实现</x:v>
      </x:c>
      <x:c r="H169" s="33" t="str">
        <x:v>在 `src/backends/rdma/registered_pool.{h,cc}` 新增或重写 `RegisteredPoolBackend`，把“高频 KV 传输注册内存池化”落实为 L4 底层传输层 可调用主路径：本需求要求底层传输层建立长生命周期 registered memory pool：HBM、DDR、UB region 应预注册为大块可复用区域，通过 offset suballocation 供 RDMA/GDR/NIXL/Mooncake 使用，避免每次 KV block 传输临时注册。 输入必须显式消费 registered extent + remote handle + descriptor，输出 RDMA ticket + CQ completion + hardware error，不得用全局单例或隐藏同步 I/O 绕开预算与状态机。</x:v>
      </x:c>
      <x:c r="I169" s="33" t="str">
        <x:v>建立前置硬件能力矩阵和注册内存池机制，确保 KV block layout 不被碎片化，并能进行有效的硬件边界隔离。</x:v>
      </x:c>
      <x:c r="J169" s="33" t="str">
        <x:v>src/backends/rdma/registered_pool.{h,cc}</x:v>
      </x:c>
      <x:c r="K169" s="33" t="str">
        <x:v>L4 底层传输层 / 驱动/硬件协同开发</x:v>
      </x:c>
      <x:c r="L169" s="33" t="str">
        <x:v>L4-OL-RegisteredPool-053</x:v>
      </x:c>
    </x:row>
    <x:row r="170" ht="76" customHeight="1">
      <x:c r="A170" s="33" t="str">
        <x:v>SF-01/IR-01-06/SR-01-06-01/AR-L4-OL-RegisteredPool-053-02</x:v>
      </x:c>
      <x:c r="B170" s="33" t="n">
        <x:v>4</x:v>
      </x:c>
      <x:c r="C170" s="34" t="str">
        <x:v>AR</x:v>
      </x:c>
      <x:c r="D170" s="34" t="str">
        <x:v>AR-L4-OL-RegisteredPool-053-02</x:v>
      </x:c>
      <x:c r="E170" s="34" t="str">
        <x:v>SR-01-06-01</x:v>
      </x:c>
      <x:c r="F170" s="34" t="str">
        <x:v>            ├─ AR-L4-OL-RegisteredPool-053-02 契约配置与降级</x:v>
      </x:c>
      <x:c r="G170" s="34" t="str">
        <x:v>契约配置与降级</x:v>
      </x:c>
      <x:c r="H170" s="33" t="str">
        <x:v>增加编译开关 `KVCACHE_ENABLE_REGISTERED_POOL`、运行时开关 `kvcache.registered_pool.enabled` 与 BackendRegistry 注册项；冻结 capability、descriptor、completion/fence、error mapping 与 per-path telemetry 字段，并实现“主路径→备路径→重算/冷路径”的有界 fallback。</x:v>
      </x:c>
      <x:c r="I170" s="33" t="str">
        <x:v>建立前置硬件能力矩阵和注册内存池机制，确保 KV block layout 不被碎片化，并能进行有效的硬件边界隔离。</x:v>
      </x:c>
      <x:c r="J170" s="33" t="str">
        <x:v>cmake/KVCacheBackends.cmake + config/backends/registered_pool.yaml + src/backends/backend_registry.cc</x:v>
      </x:c>
      <x:c r="K170" s="33" t="str">
        <x:v>L4 底层传输层 / 驱动/硬件协同开发</x:v>
      </x:c>
      <x:c r="L170" s="33" t="str">
        <x:v>L4-OL-RegisteredPool-053</x:v>
      </x:c>
    </x:row>
    <x:row r="171" ht="76" customHeight="1">
      <x:c r="A171" s="33" t="str">
        <x:v>SF-01/IR-01-06/SR-01-06-01/AR-L4-OL-RegisteredPool-053-03</x:v>
      </x:c>
      <x:c r="B171" s="33" t="n">
        <x:v>4</x:v>
      </x:c>
      <x:c r="C171" s="34" t="str">
        <x:v>AR</x:v>
      </x:c>
      <x:c r="D171" s="34" t="str">
        <x:v>AR-L4-OL-RegisteredPool-053-03</x:v>
      </x:c>
      <x:c r="E171" s="34" t="str">
        <x:v>SR-01-06-01</x:v>
      </x:c>
      <x:c r="F171" s="34" t="str">
        <x:v>            └─ AR-L4-OL-RegisteredPool-053-03 验证与观测</x:v>
      </x:c>
      <x:c r="G171" s="34" t="str">
        <x:v>验证与观测</x:v>
      </x:c>
      <x:c r="H171" s="33" t="str">
        <x:v>新增正常、边界、并发、超时、stale metadata、迁移冲突、路径拥塞/故障与 feature-flag-off 用例；在 benchmark 中固定模型、tokenizer、prompt、并发、拓扑和 baseline，采集 lookup/load/attach、TTFT、TPOT、usable/abandoned hit、带宽/时延及 CPU/NPU 利用率。</x:v>
      </x:c>
      <x:c r="I171" s="33" t="str">
        <x:v>建立前置硬件能力矩阵和注册内存池机制，确保 KV block layout 不被碎片化，并能进行有效的硬件边界隔离。</x:v>
      </x:c>
      <x:c r="J171" s="33" t="str">
        <x:v>tests/backends/rdma/registered_pool_test.cc + benchmarks/backends/rdma/registered_pool_benchmark.cc</x:v>
      </x:c>
      <x:c r="K171" s="33" t="str">
        <x:v>L4 底层传输层 / 驱动/硬件协同开发</x:v>
      </x:c>
      <x:c r="L171" s="33" t="str">
        <x:v>L4-OL-RegisteredPool-053</x:v>
      </x:c>
    </x:row>
    <x:row r="172" ht="76" customHeight="1">
      <x:c r="A172" s="31" t="str">
        <x:v>SF-01/IR-01-06/SR-01-06-02</x:v>
      </x:c>
      <x:c r="B172" s="31" t="n">
        <x:v>3</x:v>
      </x:c>
      <x:c r="C172" s="32" t="str">
        <x:v>SR</x:v>
      </x:c>
      <x:c r="D172" s="32" t="str">
        <x:v>SR-01-06-02</x:v>
      </x:c>
      <x:c r="E172" s="32" t="str">
        <x:v>IR-01-06</x:v>
      </x:c>
      <x:c r="F172" s="32" t="str">
        <x:v>        ├─ SR-01-06-02 远端 KV 副本安全寻址</x:v>
      </x:c>
      <x:c r="G172" s="32" t="str">
        <x:v>远端 KV 副本安全寻址｜L4-RDMA-RemoteExtentHandle-071</x:v>
      </x:c>
      <x:c r="H172" s="31" t="str">
        <x:v>系统重构：本需求要求 RDMA/accelerator-direct RDMA 路径暴露 RemoteExtentHandle，包含 rkey、remote_addr、length、node_id、device_id、registration_epoch、visibility_epoch 和 access permission；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x:v>
      </x:c>
      <x:c r="I172" s="31" t="str">
        <x:v>全局内存利用率提升至≥85%，跨级冷热数据迁移过程中的TPOT抖动 &lt; 5%。</x:v>
      </x:c>
      <x:c r="J172" s="31" t="str"/>
      <x:c r="K172" s="31" t="str">
        <x:v>L4 底层传输层 / RDMA与零拷贝传输</x:v>
      </x:c>
      <x:c r="L172" s="31" t="str">
        <x:v>L4-RDMA-RemoteExtentHandle-071</x:v>
      </x:c>
    </x:row>
    <x:row r="173" ht="76" customHeight="1">
      <x:c r="A173" s="33" t="str">
        <x:v>SF-01/IR-01-06/SR-01-06-02/AR-L4-RDMA-RemoteExtentHandle-071-01</x:v>
      </x:c>
      <x:c r="B173" s="33" t="n">
        <x:v>4</x:v>
      </x:c>
      <x:c r="C173" s="34" t="str">
        <x:v>AR</x:v>
      </x:c>
      <x:c r="D173" s="34" t="str">
        <x:v>AR-L4-RDMA-RemoteExtentHandle-071-01</x:v>
      </x:c>
      <x:c r="E173" s="34" t="str">
        <x:v>SR-01-06-02</x:v>
      </x:c>
      <x:c r="F173" s="34" t="str">
        <x:v>            ├─ AR-L4-RDMA-RemoteExtentHandle-071-01 核心实现</x:v>
      </x:c>
      <x:c r="G173" s="34" t="str">
        <x:v>核心实现</x:v>
      </x:c>
      <x:c r="H173" s="33" t="str">
        <x:v>在 `src/backends/rdma/remote_extent_handle.{h,cc}` 新增或重写 `RemoteExtentHandleBackend`，把“远端 KV 副本安全寻址”落实为 L4 底层传输层 可调用主路径：本需求要求 RDMA/accelerator-direct RDMA 路径暴露 RemoteExtentHandle，包含 rkey、remote_addr、length、node_id、device_id、registration_epoch、visibility_epoch 和 access permission； 输入必须显式消费 registered extent + remote handle + descriptor，输出 RDMA ticket + CQ completion + hardware error，不得用全局单例或隐藏同步 I/O 绕开预算与状态机。</x:v>
      </x:c>
      <x:c r="I173" s="33" t="str">
        <x:v>全局内存利用率提升至≥85%，跨级冷热数据迁移过程中的TPOT抖动 &lt; 5%。</x:v>
      </x:c>
      <x:c r="J173" s="33" t="str">
        <x:v>src/backends/rdma/remote_extent_handle.{h,cc}</x:v>
      </x:c>
      <x:c r="K173" s="33" t="str">
        <x:v>L4 底层传输层 / 驱动/硬件协同开发</x:v>
      </x:c>
      <x:c r="L173" s="33" t="str">
        <x:v>L4-RDMA-RemoteExtentHandle-071</x:v>
      </x:c>
    </x:row>
    <x:row r="174" ht="76" customHeight="1">
      <x:c r="A174" s="33" t="str">
        <x:v>SF-01/IR-01-06/SR-01-06-02/AR-L4-RDMA-RemoteExtentHandle-071-02</x:v>
      </x:c>
      <x:c r="B174" s="33" t="n">
        <x:v>4</x:v>
      </x:c>
      <x:c r="C174" s="34" t="str">
        <x:v>AR</x:v>
      </x:c>
      <x:c r="D174" s="34" t="str">
        <x:v>AR-L4-RDMA-RemoteExtentHandle-071-02</x:v>
      </x:c>
      <x:c r="E174" s="34" t="str">
        <x:v>SR-01-06-02</x:v>
      </x:c>
      <x:c r="F174" s="34" t="str">
        <x:v>            ├─ AR-L4-RDMA-RemoteExtentHandle-071-02 契约配置与降级</x:v>
      </x:c>
      <x:c r="G174" s="34" t="str">
        <x:v>契约配置与降级</x:v>
      </x:c>
      <x:c r="H174" s="33" t="str">
        <x:v>增加编译开关 `KVCACHE_ENABLE_REMOTE_EXTENT_HANDLE`、运行时开关 `kvcache.remote_extent_handle.enabled` 与 BackendRegistry 注册项；冻结 capability、descriptor、completion/fence、error mapping 与 per-path telemetry 字段，并实现“主路径→备路径→重算/冷路径”的有界 fallback。</x:v>
      </x:c>
      <x:c r="I174" s="33" t="str">
        <x:v>全局内存利用率提升至≥85%，跨级冷热数据迁移过程中的TPOT抖动 &lt; 5%。</x:v>
      </x:c>
      <x:c r="J174" s="33" t="str">
        <x:v>cmake/KVCacheBackends.cmake + config/backends/remote_extent_handle.yaml + src/backends/backend_registry.cc</x:v>
      </x:c>
      <x:c r="K174" s="33" t="str">
        <x:v>L4 底层传输层 / 驱动/硬件协同开发</x:v>
      </x:c>
      <x:c r="L174" s="33" t="str">
        <x:v>L4-RDMA-RemoteExtentHandle-071</x:v>
      </x:c>
    </x:row>
    <x:row r="175" ht="76" customHeight="1">
      <x:c r="A175" s="33" t="str">
        <x:v>SF-01/IR-01-06/SR-01-06-02/AR-L4-RDMA-RemoteExtentHandle-071-03</x:v>
      </x:c>
      <x:c r="B175" s="33" t="n">
        <x:v>4</x:v>
      </x:c>
      <x:c r="C175" s="34" t="str">
        <x:v>AR</x:v>
      </x:c>
      <x:c r="D175" s="34" t="str">
        <x:v>AR-L4-RDMA-RemoteExtentHandle-071-03</x:v>
      </x:c>
      <x:c r="E175" s="34" t="str">
        <x:v>SR-01-06-02</x:v>
      </x:c>
      <x:c r="F175" s="34" t="str">
        <x:v>            └─ AR-L4-RDMA-RemoteExtentHandle-071-03 验证与观测</x:v>
      </x:c>
      <x:c r="G175" s="34" t="str">
        <x:v>验证与观测</x:v>
      </x:c>
      <x:c r="H175" s="33" t="str">
        <x:v>新增正常、边界、并发、超时、stale metadata、迁移冲突、路径拥塞/故障与 feature-flag-off 用例；在 benchmark 中固定模型、tokenizer、prompt、并发、拓扑和 baseline，采集 lookup/load/attach、TTFT、TPOT、usable/abandoned hit、带宽/时延及 CPU/NPU 利用率。</x:v>
      </x:c>
      <x:c r="I175" s="33" t="str">
        <x:v>全局内存利用率提升至≥85%，跨级冷热数据迁移过程中的TPOT抖动 &lt; 5%。</x:v>
      </x:c>
      <x:c r="J175" s="33" t="str">
        <x:v>tests/backends/rdma/remote_extent_handle_test.cc + benchmarks/backends/rdma/remote_extent_handle_benchmark.cc</x:v>
      </x:c>
      <x:c r="K175" s="33" t="str">
        <x:v>L4 底层传输层 / 驱动/硬件协同开发</x:v>
      </x:c>
      <x:c r="L175" s="33" t="str">
        <x:v>L4-RDMA-RemoteExtentHandle-071</x:v>
      </x:c>
    </x:row>
    <x:row r="176" ht="76" customHeight="1">
      <x:c r="A176" s="31" t="str">
        <x:v>SF-01/IR-01-06/SR-01-06-03</x:v>
      </x:c>
      <x:c r="B176" s="31" t="n">
        <x:v>3</x:v>
      </x:c>
      <x:c r="C176" s="32" t="str">
        <x:v>SR</x:v>
      </x:c>
      <x:c r="D176" s="32" t="str">
        <x:v>SR-01-06-03</x:v>
      </x:c>
      <x:c r="E176" s="32" t="str">
        <x:v>IR-01-06</x:v>
      </x:c>
      <x:c r="F176" s="32" t="str">
        <x:v>        ├─ SR-01-06-03 跨节点KVCache零拷贝传输</x:v>
      </x:c>
      <x:c r="G176" s="32" t="str">
        <x:v>跨节点KVCache零拷贝传输｜L4-RDMA-P2P-NPU-001</x:v>
      </x:c>
      <x:c r="H176" s="31" t="str">
        <x:v>系统重构：本需求要求集成NVIDIA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x:v>
      </x:c>
      <x:c r="I176" s="31" t="str">
        <x:v>传输端到端延迟降低≥40%，CPU占用率(System Load)下降。</x:v>
      </x:c>
      <x:c r="J176" s="31" t="str"/>
      <x:c r="K176" s="31" t="str">
        <x:v>L4 底层传输层 / RDMA与零拷贝传输</x:v>
      </x:c>
      <x:c r="L176" s="31" t="str">
        <x:v>L4-RDMA-P2P-NPU-001</x:v>
      </x:c>
    </x:row>
    <x:row r="177" ht="76" customHeight="1">
      <x:c r="A177" s="33" t="str">
        <x:v>SF-01/IR-01-06/SR-01-06-03/AR-L4-RDMA-P2P-NPU-001-01</x:v>
      </x:c>
      <x:c r="B177" s="33" t="n">
        <x:v>4</x:v>
      </x:c>
      <x:c r="C177" s="34" t="str">
        <x:v>AR</x:v>
      </x:c>
      <x:c r="D177" s="34" t="str">
        <x:v>AR-L4-RDMA-P2P-NPU-001-01</x:v>
      </x:c>
      <x:c r="E177" s="34" t="str">
        <x:v>SR-01-06-03</x:v>
      </x:c>
      <x:c r="F177" s="34" t="str">
        <x:v>            ├─ AR-L4-RDMA-P2P-NPU-001-01 核心实现</x:v>
      </x:c>
      <x:c r="G177" s="34" t="str">
        <x:v>核心实现</x:v>
      </x:c>
      <x:c r="H177" s="33" t="str">
        <x:v>在 `src/backends/rdma/p2_p_npu.{h,cc}` 新增或重写 `P2PNPUBackend`，把“跨节点KVCache零拷贝传输”落实为 L4 底层传输层 可调用主路径：本需求要求集成NVIDIA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 输入必须显式消费 registered extent + remote handle + descriptor，输出 RDMA ticket + CQ completion + hardware error，不得用全局单例或隐藏同步 I/O 绕开预算与状态机。</x:v>
      </x:c>
      <x:c r="I177" s="33" t="str">
        <x:v>传输端到端延迟降低≥40%，CPU占用率(System Load)下降。</x:v>
      </x:c>
      <x:c r="J177" s="33" t="str">
        <x:v>src/backends/rdma/p2_p_npu.{h,cc}</x:v>
      </x:c>
      <x:c r="K177" s="33" t="str">
        <x:v>L4 底层传输层 / 驱动/硬件协同开发</x:v>
      </x:c>
      <x:c r="L177" s="33" t="str">
        <x:v>L4-RDMA-P2P-NPU-001</x:v>
      </x:c>
    </x:row>
    <x:row r="178" ht="76" customHeight="1">
      <x:c r="A178" s="33" t="str">
        <x:v>SF-01/IR-01-06/SR-01-06-03/AR-L4-RDMA-P2P-NPU-001-02</x:v>
      </x:c>
      <x:c r="B178" s="33" t="n">
        <x:v>4</x:v>
      </x:c>
      <x:c r="C178" s="34" t="str">
        <x:v>AR</x:v>
      </x:c>
      <x:c r="D178" s="34" t="str">
        <x:v>AR-L4-RDMA-P2P-NPU-001-02</x:v>
      </x:c>
      <x:c r="E178" s="34" t="str">
        <x:v>SR-01-06-03</x:v>
      </x:c>
      <x:c r="F178" s="34" t="str">
        <x:v>            ├─ AR-L4-RDMA-P2P-NPU-001-02 契约配置与降级</x:v>
      </x:c>
      <x:c r="G178" s="34" t="str">
        <x:v>契约配置与降级</x:v>
      </x:c>
      <x:c r="H178" s="33" t="str">
        <x:v>增加编译开关 `KVCACHE_ENABLE_P2_P_NPU`、运行时开关 `kvcache.p2_p_npu.enabled` 与 BackendRegistry 注册项；冻结 capability、descriptor、completion/fence、error mapping 与 per-path telemetry 字段，并实现“主路径→备路径→重算/冷路径”的有界 fallback。</x:v>
      </x:c>
      <x:c r="I178" s="33" t="str">
        <x:v>传输端到端延迟降低≥40%，CPU占用率(System Load)下降。</x:v>
      </x:c>
      <x:c r="J178" s="33" t="str">
        <x:v>cmake/KVCacheBackends.cmake + config/backends/p2_p_npu.yaml + src/backends/backend_registry.cc</x:v>
      </x:c>
      <x:c r="K178" s="33" t="str">
        <x:v>L4 底层传输层 / 驱动/硬件协同开发</x:v>
      </x:c>
      <x:c r="L178" s="33" t="str">
        <x:v>L4-RDMA-P2P-NPU-001</x:v>
      </x:c>
    </x:row>
    <x:row r="179" ht="76" customHeight="1">
      <x:c r="A179" s="33" t="str">
        <x:v>SF-01/IR-01-06/SR-01-06-03/AR-L4-RDMA-P2P-NPU-001-03</x:v>
      </x:c>
      <x:c r="B179" s="33" t="n">
        <x:v>4</x:v>
      </x:c>
      <x:c r="C179" s="34" t="str">
        <x:v>AR</x:v>
      </x:c>
      <x:c r="D179" s="34" t="str">
        <x:v>AR-L4-RDMA-P2P-NPU-001-03</x:v>
      </x:c>
      <x:c r="E179" s="34" t="str">
        <x:v>SR-01-06-03</x:v>
      </x:c>
      <x:c r="F179" s="34" t="str">
        <x:v>            └─ AR-L4-RDMA-P2P-NPU-001-03 验证与观测</x:v>
      </x:c>
      <x:c r="G179" s="34" t="str">
        <x:v>验证与观测</x:v>
      </x:c>
      <x:c r="H179" s="33" t="str">
        <x:v>新增正常、边界、并发、超时、stale metadata、迁移冲突、路径拥塞/故障与 feature-flag-off 用例；在 benchmark 中固定模型、tokenizer、prompt、并发、拓扑和 baseline，采集 lookup/load/attach、TTFT、TPOT、usable/abandoned hit、带宽/时延及 CPU/NPU 利用率。</x:v>
      </x:c>
      <x:c r="I179" s="33" t="str">
        <x:v>传输端到端延迟降低≥40%，CPU占用率(System Load)下降。</x:v>
      </x:c>
      <x:c r="J179" s="33" t="str">
        <x:v>tests/backends/rdma/p2_p_npu_test.cc + benchmarks/backends/rdma/p2_p_npu_benchmark.cc</x:v>
      </x:c>
      <x:c r="K179" s="33" t="str">
        <x:v>L4 底层传输层 / 驱动/硬件协同开发</x:v>
      </x:c>
      <x:c r="L179" s="33" t="str">
        <x:v>L4-RDMA-P2P-NPU-001</x:v>
      </x:c>
    </x:row>
    <x:row r="180" ht="76" customHeight="1">
      <x:c r="A180" s="31" t="str">
        <x:v>SF-01/IR-01-06/SR-01-06-04</x:v>
      </x:c>
      <x:c r="B180" s="31" t="n">
        <x:v>3</x:v>
      </x:c>
      <x:c r="C180" s="32" t="str">
        <x:v>SR</x:v>
      </x:c>
      <x:c r="D180" s="32" t="str">
        <x:v>SR-01-06-04</x:v>
      </x:c>
      <x:c r="E180" s="32" t="str">
        <x:v>IR-01-06</x:v>
      </x:c>
      <x:c r="F180" s="32" t="str">
        <x:v>        ├─ SR-01-06-04 共享前缀KVCache批量广播</x:v>
      </x:c>
      <x:c r="G180" s="32" t="str">
        <x:v>共享前缀KVCache批量广播｜L4-RDMA-MUL-FABRIC-002</x:v>
      </x:c>
      <x:c r="H180" s="31" t="str">
        <x:v>系统重构：本需求要求实现KVCache的RDMA层1→N广播传输封装，使发送端带宽消耗O(1)（与接收方数量无关）。 技术路径：详细设计应固定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x:v>
      </x:c>
      <x:c r="I180" s="31" t="str">
        <x:v>探索直接视图(direct view)、硬件多播及硬件原子页迁移等远期能力，避免 TPOT 被直接视图意外拖慢，不强求 &lt;500ns 等极端指标。</x:v>
      </x:c>
      <x:c r="J180" s="31" t="str"/>
      <x:c r="K180" s="31" t="str">
        <x:v>L4 底层传输层 / RDMA与零拷贝传输</x:v>
      </x:c>
      <x:c r="L180" s="31" t="str">
        <x:v>L4-RDMA-MUL-FABRIC-002</x:v>
      </x:c>
    </x:row>
    <x:row r="181" ht="76" customHeight="1">
      <x:c r="A181" s="33" t="str">
        <x:v>SF-01/IR-01-06/SR-01-06-04/AR-L4-RDMA-MUL-FABRIC-002-01</x:v>
      </x:c>
      <x:c r="B181" s="33" t="n">
        <x:v>4</x:v>
      </x:c>
      <x:c r="C181" s="34" t="str">
        <x:v>AR</x:v>
      </x:c>
      <x:c r="D181" s="34" t="str">
        <x:v>AR-L4-RDMA-MUL-FABRIC-002-01</x:v>
      </x:c>
      <x:c r="E181" s="34" t="str">
        <x:v>SR-01-06-04</x:v>
      </x:c>
      <x:c r="F181" s="34" t="str">
        <x:v>            ├─ AR-L4-RDMA-MUL-FABRIC-002-01 核心实现</x:v>
      </x:c>
      <x:c r="G181" s="34" t="str">
        <x:v>核心实现</x:v>
      </x:c>
      <x:c r="H181" s="33" t="str">
        <x:v>在 `src/backends/rdma/mul_fabric.{h,cc}` 新增或重写 `MULFABRICBackend`，把“共享前缀KVCache批量广播”落实为 L4 底层传输层 可调用主路径：本需求要求实现KVCache的RDMA层1→N广播传输封装，使发送端带宽消耗O(1)（与接收方数量无关）。 输入必须显式消费 registered extent + remote handle + descriptor，输出 RDMA ticket + CQ completion + hardware error，不得用全局单例或隐藏同步 I/O 绕开预算与状态机。</x:v>
      </x:c>
      <x:c r="I181" s="33" t="str">
        <x:v>探索直接视图(direct view)、硬件多播及硬件原子页迁移等远期能力，避免 TPOT 被直接视图意外拖慢，不强求 &lt;500ns 等极端指标。</x:v>
      </x:c>
      <x:c r="J181" s="33" t="str">
        <x:v>src/backends/rdma/mul_fabric.{h,cc}</x:v>
      </x:c>
      <x:c r="K181" s="33" t="str">
        <x:v>L4 底层传输层 / 驱动/硬件协同开发</x:v>
      </x:c>
      <x:c r="L181" s="33" t="str">
        <x:v>L4-RDMA-MUL-FABRIC-002</x:v>
      </x:c>
    </x:row>
    <x:row r="182" ht="76" customHeight="1">
      <x:c r="A182" s="33" t="str">
        <x:v>SF-01/IR-01-06/SR-01-06-04/AR-L4-RDMA-MUL-FABRIC-002-02</x:v>
      </x:c>
      <x:c r="B182" s="33" t="n">
        <x:v>4</x:v>
      </x:c>
      <x:c r="C182" s="34" t="str">
        <x:v>AR</x:v>
      </x:c>
      <x:c r="D182" s="34" t="str">
        <x:v>AR-L4-RDMA-MUL-FABRIC-002-02</x:v>
      </x:c>
      <x:c r="E182" s="34" t="str">
        <x:v>SR-01-06-04</x:v>
      </x:c>
      <x:c r="F182" s="34" t="str">
        <x:v>            ├─ AR-L4-RDMA-MUL-FABRIC-002-02 契约配置与降级</x:v>
      </x:c>
      <x:c r="G182" s="34" t="str">
        <x:v>契约配置与降级</x:v>
      </x:c>
      <x:c r="H182" s="33" t="str">
        <x:v>增加编译开关 `KVCACHE_ENABLE_MUL_FABRIC`、运行时开关 `kvcache.mul_fabric.enabled` 与 BackendRegistry 注册项；冻结 capability、descriptor、completion/fence、error mapping 与 per-path telemetry 字段，并实现“主路径→备路径→重算/冷路径”的有界 fallback。</x:v>
      </x:c>
      <x:c r="I182" s="33" t="str">
        <x:v>探索直接视图(direct view)、硬件多播及硬件原子页迁移等远期能力，避免 TPOT 被直接视图意外拖慢，不强求 &lt;500ns 等极端指标。</x:v>
      </x:c>
      <x:c r="J182" s="33" t="str">
        <x:v>cmake/KVCacheBackends.cmake + config/backends/mul_fabric.yaml + src/backends/backend_registry.cc</x:v>
      </x:c>
      <x:c r="K182" s="33" t="str">
        <x:v>L4 底层传输层 / 驱动/硬件协同开发</x:v>
      </x:c>
      <x:c r="L182" s="33" t="str">
        <x:v>L4-RDMA-MUL-FABRIC-002</x:v>
      </x:c>
    </x:row>
    <x:row r="183" ht="76" customHeight="1">
      <x:c r="A183" s="33" t="str">
        <x:v>SF-01/IR-01-06/SR-01-06-04/AR-L4-RDMA-MUL-FABRIC-002-03</x:v>
      </x:c>
      <x:c r="B183" s="33" t="n">
        <x:v>4</x:v>
      </x:c>
      <x:c r="C183" s="34" t="str">
        <x:v>AR</x:v>
      </x:c>
      <x:c r="D183" s="34" t="str">
        <x:v>AR-L4-RDMA-MUL-FABRIC-002-03</x:v>
      </x:c>
      <x:c r="E183" s="34" t="str">
        <x:v>SR-01-06-04</x:v>
      </x:c>
      <x:c r="F183" s="34" t="str">
        <x:v>            └─ AR-L4-RDMA-MUL-FABRIC-002-03 验证与观测</x:v>
      </x:c>
      <x:c r="G183" s="34" t="str">
        <x:v>验证与观测</x:v>
      </x:c>
      <x:c r="H183" s="33" t="str">
        <x:v>新增正常、边界、并发、超时、stale metadata、迁移冲突、路径拥塞/故障与 feature-flag-off 用例；在 benchmark 中固定模型、tokenizer、prompt、并发、拓扑和 baseline，采集 lookup/load/attach、TTFT、TPOT、usable/abandoned hit、带宽/时延及 CPU/NPU 利用率。</x:v>
      </x:c>
      <x:c r="I183" s="33" t="str">
        <x:v>探索直接视图(direct view)、硬件多播及硬件原子页迁移等远期能力，避免 TPOT 被直接视图意外拖慢，不强求 &lt;500ns 等极端指标。</x:v>
      </x:c>
      <x:c r="J183" s="33" t="str">
        <x:v>tests/backends/rdma/mul_fabric_test.cc + benchmarks/backends/rdma/mul_fabric_benchmark.cc</x:v>
      </x:c>
      <x:c r="K183" s="33" t="str">
        <x:v>L4 底层传输层 / 驱动/硬件协同开发</x:v>
      </x:c>
      <x:c r="L183" s="33" t="str">
        <x:v>L4-RDMA-MUL-FABRIC-002</x:v>
      </x:c>
    </x:row>
    <x:row r="184" ht="76" customHeight="1">
      <x:c r="A184" s="29" t="str">
        <x:v>SF-01/IR-01-07</x:v>
      </x:c>
      <x:c r="B184" s="29" t="n">
        <x:v>2</x:v>
      </x:c>
      <x:c r="C184" s="30" t="str">
        <x:v>IR</x:v>
      </x:c>
      <x:c r="D184" s="30" t="str">
        <x:v>IR-01-07</x:v>
      </x:c>
      <x:c r="E184" s="30" t="str">
        <x:v>SF-01</x:v>
      </x:c>
      <x:c r="F184" s="30" t="str">
        <x:v>    ├─ IR-01-07 支持UBMEM/C2C内存语义的KV直接访问、回填与View保护</x:v>
      </x:c>
      <x:c r="G184" s="30" t="str">
        <x:v>支持UBMEM/C2C内存语义的KV直接访问、回填与View保护</x:v>
      </x:c>
      <x:c r="H184" s="29" t="str">
        <x:v>系统应在 UBMEM、URMA 或 C2C 具备合格能力的平台上，让热元数据和满足条件的 KV span 通过统一地址或 memory view 被直接访问，并能根据访问跨度、复用次数和 Decode stall 风险在 direct view 与 copy-to-HBM 之间选择。任何 view 都必须具备租约、可见性、撤销和回填语义，确保扩展有效容量时不以 TPOT 退化或悬空访问为代价。
技术锚点：UBMEM/URMA + C2C Unified VA + mmap/madvise + DirectViewGuard</x:v>
      </x:c>
      <x:c r="I184" s="29" t="str">
        <x:v>direct-view TPOT p99回退&lt;3%；Host Payload touch=0；stale view fault=0；HBM+C2C有效容量提升≥20%。</x:v>
      </x:c>
      <x:c r="J184" s="29" t="str"/>
      <x:c r="K184" s="29" t="str">
        <x:v>TM3/TM4</x:v>
      </x:c>
      <x:c r="L184" s="29" t="str">
        <x:v>V2.1修订定义</x:v>
      </x:c>
    </x:row>
    <x:row r="185" ht="76" customHeight="1">
      <x:c r="A185" s="31" t="str">
        <x:v>SF-01/IR-01-07/SR-01-07-01</x:v>
      </x:c>
      <x:c r="B185" s="31" t="n">
        <x:v>3</x:v>
      </x:c>
      <x:c r="C185" s="32" t="str">
        <x:v>SR</x:v>
      </x:c>
      <x:c r="D185" s="32" t="str">
        <x:v>SR-01-07-01</x:v>
      </x:c>
      <x:c r="E185" s="32" t="str">
        <x:v>IR-01-07</x:v>
      </x:c>
      <x:c r="F185" s="32" t="str">
        <x:v>        ├─ SR-01-07-01 近端/远端 memory view 安全消费</x:v>
      </x:c>
      <x:c r="G185" s="32" t="str">
        <x:v>近端/远端 memory view 安全消费｜L4-UB-DirectViewGuard-072</x:v>
      </x:c>
      <x:c r="H185" s="31" t="str">
        <x:v>系统重构：本需求要求 UB/C2C direct view 路径提供 view guard，支持 read-only mapping、lease-bound mapping、revocation、fault report 和 remote access counter；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x:v>
      </x:c>
      <x:c r="I185" s="31" t="str">
        <x:v>高拥塞背景下，KVCache关键小包的P99延迟不随大流数据量线性增加。</x:v>
      </x:c>
      <x:c r="J185" s="31" t="str"/>
      <x:c r="K185" s="31" t="str">
        <x:v>L4 底层传输层 / 统一内存与内存语义访问</x:v>
      </x:c>
      <x:c r="L185" s="31" t="str">
        <x:v>L4-UB-DirectViewGuard-072</x:v>
      </x:c>
    </x:row>
    <x:row r="186" ht="76" customHeight="1">
      <x:c r="A186" s="33" t="str">
        <x:v>SF-01/IR-01-07/SR-01-07-01/AR-L4-UB-DirectViewGuard-072-01</x:v>
      </x:c>
      <x:c r="B186" s="33" t="n">
        <x:v>4</x:v>
      </x:c>
      <x:c r="C186" s="34" t="str">
        <x:v>AR</x:v>
      </x:c>
      <x:c r="D186" s="34" t="str">
        <x:v>AR-L4-UB-DirectViewGuard-072-01</x:v>
      </x:c>
      <x:c r="E186" s="34" t="str">
        <x:v>SR-01-07-01</x:v>
      </x:c>
      <x:c r="F186" s="34" t="str">
        <x:v>            ├─ AR-L4-UB-DirectViewGuard-072-01 核心实现</x:v>
      </x:c>
      <x:c r="G186" s="34" t="str">
        <x:v>核心实现</x:v>
      </x:c>
      <x:c r="H186" s="33" t="str">
        <x:v>在 `src/backends/ubmem/direct_view_guard.{h,cc}` 新增或重写 `DirectViewGuardProvider`，把“近端/远端 memory view 安全消费”落实为 L4 底层传输层 可调用主路径：本需求要求 UB/C2C direct view 路径提供 view guard，支持 read-only mapping、lease-bound mapping、revocation、fault report 和 remote access counter； 输入必须显式消费 memory region + access mode hint + lease，输出 ViewHandle/CopyPlan + visibility evidence，不得用全局单例或隐藏同步 I/O 绕开预算与状态机。</x:v>
      </x:c>
      <x:c r="I186" s="33" t="str">
        <x:v>高拥塞背景下，KVCache关键小包的P99延迟不随大流数据量线性增加。</x:v>
      </x:c>
      <x:c r="J186" s="33" t="str">
        <x:v>src/backends/ubmem/direct_view_guard.{h,cc}</x:v>
      </x:c>
      <x:c r="K186" s="33" t="str">
        <x:v>L4 底层传输层 / 驱动/硬件协同开发</x:v>
      </x:c>
      <x:c r="L186" s="33" t="str">
        <x:v>L4-UB-DirectViewGuard-072</x:v>
      </x:c>
    </x:row>
    <x:row r="187" ht="76" customHeight="1">
      <x:c r="A187" s="33" t="str">
        <x:v>SF-01/IR-01-07/SR-01-07-01/AR-L4-UB-DirectViewGuard-072-02</x:v>
      </x:c>
      <x:c r="B187" s="33" t="n">
        <x:v>4</x:v>
      </x:c>
      <x:c r="C187" s="34" t="str">
        <x:v>AR</x:v>
      </x:c>
      <x:c r="D187" s="34" t="str">
        <x:v>AR-L4-UB-DirectViewGuard-072-02</x:v>
      </x:c>
      <x:c r="E187" s="34" t="str">
        <x:v>SR-01-07-01</x:v>
      </x:c>
      <x:c r="F187" s="34" t="str">
        <x:v>            ├─ AR-L4-UB-DirectViewGuard-072-02 契约配置与降级</x:v>
      </x:c>
      <x:c r="G187" s="34" t="str">
        <x:v>契约配置与降级</x:v>
      </x:c>
      <x:c r="H187" s="33" t="str">
        <x:v>增加编译开关 `KVCACHE_ENABLE_DIRECT_VIEW_GUARD`、运行时开关 `kvcache.direct_view_guard.enabled` 与 BackendRegistry 注册项；冻结 capability、descriptor、completion/fence、error mapping 与 per-path telemetry 字段，并实现“主路径→备路径→重算/冷路径”的有界 fallback。</x:v>
      </x:c>
      <x:c r="I187" s="33" t="str">
        <x:v>高拥塞背景下，KVCache关键小包的P99延迟不随大流数据量线性增加。</x:v>
      </x:c>
      <x:c r="J187" s="33" t="str">
        <x:v>cmake/KVCacheBackends.cmake + config/backends/direct_view_guard.yaml + src/backends/backend_registry.cc</x:v>
      </x:c>
      <x:c r="K187" s="33" t="str">
        <x:v>L4 底层传输层 / 驱动/硬件协同开发</x:v>
      </x:c>
      <x:c r="L187" s="33" t="str">
        <x:v>L4-UB-DirectViewGuard-072</x:v>
      </x:c>
    </x:row>
    <x:row r="188" ht="76" customHeight="1">
      <x:c r="A188" s="33" t="str">
        <x:v>SF-01/IR-01-07/SR-01-07-01/AR-L4-UB-DirectViewGuard-072-03</x:v>
      </x:c>
      <x:c r="B188" s="33" t="n">
        <x:v>4</x:v>
      </x:c>
      <x:c r="C188" s="34" t="str">
        <x:v>AR</x:v>
      </x:c>
      <x:c r="D188" s="34" t="str">
        <x:v>AR-L4-UB-DirectViewGuard-072-03</x:v>
      </x:c>
      <x:c r="E188" s="34" t="str">
        <x:v>SR-01-07-01</x:v>
      </x:c>
      <x:c r="F188" s="34" t="str">
        <x:v>            └─ AR-L4-UB-DirectViewGuard-072-03 验证与观测</x:v>
      </x:c>
      <x:c r="G188" s="34" t="str">
        <x:v>验证与观测</x:v>
      </x:c>
      <x:c r="H188" s="33" t="str">
        <x:v>新增正常、边界、并发、超时、stale metadata、迁移冲突、路径拥塞/故障与 feature-flag-off 用例；在 benchmark 中固定模型、tokenizer、prompt、并发、拓扑和 baseline，采集 lookup/load/attach、TTFT、TPOT、usable/abandoned hit、带宽/时延及 CPU/NPU 利用率。</x:v>
      </x:c>
      <x:c r="I188" s="33" t="str">
        <x:v>高拥塞背景下，KVCache关键小包的P99延迟不随大流数据量线性增加。</x:v>
      </x:c>
      <x:c r="J188" s="33" t="str">
        <x:v>tests/backends/ubmem/direct_view_guard_test.cc + benchmarks/backends/ubmem/direct_view_guard_benchmark.cc</x:v>
      </x:c>
      <x:c r="K188" s="33" t="str">
        <x:v>L4 底层传输层 / 驱动/硬件协同开发</x:v>
      </x:c>
      <x:c r="L188" s="33" t="str">
        <x:v>L4-UB-DirectViewGuard-072</x:v>
      </x:c>
    </x:row>
    <x:row r="189" ht="76" customHeight="1">
      <x:c r="A189" s="31" t="str">
        <x:v>SF-01/IR-01-07/SR-01-07-02</x:v>
      </x:c>
      <x:c r="B189" s="31" t="n">
        <x:v>3</x:v>
      </x:c>
      <x:c r="C189" s="32" t="str">
        <x:v>SR</x:v>
      </x:c>
      <x:c r="D189" s="32" t="str">
        <x:v>SR-01-07-02</x:v>
      </x:c>
      <x:c r="E189" s="32" t="str">
        <x:v>IR-01-07</x:v>
      </x:c>
      <x:c r="F189" s="32" t="str">
        <x:v>        ├─ SR-01-07-02 CPU/NPU统一内存池</x:v>
      </x:c>
      <x:c r="G189" s="32" t="str">
        <x:v>CPU/NPU统一内存池｜L4-C2C-UNIFY-POOL-001</x:v>
      </x:c>
      <x:c r="H189" s="31" t="str">
        <x:v>系统重构：本需求要求在Kunpeng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x:v>
      </x:c>
      <x:c r="I189" s="31" t="str">
        <x:v>高拥塞背景下，KVCache关键小包的P99延迟不随大流数据量线性增加。</x:v>
      </x:c>
      <x:c r="J189" s="31" t="str"/>
      <x:c r="K189" s="31" t="str">
        <x:v>L4 底层传输层 / 统一内存与内存语义访问</x:v>
      </x:c>
      <x:c r="L189" s="31" t="str">
        <x:v>L4-C2C-UNIFY-POOL-001</x:v>
      </x:c>
    </x:row>
    <x:row r="190" ht="76" customHeight="1">
      <x:c r="A190" s="33" t="str">
        <x:v>SF-01/IR-01-07/SR-01-07-02/AR-L4-C2C-UNIFY-POOL-001-01</x:v>
      </x:c>
      <x:c r="B190" s="33" t="n">
        <x:v>4</x:v>
      </x:c>
      <x:c r="C190" s="34" t="str">
        <x:v>AR</x:v>
      </x:c>
      <x:c r="D190" s="34" t="str">
        <x:v>AR-L4-C2C-UNIFY-POOL-001-01</x:v>
      </x:c>
      <x:c r="E190" s="34" t="str">
        <x:v>SR-01-07-02</x:v>
      </x:c>
      <x:c r="F190" s="34" t="str">
        <x:v>            ├─ AR-L4-C2C-UNIFY-POOL-001-01 核心实现</x:v>
      </x:c>
      <x:c r="G190" s="34" t="str">
        <x:v>核心实现</x:v>
      </x:c>
      <x:c r="H190" s="33" t="str">
        <x:v>在 `src/backends/ubmem/unify_pool.{h,cc}` 新增或重写 `UNIFYPOOLProvider`，把“CPU/NPU统一内存池”落实为 L4 底层传输层 可调用主路径：本需求要求在Kunpeng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 输入必须显式消费 memory region + access mode hint + lease，输出 ViewHandle/CopyPlan + visibility evidence，不得用全局单例或隐藏同步 I/O 绕开预算与状态机。</x:v>
      </x:c>
      <x:c r="I190" s="33" t="str">
        <x:v>高拥塞背景下，KVCache关键小包的P99延迟不随大流数据量线性增加。</x:v>
      </x:c>
      <x:c r="J190" s="33" t="str">
        <x:v>src/backends/ubmem/unify_pool.{h,cc}</x:v>
      </x:c>
      <x:c r="K190" s="33" t="str">
        <x:v>L4 底层传输层 / 驱动/硬件协同开发</x:v>
      </x:c>
      <x:c r="L190" s="33" t="str">
        <x:v>L4-C2C-UNIFY-POOL-001</x:v>
      </x:c>
    </x:row>
    <x:row r="191" ht="76" customHeight="1">
      <x:c r="A191" s="33" t="str">
        <x:v>SF-01/IR-01-07/SR-01-07-02/AR-L4-C2C-UNIFY-POOL-001-02</x:v>
      </x:c>
      <x:c r="B191" s="33" t="n">
        <x:v>4</x:v>
      </x:c>
      <x:c r="C191" s="34" t="str">
        <x:v>AR</x:v>
      </x:c>
      <x:c r="D191" s="34" t="str">
        <x:v>AR-L4-C2C-UNIFY-POOL-001-02</x:v>
      </x:c>
      <x:c r="E191" s="34" t="str">
        <x:v>SR-01-07-02</x:v>
      </x:c>
      <x:c r="F191" s="34" t="str">
        <x:v>            ├─ AR-L4-C2C-UNIFY-POOL-001-02 契约配置与降级</x:v>
      </x:c>
      <x:c r="G191" s="34" t="str">
        <x:v>契约配置与降级</x:v>
      </x:c>
      <x:c r="H191" s="33" t="str">
        <x:v>增加编译开关 `KVCACHE_ENABLE_UNIFY_POOL`、运行时开关 `kvcache.unify_pool.enabled` 与 BackendRegistry 注册项；冻结 capability、descriptor、completion/fence、error mapping 与 per-path telemetry 字段，并实现“主路径→备路径→重算/冷路径”的有界 fallback。</x:v>
      </x:c>
      <x:c r="I191" s="33" t="str">
        <x:v>高拥塞背景下，KVCache关键小包的P99延迟不随大流数据量线性增加。</x:v>
      </x:c>
      <x:c r="J191" s="33" t="str">
        <x:v>cmake/KVCacheBackends.cmake + config/backends/unify_pool.yaml + src/backends/backend_registry.cc</x:v>
      </x:c>
      <x:c r="K191" s="33" t="str">
        <x:v>L4 底层传输层 / 驱动/硬件协同开发</x:v>
      </x:c>
      <x:c r="L191" s="33" t="str">
        <x:v>L4-C2C-UNIFY-POOL-001</x:v>
      </x:c>
    </x:row>
    <x:row r="192" ht="76" customHeight="1">
      <x:c r="A192" s="33" t="str">
        <x:v>SF-01/IR-01-07/SR-01-07-02/AR-L4-C2C-UNIFY-POOL-001-03</x:v>
      </x:c>
      <x:c r="B192" s="33" t="n">
        <x:v>4</x:v>
      </x:c>
      <x:c r="C192" s="34" t="str">
        <x:v>AR</x:v>
      </x:c>
      <x:c r="D192" s="34" t="str">
        <x:v>AR-L4-C2C-UNIFY-POOL-001-03</x:v>
      </x:c>
      <x:c r="E192" s="34" t="str">
        <x:v>SR-01-07-02</x:v>
      </x:c>
      <x:c r="F192" s="34" t="str">
        <x:v>            └─ AR-L4-C2C-UNIFY-POOL-001-03 验证与观测</x:v>
      </x:c>
      <x:c r="G192" s="34" t="str">
        <x:v>验证与观测</x:v>
      </x:c>
      <x:c r="H192" s="33" t="str">
        <x:v>新增正常、边界、并发、超时、stale metadata、迁移冲突、路径拥塞/故障与 feature-flag-off 用例；在 benchmark 中固定模型、tokenizer、prompt、并发、拓扑和 baseline，采集 lookup/load/attach、TTFT、TPOT、usable/abandoned hit、带宽/时延及 CPU/NPU 利用率。</x:v>
      </x:c>
      <x:c r="I192" s="33" t="str">
        <x:v>高拥塞背景下，KVCache关键小包的P99延迟不随大流数据量线性增加。</x:v>
      </x:c>
      <x:c r="J192" s="33" t="str">
        <x:v>tests/backends/ubmem/unify_pool_test.cc + benchmarks/backends/ubmem/unify_pool_benchmark.cc</x:v>
      </x:c>
      <x:c r="K192" s="33" t="str">
        <x:v>L4 底层传输层 / 驱动/硬件协同开发</x:v>
      </x:c>
      <x:c r="L192" s="33" t="str">
        <x:v>L4-C2C-UNIFY-POOL-001</x:v>
      </x:c>
    </x:row>
    <x:row r="193" ht="76" customHeight="1">
      <x:c r="A193" s="31" t="str">
        <x:v>SF-01/IR-01-07/SR-01-07-03</x:v>
      </x:c>
      <x:c r="B193" s="31" t="n">
        <x:v>3</x:v>
      </x:c>
      <x:c r="C193" s="32" t="str">
        <x:v>SR</x:v>
      </x:c>
      <x:c r="D193" s="32" t="str">
        <x:v>SR-01-07-03</x:v>
      </x:c>
      <x:c r="E193" s="32" t="str">
        <x:v>IR-01-07</x:v>
      </x:c>
      <x:c r="F193" s="32" t="str">
        <x:v>        ├─ SR-01-07-03 内存语义零拷贝KV访问</x:v>
      </x:c>
      <x:c r="G193" s="32" t="str">
        <x:v>内存语义零拷贝KV访问｜L4-UB-C2C-UNIFY-002</x:v>
      </x:c>
      <x:c r="H193" s="31" t="str">
        <x:v>系统重构：本需求要求在支持UBLink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x:v>
      </x:c>
      <x:c r="I193" s="31" t="str">
        <x:v>探索直接视图(direct view)、硬件多播及硬件原子页迁移等远期能力，避免 TPOT 被直接视图意外拖慢，不强求 &lt;500ns 等极端指标。</x:v>
      </x:c>
      <x:c r="J193" s="31" t="str"/>
      <x:c r="K193" s="31" t="str">
        <x:v>L4 底层传输层 / 统一内存与内存语义访问</x:v>
      </x:c>
      <x:c r="L193" s="31" t="str">
        <x:v>L4-UB-C2C-UNIFY-002</x:v>
      </x:c>
    </x:row>
    <x:row r="194" ht="76" customHeight="1">
      <x:c r="A194" s="33" t="str">
        <x:v>SF-01/IR-01-07/SR-01-07-03/AR-L4-UB-C2C-UNIFY-002-01</x:v>
      </x:c>
      <x:c r="B194" s="33" t="n">
        <x:v>4</x:v>
      </x:c>
      <x:c r="C194" s="34" t="str">
        <x:v>AR</x:v>
      </x:c>
      <x:c r="D194" s="34" t="str">
        <x:v>AR-L4-UB-C2C-UNIFY-002-01</x:v>
      </x:c>
      <x:c r="E194" s="34" t="str">
        <x:v>SR-01-07-03</x:v>
      </x:c>
      <x:c r="F194" s="34" t="str">
        <x:v>            ├─ AR-L4-UB-C2C-UNIFY-002-01 核心实现</x:v>
      </x:c>
      <x:c r="G194" s="34" t="str">
        <x:v>核心实现</x:v>
      </x:c>
      <x:c r="H194" s="33" t="str">
        <x:v>在 `src/backends/ubmem/c2_c_unify.{h,cc}` 新增或重写 `C2CUNIFYProvider`，把“内存语义零拷贝KV访问”落实为 L4 底层传输层 可调用主路径：本需求要求在支持UBLink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 输入必须显式消费 memory region + access mode hint + lease，输出 ViewHandle/CopyPlan + visibility evidence，不得用全局单例或隐藏同步 I/O 绕开预算与状态机。</x:v>
      </x:c>
      <x:c r="I194" s="33" t="str">
        <x:v>探索直接视图(direct view)、硬件多播及硬件原子页迁移等远期能力，避免 TPOT 被直接视图意外拖慢，不强求 &lt;500ns 等极端指标。</x:v>
      </x:c>
      <x:c r="J194" s="33" t="str">
        <x:v>src/backends/ubmem/c2_c_unify.{h,cc}</x:v>
      </x:c>
      <x:c r="K194" s="33" t="str">
        <x:v>L4 底层传输层 / 驱动/硬件协同开发</x:v>
      </x:c>
      <x:c r="L194" s="33" t="str">
        <x:v>L4-UB-C2C-UNIFY-002</x:v>
      </x:c>
    </x:row>
    <x:row r="195" ht="76" customHeight="1">
      <x:c r="A195" s="33" t="str">
        <x:v>SF-01/IR-01-07/SR-01-07-03/AR-L4-UB-C2C-UNIFY-002-02</x:v>
      </x:c>
      <x:c r="B195" s="33" t="n">
        <x:v>4</x:v>
      </x:c>
      <x:c r="C195" s="34" t="str">
        <x:v>AR</x:v>
      </x:c>
      <x:c r="D195" s="34" t="str">
        <x:v>AR-L4-UB-C2C-UNIFY-002-02</x:v>
      </x:c>
      <x:c r="E195" s="34" t="str">
        <x:v>SR-01-07-03</x:v>
      </x:c>
      <x:c r="F195" s="34" t="str">
        <x:v>            ├─ AR-L4-UB-C2C-UNIFY-002-02 契约配置与降级</x:v>
      </x:c>
      <x:c r="G195" s="34" t="str">
        <x:v>契约配置与降级</x:v>
      </x:c>
      <x:c r="H195" s="33" t="str">
        <x:v>增加编译开关 `KVCACHE_ENABLE_C2_C_UNIFY`、运行时开关 `kvcache.c2_c_unify.enabled` 与 BackendRegistry 注册项；冻结 capability、descriptor、completion/fence、error mapping 与 per-path telemetry 字段，并实现“主路径→备路径→重算/冷路径”的有界 fallback。</x:v>
      </x:c>
      <x:c r="I195" s="33" t="str">
        <x:v>探索直接视图(direct view)、硬件多播及硬件原子页迁移等远期能力，避免 TPOT 被直接视图意外拖慢，不强求 &lt;500ns 等极端指标。</x:v>
      </x:c>
      <x:c r="J195" s="33" t="str">
        <x:v>cmake/KVCacheBackends.cmake + config/backends/c2_c_unify.yaml + src/backends/backend_registry.cc</x:v>
      </x:c>
      <x:c r="K195" s="33" t="str">
        <x:v>L4 底层传输层 / 驱动/硬件协同开发</x:v>
      </x:c>
      <x:c r="L195" s="33" t="str">
        <x:v>L4-UB-C2C-UNIFY-002</x:v>
      </x:c>
    </x:row>
    <x:row r="196" ht="76" customHeight="1">
      <x:c r="A196" s="33" t="str">
        <x:v>SF-01/IR-01-07/SR-01-07-03/AR-L4-UB-C2C-UNIFY-002-03</x:v>
      </x:c>
      <x:c r="B196" s="33" t="n">
        <x:v>4</x:v>
      </x:c>
      <x:c r="C196" s="34" t="str">
        <x:v>AR</x:v>
      </x:c>
      <x:c r="D196" s="34" t="str">
        <x:v>AR-L4-UB-C2C-UNIFY-002-03</x:v>
      </x:c>
      <x:c r="E196" s="34" t="str">
        <x:v>SR-01-07-03</x:v>
      </x:c>
      <x:c r="F196" s="34" t="str">
        <x:v>            └─ AR-L4-UB-C2C-UNIFY-002-03 验证与观测</x:v>
      </x:c>
      <x:c r="G196" s="34" t="str">
        <x:v>验证与观测</x:v>
      </x:c>
      <x:c r="H196" s="33" t="str">
        <x:v>新增正常、边界、并发、超时、stale metadata、迁移冲突、路径拥塞/故障与 feature-flag-off 用例；在 benchmark 中固定模型、tokenizer、prompt、并发、拓扑和 baseline，采集 lookup/load/attach、TTFT、TPOT、usable/abandoned hit、带宽/时延及 CPU/NPU 利用率。</x:v>
      </x:c>
      <x:c r="I196" s="33" t="str">
        <x:v>探索直接视图(direct view)、硬件多播及硬件原子页迁移等远期能力，避免 TPOT 被直接视图意外拖慢，不强求 &lt;500ns 等极端指标。</x:v>
      </x:c>
      <x:c r="J196" s="33" t="str">
        <x:v>tests/backends/ubmem/c2_c_unify_test.cc + benchmarks/backends/ubmem/c2_c_unify_benchmark.cc</x:v>
      </x:c>
      <x:c r="K196" s="33" t="str">
        <x:v>L4 底层传输层 / 驱动/硬件协同开发</x:v>
      </x:c>
      <x:c r="L196" s="33" t="str">
        <x:v>L4-UB-C2C-UNIFY-002</x:v>
      </x:c>
    </x:row>
    <x:row r="197" ht="76" customHeight="1">
      <x:c r="A197" s="31" t="str">
        <x:v>SF-01/IR-01-07/SR-01-07-04</x:v>
      </x:c>
      <x:c r="B197" s="31" t="n">
        <x:v>3</x:v>
      </x:c>
      <x:c r="C197" s="32" t="str">
        <x:v>SR</x:v>
      </x:c>
      <x:c r="D197" s="32" t="str">
        <x:v>SR-01-07-04</x:v>
      </x:c>
      <x:c r="E197" s="32" t="str">
        <x:v>IR-01-07</x:v>
      </x:c>
      <x:c r="F197" s="32" t="str">
        <x:v>        ├─ SR-01-07-04 跨节点内存语义KV访问</x:v>
      </x:c>
      <x:c r="G197" s="32" t="str">
        <x:v>跨节点内存语义KV访问｜L4-UB-P2P-FABRIC-003</x:v>
      </x:c>
      <x:c r="H197" s="31" t="str">
        <x:v>系统重构：本需求要求对接UBFabric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x:v>
      </x:c>
      <x:c r="I197" s="31" t="str">
        <x:v>探索直接视图(direct view)、硬件多播及硬件原子页迁移等远期能力，避免 TPOT 被直接视图意外拖慢，不强求 &lt;500ns 等极端指标。</x:v>
      </x:c>
      <x:c r="J197" s="31" t="str"/>
      <x:c r="K197" s="31" t="str">
        <x:v>L4 底层传输层 / 统一内存与内存语义访问</x:v>
      </x:c>
      <x:c r="L197" s="31" t="str">
        <x:v>L4-UB-P2P-FABRIC-003</x:v>
      </x:c>
    </x:row>
    <x:row r="198" ht="76" customHeight="1">
      <x:c r="A198" s="33" t="str">
        <x:v>SF-01/IR-01-07/SR-01-07-04/AR-L4-UB-P2P-FABRIC-003-01</x:v>
      </x:c>
      <x:c r="B198" s="33" t="n">
        <x:v>4</x:v>
      </x:c>
      <x:c r="C198" s="34" t="str">
        <x:v>AR</x:v>
      </x:c>
      <x:c r="D198" s="34" t="str">
        <x:v>AR-L4-UB-P2P-FABRIC-003-01</x:v>
      </x:c>
      <x:c r="E198" s="34" t="str">
        <x:v>SR-01-07-04</x:v>
      </x:c>
      <x:c r="F198" s="34" t="str">
        <x:v>            ├─ AR-L4-UB-P2P-FABRIC-003-01 核心实现</x:v>
      </x:c>
      <x:c r="G198" s="34" t="str">
        <x:v>核心实现</x:v>
      </x:c>
      <x:c r="H198" s="33" t="str">
        <x:v>在 `src/backends/ubmem/p2_p_fabric.{h,cc}` 新增或重写 `P2PFABRICProvider`，把“跨节点内存语义KV访问”落实为 L4 底层传输层 可调用主路径：本需求要求对接UBFabric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 输入必须显式消费 memory region + access mode hint + lease，输出 ViewHandle/CopyPlan + visibility evidence，不得用全局单例或隐藏同步 I/O 绕开预算与状态机。</x:v>
      </x:c>
      <x:c r="I198" s="33" t="str">
        <x:v>探索直接视图(direct view)、硬件多播及硬件原子页迁移等远期能力，避免 TPOT 被直接视图意外拖慢，不强求 &lt;500ns 等极端指标。</x:v>
      </x:c>
      <x:c r="J198" s="33" t="str">
        <x:v>src/backends/ubmem/p2_p_fabric.{h,cc}</x:v>
      </x:c>
      <x:c r="K198" s="33" t="str">
        <x:v>L4 底层传输层 / 驱动/硬件协同开发</x:v>
      </x:c>
      <x:c r="L198" s="33" t="str">
        <x:v>L4-UB-P2P-FABRIC-003</x:v>
      </x:c>
    </x:row>
    <x:row r="199" ht="76" customHeight="1">
      <x:c r="A199" s="33" t="str">
        <x:v>SF-01/IR-01-07/SR-01-07-04/AR-L4-UB-P2P-FABRIC-003-02</x:v>
      </x:c>
      <x:c r="B199" s="33" t="n">
        <x:v>4</x:v>
      </x:c>
      <x:c r="C199" s="34" t="str">
        <x:v>AR</x:v>
      </x:c>
      <x:c r="D199" s="34" t="str">
        <x:v>AR-L4-UB-P2P-FABRIC-003-02</x:v>
      </x:c>
      <x:c r="E199" s="34" t="str">
        <x:v>SR-01-07-04</x:v>
      </x:c>
      <x:c r="F199" s="34" t="str">
        <x:v>            ├─ AR-L4-UB-P2P-FABRIC-003-02 契约配置与降级</x:v>
      </x:c>
      <x:c r="G199" s="34" t="str">
        <x:v>契约配置与降级</x:v>
      </x:c>
      <x:c r="H199" s="33" t="str">
        <x:v>增加编译开关 `KVCACHE_ENABLE_P2_P_FABRIC`、运行时开关 `kvcache.p2_p_fabric.enabled` 与 BackendRegistry 注册项；冻结 capability、descriptor、completion/fence、error mapping 与 per-path telemetry 字段，并实现“主路径→备路径→重算/冷路径”的有界 fallback。</x:v>
      </x:c>
      <x:c r="I199" s="33" t="str">
        <x:v>探索直接视图(direct view)、硬件多播及硬件原子页迁移等远期能力，避免 TPOT 被直接视图意外拖慢，不强求 &lt;500ns 等极端指标。</x:v>
      </x:c>
      <x:c r="J199" s="33" t="str">
        <x:v>cmake/KVCacheBackends.cmake + config/backends/p2_p_fabric.yaml + src/backends/backend_registry.cc</x:v>
      </x:c>
      <x:c r="K199" s="33" t="str">
        <x:v>L4 底层传输层 / 驱动/硬件协同开发</x:v>
      </x:c>
      <x:c r="L199" s="33" t="str">
        <x:v>L4-UB-P2P-FABRIC-003</x:v>
      </x:c>
    </x:row>
    <x:row r="200" ht="76" customHeight="1">
      <x:c r="A200" s="33" t="str">
        <x:v>SF-01/IR-01-07/SR-01-07-04/AR-L4-UB-P2P-FABRIC-003-03</x:v>
      </x:c>
      <x:c r="B200" s="33" t="n">
        <x:v>4</x:v>
      </x:c>
      <x:c r="C200" s="34" t="str">
        <x:v>AR</x:v>
      </x:c>
      <x:c r="D200" s="34" t="str">
        <x:v>AR-L4-UB-P2P-FABRIC-003-03</x:v>
      </x:c>
      <x:c r="E200" s="34" t="str">
        <x:v>SR-01-07-04</x:v>
      </x:c>
      <x:c r="F200" s="34" t="str">
        <x:v>            └─ AR-L4-UB-P2P-FABRIC-003-03 验证与观测</x:v>
      </x:c>
      <x:c r="G200" s="34" t="str">
        <x:v>验证与观测</x:v>
      </x:c>
      <x:c r="H200" s="33" t="str">
        <x:v>新增正常、边界、并发、超时、stale metadata、迁移冲突、路径拥塞/故障与 feature-flag-off 用例；在 benchmark 中固定模型、tokenizer、prompt、并发、拓扑和 baseline，采集 lookup/load/attach、TTFT、TPOT、usable/abandoned hit、带宽/时延及 CPU/NPU 利用率。</x:v>
      </x:c>
      <x:c r="I200" s="33" t="str">
        <x:v>探索直接视图(direct view)、硬件多播及硬件原子页迁移等远期能力，避免 TPOT 被直接视图意外拖慢，不强求 &lt;500ns 等极端指标。</x:v>
      </x:c>
      <x:c r="J200" s="33" t="str">
        <x:v>tests/backends/ubmem/p2_p_fabric_test.cc + benchmarks/backends/ubmem/p2_p_fabric_benchmark.cc</x:v>
      </x:c>
      <x:c r="K200" s="33" t="str">
        <x:v>L4 底层传输层 / 驱动/硬件协同开发</x:v>
      </x:c>
      <x:c r="L200" s="33" t="str">
        <x:v>L4-UB-P2P-FABRIC-003</x:v>
      </x:c>
    </x:row>
    <x:row r="201" ht="76" customHeight="1">
      <x:c r="A201" s="29" t="str">
        <x:v>SF-01/IR-01-08</x:v>
      </x:c>
      <x:c r="B201" s="29" t="n">
        <x:v>2</x:v>
      </x:c>
      <x:c r="C201" s="30" t="str">
        <x:v>IR</x:v>
      </x:c>
      <x:c r="D201" s="30" t="str">
        <x:v>IR-01-08</x:v>
      </x:c>
      <x:c r="E201" s="30" t="str">
        <x:v>SF-01</x:v>
      </x:c>
      <x:c r="F201" s="30" t="str">
        <x:v>    ├─ IR-01-08 支持本地/远端SSD回源及DPU卸载的分层存储I/O</x:v>
      </x:c>
      <x:c r="G201" s="30" t="str">
        <x:v>支持本地/远端SSD回源及DPU卸载的分层存储I/O</x:v>
      </x:c>
      <x:c r="H201" s="29" t="str">
        <x:v>系统应把本地/远端 SSD 和 object storage 纳入 KVCache 容量层，支持大段对象写入、异步回源、批量读取、持久化句柄和完整性证据，并在平台具备条件时使用 SPDK、io_uring、Direct Storage 或 DPU 卸载减少 CPU 数据搬运。其目标是在长上下文和冷 KV 场景获得低成本容量，同时隔离冷路径 I/O，避免回源任务阻塞 TTFT 或干扰 Decode。
技术锚点：SPDK + io_uring + GPUDirect Storage/NPU Direct Storage + DPU offload</x:v>
      </x:c>
      <x:c r="I201" s="29" t="str">
        <x:v>SSD restore TTFT降低≥30%；GPU/NPU stall降低≥50%；CPU占用降低≥50%；顺序带宽达到设备峰值≥80%。</x:v>
      </x:c>
      <x:c r="J201" s="29" t="str"/>
      <x:c r="K201" s="29" t="str">
        <x:v>TM4</x:v>
      </x:c>
      <x:c r="L201" s="29" t="str">
        <x:v>V2.1修订定义</x:v>
      </x:c>
    </x:row>
    <x:row r="202" ht="76" customHeight="1">
      <x:c r="A202" s="31" t="str">
        <x:v>SF-01/IR-01-08/SR-01-08-01</x:v>
      </x:c>
      <x:c r="B202" s="31" t="n">
        <x:v>3</x:v>
      </x:c>
      <x:c r="C202" s="32" t="str">
        <x:v>SR</x:v>
      </x:c>
      <x:c r="D202" s="32" t="str">
        <x:v>SR-01-08-01</x:v>
      </x:c>
      <x:c r="E202" s="32" t="str">
        <x:v>IR-01-08</x:v>
      </x:c>
      <x:c r="F202" s="32" t="str">
        <x:v>        ├─ SR-01-08-01 SSD/object KV 副本统一寻址</x:v>
      </x:c>
      <x:c r="G202" s="32" t="str">
        <x:v>SSD/object KV 副本统一寻址｜L4-MC-PersistentExtentHandle-070</x:v>
      </x:c>
      <x:c r="H202" s="31" t="str">
        <x:v>系统重构：本需求要求 SSD/GDS/object tier 中的 KV segment 暴露 PersistentExtentHandle，记录 file/object key、offset、length、alignment、checksum、layout 和 durability state，使 L3 manifest 可以统一描述内存副本与持久化副本。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x:v>
      </x:c>
      <x:c r="I202" s="31" t="str">
        <x:v>高拥塞背景下，KVCache关键小包的P99延迟不随大流数据量线性增加。</x:v>
      </x:c>
      <x:c r="J202" s="31" t="str"/>
      <x:c r="K202" s="31" t="str">
        <x:v>L4 底层传输层 / DPU卸载与分层存储I/O</x:v>
      </x:c>
      <x:c r="L202" s="31" t="str">
        <x:v>L4-MC-PersistentExtentHandle-070</x:v>
      </x:c>
    </x:row>
    <x:row r="203" ht="76" customHeight="1">
      <x:c r="A203" s="33" t="str">
        <x:v>SF-01/IR-01-08/SR-01-08-01/AR-L4-MC-PersistentExtentHandle-070-01</x:v>
      </x:c>
      <x:c r="B203" s="33" t="n">
        <x:v>4</x:v>
      </x:c>
      <x:c r="C203" s="34" t="str">
        <x:v>AR</x:v>
      </x:c>
      <x:c r="D203" s="34" t="str">
        <x:v>AR-L4-MC-PersistentExtentHandle-070-01</x:v>
      </x:c>
      <x:c r="E203" s="34" t="str">
        <x:v>SR-01-08-01</x:v>
      </x:c>
      <x:c r="F203" s="34" t="str">
        <x:v>            ├─ AR-L4-MC-PersistentExtentHandle-070-01 核心实现</x:v>
      </x:c>
      <x:c r="G203" s="34" t="str">
        <x:v>核心实现</x:v>
      </x:c>
      <x:c r="H203" s="33" t="str">
        <x:v>在 `src/backends/storage/persistent_extent_handle.{h,cc}` 新增或重写 `PersistentExtentHandleBackend`，把“SSD/object KV 副本统一寻址”落实为 L4 底层传输层 可调用主路径：本需求要求 SSD/GDS/object tier 中的 KV segment 暴露 PersistentExtentHandle，记录 file/object key、offset、length、alignment、checksum、layout 和 durability state，使 L3 manifest 可以统一描述内存副本与持久化副本。 输入必须显式消费 persistent extent + object key + slack budget，输出 I/O ticket + durability/checksum evidence，不得用全局单例或隐藏同步 I/O 绕开预算与状态机。</x:v>
      </x:c>
      <x:c r="I203" s="33" t="str">
        <x:v>高拥塞背景下，KVCache关键小包的P99延迟不随大流数据量线性增加。</x:v>
      </x:c>
      <x:c r="J203" s="33" t="str">
        <x:v>src/backends/storage/persistent_extent_handle.{h,cc}</x:v>
      </x:c>
      <x:c r="K203" s="33" t="str">
        <x:v>L4 底层传输层 / 驱动/硬件协同开发</x:v>
      </x:c>
      <x:c r="L203" s="33" t="str">
        <x:v>L4-MC-PersistentExtentHandle-070</x:v>
      </x:c>
    </x:row>
    <x:row r="204" ht="76" customHeight="1">
      <x:c r="A204" s="33" t="str">
        <x:v>SF-01/IR-01-08/SR-01-08-01/AR-L4-MC-PersistentExtentHandle-070-02</x:v>
      </x:c>
      <x:c r="B204" s="33" t="n">
        <x:v>4</x:v>
      </x:c>
      <x:c r="C204" s="34" t="str">
        <x:v>AR</x:v>
      </x:c>
      <x:c r="D204" s="34" t="str">
        <x:v>AR-L4-MC-PersistentExtentHandle-070-02</x:v>
      </x:c>
      <x:c r="E204" s="34" t="str">
        <x:v>SR-01-08-01</x:v>
      </x:c>
      <x:c r="F204" s="34" t="str">
        <x:v>            ├─ AR-L4-MC-PersistentExtentHandle-070-02 契约配置与降级</x:v>
      </x:c>
      <x:c r="G204" s="34" t="str">
        <x:v>契约配置与降级</x:v>
      </x:c>
      <x:c r="H204" s="33" t="str">
        <x:v>增加编译开关 `KVCACHE_ENABLE_PERSISTENT_EXTENT_HANDLE`、运行时开关 `kvcache.persistent_extent_handle.enabled` 与 BackendRegistry 注册项；冻结 capability、descriptor、completion/fence、error mapping 与 per-path telemetry 字段，并实现“主路径→备路径→重算/冷路径”的有界 fallback。</x:v>
      </x:c>
      <x:c r="I204" s="33" t="str">
        <x:v>高拥塞背景下，KVCache关键小包的P99延迟不随大流数据量线性增加。</x:v>
      </x:c>
      <x:c r="J204" s="33" t="str">
        <x:v>cmake/KVCacheBackends.cmake + config/backends/persistent_extent_handle.yaml + src/backends/backend_registry.cc</x:v>
      </x:c>
      <x:c r="K204" s="33" t="str">
        <x:v>L4 底层传输层 / 驱动/硬件协同开发</x:v>
      </x:c>
      <x:c r="L204" s="33" t="str">
        <x:v>L4-MC-PersistentExtentHandle-070</x:v>
      </x:c>
    </x:row>
    <x:row r="205" ht="76" customHeight="1">
      <x:c r="A205" s="33" t="str">
        <x:v>SF-01/IR-01-08/SR-01-08-01/AR-L4-MC-PersistentExtentHandle-070-03</x:v>
      </x:c>
      <x:c r="B205" s="33" t="n">
        <x:v>4</x:v>
      </x:c>
      <x:c r="C205" s="34" t="str">
        <x:v>AR</x:v>
      </x:c>
      <x:c r="D205" s="34" t="str">
        <x:v>AR-L4-MC-PersistentExtentHandle-070-03</x:v>
      </x:c>
      <x:c r="E205" s="34" t="str">
        <x:v>SR-01-08-01</x:v>
      </x:c>
      <x:c r="F205" s="34" t="str">
        <x:v>            └─ AR-L4-MC-PersistentExtentHandle-070-03 验证与观测</x:v>
      </x:c>
      <x:c r="G205" s="34" t="str">
        <x:v>验证与观测</x:v>
      </x:c>
      <x:c r="H205" s="33" t="str">
        <x:v>新增正常、边界、并发、超时、stale metadata、迁移冲突、路径拥塞/故障与 feature-flag-off 用例；在 benchmark 中固定模型、tokenizer、prompt、并发、拓扑和 baseline，采集 lookup/load/attach、TTFT、TPOT、usable/abandoned hit、带宽/时延及 CPU/NPU 利用率。</x:v>
      </x:c>
      <x:c r="I205" s="33" t="str">
        <x:v>高拥塞背景下，KVCache关键小包的P99延迟不随大流数据量线性增加。</x:v>
      </x:c>
      <x:c r="J205" s="33" t="str">
        <x:v>tests/backends/storage/persistent_extent_handle_test.cc + benchmarks/backends/storage/persistent_extent_handle_benchmark.cc</x:v>
      </x:c>
      <x:c r="K205" s="33" t="str">
        <x:v>L4 底层传输层 / 驱动/硬件协同开发</x:v>
      </x:c>
      <x:c r="L205" s="33" t="str">
        <x:v>L4-MC-PersistentExtentHandle-070</x:v>
      </x:c>
    </x:row>
    <x:row r="206" ht="76" customHeight="1">
      <x:c r="A206" s="31" t="str">
        <x:v>SF-01/IR-01-08/SR-01-08-02</x:v>
      </x:c>
      <x:c r="B206" s="31" t="n">
        <x:v>3</x:v>
      </x:c>
      <x:c r="C206" s="32" t="str">
        <x:v>SR</x:v>
      </x:c>
      <x:c r="D206" s="32" t="str">
        <x:v>SR-01-08-02</x:v>
      </x:c>
      <x:c r="E206" s="32" t="str">
        <x:v>IR-01-08</x:v>
      </x:c>
      <x:c r="F206" s="32" t="str">
        <x:v>        ├─ SR-01-08-02 KVCache多层异构架构</x:v>
      </x:c>
      <x:c r="G206" s="32" t="str">
        <x:v>KVCache多层异构架构｜L4-MC-HIER-STORE-001</x:v>
      </x:c>
      <x:c r="H206" s="31" t="str">
        <x:v>系统重构：本需求要求实现KVCache三层分级直出，实现NPU直接访问本地SSD（NPUDirectSSD）、NPU直接出网卡（NPUDirectNIC），提升KVCache在不同介质、不同节点之间的流动效率。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x:v>
      </x:c>
      <x:c r="I206" s="31" t="str">
        <x:v>高拥塞背景下，KVCache关键小包的P99延迟不随大流数据量线性增加。</x:v>
      </x:c>
      <x:c r="J206" s="31" t="str"/>
      <x:c r="K206" s="31" t="str">
        <x:v>L4 底层传输层 / DPU卸载与分层存储I/O</x:v>
      </x:c>
      <x:c r="L206" s="31" t="str">
        <x:v>L4-MC-HIER-STORE-001</x:v>
      </x:c>
    </x:row>
    <x:row r="207" ht="76" customHeight="1">
      <x:c r="A207" s="33" t="str">
        <x:v>SF-01/IR-01-08/SR-01-08-02/AR-L4-MC-HIER-STORE-001-01</x:v>
      </x:c>
      <x:c r="B207" s="33" t="n">
        <x:v>4</x:v>
      </x:c>
      <x:c r="C207" s="34" t="str">
        <x:v>AR</x:v>
      </x:c>
      <x:c r="D207" s="34" t="str">
        <x:v>AR-L4-MC-HIER-STORE-001-01</x:v>
      </x:c>
      <x:c r="E207" s="34" t="str">
        <x:v>SR-01-08-02</x:v>
      </x:c>
      <x:c r="F207" s="34" t="str">
        <x:v>            ├─ AR-L4-MC-HIER-STORE-001-01 核心实现</x:v>
      </x:c>
      <x:c r="G207" s="34" t="str">
        <x:v>核心实现</x:v>
      </x:c>
      <x:c r="H207" s="33" t="str">
        <x:v>在 `src/backends/storage/hier_store.{h,cc}` 新增或重写 `HIERSTOREBackend`，把“KVCache多层异构架构”落实为 L4 底层传输层 可调用主路径：本需求要求实现KVCache三层分级直出，实现NPU直接访问本地SSD（NPUDirectSSD）、NPU直接出网卡（NPUDirectNIC），提升KVCache在不同介质、不同节点之间的流动效率。 输入必须显式消费 persistent extent + object key + slack budget，输出 I/O ticket + durability/checksum evidence，不得用全局单例或隐藏同步 I/O 绕开预算与状态机。</x:v>
      </x:c>
      <x:c r="I207" s="33" t="str">
        <x:v>高拥塞背景下，KVCache关键小包的P99延迟不随大流数据量线性增加。</x:v>
      </x:c>
      <x:c r="J207" s="33" t="str">
        <x:v>src/backends/storage/hier_store.{h,cc}</x:v>
      </x:c>
      <x:c r="K207" s="33" t="str">
        <x:v>L4 底层传输层 / 驱动/硬件协同开发</x:v>
      </x:c>
      <x:c r="L207" s="33" t="str">
        <x:v>L4-MC-HIER-STORE-001</x:v>
      </x:c>
    </x:row>
    <x:row r="208" ht="76" customHeight="1">
      <x:c r="A208" s="33" t="str">
        <x:v>SF-01/IR-01-08/SR-01-08-02/AR-L4-MC-HIER-STORE-001-02</x:v>
      </x:c>
      <x:c r="B208" s="33" t="n">
        <x:v>4</x:v>
      </x:c>
      <x:c r="C208" s="34" t="str">
        <x:v>AR</x:v>
      </x:c>
      <x:c r="D208" s="34" t="str">
        <x:v>AR-L4-MC-HIER-STORE-001-02</x:v>
      </x:c>
      <x:c r="E208" s="34" t="str">
        <x:v>SR-01-08-02</x:v>
      </x:c>
      <x:c r="F208" s="34" t="str">
        <x:v>            ├─ AR-L4-MC-HIER-STORE-001-02 契约配置与降级</x:v>
      </x:c>
      <x:c r="G208" s="34" t="str">
        <x:v>契约配置与降级</x:v>
      </x:c>
      <x:c r="H208" s="33" t="str">
        <x:v>增加编译开关 `KVCACHE_ENABLE_HIER_STORE`、运行时开关 `kvcache.hier_store.enabled` 与 BackendRegistry 注册项；冻结 capability、descriptor、completion/fence、error mapping 与 per-path telemetry 字段，并实现“主路径→备路径→重算/冷路径”的有界 fallback。</x:v>
      </x:c>
      <x:c r="I208" s="33" t="str">
        <x:v>高拥塞背景下，KVCache关键小包的P99延迟不随大流数据量线性增加。</x:v>
      </x:c>
      <x:c r="J208" s="33" t="str">
        <x:v>cmake/KVCacheBackends.cmake + config/backends/hier_store.yaml + src/backends/backend_registry.cc</x:v>
      </x:c>
      <x:c r="K208" s="33" t="str">
        <x:v>L4 底层传输层 / 驱动/硬件协同开发</x:v>
      </x:c>
      <x:c r="L208" s="33" t="str">
        <x:v>L4-MC-HIER-STORE-001</x:v>
      </x:c>
    </x:row>
    <x:row r="209" ht="76" customHeight="1">
      <x:c r="A209" s="33" t="str">
        <x:v>SF-01/IR-01-08/SR-01-08-02/AR-L4-MC-HIER-STORE-001-03</x:v>
      </x:c>
      <x:c r="B209" s="33" t="n">
        <x:v>4</x:v>
      </x:c>
      <x:c r="C209" s="34" t="str">
        <x:v>AR</x:v>
      </x:c>
      <x:c r="D209" s="34" t="str">
        <x:v>AR-L4-MC-HIER-STORE-001-03</x:v>
      </x:c>
      <x:c r="E209" s="34" t="str">
        <x:v>SR-01-08-02</x:v>
      </x:c>
      <x:c r="F209" s="34" t="str">
        <x:v>            └─ AR-L4-MC-HIER-STORE-001-03 验证与观测</x:v>
      </x:c>
      <x:c r="G209" s="34" t="str">
        <x:v>验证与观测</x:v>
      </x:c>
      <x:c r="H209" s="33" t="str">
        <x:v>新增正常、边界、并发、超时、stale metadata、迁移冲突、路径拥塞/故障与 feature-flag-off 用例；在 benchmark 中固定模型、tokenizer、prompt、并发、拓扑和 baseline，采集 lookup/load/attach、TTFT、TPOT、usable/abandoned hit、带宽/时延及 CPU/NPU 利用率。</x:v>
      </x:c>
      <x:c r="I209" s="33" t="str">
        <x:v>高拥塞背景下，KVCache关键小包的P99延迟不随大流数据量线性增加。</x:v>
      </x:c>
      <x:c r="J209" s="33" t="str">
        <x:v>tests/backends/storage/hier_store_test.cc + benchmarks/backends/storage/hier_store_benchmark.cc</x:v>
      </x:c>
      <x:c r="K209" s="33" t="str">
        <x:v>L4 底层传输层 / 驱动/硬件协同开发</x:v>
      </x:c>
      <x:c r="L209" s="33" t="str">
        <x:v>L4-MC-HIER-STORE-001</x:v>
      </x:c>
    </x:row>
    <x:row r="210" ht="76" customHeight="1">
      <x:c r="A210" s="31" t="str">
        <x:v>SF-01/IR-01-08/SR-01-08-03</x:v>
      </x:c>
      <x:c r="B210" s="31" t="n">
        <x:v>3</x:v>
      </x:c>
      <x:c r="C210" s="32" t="str">
        <x:v>SR</x:v>
      </x:c>
      <x:c r="D210" s="32" t="str">
        <x:v>SR-01-08-03</x:v>
      </x:c>
      <x:c r="E210" s="32" t="str">
        <x:v>IR-01-08</x:v>
      </x:c>
      <x:c r="F210" s="32" t="str">
        <x:v>        ├─ SR-01-08-03 KVCache多层异构架构</x:v>
      </x:c>
      <x:c r="G210" s="32" t="str">
        <x:v>KVCache多层异构架构｜L4-MC-HIER-STORE-002</x:v>
      </x:c>
      <x:c r="H210" s="31" t="str">
        <x:v>系统重构：本需求要求实现KVCache on-the-fly 压缩功能，在从NPU卸载到DDR或SSD时，提供on-the-fly无刷压缩功能。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x:v>
      </x:c>
      <x:c r="I210" s="31" t="str">
        <x:v>高拥塞背景下，KVCache关键小包的P99延迟不随大流数据量线性增加。</x:v>
      </x:c>
      <x:c r="J210" s="31" t="str"/>
      <x:c r="K210" s="31" t="str">
        <x:v>L4 底层传输层 / DPU卸载与分层存储I/O</x:v>
      </x:c>
      <x:c r="L210" s="31" t="str">
        <x:v>L4-MC-HIER-STORE-002</x:v>
      </x:c>
    </x:row>
    <x:row r="211" ht="76" customHeight="1">
      <x:c r="A211" s="33" t="str">
        <x:v>SF-01/IR-01-08/SR-01-08-03/AR-L4-MC-HIER-STORE-002-01</x:v>
      </x:c>
      <x:c r="B211" s="33" t="n">
        <x:v>4</x:v>
      </x:c>
      <x:c r="C211" s="34" t="str">
        <x:v>AR</x:v>
      </x:c>
      <x:c r="D211" s="34" t="str">
        <x:v>AR-L4-MC-HIER-STORE-002-01</x:v>
      </x:c>
      <x:c r="E211" s="34" t="str">
        <x:v>SR-01-08-03</x:v>
      </x:c>
      <x:c r="F211" s="34" t="str">
        <x:v>            ├─ AR-L4-MC-HIER-STORE-002-01 核心实现</x:v>
      </x:c>
      <x:c r="G211" s="34" t="str">
        <x:v>核心实现</x:v>
      </x:c>
      <x:c r="H211" s="33" t="str">
        <x:v>在 `src/backends/storage/hier_store.{h,cc}` 新增或重写 `HIERSTOREBackend`，把“KVCache多层异构架构”落实为 L4 底层传输层 可调用主路径：本需求要求实现KVCache on-the-fly 压缩功能，在从NPU卸载到DDR或SSD时，提供on-the-fly无刷压缩功能。 输入必须显式消费 persistent extent + object key + slack budget，输出 I/O ticket + durability/checksum evidence，不得用全局单例或隐藏同步 I/O 绕开预算与状态机。</x:v>
      </x:c>
      <x:c r="I211" s="33" t="str">
        <x:v>高拥塞背景下，KVCache关键小包的P99延迟不随大流数据量线性增加。</x:v>
      </x:c>
      <x:c r="J211" s="33" t="str">
        <x:v>src/backends/storage/hier_store.{h,cc}</x:v>
      </x:c>
      <x:c r="K211" s="33" t="str">
        <x:v>L4 底层传输层 / 驱动/硬件协同开发</x:v>
      </x:c>
      <x:c r="L211" s="33" t="str">
        <x:v>L4-MC-HIER-STORE-002</x:v>
      </x:c>
    </x:row>
    <x:row r="212" ht="76" customHeight="1">
      <x:c r="A212" s="33" t="str">
        <x:v>SF-01/IR-01-08/SR-01-08-03/AR-L4-MC-HIER-STORE-002-02</x:v>
      </x:c>
      <x:c r="B212" s="33" t="n">
        <x:v>4</x:v>
      </x:c>
      <x:c r="C212" s="34" t="str">
        <x:v>AR</x:v>
      </x:c>
      <x:c r="D212" s="34" t="str">
        <x:v>AR-L4-MC-HIER-STORE-002-02</x:v>
      </x:c>
      <x:c r="E212" s="34" t="str">
        <x:v>SR-01-08-03</x:v>
      </x:c>
      <x:c r="F212" s="34" t="str">
        <x:v>            ├─ AR-L4-MC-HIER-STORE-002-02 契约配置与降级</x:v>
      </x:c>
      <x:c r="G212" s="34" t="str">
        <x:v>契约配置与降级</x:v>
      </x:c>
      <x:c r="H212" s="33" t="str">
        <x:v>增加编译开关 `KVCACHE_ENABLE_HIER_STORE`、运行时开关 `kvcache.hier_store.enabled` 与 BackendRegistry 注册项；冻结 capability、descriptor、completion/fence、error mapping 与 per-path telemetry 字段，并实现“主路径→备路径→重算/冷路径”的有界 fallback。</x:v>
      </x:c>
      <x:c r="I212" s="33" t="str">
        <x:v>高拥塞背景下，KVCache关键小包的P99延迟不随大流数据量线性增加。</x:v>
      </x:c>
      <x:c r="J212" s="33" t="str">
        <x:v>cmake/KVCacheBackends.cmake + config/backends/hier_store.yaml + src/backends/backend_registry.cc</x:v>
      </x:c>
      <x:c r="K212" s="33" t="str">
        <x:v>L4 底层传输层 / 驱动/硬件协同开发</x:v>
      </x:c>
      <x:c r="L212" s="33" t="str">
        <x:v>L4-MC-HIER-STORE-002</x:v>
      </x:c>
    </x:row>
    <x:row r="213" ht="76" customHeight="1">
      <x:c r="A213" s="33" t="str">
        <x:v>SF-01/IR-01-08/SR-01-08-03/AR-L4-MC-HIER-STORE-002-03</x:v>
      </x:c>
      <x:c r="B213" s="33" t="n">
        <x:v>4</x:v>
      </x:c>
      <x:c r="C213" s="34" t="str">
        <x:v>AR</x:v>
      </x:c>
      <x:c r="D213" s="34" t="str">
        <x:v>AR-L4-MC-HIER-STORE-002-03</x:v>
      </x:c>
      <x:c r="E213" s="34" t="str">
        <x:v>SR-01-08-03</x:v>
      </x:c>
      <x:c r="F213" s="34" t="str">
        <x:v>            └─ AR-L4-MC-HIER-STORE-002-03 验证与观测</x:v>
      </x:c>
      <x:c r="G213" s="34" t="str">
        <x:v>验证与观测</x:v>
      </x:c>
      <x:c r="H213" s="33" t="str">
        <x:v>新增正常、边界、并发、超时、stale metadata、迁移冲突、路径拥塞/故障与 feature-flag-off 用例；在 benchmark 中固定模型、tokenizer、prompt、并发、拓扑和 baseline，采集 lookup/load/attach、TTFT、TPOT、usable/abandoned hit、带宽/时延及 CPU/NPU 利用率。</x:v>
      </x:c>
      <x:c r="I213" s="33" t="str">
        <x:v>高拥塞背景下，KVCache关键小包的P99延迟不随大流数据量线性增加。</x:v>
      </x:c>
      <x:c r="J213" s="33" t="str">
        <x:v>tests/backends/storage/hier_store_test.cc + benchmarks/backends/storage/hier_store_benchmark.cc</x:v>
      </x:c>
      <x:c r="K213" s="33" t="str">
        <x:v>L4 底层传输层 / 驱动/硬件协同开发</x:v>
      </x:c>
      <x:c r="L213" s="33" t="str">
        <x:v>L4-MC-HIER-STORE-002</x:v>
      </x:c>
    </x:row>
    <x:row r="214" ht="76" customHeight="1">
      <x:c r="A214" s="31" t="str">
        <x:v>SF-01/IR-01-08/SR-01-08-04</x:v>
      </x:c>
      <x:c r="B214" s="31" t="n">
        <x:v>3</x:v>
      </x:c>
      <x:c r="C214" s="32" t="str">
        <x:v>SR</x:v>
      </x:c>
      <x:c r="D214" s="32" t="str">
        <x:v>SR-01-08-04</x:v>
      </x:c>
      <x:c r="E214" s="32" t="str">
        <x:v>IR-01-08</x:v>
      </x:c>
      <x:c r="F214" s="32" t="str">
        <x:v>        ├─ SR-01-08-04 KVCache多层异构架构</x:v>
      </x:c>
      <x:c r="G214" s="32" t="str">
        <x:v>KVCache多层异构架构｜L4-MC-HIER-STORE-003</x:v>
      </x:c>
      <x:c r="H214" s="31" t="str">
        <x:v>系统重构：本需求要求实现KVCache on-the-fly 解压缩功能，在从DDR或SSD加载到NPU时，提供on-the-fly的解压缩功能。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x:v>
      </x:c>
      <x:c r="I214" s="31" t="str">
        <x:v>高拥塞背景下，KVCache关键小包的P99延迟不随大流数据量线性增加。</x:v>
      </x:c>
      <x:c r="J214" s="31" t="str"/>
      <x:c r="K214" s="31" t="str">
        <x:v>L4 底层传输层 / DPU卸载与分层存储I/O</x:v>
      </x:c>
      <x:c r="L214" s="31" t="str">
        <x:v>L4-MC-HIER-STORE-003</x:v>
      </x:c>
    </x:row>
    <x:row r="215" ht="76" customHeight="1">
      <x:c r="A215" s="33" t="str">
        <x:v>SF-01/IR-01-08/SR-01-08-04/AR-L4-MC-HIER-STORE-003-01</x:v>
      </x:c>
      <x:c r="B215" s="33" t="n">
        <x:v>4</x:v>
      </x:c>
      <x:c r="C215" s="34" t="str">
        <x:v>AR</x:v>
      </x:c>
      <x:c r="D215" s="34" t="str">
        <x:v>AR-L4-MC-HIER-STORE-003-01</x:v>
      </x:c>
      <x:c r="E215" s="34" t="str">
        <x:v>SR-01-08-04</x:v>
      </x:c>
      <x:c r="F215" s="34" t="str">
        <x:v>            ├─ AR-L4-MC-HIER-STORE-003-01 核心实现</x:v>
      </x:c>
      <x:c r="G215" s="34" t="str">
        <x:v>核心实现</x:v>
      </x:c>
      <x:c r="H215" s="33" t="str">
        <x:v>在 `src/backends/storage/hier_store.{h,cc}` 新增或重写 `HIERSTOREBackend`，把“KVCache多层异构架构”落实为 L4 底层传输层 可调用主路径：本需求要求实现KVCache on-the-fly 解压缩功能，在从DDR或SSD加载到NPU时，提供on-the-fly的解压缩功能。 输入必须显式消费 persistent extent + object key + slack budget，输出 I/O ticket + durability/checksum evidence，不得用全局单例或隐藏同步 I/O 绕开预算与状态机。</x:v>
      </x:c>
      <x:c r="I215" s="33" t="str">
        <x:v>高拥塞背景下，KVCache关键小包的P99延迟不随大流数据量线性增加。</x:v>
      </x:c>
      <x:c r="J215" s="33" t="str">
        <x:v>src/backends/storage/hier_store.{h,cc}</x:v>
      </x:c>
      <x:c r="K215" s="33" t="str">
        <x:v>L4 底层传输层 / 驱动/硬件协同开发</x:v>
      </x:c>
      <x:c r="L215" s="33" t="str">
        <x:v>L4-MC-HIER-STORE-003</x:v>
      </x:c>
    </x:row>
    <x:row r="216" ht="76" customHeight="1">
      <x:c r="A216" s="33" t="str">
        <x:v>SF-01/IR-01-08/SR-01-08-04/AR-L4-MC-HIER-STORE-003-02</x:v>
      </x:c>
      <x:c r="B216" s="33" t="n">
        <x:v>4</x:v>
      </x:c>
      <x:c r="C216" s="34" t="str">
        <x:v>AR</x:v>
      </x:c>
      <x:c r="D216" s="34" t="str">
        <x:v>AR-L4-MC-HIER-STORE-003-02</x:v>
      </x:c>
      <x:c r="E216" s="34" t="str">
        <x:v>SR-01-08-04</x:v>
      </x:c>
      <x:c r="F216" s="34" t="str">
        <x:v>            ├─ AR-L4-MC-HIER-STORE-003-02 契约配置与降级</x:v>
      </x:c>
      <x:c r="G216" s="34" t="str">
        <x:v>契约配置与降级</x:v>
      </x:c>
      <x:c r="H216" s="33" t="str">
        <x:v>增加编译开关 `KVCACHE_ENABLE_HIER_STORE`、运行时开关 `kvcache.hier_store.enabled` 与 BackendRegistry 注册项；冻结 capability、descriptor、completion/fence、error mapping 与 per-path telemetry 字段，并实现“主路径→备路径→重算/冷路径”的有界 fallback。</x:v>
      </x:c>
      <x:c r="I216" s="33" t="str">
        <x:v>高拥塞背景下，KVCache关键小包的P99延迟不随大流数据量线性增加。</x:v>
      </x:c>
      <x:c r="J216" s="33" t="str">
        <x:v>cmake/KVCacheBackends.cmake + config/backends/hier_store.yaml + src/backends/backend_registry.cc</x:v>
      </x:c>
      <x:c r="K216" s="33" t="str">
        <x:v>L4 底层传输层 / 驱动/硬件协同开发</x:v>
      </x:c>
      <x:c r="L216" s="33" t="str">
        <x:v>L4-MC-HIER-STORE-003</x:v>
      </x:c>
    </x:row>
    <x:row r="217" ht="76" customHeight="1">
      <x:c r="A217" s="33" t="str">
        <x:v>SF-01/IR-01-08/SR-01-08-04/AR-L4-MC-HIER-STORE-003-03</x:v>
      </x:c>
      <x:c r="B217" s="33" t="n">
        <x:v>4</x:v>
      </x:c>
      <x:c r="C217" s="34" t="str">
        <x:v>AR</x:v>
      </x:c>
      <x:c r="D217" s="34" t="str">
        <x:v>AR-L4-MC-HIER-STORE-003-03</x:v>
      </x:c>
      <x:c r="E217" s="34" t="str">
        <x:v>SR-01-08-04</x:v>
      </x:c>
      <x:c r="F217" s="34" t="str">
        <x:v>            └─ AR-L4-MC-HIER-STORE-003-03 验证与观测</x:v>
      </x:c>
      <x:c r="G217" s="34" t="str">
        <x:v>验证与观测</x:v>
      </x:c>
      <x:c r="H217" s="33" t="str">
        <x:v>新增正常、边界、并发、超时、stale metadata、迁移冲突、路径拥塞/故障与 feature-flag-off 用例；在 benchmark 中固定模型、tokenizer、prompt、并发、拓扑和 baseline，采集 lookup/load/attach、TTFT、TPOT、usable/abandoned hit、带宽/时延及 CPU/NPU 利用率。</x:v>
      </x:c>
      <x:c r="I217" s="33" t="str">
        <x:v>高拥塞背景下，KVCache关键小包的P99延迟不随大流数据量线性增加。</x:v>
      </x:c>
      <x:c r="J217" s="33" t="str">
        <x:v>tests/backends/storage/hier_store_test.cc + benchmarks/backends/storage/hier_store_benchmark.cc</x:v>
      </x:c>
      <x:c r="K217" s="33" t="str">
        <x:v>L4 底层传输层 / 驱动/硬件协同开发</x:v>
      </x:c>
      <x:c r="L217" s="33" t="str">
        <x:v>L4-MC-HIER-STORE-003</x:v>
      </x:c>
    </x:row>
    <x:row r="218" ht="76" customHeight="1">
      <x:c r="A218" s="31" t="str">
        <x:v>SF-01/IR-01-08/SR-01-08-05</x:v>
      </x:c>
      <x:c r="B218" s="31" t="n">
        <x:v>3</x:v>
      </x:c>
      <x:c r="C218" s="32" t="str">
        <x:v>SR</x:v>
      </x:c>
      <x:c r="D218" s="32" t="str">
        <x:v>SR-01-08-05</x:v>
      </x:c>
      <x:c r="E218" s="32" t="str">
        <x:v>IR-01-08</x:v>
      </x:c>
      <x:c r="F218" s="32" t="str">
        <x:v>        ├─ SR-01-08-05 传输数据路径CPU卸载</x:v>
      </x:c>
      <x:c r="G218" s="32" t="str">
        <x:v>传输数据路径CPU卸载｜L4-NET-OFFLOAD-DPU-001</x:v>
      </x:c>
      <x:c r="H218" s="31" t="str">
        <x:v>系统重构：本需求要求将KVCache RDMA传输的控制路径（CQ轮询与完成中断通知Host）、数据路径（INT8量化卸载到DPU FPGA）和路由决策（Mooncake路由表本地化到DPU）卸载至 DPU，使Host CPU的KVCache传输相关开销降低≥70%。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x:v>
      </x:c>
      <x:c r="I218" s="31" t="str">
        <x:v>作为平台补充能力，在支持 DPU 卸载的硬件上验证数据面/控制面卸载效果，P99 延迟不显著恶化。</x:v>
      </x:c>
      <x:c r="J218" s="31" t="str"/>
      <x:c r="K218" s="31" t="str">
        <x:v>L4 底层传输层 / DPU卸载与分层存储I/O</x:v>
      </x:c>
      <x:c r="L218" s="31" t="str">
        <x:v>L4-NET-OFFLOAD-DPU-001</x:v>
      </x:c>
    </x:row>
    <x:row r="219" ht="76" customHeight="1">
      <x:c r="A219" s="33" t="str">
        <x:v>SF-01/IR-01-08/SR-01-08-05/AR-L4-NET-OFFLOAD-DPU-001-01</x:v>
      </x:c>
      <x:c r="B219" s="33" t="n">
        <x:v>4</x:v>
      </x:c>
      <x:c r="C219" s="34" t="str">
        <x:v>AR</x:v>
      </x:c>
      <x:c r="D219" s="34" t="str">
        <x:v>AR-L4-NET-OFFLOAD-DPU-001-01</x:v>
      </x:c>
      <x:c r="E219" s="34" t="str">
        <x:v>SR-01-08-05</x:v>
      </x:c>
      <x:c r="F219" s="34" t="str">
        <x:v>            ├─ AR-L4-NET-OFFLOAD-DPU-001-01 核心实现</x:v>
      </x:c>
      <x:c r="G219" s="34" t="str">
        <x:v>核心实现</x:v>
      </x:c>
      <x:c r="H219" s="33" t="str">
        <x:v>在 `src/backends/storage/offload_dpu.{h,cc}` 新增或重写 `OFFLOADDPUBackend`，把“传输数据路径CPU卸载”落实为 L4 底层传输层 可调用主路径：本需求要求将KVCache RDMA传输的控制路径（CQ轮询与完成中断通知Host）、数据路径（INT8量化卸载到DPU FPGA）和路由决策（Mooncake路由表本地化到DPU）卸载至 DPU，使Host CPU的KVCache传输相关开销降低≥70%。 输入必须显式消费 persistent extent + object key + slack budget，输出 I/O ticket + durability/checksum evidence，不得用全局单例或隐藏同步 I/O 绕开预算与状态机。</x:v>
      </x:c>
      <x:c r="I219" s="33" t="str">
        <x:v>作为平台补充能力，在支持 DPU 卸载的硬件上验证数据面/控制面卸载效果，P99 延迟不显著恶化。</x:v>
      </x:c>
      <x:c r="J219" s="33" t="str">
        <x:v>src/backends/storage/offload_dpu.{h,cc}</x:v>
      </x:c>
      <x:c r="K219" s="33" t="str">
        <x:v>L4 底层传输层 / 驱动/硬件协同开发</x:v>
      </x:c>
      <x:c r="L219" s="33" t="str">
        <x:v>L4-NET-OFFLOAD-DPU-001</x:v>
      </x:c>
    </x:row>
    <x:row r="220" ht="76" customHeight="1">
      <x:c r="A220" s="33" t="str">
        <x:v>SF-01/IR-01-08/SR-01-08-05/AR-L4-NET-OFFLOAD-DPU-001-02</x:v>
      </x:c>
      <x:c r="B220" s="33" t="n">
        <x:v>4</x:v>
      </x:c>
      <x:c r="C220" s="34" t="str">
        <x:v>AR</x:v>
      </x:c>
      <x:c r="D220" s="34" t="str">
        <x:v>AR-L4-NET-OFFLOAD-DPU-001-02</x:v>
      </x:c>
      <x:c r="E220" s="34" t="str">
        <x:v>SR-01-08-05</x:v>
      </x:c>
      <x:c r="F220" s="34" t="str">
        <x:v>            ├─ AR-L4-NET-OFFLOAD-DPU-001-02 契约配置与降级</x:v>
      </x:c>
      <x:c r="G220" s="34" t="str">
        <x:v>契约配置与降级</x:v>
      </x:c>
      <x:c r="H220" s="33" t="str">
        <x:v>增加编译开关 `KVCACHE_ENABLE_OFFLOAD_DPU`、运行时开关 `kvcache.offload_dpu.enabled` 与 BackendRegistry 注册项；冻结 capability、descriptor、completion/fence、error mapping 与 per-path telemetry 字段，并实现“主路径→备路径→重算/冷路径”的有界 fallback。</x:v>
      </x:c>
      <x:c r="I220" s="33" t="str">
        <x:v>作为平台补充能力，在支持 DPU 卸载的硬件上验证数据面/控制面卸载效果，P99 延迟不显著恶化。</x:v>
      </x:c>
      <x:c r="J220" s="33" t="str">
        <x:v>cmake/KVCacheBackends.cmake + config/backends/offload_dpu.yaml + src/backends/backend_registry.cc</x:v>
      </x:c>
      <x:c r="K220" s="33" t="str">
        <x:v>L4 底层传输层 / 驱动/硬件协同开发</x:v>
      </x:c>
      <x:c r="L220" s="33" t="str">
        <x:v>L4-NET-OFFLOAD-DPU-001</x:v>
      </x:c>
    </x:row>
    <x:row r="221" ht="76" customHeight="1">
      <x:c r="A221" s="33" t="str">
        <x:v>SF-01/IR-01-08/SR-01-08-05/AR-L4-NET-OFFLOAD-DPU-001-03</x:v>
      </x:c>
      <x:c r="B221" s="33" t="n">
        <x:v>4</x:v>
      </x:c>
      <x:c r="C221" s="34" t="str">
        <x:v>AR</x:v>
      </x:c>
      <x:c r="D221" s="34" t="str">
        <x:v>AR-L4-NET-OFFLOAD-DPU-001-03</x:v>
      </x:c>
      <x:c r="E221" s="34" t="str">
        <x:v>SR-01-08-05</x:v>
      </x:c>
      <x:c r="F221" s="34" t="str">
        <x:v>            └─ AR-L4-NET-OFFLOAD-DPU-001-03 验证与观测</x:v>
      </x:c>
      <x:c r="G221" s="34" t="str">
        <x:v>验证与观测</x:v>
      </x:c>
      <x:c r="H221" s="33" t="str">
        <x:v>新增正常、边界、并发、超时、stale metadata、迁移冲突、路径拥塞/故障与 feature-flag-off 用例；在 benchmark 中固定模型、tokenizer、prompt、并发、拓扑和 baseline，采集 lookup/load/attach、TTFT、TPOT、usable/abandoned hit、带宽/时延及 CPU/NPU 利用率。</x:v>
      </x:c>
      <x:c r="I221" s="33" t="str">
        <x:v>作为平台补充能力，在支持 DPU 卸载的硬件上验证数据面/控制面卸载效果，P99 延迟不显著恶化。</x:v>
      </x:c>
      <x:c r="J221" s="33" t="str">
        <x:v>tests/backends/storage/offload_dpu_test.cc + benchmarks/backends/storage/offload_dpu_benchmark.cc</x:v>
      </x:c>
      <x:c r="K221" s="33" t="str">
        <x:v>L4 底层传输层 / 驱动/硬件协同开发</x:v>
      </x:c>
      <x:c r="L221" s="33" t="str">
        <x:v>L4-NET-OFFLOAD-DPU-001</x:v>
      </x:c>
    </x:row>
    <x:row r="222" ht="76" customHeight="1">
      <x:c r="A222" s="29" t="str">
        <x:v>SF-01/IR-01-09</x:v>
      </x:c>
      <x:c r="B222" s="29" t="n">
        <x:v>2</x:v>
      </x:c>
      <x:c r="C222" s="30" t="str">
        <x:v>IR</x:v>
      </x:c>
      <x:c r="D222" s="30" t="str">
        <x:v>IR-01-09</x:v>
      </x:c>
      <x:c r="E222" s="30" t="str">
        <x:v>SF-01</x:v>
      </x:c>
      <x:c r="F222" s="30" t="str">
        <x:v>    ├─ IR-01-09 统一抽象UB、URMA、RDMA、C2C和SSD传输能力并按需路由</x:v>
      </x:c>
      <x:c r="G222" s="30" t="str">
        <x:v>统一抽象UB、URMA、RDMA、C2C和SSD传输能力并按需路由</x:v>
      </x:c>
      <x:c r="H222" s="29" t="str">
        <x:v>系统应以统一 Capability 模型描述 UB、URMA、RDMA、C2C、SSD/DPU 等物理能力及其软件后端，明确地址可达性、注册要求、支持布局、Host Payload touch、完成/错误语义和可观测字段。上层只依据标准能力选择路径，而不依赖某个后端名称或隐含假设，从而实现后端可插拔、能力可禁用、降级可审计。
技术锚点：UB/URMA/RDMA/C2C/SSD Capability Provider + Backend Registry</x:v>
      </x:c>
      <x:c r="I222" s="29" t="str">
        <x:v>能力表覆盖率=100%；错误路由=0；路由决策&lt;5 μs；任何 staged 例外可见且可禁用。</x:v>
      </x:c>
      <x:c r="J222" s="29" t="str"/>
      <x:c r="K222" s="29" t="str">
        <x:v>TM4</x:v>
      </x:c>
      <x:c r="L222" s="29" t="str">
        <x:v>V2.1修订定义</x:v>
      </x:c>
    </x:row>
    <x:row r="223" ht="76" customHeight="1">
      <x:c r="A223" s="31" t="str">
        <x:v>SF-01/IR-01-09/SR-01-09-01</x:v>
      </x:c>
      <x:c r="B223" s="31" t="n">
        <x:v>3</x:v>
      </x:c>
      <x:c r="C223" s="32" t="str">
        <x:v>SR</x:v>
      </x:c>
      <x:c r="D223" s="32" t="str">
        <x:v>SR-01-09-01</x:v>
      </x:c>
      <x:c r="E223" s="32" t="str">
        <x:v>IR-01-09</x:v>
      </x:c>
      <x:c r="F223" s="32" t="str">
        <x:v>        ├─ SR-01-09-01 多语义底层传输统一路由</x:v>
      </x:c>
      <x:c r="G223" s="32" t="str">
        <x:v>多语义底层传输统一路由｜L4-FABRIC-ROUTER-001</x:v>
      </x:c>
      <x:c r="H223" s="31" t="str">
        <x:v>系统重构：本需求要求实现混合传输Fabric路由引擎（Fabric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x:v>
      </x:c>
      <x:c r="I223" s="31" t="str">
        <x:v>同机架内本地及远端DDR命中率（Local Usable Hit Rate）提升≥30%。</x:v>
      </x:c>
      <x:c r="J223" s="31" t="str"/>
      <x:c r="K223" s="31" t="str">
        <x:v>L4 底层传输层 / Fabric能力与统一路由</x:v>
      </x:c>
      <x:c r="L223" s="31" t="str">
        <x:v>L4-FABRIC-ROUTER-001</x:v>
      </x:c>
    </x:row>
    <x:row r="224" ht="76" customHeight="1">
      <x:c r="A224" s="33" t="str">
        <x:v>SF-01/IR-01-09/SR-01-09-01/AR-L4-FABRIC-ROUTER-001-01</x:v>
      </x:c>
      <x:c r="B224" s="33" t="n">
        <x:v>4</x:v>
      </x:c>
      <x:c r="C224" s="34" t="str">
        <x:v>AR</x:v>
      </x:c>
      <x:c r="D224" s="34" t="str">
        <x:v>AR-L4-FABRIC-ROUTER-001-01</x:v>
      </x:c>
      <x:c r="E224" s="34" t="str">
        <x:v>SR-01-09-01</x:v>
      </x:c>
      <x:c r="F224" s="34" t="str">
        <x:v>            ├─ AR-L4-FABRIC-ROUTER-001-01 核心实现</x:v>
      </x:c>
      <x:c r="G224" s="34" t="str">
        <x:v>核心实现</x:v>
      </x:c>
      <x:c r="H224" s="33" t="str">
        <x:v>在 `src/backends/fabric/router.{h,cc}` 新增或重写 `ROUTERRouter`，把“多语义底层传输统一路由”落实为 L4 底层传输层 可调用主路径：本需求要求实现混合传输Fabric路由引擎（Fabric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 输入必须显式消费 device inventory + backend probe + layout constraint，输出 PathCapability + feature flags + telemetry schema，不得用全局单例或隐藏同步 I/O 绕开预算与状态机。</x:v>
      </x:c>
      <x:c r="I224" s="33" t="str">
        <x:v>同机架内本地及远端DDR命中率（Local Usable Hit Rate）提升≥30%。</x:v>
      </x:c>
      <x:c r="J224" s="33" t="str">
        <x:v>src/backends/fabric/router.{h,cc}</x:v>
      </x:c>
      <x:c r="K224" s="33" t="str">
        <x:v>L4 底层传输层 / 驱动/硬件协同开发</x:v>
      </x:c>
      <x:c r="L224" s="33" t="str">
        <x:v>L4-FABRIC-ROUTER-001</x:v>
      </x:c>
    </x:row>
    <x:row r="225" ht="76" customHeight="1">
      <x:c r="A225" s="33" t="str">
        <x:v>SF-01/IR-01-09/SR-01-09-01/AR-L4-FABRIC-ROUTER-001-02</x:v>
      </x:c>
      <x:c r="B225" s="33" t="n">
        <x:v>4</x:v>
      </x:c>
      <x:c r="C225" s="34" t="str">
        <x:v>AR</x:v>
      </x:c>
      <x:c r="D225" s="34" t="str">
        <x:v>AR-L4-FABRIC-ROUTER-001-02</x:v>
      </x:c>
      <x:c r="E225" s="34" t="str">
        <x:v>SR-01-09-01</x:v>
      </x:c>
      <x:c r="F225" s="34" t="str">
        <x:v>            ├─ AR-L4-FABRIC-ROUTER-001-02 契约配置与降级</x:v>
      </x:c>
      <x:c r="G225" s="34" t="str">
        <x:v>契约配置与降级</x:v>
      </x:c>
      <x:c r="H225" s="33" t="str">
        <x:v>增加编译开关 `KVCACHE_ENABLE_ROUTER`、运行时开关 `kvcache.router.enabled` 与 BackendRegistry 注册项；冻结 capability、descriptor、completion/fence、error mapping 与 per-path telemetry 字段，并实现“主路径→备路径→重算/冷路径”的有界 fallback。</x:v>
      </x:c>
      <x:c r="I225" s="33" t="str">
        <x:v>同机架内本地及远端DDR命中率（Local Usable Hit Rate）提升≥30%。</x:v>
      </x:c>
      <x:c r="J225" s="33" t="str">
        <x:v>cmake/KVCacheBackends.cmake + config/backends/router.yaml + src/backends/backend_registry.cc</x:v>
      </x:c>
      <x:c r="K225" s="33" t="str">
        <x:v>L4 底层传输层 / 驱动/硬件协同开发</x:v>
      </x:c>
      <x:c r="L225" s="33" t="str">
        <x:v>L4-FABRIC-ROUTER-001</x:v>
      </x:c>
    </x:row>
    <x:row r="226" ht="76" customHeight="1">
      <x:c r="A226" s="33" t="str">
        <x:v>SF-01/IR-01-09/SR-01-09-01/AR-L4-FABRIC-ROUTER-001-03</x:v>
      </x:c>
      <x:c r="B226" s="33" t="n">
        <x:v>4</x:v>
      </x:c>
      <x:c r="C226" s="34" t="str">
        <x:v>AR</x:v>
      </x:c>
      <x:c r="D226" s="34" t="str">
        <x:v>AR-L4-FABRIC-ROUTER-001-03</x:v>
      </x:c>
      <x:c r="E226" s="34" t="str">
        <x:v>SR-01-09-01</x:v>
      </x:c>
      <x:c r="F226" s="34" t="str">
        <x:v>            └─ AR-L4-FABRIC-ROUTER-001-03 验证与观测</x:v>
      </x:c>
      <x:c r="G226" s="34" t="str">
        <x:v>验证与观测</x:v>
      </x:c>
      <x:c r="H226" s="33" t="str">
        <x:v>新增正常、边界、并发、超时、stale metadata、迁移冲突、路径拥塞/故障与 feature-flag-off 用例；在 benchmark 中固定模型、tokenizer、prompt、并发、拓扑和 baseline，采集 lookup/load/attach、TTFT、TPOT、usable/abandoned hit、带宽/时延及 CPU/NPU 利用率。</x:v>
      </x:c>
      <x:c r="I226" s="33" t="str">
        <x:v>同机架内本地及远端DDR命中率（Local Usable Hit Rate）提升≥30%。</x:v>
      </x:c>
      <x:c r="J226" s="33" t="str">
        <x:v>tests/backends/fabric/router_test.cc + benchmarks/backends/fabric/router_benchmark.cc</x:v>
      </x:c>
      <x:c r="K226" s="33" t="str">
        <x:v>L4 底层传输层 / 驱动/硬件协同开发</x:v>
      </x:c>
      <x:c r="L226" s="33" t="str">
        <x:v>L4-FABRIC-ROUTER-001</x:v>
      </x:c>
    </x:row>
    <x:row r="227" ht="76" customHeight="1">
      <x:c r="A227" s="31" t="str">
        <x:v>SF-01/IR-01-09/SR-01-09-02</x:v>
      </x:c>
      <x:c r="B227" s="31" t="n">
        <x:v>3</x:v>
      </x:c>
      <x:c r="C227" s="32" t="str">
        <x:v>SR</x:v>
      </x:c>
      <x:c r="D227" s="32" t="str">
        <x:v>SR-01-09-02</x:v>
      </x:c>
      <x:c r="E227" s="32" t="str">
        <x:v>IR-01-09</x:v>
      </x:c>
      <x:c r="F227" s="32" t="str">
        <x:v>        ├─ SR-01-09-02 识别 direct 路径真实性，防止名义 direct 实际绕行 CPU/DDR</x:v>
      </x:c>
      <x:c r="G227" s="32" t="str">
        <x:v>识别 direct 路径真实性，防止名义 direct 实际绕行 CPU/DDR｜L4-HW-HostPayloadTouchBudget-076</x:v>
      </x:c>
      <x:c r="H227" s="31" t="str">
        <x:v>系统重构：本需求要求底层 capability 与 telemetry 对每条 KV 数据路径声明 Host Payload touch 次数、CPU copy 次数、CPU cycles/GB、是否执行 CPU codec/CRC、DMA/存储引擎和队列。 技术路径：P0 建立字段和microbenchmark；P1纳入QueryPlan实际成本。</x:v>
      </x:c>
      <x:c r="I227" s="31" t="str">
        <x:v>路径报告可审计；默认主路径 CPU Payload touch=0，任何例外均可见、可禁用并进入成本模型。</x:v>
      </x:c>
      <x:c r="J227" s="31" t="str"/>
      <x:c r="K227" s="31" t="str">
        <x:v>L4 底层传输层 / Fabric能力与统一路由</x:v>
      </x:c>
      <x:c r="L227" s="31" t="str">
        <x:v>L4-HW-HostPayloadTouchBudget-076</x:v>
      </x:c>
    </x:row>
    <x:row r="228" ht="76" customHeight="1">
      <x:c r="A228" s="33" t="str">
        <x:v>SF-01/IR-01-09/SR-01-09-02/AR-L4-HW-HostPayloadTouchBudget-076-01</x:v>
      </x:c>
      <x:c r="B228" s="33" t="n">
        <x:v>4</x:v>
      </x:c>
      <x:c r="C228" s="34" t="str">
        <x:v>AR</x:v>
      </x:c>
      <x:c r="D228" s="34" t="str">
        <x:v>AR-L4-HW-HostPayloadTouchBudget-076-01</x:v>
      </x:c>
      <x:c r="E228" s="34" t="str">
        <x:v>SR-01-09-02</x:v>
      </x:c>
      <x:c r="F228" s="34" t="str">
        <x:v>            ├─ AR-L4-HW-HostPayloadTouchBudget-076-01 核心实现</x:v>
      </x:c>
      <x:c r="G228" s="34" t="str">
        <x:v>核心实现</x:v>
      </x:c>
      <x:c r="H228" s="33" t="str">
        <x:v>在 `src/backends/fabric/host_payload_touch_budget.{h,cc}` 新增或重写 `HostPayloadTouchBudgetRouter`，把“识别 direct 路径真实性，防止名义 direct 实际绕行 CPU/DDR”落实为 L4 底层传输层 可调用主路径：本需求要求底层 capability 与 telemetry 对每条 KV 数据路径声明 Host Payload touch 次数、CPU copy 次数、CPU cycles/GB、是否执行 CPU codec/CRC、DMA/存储引擎和队列。 输入必须显式消费 device inventory + backend probe + layout constraint，输出 PathCapability + feature flags + telemetry schema，不得用全局单例或隐藏同步 I/O 绕开预算与状态机。</x:v>
      </x:c>
      <x:c r="I228" s="33" t="str">
        <x:v>路径报告可审计；默认主路径 CPU Payload touch=0，任何例外均可见、可禁用并进入成本模型。</x:v>
      </x:c>
      <x:c r="J228" s="33" t="str">
        <x:v>src/backends/fabric/host_payload_touch_budget.{h,cc}</x:v>
      </x:c>
      <x:c r="K228" s="33" t="str">
        <x:v>L4 底层传输层 / 驱动/硬件协同开发</x:v>
      </x:c>
      <x:c r="L228" s="33" t="str">
        <x:v>L4-HW-HostPayloadTouchBudget-076</x:v>
      </x:c>
    </x:row>
    <x:row r="229" ht="76" customHeight="1">
      <x:c r="A229" s="33" t="str">
        <x:v>SF-01/IR-01-09/SR-01-09-02/AR-L4-HW-HostPayloadTouchBudget-076-02</x:v>
      </x:c>
      <x:c r="B229" s="33" t="n">
        <x:v>4</x:v>
      </x:c>
      <x:c r="C229" s="34" t="str">
        <x:v>AR</x:v>
      </x:c>
      <x:c r="D229" s="34" t="str">
        <x:v>AR-L4-HW-HostPayloadTouchBudget-076-02</x:v>
      </x:c>
      <x:c r="E229" s="34" t="str">
        <x:v>SR-01-09-02</x:v>
      </x:c>
      <x:c r="F229" s="34" t="str">
        <x:v>            ├─ AR-L4-HW-HostPayloadTouchBudget-076-02 契约配置与降级</x:v>
      </x:c>
      <x:c r="G229" s="34" t="str">
        <x:v>契约配置与降级</x:v>
      </x:c>
      <x:c r="H229" s="33" t="str">
        <x:v>增加编译开关 `KVCACHE_ENABLE_HOST_PAYLOAD_TOUCH_BUDGET`、运行时开关 `kvcache.host_payload_touch_budget.enabled` 与 BackendRegistry 注册项；冻结 capability、descriptor、completion/fence、error mapping 与 per-path telemetry 字段，并实现“主路径→备路径→重算/冷路径”的有界 fallback。</x:v>
      </x:c>
      <x:c r="I229" s="33" t="str">
        <x:v>路径报告可审计；默认主路径 CPU Payload touch=0，任何例外均可见、可禁用并进入成本模型。</x:v>
      </x:c>
      <x:c r="J229" s="33" t="str">
        <x:v>cmake/KVCacheBackends.cmake + config/backends/host_payload_touch_budget.yaml + src/backends/backend_registry.cc</x:v>
      </x:c>
      <x:c r="K229" s="33" t="str">
        <x:v>L4 底层传输层 / 驱动/硬件协同开发</x:v>
      </x:c>
      <x:c r="L229" s="33" t="str">
        <x:v>L4-HW-HostPayloadTouchBudget-076</x:v>
      </x:c>
    </x:row>
    <x:row r="230" ht="76" customHeight="1">
      <x:c r="A230" s="33" t="str">
        <x:v>SF-01/IR-01-09/SR-01-09-02/AR-L4-HW-HostPayloadTouchBudget-076-03</x:v>
      </x:c>
      <x:c r="B230" s="33" t="n">
        <x:v>4</x:v>
      </x:c>
      <x:c r="C230" s="34" t="str">
        <x:v>AR</x:v>
      </x:c>
      <x:c r="D230" s="34" t="str">
        <x:v>AR-L4-HW-HostPayloadTouchBudget-076-03</x:v>
      </x:c>
      <x:c r="E230" s="34" t="str">
        <x:v>SR-01-09-02</x:v>
      </x:c>
      <x:c r="F230" s="34" t="str">
        <x:v>            └─ AR-L4-HW-HostPayloadTouchBudget-076-03 验证与观测</x:v>
      </x:c>
      <x:c r="G230" s="34" t="str">
        <x:v>验证与观测</x:v>
      </x:c>
      <x:c r="H230" s="33" t="str">
        <x:v>新增正常、边界、并发、超时、stale metadata、迁移冲突、路径拥塞/故障与 feature-flag-off 用例；在 benchmark 中固定模型、tokenizer、prompt、并发、拓扑和 baseline，采集 lookup/load/attach、TTFT、TPOT、usable/abandoned hit、带宽/时延及 CPU/NPU 利用率。</x:v>
      </x:c>
      <x:c r="I230" s="33" t="str">
        <x:v>路径报告可审计；默认主路径 CPU Payload touch=0，任何例外均可见、可禁用并进入成本模型。</x:v>
      </x:c>
      <x:c r="J230" s="33" t="str">
        <x:v>tests/backends/fabric/host_payload_touch_budget_test.cc + benchmarks/backends/fabric/host_payload_touch_budget_benchmark.cc</x:v>
      </x:c>
      <x:c r="K230" s="33" t="str">
        <x:v>L4 底层传输层 / 驱动/硬件协同开发</x:v>
      </x:c>
      <x:c r="L230" s="33" t="str">
        <x:v>L4-HW-HostPayloadTouchBudget-076</x:v>
      </x:c>
    </x:row>
    <x:row r="231" ht="76" customHeight="1">
      <x:c r="A231" s="31" t="str">
        <x:v>SF-01/IR-01-09/SR-01-09-03</x:v>
      </x:c>
      <x:c r="B231" s="31" t="n">
        <x:v>3</x:v>
      </x:c>
      <x:c r="C231" s="32" t="str">
        <x:v>SR</x:v>
      </x:c>
      <x:c r="D231" s="32" t="str">
        <x:v>SR-01-09-03</x:v>
      </x:c>
      <x:c r="E231" s="32" t="str">
        <x:v>IR-01-09</x:v>
      </x:c>
      <x:c r="F231" s="32" t="str">
        <x:v>        ├─ SR-01-09-03 异构 KV 传输硬件能力建模</x:v>
      </x:c>
      <x:c r="G231" s="32" t="str">
        <x:v>异构 KV 传输硬件能力建模｜L4-HW-SemCapTable-050</x:v>
      </x:c>
      <x:c r="H231" s="31" t="str">
        <x:v>系统重构：本需求要求硬件抽象层输出 semantic capability table：对每条路径声明可支持的链路类型，支持 coherent memory view、atomic、DMA、RDMA、GDS、TCP stream、QoS、fence、persistent visibility、NPU DMA，使上层不会误把所有路径当作普通 read/write。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x:v>
      </x:c>
      <x:c r="I231" s="31" t="str">
        <x:v>建立前置硬件能力矩阵和注册内存池机制，确保 KV block layout 不被碎片化，并能进行有效的硬件边界隔离。</x:v>
      </x:c>
      <x:c r="J231" s="31" t="str"/>
      <x:c r="K231" s="31" t="str">
        <x:v>L4 底层传输层 / Fabric能力与统一路由</x:v>
      </x:c>
      <x:c r="L231" s="31" t="str">
        <x:v>L4-HW-SemCapTable-050</x:v>
      </x:c>
    </x:row>
    <x:row r="232" ht="76" customHeight="1">
      <x:c r="A232" s="33" t="str">
        <x:v>SF-01/IR-01-09/SR-01-09-03/AR-L4-HW-SemCapTable-050-01</x:v>
      </x:c>
      <x:c r="B232" s="33" t="n">
        <x:v>4</x:v>
      </x:c>
      <x:c r="C232" s="34" t="str">
        <x:v>AR</x:v>
      </x:c>
      <x:c r="D232" s="34" t="str">
        <x:v>AR-L4-HW-SemCapTable-050-01</x:v>
      </x:c>
      <x:c r="E232" s="34" t="str">
        <x:v>SR-01-09-03</x:v>
      </x:c>
      <x:c r="F232" s="34" t="str">
        <x:v>            ├─ AR-L4-HW-SemCapTable-050-01 核心实现</x:v>
      </x:c>
      <x:c r="G232" s="34" t="str">
        <x:v>核心实现</x:v>
      </x:c>
      <x:c r="H232" s="33" t="str">
        <x:v>在 `src/backends/fabric/sem_cap_table.{h,cc}` 新增或重写 `SemCapTableRouter`，把“异构 KV 传输硬件能力建模”落实为 L4 底层传输层 可调用主路径：本需求要求硬件抽象层输出 semantic capability table：对每条路径声明可支持的链路类型，支持 coherent memory view、atomic、DMA、RDMA、GDS、TCP stream、QoS、fence、persistent visibility、NPU DMA，使上层不会误把所有路径当作普通 read/write。 输入必须显式消费 device inventory + backend probe + layout constraint，输出 PathCapability + feature flags + telemetry schema，不得用全局单例或隐藏同步 I/O 绕开预算与状态机。</x:v>
      </x:c>
      <x:c r="I232" s="33" t="str">
        <x:v>建立前置硬件能力矩阵和注册内存池机制，确保 KV block layout 不被碎片化，并能进行有效的硬件边界隔离。</x:v>
      </x:c>
      <x:c r="J232" s="33" t="str">
        <x:v>src/backends/fabric/sem_cap_table.{h,cc}</x:v>
      </x:c>
      <x:c r="K232" s="33" t="str">
        <x:v>L4 底层传输层 / 驱动/硬件协同开发</x:v>
      </x:c>
      <x:c r="L232" s="33" t="str">
        <x:v>L4-HW-SemCapTable-050</x:v>
      </x:c>
    </x:row>
    <x:row r="233" ht="76" customHeight="1">
      <x:c r="A233" s="33" t="str">
        <x:v>SF-01/IR-01-09/SR-01-09-03/AR-L4-HW-SemCapTable-050-02</x:v>
      </x:c>
      <x:c r="B233" s="33" t="n">
        <x:v>4</x:v>
      </x:c>
      <x:c r="C233" s="34" t="str">
        <x:v>AR</x:v>
      </x:c>
      <x:c r="D233" s="34" t="str">
        <x:v>AR-L4-HW-SemCapTable-050-02</x:v>
      </x:c>
      <x:c r="E233" s="34" t="str">
        <x:v>SR-01-09-03</x:v>
      </x:c>
      <x:c r="F233" s="34" t="str">
        <x:v>            ├─ AR-L4-HW-SemCapTable-050-02 契约配置与降级</x:v>
      </x:c>
      <x:c r="G233" s="34" t="str">
        <x:v>契约配置与降级</x:v>
      </x:c>
      <x:c r="H233" s="33" t="str">
        <x:v>增加编译开关 `KVCACHE_ENABLE_SEM_CAP_TABLE`、运行时开关 `kvcache.sem_cap_table.enabled` 与 BackendRegistry 注册项；冻结 capability、descriptor、completion/fence、error mapping 与 per-path telemetry 字段，并实现“主路径→备路径→重算/冷路径”的有界 fallback。</x:v>
      </x:c>
      <x:c r="I233" s="33" t="str">
        <x:v>建立前置硬件能力矩阵和注册内存池机制，确保 KV block layout 不被碎片化，并能进行有效的硬件边界隔离。</x:v>
      </x:c>
      <x:c r="J233" s="33" t="str">
        <x:v>cmake/KVCacheBackends.cmake + config/backends/sem_cap_table.yaml + src/backends/backend_registry.cc</x:v>
      </x:c>
      <x:c r="K233" s="33" t="str">
        <x:v>L4 底层传输层 / 驱动/硬件协同开发</x:v>
      </x:c>
      <x:c r="L233" s="33" t="str">
        <x:v>L4-HW-SemCapTable-050</x:v>
      </x:c>
    </x:row>
    <x:row r="234" ht="76" customHeight="1">
      <x:c r="A234" s="33" t="str">
        <x:v>SF-01/IR-01-09/SR-01-09-03/AR-L4-HW-SemCapTable-050-03</x:v>
      </x:c>
      <x:c r="B234" s="33" t="n">
        <x:v>4</x:v>
      </x:c>
      <x:c r="C234" s="34" t="str">
        <x:v>AR</x:v>
      </x:c>
      <x:c r="D234" s="34" t="str">
        <x:v>AR-L4-HW-SemCapTable-050-03</x:v>
      </x:c>
      <x:c r="E234" s="34" t="str">
        <x:v>SR-01-09-03</x:v>
      </x:c>
      <x:c r="F234" s="34" t="str">
        <x:v>            └─ AR-L4-HW-SemCapTable-050-03 验证与观测</x:v>
      </x:c>
      <x:c r="G234" s="34" t="str">
        <x:v>验证与观测</x:v>
      </x:c>
      <x:c r="H234" s="33" t="str">
        <x:v>新增正常、边界、并发、超时、stale metadata、迁移冲突、路径拥塞/故障与 feature-flag-off 用例；在 benchmark 中固定模型、tokenizer、prompt、并发、拓扑和 baseline，采集 lookup/load/attach、TTFT、TPOT、usable/abandoned hit、带宽/时延及 CPU/NPU 利用率。</x:v>
      </x:c>
      <x:c r="I234" s="33" t="str">
        <x:v>建立前置硬件能力矩阵和注册内存池机制，确保 KV block layout 不被碎片化，并能进行有效的硬件边界隔离。</x:v>
      </x:c>
      <x:c r="J234" s="33" t="str">
        <x:v>tests/backends/fabric/sem_cap_table_test.cc + benchmarks/backends/fabric/sem_cap_table_benchmark.cc</x:v>
      </x:c>
      <x:c r="K234" s="33" t="str">
        <x:v>L4 底层传输层 / 驱动/硬件协同开发</x:v>
      </x:c>
      <x:c r="L234" s="33" t="str">
        <x:v>L4-HW-SemCapTable-050</x:v>
      </x:c>
    </x:row>
    <x:row r="235" ht="76" customHeight="1">
      <x:c r="A235" s="31" t="str">
        <x:v>SF-01/IR-01-09/SR-01-09-04</x:v>
      </x:c>
      <x:c r="B235" s="31" t="n">
        <x:v>3</x:v>
      </x:c>
      <x:c r="C235" s="32" t="str">
        <x:v>SR</x:v>
      </x:c>
      <x:c r="D235" s="32" t="str">
        <x:v>SR-01-09-04</x:v>
      </x:c>
      <x:c r="E235" s="32" t="str">
        <x:v>IR-01-09</x:v>
      </x:c>
      <x:c r="F235" s="32" t="str">
        <x:v>        ├─ SR-01-09-04 KV 存储布局与底层能力匹配</x:v>
      </x:c>
      <x:c r="G235" s="32" t="str">
        <x:v>KV 存储布局与底层能力匹配｜L4-HW-StorageLayoutCapability-067</x:v>
      </x:c>
      <x:c r="H235" s="31" t="str">
        <x:v>系统重构：本需求要求底层能力表声明各后端对 extent layout 的约束，包括 alignment、max_sg_entries、max_segment_size、registration granularity、direct-IO granularity、page size、cross-layer block support、zero-copy view support，使 L3 生成的 manifest 和 descriptor 不违反后端限制。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x:v>
      </x:c>
      <x:c r="I235" s="31" t="str">
        <x:v>建立前置硬件能力矩阵和注册内存池机制，确保 KV block layout 不被碎片化，并能进行有效的硬件边界隔离。</x:v>
      </x:c>
      <x:c r="J235" s="31" t="str"/>
      <x:c r="K235" s="31" t="str">
        <x:v>L4 底层传输层 / Fabric能力与统一路由</x:v>
      </x:c>
      <x:c r="L235" s="31" t="str">
        <x:v>L4-HW-StorageLayoutCapability-067</x:v>
      </x:c>
    </x:row>
    <x:row r="236" ht="76" customHeight="1">
      <x:c r="A236" s="33" t="str">
        <x:v>SF-01/IR-01-09/SR-01-09-04/AR-L4-HW-StorageLayoutCapability-067-01</x:v>
      </x:c>
      <x:c r="B236" s="33" t="n">
        <x:v>4</x:v>
      </x:c>
      <x:c r="C236" s="34" t="str">
        <x:v>AR</x:v>
      </x:c>
      <x:c r="D236" s="34" t="str">
        <x:v>AR-L4-HW-StorageLayoutCapability-067-01</x:v>
      </x:c>
      <x:c r="E236" s="34" t="str">
        <x:v>SR-01-09-04</x:v>
      </x:c>
      <x:c r="F236" s="34" t="str">
        <x:v>            ├─ AR-L4-HW-StorageLayoutCapability-067-01 核心实现</x:v>
      </x:c>
      <x:c r="G236" s="34" t="str">
        <x:v>核心实现</x:v>
      </x:c>
      <x:c r="H236" s="33" t="str">
        <x:v>在 `src/backends/fabric/storage_layout_capability.{h,cc}` 新增或重写 `StorageLayoutCapabilityRouter`，把“KV 存储布局与底层能力匹配”落实为 L4 底层传输层 可调用主路径：本需求要求底层能力表声明各后端对 extent layout 的约束，包括 alignment、max_sg_entries、max_segment_size、registration granularity、direct-IO granularity、page size、cross-layer block support、zero-copy view support，使 L3 生成的 manifest 和 descriptor 不违… 输入必须显式消费 device inventory + backend probe + layout constraint，输出 PathCapability + feature flags + telemetry schema，不得用全局单例或隐藏同步 I/O 绕开预算与状态机。</x:v>
      </x:c>
      <x:c r="I236" s="33" t="str">
        <x:v>建立前置硬件能力矩阵和注册内存池机制，确保 KV block layout 不被碎片化，并能进行有效的硬件边界隔离。</x:v>
      </x:c>
      <x:c r="J236" s="33" t="str">
        <x:v>src/backends/fabric/storage_layout_capability.{h,cc}</x:v>
      </x:c>
      <x:c r="K236" s="33" t="str">
        <x:v>L4 底层传输层 / 驱动/硬件协同开发</x:v>
      </x:c>
      <x:c r="L236" s="33" t="str">
        <x:v>L4-HW-StorageLayoutCapability-067</x:v>
      </x:c>
    </x:row>
    <x:row r="237" ht="76" customHeight="1">
      <x:c r="A237" s="33" t="str">
        <x:v>SF-01/IR-01-09/SR-01-09-04/AR-L4-HW-StorageLayoutCapability-067-02</x:v>
      </x:c>
      <x:c r="B237" s="33" t="n">
        <x:v>4</x:v>
      </x:c>
      <x:c r="C237" s="34" t="str">
        <x:v>AR</x:v>
      </x:c>
      <x:c r="D237" s="34" t="str">
        <x:v>AR-L4-HW-StorageLayoutCapability-067-02</x:v>
      </x:c>
      <x:c r="E237" s="34" t="str">
        <x:v>SR-01-09-04</x:v>
      </x:c>
      <x:c r="F237" s="34" t="str">
        <x:v>            ├─ AR-L4-HW-StorageLayoutCapability-067-02 契约配置与降级</x:v>
      </x:c>
      <x:c r="G237" s="34" t="str">
        <x:v>契约配置与降级</x:v>
      </x:c>
      <x:c r="H237" s="33" t="str">
        <x:v>增加编译开关 `KVCACHE_ENABLE_STORAGE_LAYOUT_CAPABILITY`、运行时开关 `kvcache.storage_layout_capability.enabled` 与 BackendRegistry 注册项；冻结 capability、descriptor、completion/fence、error mapping 与 per-path telemetry 字段，并实现“主路径→备路径→重算/冷路径”的有界 fallback。</x:v>
      </x:c>
      <x:c r="I237" s="33" t="str">
        <x:v>建立前置硬件能力矩阵和注册内存池机制，确保 KV block layout 不被碎片化，并能进行有效的硬件边界隔离。</x:v>
      </x:c>
      <x:c r="J237" s="33" t="str">
        <x:v>cmake/KVCacheBackends.cmake + config/backends/storage_layout_capability.yaml + src/backends/backend_registry.cc</x:v>
      </x:c>
      <x:c r="K237" s="33" t="str">
        <x:v>L4 底层传输层 / 驱动/硬件协同开发</x:v>
      </x:c>
      <x:c r="L237" s="33" t="str">
        <x:v>L4-HW-StorageLayoutCapability-067</x:v>
      </x:c>
    </x:row>
    <x:row r="238" ht="76" customHeight="1">
      <x:c r="A238" s="33" t="str">
        <x:v>SF-01/IR-01-09/SR-01-09-04/AR-L4-HW-StorageLayoutCapability-067-03</x:v>
      </x:c>
      <x:c r="B238" s="33" t="n">
        <x:v>4</x:v>
      </x:c>
      <x:c r="C238" s="34" t="str">
        <x:v>AR</x:v>
      </x:c>
      <x:c r="D238" s="34" t="str">
        <x:v>AR-L4-HW-StorageLayoutCapability-067-03</x:v>
      </x:c>
      <x:c r="E238" s="34" t="str">
        <x:v>SR-01-09-04</x:v>
      </x:c>
      <x:c r="F238" s="34" t="str">
        <x:v>            └─ AR-L4-HW-StorageLayoutCapability-067-03 验证与观测</x:v>
      </x:c>
      <x:c r="G238" s="34" t="str">
        <x:v>验证与观测</x:v>
      </x:c>
      <x:c r="H238" s="33" t="str">
        <x:v>新增正常、边界、并发、超时、stale metadata、迁移冲突、路径拥塞/故障与 feature-flag-off 用例；在 benchmark 中固定模型、tokenizer、prompt、并发、拓扑和 baseline，采集 lookup/load/attach、TTFT、TPOT、usable/abandoned hit、带宽/时延及 CPU/NPU 利用率。</x:v>
      </x:c>
      <x:c r="I238" s="33" t="str">
        <x:v>建立前置硬件能力矩阵和注册内存池机制，确保 KV block layout 不被碎片化，并能进行有效的硬件边界隔离。</x:v>
      </x:c>
      <x:c r="J238" s="33" t="str">
        <x:v>tests/backends/fabric/storage_layout_capability_test.cc + benchmarks/backends/fabric/storage_layout_capability_benchmark.cc</x:v>
      </x:c>
      <x:c r="K238" s="33" t="str">
        <x:v>L4 底层传输层 / 驱动/硬件协同开发</x:v>
      </x:c>
      <x:c r="L238" s="33" t="str">
        <x:v>L4-HW-StorageLayoutCapability-067</x:v>
      </x:c>
    </x:row>
    <x:row r="239" ht="76" customHeight="1">
      <x:c r="A239" s="31" t="str">
        <x:v>SF-01/IR-01-09/SR-01-09-05</x:v>
      </x:c>
      <x:c r="B239" s="31" t="n">
        <x:v>3</x:v>
      </x:c>
      <x:c r="C239" s="32" t="str">
        <x:v>SR</x:v>
      </x:c>
      <x:c r="D239" s="32" t="str">
        <x:v>SR-01-09-05</x:v>
      </x:c>
      <x:c r="E239" s="32" t="str">
        <x:v>IR-01-09</x:v>
      </x:c>
      <x:c r="F239" s="32" t="str">
        <x:v>        ├─ SR-01-09-05 共享内存 KV 访问地址转换优化</x:v>
      </x:c>
      <x:c r="G239" s="32" t="str">
        <x:v>共享内存 KV 访问地址转换优化｜L4-HW-AddrTrans-051</x:v>
      </x:c>
      <x:c r="H239" s="31" t="str">
        <x:v>系统重构：本需求要求硬件层为 UB/C2C/NPU/NPU memory view 暴露地址翻译 telemetry，包括 IOMMU/ATS/SMMU/TLB miss、page fault、shootdown、page size 和 first-touch 代价，使 direct view 的尾延迟可观测、可优化。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x:v>
      </x:c>
      <x:c r="I239" s="31" t="str">
        <x:v>direct view p99 可解释；</x:v>
      </x:c>
      <x:c r="J239" s="31" t="str"/>
      <x:c r="K239" s="31" t="str">
        <x:v>L4 底层传输层 / Fabric能力与统一路由</x:v>
      </x:c>
      <x:c r="L239" s="31" t="str">
        <x:v>L4-HW-AddrTrans-051</x:v>
      </x:c>
    </x:row>
    <x:row r="240" ht="76" customHeight="1">
      <x:c r="A240" s="33" t="str">
        <x:v>SF-01/IR-01-09/SR-01-09-05/AR-L4-HW-AddrTrans-051-01</x:v>
      </x:c>
      <x:c r="B240" s="33" t="n">
        <x:v>4</x:v>
      </x:c>
      <x:c r="C240" s="34" t="str">
        <x:v>AR</x:v>
      </x:c>
      <x:c r="D240" s="34" t="str">
        <x:v>AR-L4-HW-AddrTrans-051-01</x:v>
      </x:c>
      <x:c r="E240" s="34" t="str">
        <x:v>SR-01-09-05</x:v>
      </x:c>
      <x:c r="F240" s="34" t="str">
        <x:v>            ├─ AR-L4-HW-AddrTrans-051-01 核心实现</x:v>
      </x:c>
      <x:c r="G240" s="34" t="str">
        <x:v>核心实现</x:v>
      </x:c>
      <x:c r="H240" s="33" t="str">
        <x:v>在 `src/backends/fabric/addr_trans.{h,cc}` 新增或重写 `AddrTransRouter`，把“共享内存 KV 访问地址转换优化”落实为 L4 底层传输层 可调用主路径：本需求要求硬件层为 UB/C2C/NPU/NPU memory view 暴露地址翻译 telemetry，包括 IOMMU/ATS/SMMU/TLB miss、page fault、shootdown、page size 和 first-touch 代价，使 direct view 的尾延迟可观测、可优化。 输入必须显式消费 device inventory + backend probe + layout constraint，输出 PathCapability + feature flags + telemetry schema，不得用全局单例或隐藏同步 I/O 绕开预算与状态机。</x:v>
      </x:c>
      <x:c r="I240" s="33" t="str">
        <x:v>direct view p99 可解释；</x:v>
      </x:c>
      <x:c r="J240" s="33" t="str">
        <x:v>src/backends/fabric/addr_trans.{h,cc}</x:v>
      </x:c>
      <x:c r="K240" s="33" t="str">
        <x:v>L4 底层传输层 / 驱动/硬件协同开发</x:v>
      </x:c>
      <x:c r="L240" s="33" t="str">
        <x:v>L4-HW-AddrTrans-051</x:v>
      </x:c>
    </x:row>
    <x:row r="241" ht="76" customHeight="1">
      <x:c r="A241" s="33" t="str">
        <x:v>SF-01/IR-01-09/SR-01-09-05/AR-L4-HW-AddrTrans-051-02</x:v>
      </x:c>
      <x:c r="B241" s="33" t="n">
        <x:v>4</x:v>
      </x:c>
      <x:c r="C241" s="34" t="str">
        <x:v>AR</x:v>
      </x:c>
      <x:c r="D241" s="34" t="str">
        <x:v>AR-L4-HW-AddrTrans-051-02</x:v>
      </x:c>
      <x:c r="E241" s="34" t="str">
        <x:v>SR-01-09-05</x:v>
      </x:c>
      <x:c r="F241" s="34" t="str">
        <x:v>            ├─ AR-L4-HW-AddrTrans-051-02 契约配置与降级</x:v>
      </x:c>
      <x:c r="G241" s="34" t="str">
        <x:v>契约配置与降级</x:v>
      </x:c>
      <x:c r="H241" s="33" t="str">
        <x:v>增加编译开关 `KVCACHE_ENABLE_ADDR_TRANS`、运行时开关 `kvcache.addr_trans.enabled` 与 BackendRegistry 注册项；冻结 capability、descriptor、completion/fence、error mapping 与 per-path telemetry 字段，并实现“主路径→备路径→重算/冷路径”的有界 fallback。</x:v>
      </x:c>
      <x:c r="I241" s="33" t="str">
        <x:v>direct view p99 可解释；</x:v>
      </x:c>
      <x:c r="J241" s="33" t="str">
        <x:v>cmake/KVCacheBackends.cmake + config/backends/addr_trans.yaml + src/backends/backend_registry.cc</x:v>
      </x:c>
      <x:c r="K241" s="33" t="str">
        <x:v>L4 底层传输层 / 驱动/硬件协同开发</x:v>
      </x:c>
      <x:c r="L241" s="33" t="str">
        <x:v>L4-HW-AddrTrans-051</x:v>
      </x:c>
    </x:row>
    <x:row r="242" ht="76" customHeight="1">
      <x:c r="A242" s="33" t="str">
        <x:v>SF-01/IR-01-09/SR-01-09-05/AR-L4-HW-AddrTrans-051-03</x:v>
      </x:c>
      <x:c r="B242" s="33" t="n">
        <x:v>4</x:v>
      </x:c>
      <x:c r="C242" s="34" t="str">
        <x:v>AR</x:v>
      </x:c>
      <x:c r="D242" s="34" t="str">
        <x:v>AR-L4-HW-AddrTrans-051-03</x:v>
      </x:c>
      <x:c r="E242" s="34" t="str">
        <x:v>SR-01-09-05</x:v>
      </x:c>
      <x:c r="F242" s="34" t="str">
        <x:v>            └─ AR-L4-HW-AddrTrans-051-03 验证与观测</x:v>
      </x:c>
      <x:c r="G242" s="34" t="str">
        <x:v>验证与观测</x:v>
      </x:c>
      <x:c r="H242" s="33" t="str">
        <x:v>新增正常、边界、并发、超时、stale metadata、迁移冲突、路径拥塞/故障与 feature-flag-off 用例；在 benchmark 中固定模型、tokenizer、prompt、并发、拓扑和 baseline，采集 lookup/load/attach、TTFT、TPOT、usable/abandoned hit、带宽/时延及 CPU/NPU 利用率。</x:v>
      </x:c>
      <x:c r="I242" s="33" t="str">
        <x:v>direct view p99 可解释；</x:v>
      </x:c>
      <x:c r="J242" s="33" t="str">
        <x:v>tests/backends/fabric/addr_trans_test.cc + benchmarks/backends/fabric/addr_trans_benchmark.cc</x:v>
      </x:c>
      <x:c r="K242" s="33" t="str">
        <x:v>L4 底层传输层 / 驱动/硬件协同开发</x:v>
      </x:c>
      <x:c r="L242" s="33" t="str">
        <x:v>L4-HW-AddrTrans-051</x:v>
      </x:c>
    </x:row>
    <x:row r="243" ht="76" customHeight="1">
      <x:c r="A243" s="31" t="str">
        <x:v>SF-01/IR-01-09/SR-01-09-06</x:v>
      </x:c>
      <x:c r="B243" s="31" t="n">
        <x:v>3</x:v>
      </x:c>
      <x:c r="C243" s="32" t="str">
        <x:v>SR</x:v>
      </x:c>
      <x:c r="D243" s="32" t="str">
        <x:v>SR-01-09-06</x:v>
      </x:c>
      <x:c r="E243" s="32" t="str">
        <x:v>IR-01-09</x:v>
      </x:c>
      <x:c r="F243" s="32" t="str">
        <x:v>        ├─ SR-01-09-06 大规模集群网络软硬件协同性能兜底</x:v>
      </x:c>
      <x:c r="G243" s="32" t="str">
        <x:v>大规模集群网络软硬件协同性能兜底｜L4-HW-NICSpecConstraint-075</x:v>
      </x:c>
      <x:c r="H243" s="31" t="str">
        <x:v>系统重构：本需求要求针对底层传输层所依赖的高性能网卡（RNIC）和 DPU 提出硬性硬件规格诉求：支持硬件级 SR-IOV 虚拟通道，且单硬件端口必须提供不少于 4 个具备独立硬件速率限制（Hardware Rate Limiting）的硬件队列对（QP）；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x:v>
      </x:c>
      <x:c r="I243" s="31" t="str">
        <x:v>在极高并发下OOM、非法内存访问(Segfault)、租户数据串模率为0。</x:v>
      </x:c>
      <x:c r="J243" s="31" t="str"/>
      <x:c r="K243" s="31" t="str">
        <x:v>L4 底层传输层 / Fabric能力与统一路由</x:v>
      </x:c>
      <x:c r="L243" s="31" t="str">
        <x:v>L4-HW-NICSpecConstraint-075</x:v>
      </x:c>
    </x:row>
    <x:row r="244" ht="76" customHeight="1">
      <x:c r="A244" s="33" t="str">
        <x:v>SF-01/IR-01-09/SR-01-09-06/AR-L4-HW-NICSpecConstraint-075-01</x:v>
      </x:c>
      <x:c r="B244" s="33" t="n">
        <x:v>4</x:v>
      </x:c>
      <x:c r="C244" s="34" t="str">
        <x:v>AR</x:v>
      </x:c>
      <x:c r="D244" s="34" t="str">
        <x:v>AR-L4-HW-NICSpecConstraint-075-01</x:v>
      </x:c>
      <x:c r="E244" s="34" t="str">
        <x:v>SR-01-09-06</x:v>
      </x:c>
      <x:c r="F244" s="34" t="str">
        <x:v>            ├─ AR-L4-HW-NICSpecConstraint-075-01 核心实现</x:v>
      </x:c>
      <x:c r="G244" s="34" t="str">
        <x:v>核心实现</x:v>
      </x:c>
      <x:c r="H244" s="33" t="str">
        <x:v>在 `src/backends/fabric/nicspec_constraint.{h,cc}` 新增或重写 `NICSpecConstraintRouter`，把“大规模集群网络软硬件协同性能兜底”落实为 L4 底层传输层 可调用主路径：本需求要求针对底层传输层所依赖的高性能网卡（RNIC）和 DPU 提出硬性硬件规格诉求：支持硬件级 SR-IOV 虚拟通道，且单硬件端口必须提供不少于 4 个具备独立硬件速率限制（Hardware Rate Limiting）的硬件队列对（QP）； 输入必须显式消费 device inventory + backend probe + layout constraint，输出 PathCapability + feature flags + telemetry schema，不得用全局单例或隐藏同步 I/O 绕开预算与状态机。</x:v>
      </x:c>
      <x:c r="I244" s="33" t="str">
        <x:v>在极高并发下OOM、非法内存访问(Segfault)、租户数据串模率为0。</x:v>
      </x:c>
      <x:c r="J244" s="33" t="str">
        <x:v>src/backends/fabric/nicspec_constraint.{h,cc}</x:v>
      </x:c>
      <x:c r="K244" s="33" t="str">
        <x:v>L4 底层传输层 / 驱动/硬件协同开发</x:v>
      </x:c>
      <x:c r="L244" s="33" t="str">
        <x:v>L4-HW-NICSpecConstraint-075</x:v>
      </x:c>
    </x:row>
    <x:row r="245" ht="76" customHeight="1">
      <x:c r="A245" s="33" t="str">
        <x:v>SF-01/IR-01-09/SR-01-09-06/AR-L4-HW-NICSpecConstraint-075-02</x:v>
      </x:c>
      <x:c r="B245" s="33" t="n">
        <x:v>4</x:v>
      </x:c>
      <x:c r="C245" s="34" t="str">
        <x:v>AR</x:v>
      </x:c>
      <x:c r="D245" s="34" t="str">
        <x:v>AR-L4-HW-NICSpecConstraint-075-02</x:v>
      </x:c>
      <x:c r="E245" s="34" t="str">
        <x:v>SR-01-09-06</x:v>
      </x:c>
      <x:c r="F245" s="34" t="str">
        <x:v>            ├─ AR-L4-HW-NICSpecConstraint-075-02 契约配置与降级</x:v>
      </x:c>
      <x:c r="G245" s="34" t="str">
        <x:v>契约配置与降级</x:v>
      </x:c>
      <x:c r="H245" s="33" t="str">
        <x:v>增加编译开关 `KVCACHE_ENABLE_NICSPEC_CONSTRAINT`、运行时开关 `kvcache.nicspec_constraint.enabled` 与 BackendRegistry 注册项；冻结 capability、descriptor、completion/fence、error mapping 与 per-path telemetry 字段，并实现“主路径→备路径→重算/冷路径”的有界 fallback。</x:v>
      </x:c>
      <x:c r="I245" s="33" t="str">
        <x:v>在极高并发下OOM、非法内存访问(Segfault)、租户数据串模率为0。</x:v>
      </x:c>
      <x:c r="J245" s="33" t="str">
        <x:v>cmake/KVCacheBackends.cmake + config/backends/nicspec_constraint.yaml + src/backends/backend_registry.cc</x:v>
      </x:c>
      <x:c r="K245" s="33" t="str">
        <x:v>L4 底层传输层 / 驱动/硬件协同开发</x:v>
      </x:c>
      <x:c r="L245" s="33" t="str">
        <x:v>L4-HW-NICSpecConstraint-075</x:v>
      </x:c>
    </x:row>
    <x:row r="246" ht="76" customHeight="1">
      <x:c r="A246" s="33" t="str">
        <x:v>SF-01/IR-01-09/SR-01-09-06/AR-L4-HW-NICSpecConstraint-075-03</x:v>
      </x:c>
      <x:c r="B246" s="33" t="n">
        <x:v>4</x:v>
      </x:c>
      <x:c r="C246" s="34" t="str">
        <x:v>AR</x:v>
      </x:c>
      <x:c r="D246" s="34" t="str">
        <x:v>AR-L4-HW-NICSpecConstraint-075-03</x:v>
      </x:c>
      <x:c r="E246" s="34" t="str">
        <x:v>SR-01-09-06</x:v>
      </x:c>
      <x:c r="F246" s="34" t="str">
        <x:v>            └─ AR-L4-HW-NICSpecConstraint-075-03 验证与观测</x:v>
      </x:c>
      <x:c r="G246" s="34" t="str">
        <x:v>验证与观测</x:v>
      </x:c>
      <x:c r="H246" s="33" t="str">
        <x:v>新增正常、边界、并发、超时、stale metadata、迁移冲突、路径拥塞/故障与 feature-flag-off 用例；在 benchmark 中固定模型、tokenizer、prompt、并发、拓扑和 baseline，采集 lookup/load/attach、TTFT、TPOT、usable/abandoned hit、带宽/时延及 CPU/NPU 利用率。</x:v>
      </x:c>
      <x:c r="I246" s="33" t="str">
        <x:v>在极高并发下OOM、非法内存访问(Segfault)、租户数据串模率为0。</x:v>
      </x:c>
      <x:c r="J246" s="33" t="str">
        <x:v>tests/backends/fabric/nicspec_constraint_test.cc + benchmarks/backends/fabric/nicspec_constraint_benchmark.cc</x:v>
      </x:c>
      <x:c r="K246" s="33" t="str">
        <x:v>L4 底层传输层 / 驱动/硬件协同开发</x:v>
      </x:c>
      <x:c r="L246" s="33" t="str">
        <x:v>L4-HW-NICSpecConstraint-075</x:v>
      </x:c>
    </x:row>
    <x:row r="247" ht="76" customHeight="1">
      <x:c r="A247" s="29" t="str">
        <x:v>SF-01/IR-01-10</x:v>
      </x:c>
      <x:c r="B247" s="29" t="n">
        <x:v>2</x:v>
      </x:c>
      <x:c r="C247" s="30" t="str">
        <x:v>IR</x:v>
      </x:c>
      <x:c r="D247" s="30" t="str">
        <x:v>IR-01-10</x:v>
      </x:c>
      <x:c r="E247" s="30" t="str">
        <x:v>SF-01</x:v>
      </x:c>
      <x:c r="F247" s="30" t="str">
        <x:v>    ├─ IR-01-10 支持多消费者共享、租约引用管理及故障快速回退</x:v>
      </x:c>
      <x:c r="G247" s="30" t="str">
        <x:v>支持多消费者共享、租约引用管理及故障快速回退</x:v>
      </x:c>
      <x:c r="H247" s="29" t="str">
        <x:v>系统应允许多个请求、实例或并行 rank 安全共享同一 KV 对象，通过 AttachHandle、lease、refcount 和消费资格控制对象何时可读、何时可迁移或释放，并合并重复远端拉取。发生超时、对象状态冲突或路径失败时，应在有界时间内切换备用副本、本地缓存或重算，既保证共享收益，又避免 stale view、资源泄漏和无限等待。
技术锚点：Lease/RefCount + RCU + AttachHandle + FallbackContract</x:v>
      </x:c>
      <x:c r="I247" s="29" t="str">
        <x:v>stale view fault=0；重复远端拉取降低≥50%；fallback成功率=100%；fallback触发到恢复&lt;500ms。</x:v>
      </x:c>
      <x:c r="J247" s="29" t="str"/>
      <x:c r="K247" s="29" t="str">
        <x:v>TM5/TM6</x:v>
      </x:c>
      <x:c r="L247" s="29" t="str">
        <x:v>V2.1修订定义</x:v>
      </x:c>
    </x:row>
    <x:row r="248" ht="76" customHeight="1">
      <x:c r="A248" s="31" t="str">
        <x:v>SF-01/IR-01-10/SR-01-10-01</x:v>
      </x:c>
      <x:c r="B248" s="31" t="n">
        <x:v>3</x:v>
      </x:c>
      <x:c r="C248" s="32" t="str">
        <x:v>SR</x:v>
      </x:c>
      <x:c r="D248" s="32" t="str">
        <x:v>SR-01-10-01</x:v>
      </x:c>
      <x:c r="E248" s="32" t="str">
        <x:v>IR-01-10</x:v>
      </x:c>
      <x:c r="F248" s="32" t="str">
        <x:v>        ├─ SR-01-10-01 KV 加载失败快速降级恢复</x:v>
      </x:c>
      <x:c r="G248" s="32" t="str">
        <x:v>KV 加载失败快速降级恢复｜L2-FT-FallbackContract-029</x:v>
      </x:c>
      <x:c r="H248" s="31" t="str">
        <x:v>系统重构：本需求要求 Connector 严格执行 fallback contract：若上层 intent 禁止 TCP、SSD 或 object fallback，则 Connector 不得内部静默降级；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x:v>
      </x:c>
      <x:c r="I248" s="31" t="str">
        <x:v>TTFT p99 outlier 降低 ≥30%；</x:v>
      </x:c>
      <x:c r="J248" s="31" t="str"/>
      <x:c r="K248" s="31" t="str">
        <x:v>L2 KVConnector层 / 共享访问与故障控制</x:v>
      </x:c>
      <x:c r="L248" s="31" t="str">
        <x:v>L2-FT-FallbackContract-029</x:v>
      </x:c>
    </x:row>
    <x:row r="249" ht="76" customHeight="1">
      <x:c r="A249" s="33" t="str">
        <x:v>SF-01/IR-01-10/SR-01-10-01/AR-L2-FT-FallbackContract-029-01</x:v>
      </x:c>
      <x:c r="B249" s="33" t="n">
        <x:v>4</x:v>
      </x:c>
      <x:c r="C249" s="34" t="str">
        <x:v>AR</x:v>
      </x:c>
      <x:c r="D249" s="34" t="str">
        <x:v>AR-L2-FT-FallbackContract-029-01</x:v>
      </x:c>
      <x:c r="E249" s="34" t="str">
        <x:v>SR-01-10-01</x:v>
      </x:c>
      <x:c r="F249" s="34" t="str">
        <x:v>            ├─ AR-L2-FT-FallbackContract-029-01 核心实现</x:v>
      </x:c>
      <x:c r="G249" s="34" t="str">
        <x:v>核心实现</x:v>
      </x:c>
      <x:c r="H249" s="33" t="str">
        <x:v>在 `src/consistency/lease/fallback_contract.{h,cc}` 新增或重写 `FallbackContractGuard`，把“KV 加载失败快速降级恢复”落实为 L2 KVConnector层 可调用主路径：本需求要求 Connector 严格执行 fallback contract：若上层 intent 禁止 TCP、SSD 或 object fallback，则 Connector 不得内部静默降级； 输入必须显式消费 AttachHandle + object version + consumer set，输出 lease/refcount transition + fallback result，不得用全局单例或隐藏同步 I/O 绕开预算与状态机。</x:v>
      </x:c>
      <x:c r="I249" s="33" t="str">
        <x:v>TTFT p99 outlier 降低 ≥30%；</x:v>
      </x:c>
      <x:c r="J249" s="33" t="str">
        <x:v>src/consistency/lease/fallback_contract.{h,cc}</x:v>
      </x:c>
      <x:c r="K249" s="33" t="str">
        <x:v>L2 KVConnector层 / Connector开发</x:v>
      </x:c>
      <x:c r="L249" s="33" t="str">
        <x:v>L2-FT-FallbackContract-029</x:v>
      </x:c>
    </x:row>
    <x:row r="250" ht="76" customHeight="1">
      <x:c r="A250" s="33" t="str">
        <x:v>SF-01/IR-01-10/SR-01-10-01/AR-L2-FT-FallbackContract-029-02</x:v>
      </x:c>
      <x:c r="B250" s="33" t="n">
        <x:v>4</x:v>
      </x:c>
      <x:c r="C250" s="34" t="str">
        <x:v>AR</x:v>
      </x:c>
      <x:c r="D250" s="34" t="str">
        <x:v>AR-L2-FT-FallbackContract-029-02</x:v>
      </x:c>
      <x:c r="E250" s="34" t="str">
        <x:v>SR-01-10-01</x:v>
      </x:c>
      <x:c r="F250" s="34" t="str">
        <x:v>            ├─ AR-L2-FT-FallbackContract-029-02 契约配置与降级</x:v>
      </x:c>
      <x:c r="G250" s="34" t="str">
        <x:v>契约配置与降级</x:v>
      </x:c>
      <x:c r="H250" s="33" t="str">
        <x:v>为 `FallbackContractOptions` 增加 `kvcache.fallback_contract.enabled`、deadline/容量/队列预算及版本字段；在调用点接入 typed error、decision_reason、fallback_reason，确保配置热更新、灰度关闭和向后兼容均可审计。</x:v>
      </x:c>
      <x:c r="I250" s="33" t="str">
        <x:v>TTFT p99 outlier 降低 ≥30%；</x:v>
      </x:c>
      <x:c r="J250" s="33" t="str">
        <x:v>api/kvcache/v1/fallback_contract.proto + config/runtime/fallback_contract.yaml</x:v>
      </x:c>
      <x:c r="K250" s="33" t="str">
        <x:v>L2 KVConnector层 / Connector开发</x:v>
      </x:c>
      <x:c r="L250" s="33" t="str">
        <x:v>L2-FT-FallbackContract-029</x:v>
      </x:c>
    </x:row>
    <x:row r="251" ht="76" customHeight="1">
      <x:c r="A251" s="33" t="str">
        <x:v>SF-01/IR-01-10/SR-01-10-01/AR-L2-FT-FallbackContract-029-03</x:v>
      </x:c>
      <x:c r="B251" s="33" t="n">
        <x:v>4</x:v>
      </x:c>
      <x:c r="C251" s="34" t="str">
        <x:v>AR</x:v>
      </x:c>
      <x:c r="D251" s="34" t="str">
        <x:v>AR-L2-FT-FallbackContract-029-03</x:v>
      </x:c>
      <x:c r="E251" s="34" t="str">
        <x:v>SR-01-10-01</x:v>
      </x:c>
      <x:c r="F251" s="34" t="str">
        <x:v>            └─ AR-L2-FT-FallbackContract-029-03 验证与观测</x:v>
      </x:c>
      <x:c r="G251" s="34" t="str">
        <x:v>验证与观测</x:v>
      </x:c>
      <x:c r="H251" s="33" t="str">
        <x:v>新增正常、边界、并发、超时、stale metadata、迁移冲突、路径拥塞/故障与 feature-flag-off 用例；在 benchmark 中固定模型、tokenizer、prompt、并发、拓扑和 baseline，采集 lookup/load/attach、TTFT、TPOT、usable/abandoned hit、带宽/时延及 CPU/NPU 利用率。</x:v>
      </x:c>
      <x:c r="I251" s="33" t="str">
        <x:v>TTFT p99 outlier 降低 ≥30%；</x:v>
      </x:c>
      <x:c r="J251" s="33" t="str">
        <x:v>tests/consistency/lease/fallback_contract_test.cc + benchmarks/consistency/lease/fallback_contract_benchmark.cc</x:v>
      </x:c>
      <x:c r="K251" s="33" t="str">
        <x:v>L2 KVConnector层 / Connector开发</x:v>
      </x:c>
      <x:c r="L251" s="33" t="str">
        <x:v>L2-FT-FallbackContract-029</x:v>
      </x:c>
    </x:row>
    <x:row r="252" ht="76" customHeight="1">
      <x:c r="A252" s="31" t="str">
        <x:v>SF-01/IR-01-10/SR-01-10-02</x:v>
      </x:c>
      <x:c r="B252" s="31" t="n">
        <x:v>3</x:v>
      </x:c>
      <x:c r="C252" s="32" t="str">
        <x:v>SR</x:v>
      </x:c>
      <x:c r="D252" s="32" t="str">
        <x:v>SR-01-10-02</x:v>
      </x:c>
      <x:c r="E252" s="32" t="str">
        <x:v>IR-01-10</x:v>
      </x:c>
      <x:c r="F252" s="32" t="str">
        <x:v>        ├─ SR-01-10-02 前缀命中后 KV 安全消费</x:v>
      </x:c>
      <x:c r="G252" s="32" t="str">
        <x:v>前缀命中后 KV 安全消费｜L2-KV-AttachHandle-034</x:v>
      </x:c>
      <x:c r="H252" s="31" t="str">
        <x:v>系统重构：本需求要求 Connector 返回标准 KVAttachHandle，而不是只返回 KV 数据位置；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x:v>
      </x:c>
      <x:c r="I252" s="31" t="str">
        <x:v>Prefix命中判定P99耗时 &lt; 200us；在Share-Prefix业务下，Usable Hit Rate提升≥15%。</x:v>
      </x:c>
      <x:c r="J252" s="31" t="str"/>
      <x:c r="K252" s="31" t="str">
        <x:v>L2 KVConnector层 / 共享访问与故障控制</x:v>
      </x:c>
      <x:c r="L252" s="31" t="str">
        <x:v>L2-KV-AttachHandle-034</x:v>
      </x:c>
    </x:row>
    <x:row r="253" ht="76" customHeight="1">
      <x:c r="A253" s="33" t="str">
        <x:v>SF-01/IR-01-10/SR-01-10-02/AR-L2-KV-AttachHandle-034-01</x:v>
      </x:c>
      <x:c r="B253" s="33" t="n">
        <x:v>4</x:v>
      </x:c>
      <x:c r="C253" s="34" t="str">
        <x:v>AR</x:v>
      </x:c>
      <x:c r="D253" s="34" t="str">
        <x:v>AR-L2-KV-AttachHandle-034-01</x:v>
      </x:c>
      <x:c r="E253" s="34" t="str">
        <x:v>SR-01-10-02</x:v>
      </x:c>
      <x:c r="F253" s="34" t="str">
        <x:v>            ├─ AR-L2-KV-AttachHandle-034-01 核心实现</x:v>
      </x:c>
      <x:c r="G253" s="34" t="str">
        <x:v>核心实现</x:v>
      </x:c>
      <x:c r="H253" s="33" t="str">
        <x:v>在 `src/consistency/lease/attach_handle.{h,cc}` 新增或重写 `AttachHandleGuard`，把“前缀命中后 KV 安全消费”落实为 L2 KVConnector层 可调用主路径：本需求要求 Connector 返回标准 KVAttachHandle，而不是只返回 KV 数据位置； 输入必须显式消费 AttachHandle + object version + consumer set，输出 lease/refcount transition + fallback result，不得用全局单例或隐藏同步 I/O 绕开预算与状态机。</x:v>
      </x:c>
      <x:c r="I253" s="33" t="str">
        <x:v>Prefix命中判定P99耗时 &lt; 200us；在Share-Prefix业务下，Usable Hit Rate提升≥15%。</x:v>
      </x:c>
      <x:c r="J253" s="33" t="str">
        <x:v>src/consistency/lease/attach_handle.{h,cc}</x:v>
      </x:c>
      <x:c r="K253" s="33" t="str">
        <x:v>L2 KVConnector层 / Connector开发</x:v>
      </x:c>
      <x:c r="L253" s="33" t="str">
        <x:v>L2-KV-AttachHandle-034</x:v>
      </x:c>
    </x:row>
    <x:row r="254" ht="76" customHeight="1">
      <x:c r="A254" s="33" t="str">
        <x:v>SF-01/IR-01-10/SR-01-10-02/AR-L2-KV-AttachHandle-034-02</x:v>
      </x:c>
      <x:c r="B254" s="33" t="n">
        <x:v>4</x:v>
      </x:c>
      <x:c r="C254" s="34" t="str">
        <x:v>AR</x:v>
      </x:c>
      <x:c r="D254" s="34" t="str">
        <x:v>AR-L2-KV-AttachHandle-034-02</x:v>
      </x:c>
      <x:c r="E254" s="34" t="str">
        <x:v>SR-01-10-02</x:v>
      </x:c>
      <x:c r="F254" s="34" t="str">
        <x:v>            ├─ AR-L2-KV-AttachHandle-034-02 契约配置与降级</x:v>
      </x:c>
      <x:c r="G254" s="34" t="str">
        <x:v>契约配置与降级</x:v>
      </x:c>
      <x:c r="H254" s="33" t="str">
        <x:v>为 `AttachHandleOptions` 增加 `kvcache.attach_handle.enabled`、deadline/容量/队列预算及版本字段；在调用点接入 typed error、decision_reason、fallback_reason，确保配置热更新、灰度关闭和向后兼容均可审计。</x:v>
      </x:c>
      <x:c r="I254" s="33" t="str">
        <x:v>Prefix命中判定P99耗时 &lt; 200us；在Share-Prefix业务下，Usable Hit Rate提升≥15%。</x:v>
      </x:c>
      <x:c r="J254" s="33" t="str">
        <x:v>api/kvcache/v1/attach_handle.proto + config/runtime/attach_handle.yaml</x:v>
      </x:c>
      <x:c r="K254" s="33" t="str">
        <x:v>L2 KVConnector层 / Connector开发</x:v>
      </x:c>
      <x:c r="L254" s="33" t="str">
        <x:v>L2-KV-AttachHandle-034</x:v>
      </x:c>
    </x:row>
    <x:row r="255" ht="76" customHeight="1">
      <x:c r="A255" s="33" t="str">
        <x:v>SF-01/IR-01-10/SR-01-10-02/AR-L2-KV-AttachHandle-034-03</x:v>
      </x:c>
      <x:c r="B255" s="33" t="n">
        <x:v>4</x:v>
      </x:c>
      <x:c r="C255" s="34" t="str">
        <x:v>AR</x:v>
      </x:c>
      <x:c r="D255" s="34" t="str">
        <x:v>AR-L2-KV-AttachHandle-034-03</x:v>
      </x:c>
      <x:c r="E255" s="34" t="str">
        <x:v>SR-01-10-02</x:v>
      </x:c>
      <x:c r="F255" s="34" t="str">
        <x:v>            └─ AR-L2-KV-AttachHandle-034-03 验证与观测</x:v>
      </x:c>
      <x:c r="G255" s="34" t="str">
        <x:v>验证与观测</x:v>
      </x:c>
      <x:c r="H255" s="33" t="str">
        <x:v>新增正常、边界、并发、超时、stale metadata、迁移冲突、路径拥塞/故障与 feature-flag-off 用例；在 benchmark 中固定模型、tokenizer、prompt、并发、拓扑和 baseline，采集 lookup/load/attach、TTFT、TPOT、usable/abandoned hit、带宽/时延及 CPU/NPU 利用率。</x:v>
      </x:c>
      <x:c r="I255" s="33" t="str">
        <x:v>Prefix命中判定P99耗时 &lt; 200us；在Share-Prefix业务下，Usable Hit Rate提升≥15%。</x:v>
      </x:c>
      <x:c r="J255" s="33" t="str">
        <x:v>tests/consistency/lease/attach_handle_test.cc + benchmarks/consistency/lease/attach_handle_benchmark.cc</x:v>
      </x:c>
      <x:c r="K255" s="33" t="str">
        <x:v>L2 KVConnector层 / Connector开发</x:v>
      </x:c>
      <x:c r="L255" s="33" t="str">
        <x:v>L2-KV-AttachHandle-034</x:v>
      </x:c>
    </x:row>
    <x:row r="256" ht="76" customHeight="1">
      <x:c r="A256" s="31" t="str">
        <x:v>SF-01/IR-01-10/SR-01-10-03</x:v>
      </x:c>
      <x:c r="B256" s="31" t="n">
        <x:v>3</x:v>
      </x:c>
      <x:c r="C256" s="32" t="str">
        <x:v>SR</x:v>
      </x:c>
      <x:c r="D256" s="32" t="str">
        <x:v>SR-01-10-03</x:v>
      </x:c>
      <x:c r="E256" s="32" t="str">
        <x:v>IR-01-10</x:v>
      </x:c>
      <x:c r="F256" s="32" t="str">
        <x:v>        ├─ SR-01-10-03 KV 状态复杂场景下的快速降级与恢复</x:v>
      </x:c>
      <x:c r="G256" s="32" t="str">
        <x:v>KV 状态复杂场景下的快速降级与恢复｜L2-KV-StateErrorCode-037</x:v>
      </x:c>
      <x:c r="H256" s="31" t="str">
        <x:v>系统重构：本需求要求 Connector 层定义统一状态错误码，将 L3/L4 返回的 MIGRATING、LEASE_CONFLICT、STALE_VERSION、VISIBILITY_TIMEOUT、REPLICA_DEGRADED、CHECKSUM_FAILED、QUOTA_BLOCKED、BACKEND_BUSY 等状态转换为上层可执行的 retry、wait、load、copy、recompute、partial hit 或 miss 信号。 技术路径：详细设计应固定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x:v>
      </x:c>
      <x:c r="I256" s="31" t="str">
        <x:v>元数据转换和序列化开销降低至&lt;200ns/次。</x:v>
      </x:c>
      <x:c r="J256" s="31" t="str"/>
      <x:c r="K256" s="31" t="str">
        <x:v>L2 KVConnector层 / 共享访问与故障控制</x:v>
      </x:c>
      <x:c r="L256" s="31" t="str">
        <x:v>L2-KV-StateErrorCode-037</x:v>
      </x:c>
    </x:row>
    <x:row r="257" ht="76" customHeight="1">
      <x:c r="A257" s="33" t="str">
        <x:v>SF-01/IR-01-10/SR-01-10-03/AR-L2-KV-StateErrorCode-037-01</x:v>
      </x:c>
      <x:c r="B257" s="33" t="n">
        <x:v>4</x:v>
      </x:c>
      <x:c r="C257" s="34" t="str">
        <x:v>AR</x:v>
      </x:c>
      <x:c r="D257" s="34" t="str">
        <x:v>AR-L2-KV-StateErrorCode-037-01</x:v>
      </x:c>
      <x:c r="E257" s="34" t="str">
        <x:v>SR-01-10-03</x:v>
      </x:c>
      <x:c r="F257" s="34" t="str">
        <x:v>            ├─ AR-L2-KV-StateErrorCode-037-01 核心实现</x:v>
      </x:c>
      <x:c r="G257" s="34" t="str">
        <x:v>核心实现</x:v>
      </x:c>
      <x:c r="H257" s="33" t="str">
        <x:v>在 `src/consistency/lease/state_error_code.{h,cc}` 新增或重写 `StateErrorCodeGuard`，把“KV 状态复杂场景下的快速降级与恢复”落实为 L2 KVConnector层 可调用主路径：本需求要求 Connector 层定义统一状态错误码，将 L3/L4 返回的 MIGRATING、LEASE_CONFLICT、STALE_VERSION、VISIBILITY_TIMEOUT、REPLICA_DEGRADED、CHECKSUM_FAILED、QUOTA_BLOCKED、BACKEND_BUSY 等状态转换为上层可执行的 retry、wait、load、copy、recompute、partial hit 或 miss… 输入必须显式消费 AttachHandle + object version + consumer set，输出 lease/refcount transition + fallback result，不得用全局单例或隐藏同步 I/O 绕开预算与状态机。</x:v>
      </x:c>
      <x:c r="I257" s="33" t="str">
        <x:v>元数据转换和序列化开销降低至&lt;200ns/次。</x:v>
      </x:c>
      <x:c r="J257" s="33" t="str">
        <x:v>src/consistency/lease/state_error_code.{h,cc}</x:v>
      </x:c>
      <x:c r="K257" s="33" t="str">
        <x:v>L2 KVConnector层 / Connector开发</x:v>
      </x:c>
      <x:c r="L257" s="33" t="str">
        <x:v>L2-KV-StateErrorCode-037</x:v>
      </x:c>
    </x:row>
    <x:row r="258" ht="76" customHeight="1">
      <x:c r="A258" s="33" t="str">
        <x:v>SF-01/IR-01-10/SR-01-10-03/AR-L2-KV-StateErrorCode-037-02</x:v>
      </x:c>
      <x:c r="B258" s="33" t="n">
        <x:v>4</x:v>
      </x:c>
      <x:c r="C258" s="34" t="str">
        <x:v>AR</x:v>
      </x:c>
      <x:c r="D258" s="34" t="str">
        <x:v>AR-L2-KV-StateErrorCode-037-02</x:v>
      </x:c>
      <x:c r="E258" s="34" t="str">
        <x:v>SR-01-10-03</x:v>
      </x:c>
      <x:c r="F258" s="34" t="str">
        <x:v>            ├─ AR-L2-KV-StateErrorCode-037-02 契约配置与降级</x:v>
      </x:c>
      <x:c r="G258" s="34" t="str">
        <x:v>契约配置与降级</x:v>
      </x:c>
      <x:c r="H258" s="33" t="str">
        <x:v>为 `StateErrorCodeOptions` 增加 `kvcache.state_error_code.enabled`、deadline/容量/队列预算及版本字段；在调用点接入 typed error、decision_reason、fallback_reason，确保配置热更新、灰度关闭和向后兼容均可审计。</x:v>
      </x:c>
      <x:c r="I258" s="33" t="str">
        <x:v>元数据转换和序列化开销降低至&lt;200ns/次。</x:v>
      </x:c>
      <x:c r="J258" s="33" t="str">
        <x:v>api/kvcache/v1/state_error_code.proto + config/runtime/state_error_code.yaml</x:v>
      </x:c>
      <x:c r="K258" s="33" t="str">
        <x:v>L2 KVConnector层 / Connector开发</x:v>
      </x:c>
      <x:c r="L258" s="33" t="str">
        <x:v>L2-KV-StateErrorCode-037</x:v>
      </x:c>
    </x:row>
    <x:row r="259" ht="76" customHeight="1">
      <x:c r="A259" s="33" t="str">
        <x:v>SF-01/IR-01-10/SR-01-10-03/AR-L2-KV-StateErrorCode-037-03</x:v>
      </x:c>
      <x:c r="B259" s="33" t="n">
        <x:v>4</x:v>
      </x:c>
      <x:c r="C259" s="34" t="str">
        <x:v>AR</x:v>
      </x:c>
      <x:c r="D259" s="34" t="str">
        <x:v>AR-L2-KV-StateErrorCode-037-03</x:v>
      </x:c>
      <x:c r="E259" s="34" t="str">
        <x:v>SR-01-10-03</x:v>
      </x:c>
      <x:c r="F259" s="34" t="str">
        <x:v>            └─ AR-L2-KV-StateErrorCode-037-03 验证与观测</x:v>
      </x:c>
      <x:c r="G259" s="34" t="str">
        <x:v>验证与观测</x:v>
      </x:c>
      <x:c r="H259" s="33" t="str">
        <x:v>新增正常、边界、并发、超时、stale metadata、迁移冲突、路径拥塞/故障与 feature-flag-off 用例；在 benchmark 中固定模型、tokenizer、prompt、并发、拓扑和 baseline，采集 lookup/load/attach、TTFT、TPOT、usable/abandoned hit、带宽/时延及 CPU/NPU 利用率。</x:v>
      </x:c>
      <x:c r="I259" s="33" t="str">
        <x:v>元数据转换和序列化开销降低至&lt;200ns/次。</x:v>
      </x:c>
      <x:c r="J259" s="33" t="str">
        <x:v>tests/consistency/lease/state_error_code_test.cc + benchmarks/consistency/lease/state_error_code_benchmark.cc</x:v>
      </x:c>
      <x:c r="K259" s="33" t="str">
        <x:v>L2 KVConnector层 / Connector开发</x:v>
      </x:c>
      <x:c r="L259" s="33" t="str">
        <x:v>L2-KV-StateErrorCode-037</x:v>
      </x:c>
    </x:row>
    <x:row r="260" ht="76" customHeight="1">
      <x:c r="A260" s="31" t="str">
        <x:v>SF-01/IR-01-10/SR-01-10-04</x:v>
      </x:c>
      <x:c r="B260" s="31" t="n">
        <x:v>3</x:v>
      </x:c>
      <x:c r="C260" s="32" t="str">
        <x:v>SR</x:v>
      </x:c>
      <x:c r="D260" s="32" t="str">
        <x:v>SR-01-10-04</x:v>
      </x:c>
      <x:c r="E260" s="32" t="str">
        <x:v>IR-01-10</x:v>
      </x:c>
      <x:c r="F260" s="32" t="str">
        <x:v>        ├─ SR-01-10-04 共享内存 KVCache 安全租约访问</x:v>
      </x:c>
      <x:c r="G260" s="32" t="str">
        <x:v>共享内存 KVCache 安全租约访问｜L2-MM-ViewLease-028</x:v>
      </x:c>
      <x:c r="H260" s="31" t="str">
        <x:v>系统重构：本需求要求 memory-view 访问必须以 lease handle 形式暴露，handle 必须携带 epoch、version、refcount、expiry、revocation callback； 技术路径：详细设计应固定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x:v>
      </x:c>
      <x:c r="I260" s="31" t="str">
        <x:v>stale view fault = 0；</x:v>
      </x:c>
      <x:c r="J260" s="31" t="str"/>
      <x:c r="K260" s="31" t="str">
        <x:v>L2 KVConnector层 / 共享访问与故障控制</x:v>
      </x:c>
      <x:c r="L260" s="31" t="str">
        <x:v>L2-MM-ViewLease-028</x:v>
      </x:c>
    </x:row>
    <x:row r="261" ht="76" customHeight="1">
      <x:c r="A261" s="33" t="str">
        <x:v>SF-01/IR-01-10/SR-01-10-04/AR-L2-MM-ViewLease-028-01</x:v>
      </x:c>
      <x:c r="B261" s="33" t="n">
        <x:v>4</x:v>
      </x:c>
      <x:c r="C261" s="34" t="str">
        <x:v>AR</x:v>
      </x:c>
      <x:c r="D261" s="34" t="str">
        <x:v>AR-L2-MM-ViewLease-028-01</x:v>
      </x:c>
      <x:c r="E261" s="34" t="str">
        <x:v>SR-01-10-04</x:v>
      </x:c>
      <x:c r="F261" s="34" t="str">
        <x:v>            ├─ AR-L2-MM-ViewLease-028-01 核心实现</x:v>
      </x:c>
      <x:c r="G261" s="34" t="str">
        <x:v>核心实现</x:v>
      </x:c>
      <x:c r="H261" s="33" t="str">
        <x:v>在 `src/consistency/lease/view_lease.{h,cc}` 新增或重写 `ViewLeaseGuard`，把“共享内存 KVCache 安全租约访问”落实为 L2 KVConnector层 可调用主路径：本需求要求 memory-view 访问必须以 lease handle 形式暴露，handle 必须携带 epoch、version、refcount、expiry、revocation callback； 输入必须显式消费 AttachHandle + object version + consumer set，输出 lease/refcount transition + fallback result，不得用全局单例或隐藏同步 I/O 绕开预算与状态机。</x:v>
      </x:c>
      <x:c r="I261" s="33" t="str">
        <x:v>stale view fault = 0；</x:v>
      </x:c>
      <x:c r="J261" s="33" t="str">
        <x:v>src/consistency/lease/view_lease.{h,cc}</x:v>
      </x:c>
      <x:c r="K261" s="33" t="str">
        <x:v>L2 KVConnector层 / Connector开发</x:v>
      </x:c>
      <x:c r="L261" s="33" t="str">
        <x:v>L2-MM-ViewLease-028</x:v>
      </x:c>
    </x:row>
    <x:row r="262" ht="76" customHeight="1">
      <x:c r="A262" s="33" t="str">
        <x:v>SF-01/IR-01-10/SR-01-10-04/AR-L2-MM-ViewLease-028-02</x:v>
      </x:c>
      <x:c r="B262" s="33" t="n">
        <x:v>4</x:v>
      </x:c>
      <x:c r="C262" s="34" t="str">
        <x:v>AR</x:v>
      </x:c>
      <x:c r="D262" s="34" t="str">
        <x:v>AR-L2-MM-ViewLease-028-02</x:v>
      </x:c>
      <x:c r="E262" s="34" t="str">
        <x:v>SR-01-10-04</x:v>
      </x:c>
      <x:c r="F262" s="34" t="str">
        <x:v>            ├─ AR-L2-MM-ViewLease-028-02 契约配置与降级</x:v>
      </x:c>
      <x:c r="G262" s="34" t="str">
        <x:v>契约配置与降级</x:v>
      </x:c>
      <x:c r="H262" s="33" t="str">
        <x:v>为 `ViewLeaseOptions` 增加 `kvcache.view_lease.enabled`、deadline/容量/队列预算及版本字段；在调用点接入 typed error、decision_reason、fallback_reason，确保配置热更新、灰度关闭和向后兼容均可审计。</x:v>
      </x:c>
      <x:c r="I262" s="33" t="str">
        <x:v>stale view fault = 0；</x:v>
      </x:c>
      <x:c r="J262" s="33" t="str">
        <x:v>api/kvcache/v1/view_lease.proto + config/runtime/view_lease.yaml</x:v>
      </x:c>
      <x:c r="K262" s="33" t="str">
        <x:v>L2 KVConnector层 / Connector开发</x:v>
      </x:c>
      <x:c r="L262" s="33" t="str">
        <x:v>L2-MM-ViewLease-028</x:v>
      </x:c>
    </x:row>
    <x:row r="263" ht="76" customHeight="1">
      <x:c r="A263" s="33" t="str">
        <x:v>SF-01/IR-01-10/SR-01-10-04/AR-L2-MM-ViewLease-028-03</x:v>
      </x:c>
      <x:c r="B263" s="33" t="n">
        <x:v>4</x:v>
      </x:c>
      <x:c r="C263" s="34" t="str">
        <x:v>AR</x:v>
      </x:c>
      <x:c r="D263" s="34" t="str">
        <x:v>AR-L2-MM-ViewLease-028-03</x:v>
      </x:c>
      <x:c r="E263" s="34" t="str">
        <x:v>SR-01-10-04</x:v>
      </x:c>
      <x:c r="F263" s="34" t="str">
        <x:v>            └─ AR-L2-MM-ViewLease-028-03 验证与观测</x:v>
      </x:c>
      <x:c r="G263" s="34" t="str">
        <x:v>验证与观测</x:v>
      </x:c>
      <x:c r="H263" s="33" t="str">
        <x:v>新增正常、边界、并发、超时、stale metadata、迁移冲突、路径拥塞/故障与 feature-flag-off 用例；在 benchmark 中固定模型、tokenizer、prompt、并发、拓扑和 baseline，采集 lookup/load/attach、TTFT、TPOT、usable/abandoned hit、带宽/时延及 CPU/NPU 利用率。</x:v>
      </x:c>
      <x:c r="I263" s="33" t="str">
        <x:v>stale view fault = 0；</x:v>
      </x:c>
      <x:c r="J263" s="33" t="str">
        <x:v>tests/consistency/lease/view_lease_test.cc + benchmarks/consistency/lease/view_lease_benchmark.cc</x:v>
      </x:c>
      <x:c r="K263" s="33" t="str">
        <x:v>L2 KVConnector层 / Connector开发</x:v>
      </x:c>
      <x:c r="L263" s="33" t="str">
        <x:v>L2-MM-ViewLease-028</x:v>
      </x:c>
    </x:row>
    <x:row r="264" ht="76" customHeight="1">
      <x:c r="A264" s="31" t="str">
        <x:v>SF-01/IR-01-10/SR-01-10-05</x:v>
      </x:c>
      <x:c r="B264" s="31" t="n">
        <x:v>3</x:v>
      </x:c>
      <x:c r="C264" s="32" t="str">
        <x:v>SR</x:v>
      </x:c>
      <x:c r="D264" s="32" t="str">
        <x:v>SR-01-10-05</x:v>
      </x:c>
      <x:c r="E264" s="32" t="str">
        <x:v>IR-01-10</x:v>
      </x:c>
      <x:c r="F264" s="32" t="str">
        <x:v>        ├─ SR-01-10-05 活跃租约下内存无感整理</x:v>
      </x:c>
      <x:c r="G264" s="32" t="str">
        <x:v>活跃租约下内存无感整理｜L2-CONN-DefragPause-031</x:v>
      </x:c>
      <x:c r="H264" s="31" t="str">
        <x:v>系统重构：本需求要求 Connector 层实现租约感知的碎片整理暂停与无感原子更替：当底层执行内存块迁移时，若涉及活跃的 Lease 句柄，必须通过 RCU（Read-Copy-Update）无锁机制延迟迁移，或在 50μs 内原子更替虚拟到物理的指针映射。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x:v>
      </x:c>
      <x:c r="I264" s="31" t="str">
        <x:v>元数据转换和序列化开销降低至&lt;200ns/次。</x:v>
      </x:c>
      <x:c r="J264" s="31" t="str"/>
      <x:c r="K264" s="31" t="str">
        <x:v>L2 KVConnector层 / 共享访问与故障控制</x:v>
      </x:c>
      <x:c r="L264" s="31" t="str">
        <x:v>L2-CONN-DefragPause-031</x:v>
      </x:c>
    </x:row>
    <x:row r="265" ht="76" customHeight="1">
      <x:c r="A265" s="33" t="str">
        <x:v>SF-01/IR-01-10/SR-01-10-05/AR-L2-CONN-DefragPause-031-01</x:v>
      </x:c>
      <x:c r="B265" s="33" t="n">
        <x:v>4</x:v>
      </x:c>
      <x:c r="C265" s="34" t="str">
        <x:v>AR</x:v>
      </x:c>
      <x:c r="D265" s="34" t="str">
        <x:v>AR-L2-CONN-DefragPause-031-01</x:v>
      </x:c>
      <x:c r="E265" s="34" t="str">
        <x:v>SR-01-10-05</x:v>
      </x:c>
      <x:c r="F265" s="34" t="str">
        <x:v>            ├─ AR-L2-CONN-DefragPause-031-01 核心实现</x:v>
      </x:c>
      <x:c r="G265" s="34" t="str">
        <x:v>核心实现</x:v>
      </x:c>
      <x:c r="H265" s="33" t="str">
        <x:v>在 `src/consistency/lease/defrag_pause.{h,cc}` 新增或重写 `DefragPauseGuard`，把“活跃租约下内存无感整理”落实为 L2 KVConnector层 可调用主路径：本需求要求 Connector 层实现租约感知的碎片整理暂停与无感原子更替：当底层执行内存块迁移时，若涉及活跃的 Lease 句柄，必须通过 RCU（Read-Copy-Update）无锁机制延迟迁移，或在 50μs 内原子更替虚拟到物理的指针映射。 输入必须显式消费 AttachHandle + object version + consumer set，输出 lease/refcount transition + fallback result，不得用全局单例或隐藏同步 I/O 绕开预算与状态机。</x:v>
      </x:c>
      <x:c r="I265" s="33" t="str">
        <x:v>元数据转换和序列化开销降低至&lt;200ns/次。</x:v>
      </x:c>
      <x:c r="J265" s="33" t="str">
        <x:v>src/consistency/lease/defrag_pause.{h,cc}</x:v>
      </x:c>
      <x:c r="K265" s="33" t="str">
        <x:v>L2 KVConnector层 / Connector开发</x:v>
      </x:c>
      <x:c r="L265" s="33" t="str">
        <x:v>L2-CONN-DefragPause-031</x:v>
      </x:c>
    </x:row>
    <x:row r="266" ht="76" customHeight="1">
      <x:c r="A266" s="33" t="str">
        <x:v>SF-01/IR-01-10/SR-01-10-05/AR-L2-CONN-DefragPause-031-02</x:v>
      </x:c>
      <x:c r="B266" s="33" t="n">
        <x:v>4</x:v>
      </x:c>
      <x:c r="C266" s="34" t="str">
        <x:v>AR</x:v>
      </x:c>
      <x:c r="D266" s="34" t="str">
        <x:v>AR-L2-CONN-DefragPause-031-02</x:v>
      </x:c>
      <x:c r="E266" s="34" t="str">
        <x:v>SR-01-10-05</x:v>
      </x:c>
      <x:c r="F266" s="34" t="str">
        <x:v>            ├─ AR-L2-CONN-DefragPause-031-02 契约配置与降级</x:v>
      </x:c>
      <x:c r="G266" s="34" t="str">
        <x:v>契约配置与降级</x:v>
      </x:c>
      <x:c r="H266" s="33" t="str">
        <x:v>为 `DefragPauseOptions` 增加 `kvcache.defrag_pause.enabled`、deadline/容量/队列预算及版本字段；在调用点接入 typed error、decision_reason、fallback_reason，确保配置热更新、灰度关闭和向后兼容均可审计。</x:v>
      </x:c>
      <x:c r="I266" s="33" t="str">
        <x:v>元数据转换和序列化开销降低至&lt;200ns/次。</x:v>
      </x:c>
      <x:c r="J266" s="33" t="str">
        <x:v>api/kvcache/v1/defrag_pause.proto + config/runtime/defrag_pause.yaml</x:v>
      </x:c>
      <x:c r="K266" s="33" t="str">
        <x:v>L2 KVConnector层 / Connector开发</x:v>
      </x:c>
      <x:c r="L266" s="33" t="str">
        <x:v>L2-CONN-DefragPause-031</x:v>
      </x:c>
    </x:row>
    <x:row r="267" ht="76" customHeight="1">
      <x:c r="A267" s="33" t="str">
        <x:v>SF-01/IR-01-10/SR-01-10-05/AR-L2-CONN-DefragPause-031-03</x:v>
      </x:c>
      <x:c r="B267" s="33" t="n">
        <x:v>4</x:v>
      </x:c>
      <x:c r="C267" s="34" t="str">
        <x:v>AR</x:v>
      </x:c>
      <x:c r="D267" s="34" t="str">
        <x:v>AR-L2-CONN-DefragPause-031-03</x:v>
      </x:c>
      <x:c r="E267" s="34" t="str">
        <x:v>SR-01-10-05</x:v>
      </x:c>
      <x:c r="F267" s="34" t="str">
        <x:v>            └─ AR-L2-CONN-DefragPause-031-03 验证与观测</x:v>
      </x:c>
      <x:c r="G267" s="34" t="str">
        <x:v>验证与观测</x:v>
      </x:c>
      <x:c r="H267" s="33" t="str">
        <x:v>新增正常、边界、并发、超时、stale metadata、迁移冲突、路径拥塞/故障与 feature-flag-off 用例；在 benchmark 中固定模型、tokenizer、prompt、并发、拓扑和 baseline，采集 lookup/load/attach、TTFT、TPOT、usable/abandoned hit、带宽/时延及 CPU/NPU 利用率。</x:v>
      </x:c>
      <x:c r="I267" s="33" t="str">
        <x:v>元数据转换和序列化开销降低至&lt;200ns/次。</x:v>
      </x:c>
      <x:c r="J267" s="33" t="str">
        <x:v>tests/consistency/lease/defrag_pause_test.cc + benchmarks/consistency/lease/defrag_pause_benchmark.cc</x:v>
      </x:c>
      <x:c r="K267" s="33" t="str">
        <x:v>L2 KVConnector层 / Connector开发</x:v>
      </x:c>
      <x:c r="L267" s="33" t="str">
        <x:v>L2-CONN-DefragPause-031</x:v>
      </x:c>
    </x:row>
    <x:row r="268" ht="76" customHeight="1">
      <x:c r="A268" s="31" t="str">
        <x:v>SF-01/IR-01-10/SR-01-10-06</x:v>
      </x:c>
      <x:c r="B268" s="31" t="n">
        <x:v>3</x:v>
      </x:c>
      <x:c r="C268" s="32" t="str">
        <x:v>SR</x:v>
      </x:c>
      <x:c r="D268" s="32" t="str">
        <x:v>SR-01-10-06</x:v>
      </x:c>
      <x:c r="E268" s="32" t="str">
        <x:v>IR-01-10</x:v>
      </x:c>
      <x:c r="F268" s="32" t="str">
        <x:v>        ├─ SR-01-10-06 KVCache 传输路径可追踪运维</x:v>
      </x:c>
      <x:c r="G268" s="32" t="str">
        <x:v>KVCache 传输路径可追踪运维｜L2-OB-PathTrace-030</x:v>
      </x:c>
      <x:c r="H268" s="31" t="str">
        <x:v>系统重构：本需求要求 Connector 为每次 KV access 生成 path decision trace，记录 selected semantic、selected backend、source/destination tier、reason、fallback reason、latency breakdown、bytes 和 descriptor count，支持运维定位“命中了但变慢”的根因。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x:v>
      </x:c>
      <x:c r="I268" s="31" t="str">
        <x:v>线上问题定位时间降低；</x:v>
      </x:c>
      <x:c r="J268" s="31" t="str"/>
      <x:c r="K268" s="31" t="str">
        <x:v>L2 KVConnector层 / 共享访问与故障控制</x:v>
      </x:c>
      <x:c r="L268" s="31" t="str">
        <x:v>L2-OB-PathTrace-030</x:v>
      </x:c>
    </x:row>
    <x:row r="269" ht="76" customHeight="1">
      <x:c r="A269" s="33" t="str">
        <x:v>SF-01/IR-01-10/SR-01-10-06/AR-L2-OB-PathTrace-030-01</x:v>
      </x:c>
      <x:c r="B269" s="33" t="n">
        <x:v>4</x:v>
      </x:c>
      <x:c r="C269" s="34" t="str">
        <x:v>AR</x:v>
      </x:c>
      <x:c r="D269" s="34" t="str">
        <x:v>AR-L2-OB-PathTrace-030-01</x:v>
      </x:c>
      <x:c r="E269" s="34" t="str">
        <x:v>SR-01-10-06</x:v>
      </x:c>
      <x:c r="F269" s="34" t="str">
        <x:v>            ├─ AR-L2-OB-PathTrace-030-01 核心实现</x:v>
      </x:c>
      <x:c r="G269" s="34" t="str">
        <x:v>核心实现</x:v>
      </x:c>
      <x:c r="H269" s="33" t="str">
        <x:v>在 `src/consistency/lease/path_trace.{h,cc}` 新增或重写 `PathTraceGuard`，把“KVCache 传输路径可追踪运维”落实为 L2 KVConnector层 可调用主路径：本需求要求 Connector 为每次 KV access 生成 path decision trace，记录 selected semantic、selected backend、source/destination tier、reason、fallback reason、latency breakdown、bytes 和 descriptor count，支持运维定位“命中了但变慢”的根因。 输入必须显式消费 AttachHandle + object version + consumer set，输出 lease/refcount transition + fallback result，不得用全局单例或隐藏同步 I/O 绕开预算与状态机。</x:v>
      </x:c>
      <x:c r="I269" s="33" t="str">
        <x:v>线上问题定位时间降低；</x:v>
      </x:c>
      <x:c r="J269" s="33" t="str">
        <x:v>src/consistency/lease/path_trace.{h,cc}</x:v>
      </x:c>
      <x:c r="K269" s="33" t="str">
        <x:v>L2 KVConnector层 / Connector开发</x:v>
      </x:c>
      <x:c r="L269" s="33" t="str">
        <x:v>L2-OB-PathTrace-030</x:v>
      </x:c>
    </x:row>
    <x:row r="270" ht="76" customHeight="1">
      <x:c r="A270" s="33" t="str">
        <x:v>SF-01/IR-01-10/SR-01-10-06/AR-L2-OB-PathTrace-030-02</x:v>
      </x:c>
      <x:c r="B270" s="33" t="n">
        <x:v>4</x:v>
      </x:c>
      <x:c r="C270" s="34" t="str">
        <x:v>AR</x:v>
      </x:c>
      <x:c r="D270" s="34" t="str">
        <x:v>AR-L2-OB-PathTrace-030-02</x:v>
      </x:c>
      <x:c r="E270" s="34" t="str">
        <x:v>SR-01-10-06</x:v>
      </x:c>
      <x:c r="F270" s="34" t="str">
        <x:v>            ├─ AR-L2-OB-PathTrace-030-02 契约配置与降级</x:v>
      </x:c>
      <x:c r="G270" s="34" t="str">
        <x:v>契约配置与降级</x:v>
      </x:c>
      <x:c r="H270" s="33" t="str">
        <x:v>为 `PathTraceOptions` 增加 `kvcache.path_trace.enabled`、deadline/容量/队列预算及版本字段；在调用点接入 typed error、decision_reason、fallback_reason，确保配置热更新、灰度关闭和向后兼容均可审计。</x:v>
      </x:c>
      <x:c r="I270" s="33" t="str">
        <x:v>线上问题定位时间降低；</x:v>
      </x:c>
      <x:c r="J270" s="33" t="str">
        <x:v>api/kvcache/v1/path_trace.proto + config/runtime/path_trace.yaml</x:v>
      </x:c>
      <x:c r="K270" s="33" t="str">
        <x:v>L2 KVConnector层 / Connector开发</x:v>
      </x:c>
      <x:c r="L270" s="33" t="str">
        <x:v>L2-OB-PathTrace-030</x:v>
      </x:c>
    </x:row>
    <x:row r="271" ht="76" customHeight="1">
      <x:c r="A271" s="33" t="str">
        <x:v>SF-01/IR-01-10/SR-01-10-06/AR-L2-OB-PathTrace-030-03</x:v>
      </x:c>
      <x:c r="B271" s="33" t="n">
        <x:v>4</x:v>
      </x:c>
      <x:c r="C271" s="34" t="str">
        <x:v>AR</x:v>
      </x:c>
      <x:c r="D271" s="34" t="str">
        <x:v>AR-L2-OB-PathTrace-030-03</x:v>
      </x:c>
      <x:c r="E271" s="34" t="str">
        <x:v>SR-01-10-06</x:v>
      </x:c>
      <x:c r="F271" s="34" t="str">
        <x:v>            └─ AR-L2-OB-PathTrace-030-03 验证与观测</x:v>
      </x:c>
      <x:c r="G271" s="34" t="str">
        <x:v>验证与观测</x:v>
      </x:c>
      <x:c r="H271" s="33" t="str">
        <x:v>新增正常、边界、并发、超时、stale metadata、迁移冲突、路径拥塞/故障与 feature-flag-off 用例；在 benchmark 中固定模型、tokenizer、prompt、并发、拓扑和 baseline，采集 lookup/load/attach、TTFT、TPOT、usable/abandoned hit、带宽/时延及 CPU/NPU 利用率。</x:v>
      </x:c>
      <x:c r="I271" s="33" t="str">
        <x:v>线上问题定位时间降低；</x:v>
      </x:c>
      <x:c r="J271" s="33" t="str">
        <x:v>tests/consistency/lease/path_trace_test.cc + benchmarks/consistency/lease/path_trace_benchmark.cc</x:v>
      </x:c>
      <x:c r="K271" s="33" t="str">
        <x:v>L2 KVConnector层 / Connector开发</x:v>
      </x:c>
      <x:c r="L271" s="33" t="str">
        <x:v>L2-OB-PathTrace-030</x:v>
      </x:c>
    </x:row>
    <x:row r="272" ht="76" customHeight="1">
      <x:c r="A272" s="31" t="str">
        <x:v>SF-01/IR-01-10/SR-01-10-07</x:v>
      </x:c>
      <x:c r="B272" s="31" t="n">
        <x:v>3</x:v>
      </x:c>
      <x:c r="C272" s="32" t="str">
        <x:v>SR</x:v>
      </x:c>
      <x:c r="D272" s="32" t="str">
        <x:v>SR-01-10-07</x:v>
      </x:c>
      <x:c r="E272" s="32" t="str">
        <x:v>IR-01-10</x:v>
      </x:c>
      <x:c r="F272" s="32" t="str">
        <x:v>        ├─ SR-01-10-07 共享前缀 KVCache 批量广播</x:v>
      </x:c>
      <x:c r="G272" s="32" t="str">
        <x:v>共享前缀 KVCache 批量广播｜L2-MM-MultiConsumer-027</x:v>
      </x:c>
      <x:c r="H272" s="31" t="str">
        <x:v>系统重构：本需求要求 Connector 支持 multi-consumer KV handle：同一 KV object 被多个 decode replica、TP rank 或请求消费时，应通过 refcount、consumer bitmap 和 shared visibility fence 共享一次加载结果，避免多消费者重复远端拉取。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x:v>
      </x:c>
      <x:c r="I272" s="31" t="str">
        <x:v>重复远端拉取次数降低 ≥50%；</x:v>
      </x:c>
      <x:c r="J272" s="31" t="str"/>
      <x:c r="K272" s="31" t="str">
        <x:v>L2 KVConnector层 / 共享访问与故障控制</x:v>
      </x:c>
      <x:c r="L272" s="31" t="str">
        <x:v>L2-MM-MultiConsumer-027</x:v>
      </x:c>
    </x:row>
    <x:row r="273" ht="76" customHeight="1">
      <x:c r="A273" s="33" t="str">
        <x:v>SF-01/IR-01-10/SR-01-10-07/AR-L2-MM-MultiConsumer-027-01</x:v>
      </x:c>
      <x:c r="B273" s="33" t="n">
        <x:v>4</x:v>
      </x:c>
      <x:c r="C273" s="34" t="str">
        <x:v>AR</x:v>
      </x:c>
      <x:c r="D273" s="34" t="str">
        <x:v>AR-L2-MM-MultiConsumer-027-01</x:v>
      </x:c>
      <x:c r="E273" s="34" t="str">
        <x:v>SR-01-10-07</x:v>
      </x:c>
      <x:c r="F273" s="34" t="str">
        <x:v>            ├─ AR-L2-MM-MultiConsumer-027-01 核心实现</x:v>
      </x:c>
      <x:c r="G273" s="34" t="str">
        <x:v>核心实现</x:v>
      </x:c>
      <x:c r="H273" s="33" t="str">
        <x:v>在 `src/consistency/lease/multi_consumer.{h,cc}` 新增或重写 `MultiConsumerGuard`，把“共享前缀 KVCache 批量广播”落实为 L2 KVConnector层 可调用主路径：本需求要求 Connector 支持 multi-consumer KV handle：同一 KV object 被多个 decode replica、TP rank 或请求消费时，应通过 refcount、consumer bitmap 和 shared visibility fence 共享一次加载结果，避免多消费者重复远端拉取。 输入必须显式消费 AttachHandle + object version + consumer set，输出 lease/refcount transition + fallback result，不得用全局单例或隐藏同步 I/O 绕开预算与状态机。</x:v>
      </x:c>
      <x:c r="I273" s="33" t="str">
        <x:v>重复远端拉取次数降低 ≥50%；</x:v>
      </x:c>
      <x:c r="J273" s="33" t="str">
        <x:v>src/consistency/lease/multi_consumer.{h,cc}</x:v>
      </x:c>
      <x:c r="K273" s="33" t="str">
        <x:v>L2 KVConnector层 / Connector开发</x:v>
      </x:c>
      <x:c r="L273" s="33" t="str">
        <x:v>L2-MM-MultiConsumer-027</x:v>
      </x:c>
    </x:row>
    <x:row r="274" ht="76" customHeight="1">
      <x:c r="A274" s="33" t="str">
        <x:v>SF-01/IR-01-10/SR-01-10-07/AR-L2-MM-MultiConsumer-027-02</x:v>
      </x:c>
      <x:c r="B274" s="33" t="n">
        <x:v>4</x:v>
      </x:c>
      <x:c r="C274" s="34" t="str">
        <x:v>AR</x:v>
      </x:c>
      <x:c r="D274" s="34" t="str">
        <x:v>AR-L2-MM-MultiConsumer-027-02</x:v>
      </x:c>
      <x:c r="E274" s="34" t="str">
        <x:v>SR-01-10-07</x:v>
      </x:c>
      <x:c r="F274" s="34" t="str">
        <x:v>            ├─ AR-L2-MM-MultiConsumer-027-02 契约配置与降级</x:v>
      </x:c>
      <x:c r="G274" s="34" t="str">
        <x:v>契约配置与降级</x:v>
      </x:c>
      <x:c r="H274" s="33" t="str">
        <x:v>为 `MultiConsumerOptions` 增加 `kvcache.multi_consumer.enabled`、deadline/容量/队列预算及版本字段；在调用点接入 typed error、decision_reason、fallback_reason，确保配置热更新、灰度关闭和向后兼容均可审计。</x:v>
      </x:c>
      <x:c r="I274" s="33" t="str">
        <x:v>重复远端拉取次数降低 ≥50%；</x:v>
      </x:c>
      <x:c r="J274" s="33" t="str">
        <x:v>api/kvcache/v1/multi_consumer.proto + config/runtime/multi_consumer.yaml</x:v>
      </x:c>
      <x:c r="K274" s="33" t="str">
        <x:v>L2 KVConnector层 / Connector开发</x:v>
      </x:c>
      <x:c r="L274" s="33" t="str">
        <x:v>L2-MM-MultiConsumer-027</x:v>
      </x:c>
    </x:row>
    <x:row r="275" ht="76" customHeight="1">
      <x:c r="A275" s="33" t="str">
        <x:v>SF-01/IR-01-10/SR-01-10-07/AR-L2-MM-MultiConsumer-027-03</x:v>
      </x:c>
      <x:c r="B275" s="33" t="n">
        <x:v>4</x:v>
      </x:c>
      <x:c r="C275" s="34" t="str">
        <x:v>AR</x:v>
      </x:c>
      <x:c r="D275" s="34" t="str">
        <x:v>AR-L2-MM-MultiConsumer-027-03</x:v>
      </x:c>
      <x:c r="E275" s="34" t="str">
        <x:v>SR-01-10-07</x:v>
      </x:c>
      <x:c r="F275" s="34" t="str">
        <x:v>            └─ AR-L2-MM-MultiConsumer-027-03 验证与观测</x:v>
      </x:c>
      <x:c r="G275" s="34" t="str">
        <x:v>验证与观测</x:v>
      </x:c>
      <x:c r="H275" s="33" t="str">
        <x:v>新增正常、边界、并发、超时、stale metadata、迁移冲突、路径拥塞/故障与 feature-flag-off 用例；在 benchmark 中固定模型、tokenizer、prompt、并发、拓扑和 baseline，采集 lookup/load/attach、TTFT、TPOT、usable/abandoned hit、带宽/时延及 CPU/NPU 利用率。</x:v>
      </x:c>
      <x:c r="I275" s="33" t="str">
        <x:v>重复远端拉取次数降低 ≥50%；</x:v>
      </x:c>
      <x:c r="J275" s="33" t="str">
        <x:v>tests/consistency/lease/multi_consumer_test.cc + benchmarks/consistency/lease/multi_consumer_benchmark.cc</x:v>
      </x:c>
      <x:c r="K275" s="33" t="str">
        <x:v>L2 KVConnector层 / Connector开发</x:v>
      </x:c>
      <x:c r="L275" s="33" t="str">
        <x:v>L2-MM-MultiConsumer-027</x:v>
      </x:c>
    </x:row>
    <x:row r="276" ht="76" customHeight="1">
      <x:c r="A276" s="29" t="str">
        <x:v>SF-01/IR-01-11</x:v>
      </x:c>
      <x:c r="B276" s="29" t="n">
        <x:v>2</x:v>
      </x:c>
      <x:c r="C276" s="30" t="str">
        <x:v>IR</x:v>
      </x:c>
      <x:c r="D276" s="30" t="str">
        <x:v>IR-01-11</x:v>
      </x:c>
      <x:c r="E276" s="30" t="str">
        <x:v>SF-01</x:v>
      </x:c>
      <x:c r="F276" s="30" t="str">
        <x:v>    ├─ IR-01-11 支持KV发布迁移一致性、多租户隔离和前后台传输QoS</x:v>
      </x:c>
      <x:c r="G276" s="30" t="str">
        <x:v>支持KV发布迁移一致性、多租户隔离和前后台传输QoS</x:v>
      </x:c>
      <x:c r="H276" s="29" t="str">
        <x:v>系统应建立 KV 对象发布、ready、版本、租约、引用、迁移和回收之间的并发一致性规则，并对 TTFT 加载、Decode 关键传输、预取、写回和冷回源设置独立流量等级、带宽预算和抢占关系；同时按 tenant/security domain 隔离容量、队列和访问权限，确保后台治理和其他租户不会破坏前台 TPOT、数据正确性或服务公平性。
技术锚点：MVCC/RCU + ReadyBitmap + TokenBucket/WFQ + TrafficClass</x:v>
      </x:c>
      <x:c r="I276" s="29" t="str">
        <x:v>data corruption=0；后台干扰降低≥50%；TPOT p99回退&lt;3%；租户间干扰&lt;5%；越权访问=0。</x:v>
      </x:c>
      <x:c r="J276" s="29" t="str"/>
      <x:c r="K276" s="29" t="str">
        <x:v>TM5</x:v>
      </x:c>
      <x:c r="L276" s="29" t="str">
        <x:v>V2.1修订定义</x:v>
      </x:c>
    </x:row>
    <x:row r="277" ht="76" customHeight="1">
      <x:c r="A277" s="31" t="str">
        <x:v>SF-01/IR-01-11/SR-01-11-01</x:v>
      </x:c>
      <x:c r="B277" s="31" t="n">
        <x:v>3</x:v>
      </x:c>
      <x:c r="C277" s="32" t="str">
        <x:v>SR</x:v>
      </x:c>
      <x:c r="D277" s="32" t="str">
        <x:v>SR-01-11-01</x:v>
      </x:c>
      <x:c r="E277" s="32" t="str">
        <x:v>IR-01-11</x:v>
      </x:c>
      <x:c r="F277" s="32" t="str">
        <x:v>        ├─ SR-01-11-01 Decode 使用 KV 期间防止被迁移或释放</x:v>
      </x:c>
      <x:c r="G277" s="32" t="str">
        <x:v>Decode 使用 KV 期间防止被迁移或释放｜L3-CO-AttachDetachLease-063</x:v>
      </x:c>
      <x:c r="H277" s="31" t="str">
        <x:v>系统重构：本需求要求统一 KV 内存池实现 attach/detach lease：KV 被消费前必须获取 read lease 或 attach lease，lease 期间禁止物理释放、非法覆盖或不可见迁移；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x:v>
      </x:c>
      <x:c r="I277" s="31" t="str">
        <x:v>节点动态加入/退出时的缓存失效控制在局部范围内（遵循一致性哈希比例）。</x:v>
      </x:c>
      <x:c r="J277" s="31" t="str"/>
      <x:c r="K277" s="31" t="str">
        <x:v>L3 传输管理层 / 一致性、隔离与QoS</x:v>
      </x:c>
      <x:c r="L277" s="31" t="str">
        <x:v>L3-CO-AttachDetachLease-063</x:v>
      </x:c>
    </x:row>
    <x:row r="278" ht="76" customHeight="1">
      <x:c r="A278" s="33" t="str">
        <x:v>SF-01/IR-01-11/SR-01-11-01/AR-L3-CO-AttachDetachLease-063-01</x:v>
      </x:c>
      <x:c r="B278" s="33" t="n">
        <x:v>4</x:v>
      </x:c>
      <x:c r="C278" s="34" t="str">
        <x:v>AR</x:v>
      </x:c>
      <x:c r="D278" s="34" t="str">
        <x:v>AR-L3-CO-AttachDetachLease-063-01</x:v>
      </x:c>
      <x:c r="E278" s="34" t="str">
        <x:v>SR-01-11-01</x:v>
      </x:c>
      <x:c r="F278" s="34" t="str">
        <x:v>            ├─ AR-L3-CO-AttachDetachLease-063-01 核心实现</x:v>
      </x:c>
      <x:c r="G278" s="34" t="str">
        <x:v>核心实现</x:v>
      </x:c>
      <x:c r="H278" s="33" t="str">
        <x:v>在 `src/consistency/qos/attach_detach_lease.{h,cc}` 新增或重写 `AttachDetachLeaseController`，把“Decode 使用 KV 期间防止被迁移或释放”落实为 L3 传输管理层 可调用主路径：本需求要求统一 KV 内存池实现 attach/detach lease：KV 被消费前必须获取 read lease 或 attach lease，lease 期间禁止物理释放、非法覆盖或不可见迁移； 输入必须显式消费 object state + traffic class + tenant quota，输出 atomic visibility + scheduled transfer budget，不得用全局单例或隐藏同步 I/O 绕开预算与状态机。</x:v>
      </x:c>
      <x:c r="I278" s="33" t="str">
        <x:v>节点动态加入/退出时的缓存失效控制在局部范围内（遵循一致性哈希比例）。</x:v>
      </x:c>
      <x:c r="J278" s="33" t="str">
        <x:v>src/consistency/qos/attach_detach_lease.{h,cc}</x:v>
      </x:c>
      <x:c r="K278" s="33" t="str">
        <x:v>L3 传输管理层 / 存储池/传输管理开发</x:v>
      </x:c>
      <x:c r="L278" s="33" t="str">
        <x:v>L3-CO-AttachDetachLease-063</x:v>
      </x:c>
    </x:row>
    <x:row r="279" ht="76" customHeight="1">
      <x:c r="A279" s="33" t="str">
        <x:v>SF-01/IR-01-11/SR-01-11-01/AR-L3-CO-AttachDetachLease-063-02</x:v>
      </x:c>
      <x:c r="B279" s="33" t="n">
        <x:v>4</x:v>
      </x:c>
      <x:c r="C279" s="34" t="str">
        <x:v>AR</x:v>
      </x:c>
      <x:c r="D279" s="34" t="str">
        <x:v>AR-L3-CO-AttachDetachLease-063-02</x:v>
      </x:c>
      <x:c r="E279" s="34" t="str">
        <x:v>SR-01-11-01</x:v>
      </x:c>
      <x:c r="F279" s="34" t="str">
        <x:v>            ├─ AR-L3-CO-AttachDetachLease-063-02 契约配置与降级</x:v>
      </x:c>
      <x:c r="G279" s="34" t="str">
        <x:v>契约配置与降级</x:v>
      </x:c>
      <x:c r="H279" s="33" t="str">
        <x:v>为 `AttachDetachLeaseOptions` 增加 `kvcache.attach_detach_lease.enabled`、deadline/容量/队列预算及版本字段；在调用点接入 typed error、decision_reason、fallback_reason，确保配置热更新、灰度关闭和向后兼容均可审计。</x:v>
      </x:c>
      <x:c r="I279" s="33" t="str">
        <x:v>节点动态加入/退出时的缓存失效控制在局部范围内（遵循一致性哈希比例）。</x:v>
      </x:c>
      <x:c r="J279" s="33" t="str">
        <x:v>api/kvcache/v1/attach_detach_lease.proto + config/runtime/attach_detach_lease.yaml</x:v>
      </x:c>
      <x:c r="K279" s="33" t="str">
        <x:v>L3 传输管理层 / 存储池/传输管理开发</x:v>
      </x:c>
      <x:c r="L279" s="33" t="str">
        <x:v>L3-CO-AttachDetachLease-063</x:v>
      </x:c>
    </x:row>
    <x:row r="280" ht="76" customHeight="1">
      <x:c r="A280" s="33" t="str">
        <x:v>SF-01/IR-01-11/SR-01-11-01/AR-L3-CO-AttachDetachLease-063-03</x:v>
      </x:c>
      <x:c r="B280" s="33" t="n">
        <x:v>4</x:v>
      </x:c>
      <x:c r="C280" s="34" t="str">
        <x:v>AR</x:v>
      </x:c>
      <x:c r="D280" s="34" t="str">
        <x:v>AR-L3-CO-AttachDetachLease-063-03</x:v>
      </x:c>
      <x:c r="E280" s="34" t="str">
        <x:v>SR-01-11-01</x:v>
      </x:c>
      <x:c r="F280" s="34" t="str">
        <x:v>            └─ AR-L3-CO-AttachDetachLease-063-03 验证与观测</x:v>
      </x:c>
      <x:c r="G280" s="34" t="str">
        <x:v>验证与观测</x:v>
      </x:c>
      <x:c r="H280" s="33" t="str">
        <x:v>新增正常、边界、并发、超时、stale metadata、迁移冲突、路径拥塞/故障与 feature-flag-off 用例；在 benchmark 中固定模型、tokenizer、prompt、并发、拓扑和 baseline，采集 lookup/load/attach、TTFT、TPOT、usable/abandoned hit、带宽/时延及 CPU/NPU 利用率。</x:v>
      </x:c>
      <x:c r="I280" s="33" t="str">
        <x:v>节点动态加入/退出时的缓存失效控制在局部范围内（遵循一致性哈希比例）。</x:v>
      </x:c>
      <x:c r="J280" s="33" t="str">
        <x:v>tests/consistency/qos/attach_detach_lease_test.cc + benchmarks/consistency/qos/attach_detach_lease_benchmark.cc</x:v>
      </x:c>
      <x:c r="K280" s="33" t="str">
        <x:v>L3 传输管理层 / 存储池/传输管理开发</x:v>
      </x:c>
      <x:c r="L280" s="33" t="str">
        <x:v>L3-CO-AttachDetachLease-063</x:v>
      </x:c>
    </x:row>
    <x:row r="281" ht="76" customHeight="1">
      <x:c r="A281" s="31" t="str">
        <x:v>SF-01/IR-01-11/SR-01-11-02</x:v>
      </x:c>
      <x:c r="B281" s="31" t="n">
        <x:v>3</x:v>
      </x:c>
      <x:c r="C281" s="32" t="str">
        <x:v>SR</x:v>
      </x:c>
      <x:c r="D281" s="32" t="str">
        <x:v>SR-01-11-02</x:v>
      </x:c>
      <x:c r="E281" s="32" t="str">
        <x:v>IR-01-11</x:v>
      </x:c>
      <x:c r="F281" s="32" t="str">
        <x:v>        ├─ SR-01-11-02 KV 对象所有权与异常回收</x:v>
      </x:c>
      <x:c r="G281" s="32" t="str">
        <x:v>KV 对象所有权与异常回收｜L3-CO-KVOwnershipGC-080</x:v>
      </x:c>
      <x:c r="H281" s="31" t="str">
        <x:v>系统重构：本需求要求统一 KV 内存池维护 KV object owner、producer、consumer、lease holder、replica owner 和 GC owner； 技术路径：详细设计应固定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x:v>
      </x:c>
      <x:c r="I281" s="31" t="str">
        <x:v>节点动态加入/退出时的缓存失效控制在局部范围内（遵循一致性哈希比例）。</x:v>
      </x:c>
      <x:c r="J281" s="31" t="str"/>
      <x:c r="K281" s="31" t="str">
        <x:v>L3 传输管理层 / 一致性、隔离与QoS</x:v>
      </x:c>
      <x:c r="L281" s="31" t="str">
        <x:v>L3-CO-KVOwnershipGC-080</x:v>
      </x:c>
    </x:row>
    <x:row r="282" ht="76" customHeight="1">
      <x:c r="A282" s="33" t="str">
        <x:v>SF-01/IR-01-11/SR-01-11-02/AR-L3-CO-KVOwnershipGC-080-01</x:v>
      </x:c>
      <x:c r="B282" s="33" t="n">
        <x:v>4</x:v>
      </x:c>
      <x:c r="C282" s="34" t="str">
        <x:v>AR</x:v>
      </x:c>
      <x:c r="D282" s="34" t="str">
        <x:v>AR-L3-CO-KVOwnershipGC-080-01</x:v>
      </x:c>
      <x:c r="E282" s="34" t="str">
        <x:v>SR-01-11-02</x:v>
      </x:c>
      <x:c r="F282" s="34" t="str">
        <x:v>            ├─ AR-L3-CO-KVOwnershipGC-080-01 核心实现</x:v>
      </x:c>
      <x:c r="G282" s="34" t="str">
        <x:v>核心实现</x:v>
      </x:c>
      <x:c r="H282" s="33" t="str">
        <x:v>在 `src/consistency/qos/kvownership_gc.{h,cc}` 新增或重写 `KVOwnershipGCController`，把“KV 对象所有权与异常回收”落实为 L3 传输管理层 可调用主路径：本需求要求统一 KV 内存池维护 KV object owner、producer、consumer、lease holder、replica owner 和 GC owner； 输入必须显式消费 object state + traffic class + tenant quota，输出 atomic visibility + scheduled transfer budget，不得用全局单例或隐藏同步 I/O 绕开预算与状态机。</x:v>
      </x:c>
      <x:c r="I282" s="33" t="str">
        <x:v>节点动态加入/退出时的缓存失效控制在局部范围内（遵循一致性哈希比例）。</x:v>
      </x:c>
      <x:c r="J282" s="33" t="str">
        <x:v>src/consistency/qos/kvownership_gc.{h,cc}</x:v>
      </x:c>
      <x:c r="K282" s="33" t="str">
        <x:v>L3 传输管理层 / 存储池/传输管理开发</x:v>
      </x:c>
      <x:c r="L282" s="33" t="str">
        <x:v>L3-CO-KVOwnershipGC-080</x:v>
      </x:c>
    </x:row>
    <x:row r="283" ht="76" customHeight="1">
      <x:c r="A283" s="33" t="str">
        <x:v>SF-01/IR-01-11/SR-01-11-02/AR-L3-CO-KVOwnershipGC-080-02</x:v>
      </x:c>
      <x:c r="B283" s="33" t="n">
        <x:v>4</x:v>
      </x:c>
      <x:c r="C283" s="34" t="str">
        <x:v>AR</x:v>
      </x:c>
      <x:c r="D283" s="34" t="str">
        <x:v>AR-L3-CO-KVOwnershipGC-080-02</x:v>
      </x:c>
      <x:c r="E283" s="34" t="str">
        <x:v>SR-01-11-02</x:v>
      </x:c>
      <x:c r="F283" s="34" t="str">
        <x:v>            ├─ AR-L3-CO-KVOwnershipGC-080-02 契约配置与降级</x:v>
      </x:c>
      <x:c r="G283" s="34" t="str">
        <x:v>契约配置与降级</x:v>
      </x:c>
      <x:c r="H283" s="33" t="str">
        <x:v>为 `KVOwnershipGCOptions` 增加 `kvcache.kvownership_gc.enabled`、deadline/容量/队列预算及版本字段；在调用点接入 typed error、decision_reason、fallback_reason，确保配置热更新、灰度关闭和向后兼容均可审计。</x:v>
      </x:c>
      <x:c r="I283" s="33" t="str">
        <x:v>节点动态加入/退出时的缓存失效控制在局部范围内（遵循一致性哈希比例）。</x:v>
      </x:c>
      <x:c r="J283" s="33" t="str">
        <x:v>api/kvcache/v1/kvownership_gc.proto + config/runtime/kvownership_gc.yaml</x:v>
      </x:c>
      <x:c r="K283" s="33" t="str">
        <x:v>L3 传输管理层 / 存储池/传输管理开发</x:v>
      </x:c>
      <x:c r="L283" s="33" t="str">
        <x:v>L3-CO-KVOwnershipGC-080</x:v>
      </x:c>
    </x:row>
    <x:row r="284" ht="76" customHeight="1">
      <x:c r="A284" s="33" t="str">
        <x:v>SF-01/IR-01-11/SR-01-11-02/AR-L3-CO-KVOwnershipGC-080-03</x:v>
      </x:c>
      <x:c r="B284" s="33" t="n">
        <x:v>4</x:v>
      </x:c>
      <x:c r="C284" s="34" t="str">
        <x:v>AR</x:v>
      </x:c>
      <x:c r="D284" s="34" t="str">
        <x:v>AR-L3-CO-KVOwnershipGC-080-03</x:v>
      </x:c>
      <x:c r="E284" s="34" t="str">
        <x:v>SR-01-11-02</x:v>
      </x:c>
      <x:c r="F284" s="34" t="str">
        <x:v>            └─ AR-L3-CO-KVOwnershipGC-080-03 验证与观测</x:v>
      </x:c>
      <x:c r="G284" s="34" t="str">
        <x:v>验证与观测</x:v>
      </x:c>
      <x:c r="H284" s="33" t="str">
        <x:v>新增正常、边界、并发、超时、stale metadata、迁移冲突、路径拥塞/故障与 feature-flag-off 用例；在 benchmark 中固定模型、tokenizer、prompt、并发、拓扑和 baseline，采集 lookup/load/attach、TTFT、TPOT、usable/abandoned hit、带宽/时延及 CPU/NPU 利用率。</x:v>
      </x:c>
      <x:c r="I284" s="33" t="str">
        <x:v>节点动态加入/退出时的缓存失效控制在局部范围内（遵循一致性哈希比例）。</x:v>
      </x:c>
      <x:c r="J284" s="33" t="str">
        <x:v>tests/consistency/qos/kvownership_gc_test.cc + benchmarks/consistency/qos/kvownership_gc_benchmark.cc</x:v>
      </x:c>
      <x:c r="K284" s="33" t="str">
        <x:v>L3 传输管理层 / 存储池/传输管理开发</x:v>
      </x:c>
      <x:c r="L284" s="33" t="str">
        <x:v>L3-CO-KVOwnershipGC-080</x:v>
      </x:c>
    </x:row>
    <x:row r="285" ht="76" customHeight="1">
      <x:c r="A285" s="31" t="str">
        <x:v>SF-01/IR-01-11/SR-01-11-03</x:v>
      </x:c>
      <x:c r="B285" s="31" t="n">
        <x:v>3</x:v>
      </x:c>
      <x:c r="C285" s="32" t="str">
        <x:v>SR</x:v>
      </x:c>
      <x:c r="D285" s="32" t="str">
        <x:v>SR-01-11-03</x:v>
      </x:c>
      <x:c r="E285" s="32" t="str">
        <x:v>IR-01-11</x:v>
      </x:c>
      <x:c r="F285" s="32" t="str">
        <x:v>        ├─ SR-01-11-03 KV 发布过程异常恢复</x:v>
      </x:c>
      <x:c r="G285" s="32" t="str">
        <x:v>KV 发布过程异常恢复｜L3-CO-PublishCommitLog-065</x:v>
      </x:c>
      <x:c r="H285" s="31" t="str">
        <x:v>系统重构：本需求要求统一 KV 内存池实现 KV publish commit log：KV data 写入、metadata 写入、ready bitmap 更新、checksum 生成、version 发布、directory 可见化必须按可恢复顺序执行；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x:v>
      </x:c>
      <x:c r="I285" s="31" t="str">
        <x:v>节点动态加入/退出时的缓存失效控制在局部范围内（遵循一致性哈希比例）。</x:v>
      </x:c>
      <x:c r="J285" s="31" t="str"/>
      <x:c r="K285" s="31" t="str">
        <x:v>L3 传输管理层 / 一致性、隔离与QoS</x:v>
      </x:c>
      <x:c r="L285" s="31" t="str">
        <x:v>L3-CO-PublishCommitLog-065</x:v>
      </x:c>
    </x:row>
    <x:row r="286" ht="76" customHeight="1">
      <x:c r="A286" s="33" t="str">
        <x:v>SF-01/IR-01-11/SR-01-11-03/AR-L3-CO-PublishCommitLog-065-01</x:v>
      </x:c>
      <x:c r="B286" s="33" t="n">
        <x:v>4</x:v>
      </x:c>
      <x:c r="C286" s="34" t="str">
        <x:v>AR</x:v>
      </x:c>
      <x:c r="D286" s="34" t="str">
        <x:v>AR-L3-CO-PublishCommitLog-065-01</x:v>
      </x:c>
      <x:c r="E286" s="34" t="str">
        <x:v>SR-01-11-03</x:v>
      </x:c>
      <x:c r="F286" s="34" t="str">
        <x:v>            ├─ AR-L3-CO-PublishCommitLog-065-01 核心实现</x:v>
      </x:c>
      <x:c r="G286" s="34" t="str">
        <x:v>核心实现</x:v>
      </x:c>
      <x:c r="H286" s="33" t="str">
        <x:v>在 `src/consistency/qos/publish_commit_log.{h,cc}` 新增或重写 `PublishCommitLogController`，把“KV 发布过程异常恢复”落实为 L3 传输管理层 可调用主路径：本需求要求统一 KV 内存池实现 KV publish commit log：KV data 写入、metadata 写入、ready bitmap 更新、checksum 生成、version 发布、directory 可见化必须按可恢复顺序执行； 输入必须显式消费 object state + traffic class + tenant quota，输出 atomic visibility + scheduled transfer budget，不得用全局单例或隐藏同步 I/O 绕开预算与状态机。</x:v>
      </x:c>
      <x:c r="I286" s="33" t="str">
        <x:v>节点动态加入/退出时的缓存失效控制在局部范围内（遵循一致性哈希比例）。</x:v>
      </x:c>
      <x:c r="J286" s="33" t="str">
        <x:v>src/consistency/qos/publish_commit_log.{h,cc}</x:v>
      </x:c>
      <x:c r="K286" s="33" t="str">
        <x:v>L3 传输管理层 / 存储池/传输管理开发</x:v>
      </x:c>
      <x:c r="L286" s="33" t="str">
        <x:v>L3-CO-PublishCommitLog-065</x:v>
      </x:c>
    </x:row>
    <x:row r="287" ht="76" customHeight="1">
      <x:c r="A287" s="33" t="str">
        <x:v>SF-01/IR-01-11/SR-01-11-03/AR-L3-CO-PublishCommitLog-065-02</x:v>
      </x:c>
      <x:c r="B287" s="33" t="n">
        <x:v>4</x:v>
      </x:c>
      <x:c r="C287" s="34" t="str">
        <x:v>AR</x:v>
      </x:c>
      <x:c r="D287" s="34" t="str">
        <x:v>AR-L3-CO-PublishCommitLog-065-02</x:v>
      </x:c>
      <x:c r="E287" s="34" t="str">
        <x:v>SR-01-11-03</x:v>
      </x:c>
      <x:c r="F287" s="34" t="str">
        <x:v>            ├─ AR-L3-CO-PublishCommitLog-065-02 契约配置与降级</x:v>
      </x:c>
      <x:c r="G287" s="34" t="str">
        <x:v>契约配置与降级</x:v>
      </x:c>
      <x:c r="H287" s="33" t="str">
        <x:v>为 `PublishCommitLogOptions` 增加 `kvcache.publish_commit_log.enabled`、deadline/容量/队列预算及版本字段；在调用点接入 typed error、decision_reason、fallback_reason，确保配置热更新、灰度关闭和向后兼容均可审计。</x:v>
      </x:c>
      <x:c r="I287" s="33" t="str">
        <x:v>节点动态加入/退出时的缓存失效控制在局部范围内（遵循一致性哈希比例）。</x:v>
      </x:c>
      <x:c r="J287" s="33" t="str">
        <x:v>api/kvcache/v1/publish_commit_log.proto + config/runtime/publish_commit_log.yaml</x:v>
      </x:c>
      <x:c r="K287" s="33" t="str">
        <x:v>L3 传输管理层 / 存储池/传输管理开发</x:v>
      </x:c>
      <x:c r="L287" s="33" t="str">
        <x:v>L3-CO-PublishCommitLog-065</x:v>
      </x:c>
    </x:row>
    <x:row r="288" ht="76" customHeight="1">
      <x:c r="A288" s="33" t="str">
        <x:v>SF-01/IR-01-11/SR-01-11-03/AR-L3-CO-PublishCommitLog-065-03</x:v>
      </x:c>
      <x:c r="B288" s="33" t="n">
        <x:v>4</x:v>
      </x:c>
      <x:c r="C288" s="34" t="str">
        <x:v>AR</x:v>
      </x:c>
      <x:c r="D288" s="34" t="str">
        <x:v>AR-L3-CO-PublishCommitLog-065-03</x:v>
      </x:c>
      <x:c r="E288" s="34" t="str">
        <x:v>SR-01-11-03</x:v>
      </x:c>
      <x:c r="F288" s="34" t="str">
        <x:v>            └─ AR-L3-CO-PublishCommitLog-065-03 验证与观测</x:v>
      </x:c>
      <x:c r="G288" s="34" t="str">
        <x:v>验证与观测</x:v>
      </x:c>
      <x:c r="H288" s="33" t="str">
        <x:v>新增正常、边界、并发、超时、stale metadata、迁移冲突、路径拥塞/故障与 feature-flag-off 用例；在 benchmark 中固定模型、tokenizer、prompt、并发、拓扑和 baseline，采集 lookup/load/attach、TTFT、TPOT、usable/abandoned hit、带宽/时延及 CPU/NPU 利用率。</x:v>
      </x:c>
      <x:c r="I288" s="33" t="str">
        <x:v>节点动态加入/退出时的缓存失效控制在局部范围内（遵循一致性哈希比例）。</x:v>
      </x:c>
      <x:c r="J288" s="33" t="str">
        <x:v>tests/consistency/qos/publish_commit_log_test.cc + benchmarks/consistency/qos/publish_commit_log_benchmark.cc</x:v>
      </x:c>
      <x:c r="K288" s="33" t="str">
        <x:v>L3 传输管理层 / 存储池/传输管理开发</x:v>
      </x:c>
      <x:c r="L288" s="33" t="str">
        <x:v>L3-CO-PublishCommitLog-065</x:v>
      </x:c>
    </x:row>
    <x:row r="289" ht="76" customHeight="1">
      <x:c r="A289" s="31" t="str">
        <x:v>SF-01/IR-01-11/SR-01-11-04</x:v>
      </x:c>
      <x:c r="B289" s="31" t="n">
        <x:v>3</x:v>
      </x:c>
      <x:c r="C289" s="32" t="str">
        <x:v>SR</x:v>
      </x:c>
      <x:c r="D289" s="32" t="str">
        <x:v>SR-01-11-04</x:v>
      </x:c>
      <x:c r="E289" s="32" t="str">
        <x:v>IR-01-11</x:v>
      </x:c>
      <x:c r="F289" s="32" t="str">
        <x:v>        ├─ SR-01-11-04 活动计算流中 KVCache 块的驱逐保护</x:v>
      </x:c>
      <x:c r="G289" s="32" t="str">
        <x:v>活动计算流中 KVCache 块的驱逐保护｜L3-CO-RefCountLifecycle-086</x:v>
      </x:c>
      <x:c r="H289" s="31" t="str">
        <x:v>系统重构：本需求要求统一存储池的分层流转与驱逐引擎必须复用或集成上层推理框架的活跃引用计数（Active Reference Count）机制。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x:v>
      </x:c>
      <x:c r="I289" s="31" t="str">
        <x:v>全局内存利用率提升至≥85%，跨级冷热数据迁移过程中的TPOT抖动 &lt; 5%。</x:v>
      </x:c>
      <x:c r="J289" s="31" t="str"/>
      <x:c r="K289" s="31" t="str">
        <x:v>L3 传输管理层 / 一致性、隔离与QoS</x:v>
      </x:c>
      <x:c r="L289" s="31" t="str">
        <x:v>L3-CO-RefCountLifecycle-086</x:v>
      </x:c>
    </x:row>
    <x:row r="290" ht="76" customHeight="1">
      <x:c r="A290" s="33" t="str">
        <x:v>SF-01/IR-01-11/SR-01-11-04/AR-L3-CO-RefCountLifecycle-086-01</x:v>
      </x:c>
      <x:c r="B290" s="33" t="n">
        <x:v>4</x:v>
      </x:c>
      <x:c r="C290" s="34" t="str">
        <x:v>AR</x:v>
      </x:c>
      <x:c r="D290" s="34" t="str">
        <x:v>AR-L3-CO-RefCountLifecycle-086-01</x:v>
      </x:c>
      <x:c r="E290" s="34" t="str">
        <x:v>SR-01-11-04</x:v>
      </x:c>
      <x:c r="F290" s="34" t="str">
        <x:v>            ├─ AR-L3-CO-RefCountLifecycle-086-01 核心实现</x:v>
      </x:c>
      <x:c r="G290" s="34" t="str">
        <x:v>核心实现</x:v>
      </x:c>
      <x:c r="H290" s="33" t="str">
        <x:v>在 `src/consistency/qos/ref_count_lifecycle.{h,cc}` 新增或重写 `RefCountLifecycleController`，把“活动计算流中 KVCache 块的驱逐保护”落实为 L3 传输管理层 可调用主路径：本需求要求统一存储池的分层流转与驱逐引擎必须复用或集成上层推理框架的活跃引用计数（Active Reference Count）机制。 输入必须显式消费 object state + traffic class + tenant quota，输出 atomic visibility + scheduled transfer budget，不得用全局单例或隐藏同步 I/O 绕开预算与状态机。</x:v>
      </x:c>
      <x:c r="I290" s="33" t="str">
        <x:v>全局内存利用率提升至≥85%，跨级冷热数据迁移过程中的TPOT抖动 &lt; 5%。</x:v>
      </x:c>
      <x:c r="J290" s="33" t="str">
        <x:v>src/consistency/qos/ref_count_lifecycle.{h,cc}</x:v>
      </x:c>
      <x:c r="K290" s="33" t="str">
        <x:v>L3 传输管理层 / 存储池/传输管理开发</x:v>
      </x:c>
      <x:c r="L290" s="33" t="str">
        <x:v>L3-CO-RefCountLifecycle-086</x:v>
      </x:c>
    </x:row>
    <x:row r="291" ht="76" customHeight="1">
      <x:c r="A291" s="33" t="str">
        <x:v>SF-01/IR-01-11/SR-01-11-04/AR-L3-CO-RefCountLifecycle-086-02</x:v>
      </x:c>
      <x:c r="B291" s="33" t="n">
        <x:v>4</x:v>
      </x:c>
      <x:c r="C291" s="34" t="str">
        <x:v>AR</x:v>
      </x:c>
      <x:c r="D291" s="34" t="str">
        <x:v>AR-L3-CO-RefCountLifecycle-086-02</x:v>
      </x:c>
      <x:c r="E291" s="34" t="str">
        <x:v>SR-01-11-04</x:v>
      </x:c>
      <x:c r="F291" s="34" t="str">
        <x:v>            ├─ AR-L3-CO-RefCountLifecycle-086-02 契约配置与降级</x:v>
      </x:c>
      <x:c r="G291" s="34" t="str">
        <x:v>契约配置与降级</x:v>
      </x:c>
      <x:c r="H291" s="33" t="str">
        <x:v>为 `RefCountLifecycleOptions` 增加 `kvcache.ref_count_lifecycle.enabled`、deadline/容量/队列预算及版本字段；在调用点接入 typed error、decision_reason、fallback_reason，确保配置热更新、灰度关闭和向后兼容均可审计。</x:v>
      </x:c>
      <x:c r="I291" s="33" t="str">
        <x:v>全局内存利用率提升至≥85%，跨级冷热数据迁移过程中的TPOT抖动 &lt; 5%。</x:v>
      </x:c>
      <x:c r="J291" s="33" t="str">
        <x:v>api/kvcache/v1/ref_count_lifecycle.proto + config/runtime/ref_count_lifecycle.yaml</x:v>
      </x:c>
      <x:c r="K291" s="33" t="str">
        <x:v>L3 传输管理层 / 存储池/传输管理开发</x:v>
      </x:c>
      <x:c r="L291" s="33" t="str">
        <x:v>L3-CO-RefCountLifecycle-086</x:v>
      </x:c>
    </x:row>
    <x:row r="292" ht="76" customHeight="1">
      <x:c r="A292" s="33" t="str">
        <x:v>SF-01/IR-01-11/SR-01-11-04/AR-L3-CO-RefCountLifecycle-086-03</x:v>
      </x:c>
      <x:c r="B292" s="33" t="n">
        <x:v>4</x:v>
      </x:c>
      <x:c r="C292" s="34" t="str">
        <x:v>AR</x:v>
      </x:c>
      <x:c r="D292" s="34" t="str">
        <x:v>AR-L3-CO-RefCountLifecycle-086-03</x:v>
      </x:c>
      <x:c r="E292" s="34" t="str">
        <x:v>SR-01-11-04</x:v>
      </x:c>
      <x:c r="F292" s="34" t="str">
        <x:v>            └─ AR-L3-CO-RefCountLifecycle-086-03 验证与观测</x:v>
      </x:c>
      <x:c r="G292" s="34" t="str">
        <x:v>验证与观测</x:v>
      </x:c>
      <x:c r="H292" s="33" t="str">
        <x:v>新增正常、边界、并发、超时、stale metadata、迁移冲突、路径拥塞/故障与 feature-flag-off 用例；在 benchmark 中固定模型、tokenizer、prompt、并发、拓扑和 baseline，采集 lookup/load/attach、TTFT、TPOT、usable/abandoned hit、带宽/时延及 CPU/NPU 利用率。</x:v>
      </x:c>
      <x:c r="I292" s="33" t="str">
        <x:v>全局内存利用率提升至≥85%，跨级冷热数据迁移过程中的TPOT抖动 &lt; 5%。</x:v>
      </x:c>
      <x:c r="J292" s="33" t="str">
        <x:v>tests/consistency/qos/ref_count_lifecycle_test.cc + benchmarks/consistency/qos/ref_count_lifecycle_benchmark.cc</x:v>
      </x:c>
      <x:c r="K292" s="33" t="str">
        <x:v>L3 传输管理层 / 存储池/传输管理开发</x:v>
      </x:c>
      <x:c r="L292" s="33" t="str">
        <x:v>L3-CO-RefCountLifecycle-086</x:v>
      </x:c>
    </x:row>
    <x:row r="293" ht="76" customHeight="1">
      <x:c r="A293" s="31" t="str">
        <x:v>SF-01/IR-01-11/SR-01-11-05</x:v>
      </x:c>
      <x:c r="B293" s="31" t="n">
        <x:v>3</x:v>
      </x:c>
      <x:c r="C293" s="32" t="str">
        <x:v>SR</x:v>
      </x:c>
      <x:c r="D293" s="32" t="str">
        <x:v>SR-01-11-05</x:v>
      </x:c>
      <x:c r="E293" s="32" t="str">
        <x:v>IR-01-11</x:v>
      </x:c>
      <x:c r="F293" s="32" t="str">
        <x:v>        ├─ SR-01-11-05 KVCache 对象一致发布</x:v>
      </x:c>
      <x:c r="G293" s="32" t="str">
        <x:v>KVCache 对象一致发布｜L3-CO-VersionPublish-043</x:v>
      </x:c>
      <x:c r="H293" s="31" t="str">
        <x:v>系统重构：本需求要求 KV object 发布必须保证数据完整性：统一暴露 completion/visibility contract：区分 local completion、remote visibility、GPU visibility、durable visibility；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x:v>
      </x:c>
      <x:c r="I293" s="31" t="str">
        <x:v>data corruption = 0；</x:v>
      </x:c>
      <x:c r="J293" s="31" t="str"/>
      <x:c r="K293" s="31" t="str">
        <x:v>L3 传输管理层 / 一致性、隔离与QoS</x:v>
      </x:c>
      <x:c r="L293" s="31" t="str">
        <x:v>L3-CO-VersionPublish-043</x:v>
      </x:c>
    </x:row>
    <x:row r="294" ht="76" customHeight="1">
      <x:c r="A294" s="33" t="str">
        <x:v>SF-01/IR-01-11/SR-01-11-05/AR-L3-CO-VersionPublish-043-01</x:v>
      </x:c>
      <x:c r="B294" s="33" t="n">
        <x:v>4</x:v>
      </x:c>
      <x:c r="C294" s="34" t="str">
        <x:v>AR</x:v>
      </x:c>
      <x:c r="D294" s="34" t="str">
        <x:v>AR-L3-CO-VersionPublish-043-01</x:v>
      </x:c>
      <x:c r="E294" s="34" t="str">
        <x:v>SR-01-11-05</x:v>
      </x:c>
      <x:c r="F294" s="34" t="str">
        <x:v>            ├─ AR-L3-CO-VersionPublish-043-01 核心实现</x:v>
      </x:c>
      <x:c r="G294" s="34" t="str">
        <x:v>核心实现</x:v>
      </x:c>
      <x:c r="H294" s="33" t="str">
        <x:v>在 `src/consistency/qos/version_publish.{h,cc}` 新增或重写 `VersionPublishController`，把“KVCache 对象一致发布”落实为 L3 传输管理层 可调用主路径：本需求要求 KV object 发布必须保证数据完整性：统一暴露 completion/visibility contract：区分 local completion、remote visibility、GPU visibility、durable visibility； 输入必须显式消费 object state + traffic class + tenant quota，输出 atomic visibility + scheduled transfer budget，不得用全局单例或隐藏同步 I/O 绕开预算与状态机。</x:v>
      </x:c>
      <x:c r="I294" s="33" t="str">
        <x:v>data corruption = 0；</x:v>
      </x:c>
      <x:c r="J294" s="33" t="str">
        <x:v>src/consistency/qos/version_publish.{h,cc}</x:v>
      </x:c>
      <x:c r="K294" s="33" t="str">
        <x:v>L3 传输管理层 / 存储池/传输管理开发</x:v>
      </x:c>
      <x:c r="L294" s="33" t="str">
        <x:v>L3-CO-VersionPublish-043</x:v>
      </x:c>
    </x:row>
    <x:row r="295" ht="76" customHeight="1">
      <x:c r="A295" s="33" t="str">
        <x:v>SF-01/IR-01-11/SR-01-11-05/AR-L3-CO-VersionPublish-043-02</x:v>
      </x:c>
      <x:c r="B295" s="33" t="n">
        <x:v>4</x:v>
      </x:c>
      <x:c r="C295" s="34" t="str">
        <x:v>AR</x:v>
      </x:c>
      <x:c r="D295" s="34" t="str">
        <x:v>AR-L3-CO-VersionPublish-043-02</x:v>
      </x:c>
      <x:c r="E295" s="34" t="str">
        <x:v>SR-01-11-05</x:v>
      </x:c>
      <x:c r="F295" s="34" t="str">
        <x:v>            ├─ AR-L3-CO-VersionPublish-043-02 契约配置与降级</x:v>
      </x:c>
      <x:c r="G295" s="34" t="str">
        <x:v>契约配置与降级</x:v>
      </x:c>
      <x:c r="H295" s="33" t="str">
        <x:v>为 `VersionPublishOptions` 增加 `kvcache.version_publish.enabled`、deadline/容量/队列预算及版本字段；在调用点接入 typed error、decision_reason、fallback_reason，确保配置热更新、灰度关闭和向后兼容均可审计。</x:v>
      </x:c>
      <x:c r="I295" s="33" t="str">
        <x:v>data corruption = 0；</x:v>
      </x:c>
      <x:c r="J295" s="33" t="str">
        <x:v>api/kvcache/v1/version_publish.proto + config/runtime/version_publish.yaml</x:v>
      </x:c>
      <x:c r="K295" s="33" t="str">
        <x:v>L3 传输管理层 / 存储池/传输管理开发</x:v>
      </x:c>
      <x:c r="L295" s="33" t="str">
        <x:v>L3-CO-VersionPublish-043</x:v>
      </x:c>
    </x:row>
    <x:row r="296" ht="76" customHeight="1">
      <x:c r="A296" s="33" t="str">
        <x:v>SF-01/IR-01-11/SR-01-11-05/AR-L3-CO-VersionPublish-043-03</x:v>
      </x:c>
      <x:c r="B296" s="33" t="n">
        <x:v>4</x:v>
      </x:c>
      <x:c r="C296" s="34" t="str">
        <x:v>AR</x:v>
      </x:c>
      <x:c r="D296" s="34" t="str">
        <x:v>AR-L3-CO-VersionPublish-043-03</x:v>
      </x:c>
      <x:c r="E296" s="34" t="str">
        <x:v>SR-01-11-05</x:v>
      </x:c>
      <x:c r="F296" s="34" t="str">
        <x:v>            └─ AR-L3-CO-VersionPublish-043-03 验证与观测</x:v>
      </x:c>
      <x:c r="G296" s="34" t="str">
        <x:v>验证与观测</x:v>
      </x:c>
      <x:c r="H296" s="33" t="str">
        <x:v>新增正常、边界、并发、超时、stale metadata、迁移冲突、路径拥塞/故障与 feature-flag-off 用例；在 benchmark 中固定模型、tokenizer、prompt、并发、拓扑和 baseline，采集 lookup/load/attach、TTFT、TPOT、usable/abandoned hit、带宽/时延及 CPU/NPU 利用率。</x:v>
      </x:c>
      <x:c r="I296" s="33" t="str">
        <x:v>data corruption = 0；</x:v>
      </x:c>
      <x:c r="J296" s="33" t="str">
        <x:v>tests/consistency/qos/version_publish_test.cc + benchmarks/consistency/qos/version_publish_benchmark.cc</x:v>
      </x:c>
      <x:c r="K296" s="33" t="str">
        <x:v>L3 传输管理层 / 存储池/传输管理开发</x:v>
      </x:c>
      <x:c r="L296" s="33" t="str">
        <x:v>L3-CO-VersionPublish-043</x:v>
      </x:c>
    </x:row>
    <x:row r="297" ht="76" customHeight="1">
      <x:c r="A297" s="31" t="str">
        <x:v>SF-01/IR-01-11/SR-01-11-06</x:v>
      </x:c>
      <x:c r="B297" s="31" t="n">
        <x:v>3</x:v>
      </x:c>
      <x:c r="C297" s="32" t="str">
        <x:v>SR</x:v>
      </x:c>
      <x:c r="D297" s="32" t="str">
        <x:v>SR-01-11-06</x:v>
      </x:c>
      <x:c r="E297" s="32" t="str">
        <x:v>IR-01-11</x:v>
      </x:c>
      <x:c r="F297" s="32" t="str">
        <x:v>        ├─ SR-01-11-06 KV 写入完成与可见性边界控制</x:v>
      </x:c>
      <x:c r="G297" s="32" t="str">
        <x:v>KV 写入完成与可见性边界控制｜L3-CO-VisibilityReadyBitmap-064</x:v>
      </x:c>
      <x:c r="H297" s="31" t="str">
        <x:v>系统重构：本需求要求每个 KV object 维护 layer/page/rank 粒度 ready bitmap 与 visibility state，区分 local write complete、device visible、remote visible、durable visible； 技术路径：详细设计应固定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x:v>
      </x:c>
      <x:c r="I297" s="31" t="str">
        <x:v>节点动态加入/退出时的缓存失效控制在局部范围内（遵循一致性哈希比例）。</x:v>
      </x:c>
      <x:c r="J297" s="31" t="str"/>
      <x:c r="K297" s="31" t="str">
        <x:v>L3 传输管理层 / 一致性、隔离与QoS</x:v>
      </x:c>
      <x:c r="L297" s="31" t="str">
        <x:v>L3-CO-VisibilityReadyBitmap-064</x:v>
      </x:c>
    </x:row>
    <x:row r="298" ht="76" customHeight="1">
      <x:c r="A298" s="33" t="str">
        <x:v>SF-01/IR-01-11/SR-01-11-06/AR-L3-CO-VisibilityReadyBitmap-064-01</x:v>
      </x:c>
      <x:c r="B298" s="33" t="n">
        <x:v>4</x:v>
      </x:c>
      <x:c r="C298" s="34" t="str">
        <x:v>AR</x:v>
      </x:c>
      <x:c r="D298" s="34" t="str">
        <x:v>AR-L3-CO-VisibilityReadyBitmap-064-01</x:v>
      </x:c>
      <x:c r="E298" s="34" t="str">
        <x:v>SR-01-11-06</x:v>
      </x:c>
      <x:c r="F298" s="34" t="str">
        <x:v>            ├─ AR-L3-CO-VisibilityReadyBitmap-064-01 核心实现</x:v>
      </x:c>
      <x:c r="G298" s="34" t="str">
        <x:v>核心实现</x:v>
      </x:c>
      <x:c r="H298" s="33" t="str">
        <x:v>在 `src/consistency/qos/visibility_ready_bitmap.{h,cc}` 新增或重写 `VisibilityReadyBitmapController`，把“KV 写入完成与可见性边界控制”落实为 L3 传输管理层 可调用主路径：本需求要求每个 KV object 维护 layer/page/rank 粒度 ready bitmap 与 visibility state，区分 local write complete、device visible、remote visible、durable visible； 输入必须显式消费 object state + traffic class + tenant quota，输出 atomic visibility + scheduled transfer budget，不得用全局单例或隐藏同步 I/O 绕开预算与状态机。</x:v>
      </x:c>
      <x:c r="I298" s="33" t="str">
        <x:v>节点动态加入/退出时的缓存失效控制在局部范围内（遵循一致性哈希比例）。</x:v>
      </x:c>
      <x:c r="J298" s="33" t="str">
        <x:v>src/consistency/qos/visibility_ready_bitmap.{h,cc}</x:v>
      </x:c>
      <x:c r="K298" s="33" t="str">
        <x:v>L3 传输管理层 / 存储池/传输管理开发</x:v>
      </x:c>
      <x:c r="L298" s="33" t="str">
        <x:v>L3-CO-VisibilityReadyBitmap-064</x:v>
      </x:c>
    </x:row>
    <x:row r="299" ht="76" customHeight="1">
      <x:c r="A299" s="33" t="str">
        <x:v>SF-01/IR-01-11/SR-01-11-06/AR-L3-CO-VisibilityReadyBitmap-064-02</x:v>
      </x:c>
      <x:c r="B299" s="33" t="n">
        <x:v>4</x:v>
      </x:c>
      <x:c r="C299" s="34" t="str">
        <x:v>AR</x:v>
      </x:c>
      <x:c r="D299" s="34" t="str">
        <x:v>AR-L3-CO-VisibilityReadyBitmap-064-02</x:v>
      </x:c>
      <x:c r="E299" s="34" t="str">
        <x:v>SR-01-11-06</x:v>
      </x:c>
      <x:c r="F299" s="34" t="str">
        <x:v>            ├─ AR-L3-CO-VisibilityReadyBitmap-064-02 契约配置与降级</x:v>
      </x:c>
      <x:c r="G299" s="34" t="str">
        <x:v>契约配置与降级</x:v>
      </x:c>
      <x:c r="H299" s="33" t="str">
        <x:v>为 `VisibilityReadyBitmapOptions` 增加 `kvcache.visibility_ready_bitmap.enabled`、deadline/容量/队列预算及版本字段；在调用点接入 typed error、decision_reason、fallback_reason，确保配置热更新、灰度关闭和向后兼容均可审计。</x:v>
      </x:c>
      <x:c r="I299" s="33" t="str">
        <x:v>节点动态加入/退出时的缓存失效控制在局部范围内（遵循一致性哈希比例）。</x:v>
      </x:c>
      <x:c r="J299" s="33" t="str">
        <x:v>api/kvcache/v1/visibility_ready_bitmap.proto + config/runtime/visibility_ready_bitmap.yaml</x:v>
      </x:c>
      <x:c r="K299" s="33" t="str">
        <x:v>L3 传输管理层 / 存储池/传输管理开发</x:v>
      </x:c>
      <x:c r="L299" s="33" t="str">
        <x:v>L3-CO-VisibilityReadyBitmap-064</x:v>
      </x:c>
    </x:row>
    <x:row r="300" ht="76" customHeight="1">
      <x:c r="A300" s="33" t="str">
        <x:v>SF-01/IR-01-11/SR-01-11-06/AR-L3-CO-VisibilityReadyBitmap-064-03</x:v>
      </x:c>
      <x:c r="B300" s="33" t="n">
        <x:v>4</x:v>
      </x:c>
      <x:c r="C300" s="34" t="str">
        <x:v>AR</x:v>
      </x:c>
      <x:c r="D300" s="34" t="str">
        <x:v>AR-L3-CO-VisibilityReadyBitmap-064-03</x:v>
      </x:c>
      <x:c r="E300" s="34" t="str">
        <x:v>SR-01-11-06</x:v>
      </x:c>
      <x:c r="F300" s="34" t="str">
        <x:v>            └─ AR-L3-CO-VisibilityReadyBitmap-064-03 验证与观测</x:v>
      </x:c>
      <x:c r="G300" s="34" t="str">
        <x:v>验证与观测</x:v>
      </x:c>
      <x:c r="H300" s="33" t="str">
        <x:v>新增正常、边界、并发、超时、stale metadata、迁移冲突、路径拥塞/故障与 feature-flag-off 用例；在 benchmark 中固定模型、tokenizer、prompt、并发、拓扑和 baseline，采集 lookup/load/attach、TTFT、TPOT、usable/abandoned hit、带宽/时延及 CPU/NPU 利用率。</x:v>
      </x:c>
      <x:c r="I300" s="33" t="str">
        <x:v>节点动态加入/退出时的缓存失效控制在局部范围内（遵循一致性哈希比例）。</x:v>
      </x:c>
      <x:c r="J300" s="33" t="str">
        <x:v>tests/consistency/qos/visibility_ready_bitmap_test.cc + benchmarks/consistency/qos/visibility_ready_bitmap_benchmark.cc</x:v>
      </x:c>
      <x:c r="K300" s="33" t="str">
        <x:v>L3 传输管理层 / 存储池/传输管理开发</x:v>
      </x:c>
      <x:c r="L300" s="33" t="str">
        <x:v>L3-CO-VisibilityReadyBitmap-064</x:v>
      </x:c>
    </x:row>
    <x:row r="301" ht="76" customHeight="1">
      <x:c r="A301" s="31" t="str">
        <x:v>SF-01/IR-01-11/SR-01-11-07</x:v>
      </x:c>
      <x:c r="B301" s="31" t="n">
        <x:v>3</x:v>
      </x:c>
      <x:c r="C301" s="32" t="str">
        <x:v>SR</x:v>
      </x:c>
      <x:c r="D301" s="32" t="str">
        <x:v>SR-01-11-07</x:v>
      </x:c>
      <x:c r="E301" s="32" t="str">
        <x:v>IR-01-11</x:v>
      </x:c>
      <x:c r="F301" s="32" t="str">
        <x:v>        ├─ SR-01-11-07 前台推理与后台 KV 任务流量隔离</x:v>
      </x:c>
      <x:c r="G301" s="32" t="str">
        <x:v>前台推理与后台 KV 任务流量隔离｜L3-QO-SemanticQoS-045</x:v>
      </x:c>
      <x:c r="H301" s="31" t="str">
        <x:v>系统重构：本需求要求 Transfer Manager 建立语义化 QoS 队列：metadata-critical、TTFT prefix load、decode-critical copy、prefetch、background writeback、cold restore 必须分队列、限速和优先级调度，避免后台流量影响前台 TTFT/TPOT。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x:v>
      </x:c>
      <x:c r="I301" s="31" t="str">
        <x:v>p99 TTFT 降低 ≥25%；后台任务不影响 TPOT &gt;3%；</x:v>
      </x:c>
      <x:c r="J301" s="31" t="str"/>
      <x:c r="K301" s="31" t="str">
        <x:v>L3 传输管理层 / 一致性、隔离与QoS</x:v>
      </x:c>
      <x:c r="L301" s="31" t="str">
        <x:v>L3-QO-SemanticQoS-045</x:v>
      </x:c>
    </x:row>
    <x:row r="302" ht="76" customHeight="1">
      <x:c r="A302" s="33" t="str">
        <x:v>SF-01/IR-01-11/SR-01-11-07/AR-L3-QO-SemanticQoS-045-01</x:v>
      </x:c>
      <x:c r="B302" s="33" t="n">
        <x:v>4</x:v>
      </x:c>
      <x:c r="C302" s="34" t="str">
        <x:v>AR</x:v>
      </x:c>
      <x:c r="D302" s="34" t="str">
        <x:v>AR-L3-QO-SemanticQoS-045-01</x:v>
      </x:c>
      <x:c r="E302" s="34" t="str">
        <x:v>SR-01-11-07</x:v>
      </x:c>
      <x:c r="F302" s="34" t="str">
        <x:v>            ├─ AR-L3-QO-SemanticQoS-045-01 核心实现</x:v>
      </x:c>
      <x:c r="G302" s="34" t="str">
        <x:v>核心实现</x:v>
      </x:c>
      <x:c r="H302" s="33" t="str">
        <x:v>在 `src/consistency/qos/semantic_qo_s.{h,cc}` 新增或重写 `SemanticQoSController`，把“前台推理与后台 KV 任务流量隔离”落实为 L3 传输管理层 可调用主路径：本需求要求 Transfer Manager 建立语义化 QoS 队列：metadata-critical、TTFT prefix load、decode-critical copy、prefetch、background writeback、cold restore 必须分队列、限速和优先级调度，避免后台流量影响前台 TTFT/TPOT。 输入必须显式消费 object state + traffic class + tenant quota，输出 atomic visibility + scheduled transfer budget，不得用全局单例或隐藏同步 I/O 绕开预算与状态机。</x:v>
      </x:c>
      <x:c r="I302" s="33" t="str">
        <x:v>p99 TTFT 降低 ≥25%；后台任务不影响 TPOT &gt;3%；</x:v>
      </x:c>
      <x:c r="J302" s="33" t="str">
        <x:v>src/consistency/qos/semantic_qo_s.{h,cc}</x:v>
      </x:c>
      <x:c r="K302" s="33" t="str">
        <x:v>L3 传输管理层 / 存储池/传输管理开发</x:v>
      </x:c>
      <x:c r="L302" s="33" t="str">
        <x:v>L3-QO-SemanticQoS-045</x:v>
      </x:c>
    </x:row>
    <x:row r="303" ht="76" customHeight="1">
      <x:c r="A303" s="33" t="str">
        <x:v>SF-01/IR-01-11/SR-01-11-07/AR-L3-QO-SemanticQoS-045-02</x:v>
      </x:c>
      <x:c r="B303" s="33" t="n">
        <x:v>4</x:v>
      </x:c>
      <x:c r="C303" s="34" t="str">
        <x:v>AR</x:v>
      </x:c>
      <x:c r="D303" s="34" t="str">
        <x:v>AR-L3-QO-SemanticQoS-045-02</x:v>
      </x:c>
      <x:c r="E303" s="34" t="str">
        <x:v>SR-01-11-07</x:v>
      </x:c>
      <x:c r="F303" s="34" t="str">
        <x:v>            ├─ AR-L3-QO-SemanticQoS-045-02 契约配置与降级</x:v>
      </x:c>
      <x:c r="G303" s="34" t="str">
        <x:v>契约配置与降级</x:v>
      </x:c>
      <x:c r="H303" s="33" t="str">
        <x:v>为 `SemanticQoSOptions` 增加 `kvcache.semantic_qo_s.enabled`、deadline/容量/队列预算及版本字段；在调用点接入 typed error、decision_reason、fallback_reason，确保配置热更新、灰度关闭和向后兼容均可审计。</x:v>
      </x:c>
      <x:c r="I303" s="33" t="str">
        <x:v>p99 TTFT 降低 ≥25%；后台任务不影响 TPOT &gt;3%；</x:v>
      </x:c>
      <x:c r="J303" s="33" t="str">
        <x:v>api/kvcache/v1/semantic_qo_s.proto + config/runtime/semantic_qo_s.yaml</x:v>
      </x:c>
      <x:c r="K303" s="33" t="str">
        <x:v>L3 传输管理层 / 存储池/传输管理开发</x:v>
      </x:c>
      <x:c r="L303" s="33" t="str">
        <x:v>L3-QO-SemanticQoS-045</x:v>
      </x:c>
    </x:row>
    <x:row r="304" ht="76" customHeight="1">
      <x:c r="A304" s="33" t="str">
        <x:v>SF-01/IR-01-11/SR-01-11-07/AR-L3-QO-SemanticQoS-045-03</x:v>
      </x:c>
      <x:c r="B304" s="33" t="n">
        <x:v>4</x:v>
      </x:c>
      <x:c r="C304" s="34" t="str">
        <x:v>AR</x:v>
      </x:c>
      <x:c r="D304" s="34" t="str">
        <x:v>AR-L3-QO-SemanticQoS-045-03</x:v>
      </x:c>
      <x:c r="E304" s="34" t="str">
        <x:v>SR-01-11-07</x:v>
      </x:c>
      <x:c r="F304" s="34" t="str">
        <x:v>            └─ AR-L3-QO-SemanticQoS-045-03 验证与观测</x:v>
      </x:c>
      <x:c r="G304" s="34" t="str">
        <x:v>验证与观测</x:v>
      </x:c>
      <x:c r="H304" s="33" t="str">
        <x:v>新增正常、边界、并发、超时、stale metadata、迁移冲突、路径拥塞/故障与 feature-flag-off 用例；在 benchmark 中固定模型、tokenizer、prompt、并发、拓扑和 baseline，采集 lookup/load/attach、TTFT、TPOT、usable/abandoned hit、带宽/时延及 CPU/NPU 利用率。</x:v>
      </x:c>
      <x:c r="I304" s="33" t="str">
        <x:v>p99 TTFT 降低 ≥25%；后台任务不影响 TPOT &gt;3%；</x:v>
      </x:c>
      <x:c r="J304" s="33" t="str">
        <x:v>tests/consistency/qos/semantic_qo_s_test.cc + benchmarks/consistency/qos/semantic_qo_s_benchmark.cc</x:v>
      </x:c>
      <x:c r="K304" s="33" t="str">
        <x:v>L3 传输管理层 / 存储池/传输管理开发</x:v>
      </x:c>
      <x:c r="L304" s="33" t="str">
        <x:v>L3-QO-SemanticQoS-045</x:v>
      </x:c>
    </x:row>
    <x:row r="305" ht="76" customHeight="1">
      <x:c r="A305" s="31" t="str">
        <x:v>SF-01/IR-01-11/SR-01-11-08</x:v>
      </x:c>
      <x:c r="B305" s="31" t="n">
        <x:v>3</x:v>
      </x:c>
      <x:c r="C305" s="32" t="str">
        <x:v>SR</x:v>
      </x:c>
      <x:c r="D305" s="32" t="str">
        <x:v>SR-01-11-08</x:v>
      </x:c>
      <x:c r="E305" s="32" t="str">
        <x:v>IR-01-11</x:v>
      </x:c>
      <x:c r="F305" s="32" t="str">
        <x:v>        ├─ SR-01-11-08 多租户统一 KV 存储池资源隔离</x:v>
      </x:c>
      <x:c r="G305" s="32" t="str">
        <x:v>多租户统一 KV 存储池资源隔离｜L3-SC-PoolIsolation-048</x:v>
      </x:c>
      <x:c r="H305" s="31" t="str">
        <x:v>系统重构：本需求要求多租户 KV pool 实现容量、带宽、metadata namespace、KV key namespace、encryption domain 和 audit log 隔离；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x:v>
      </x:c>
      <x:c r="I305" s="31" t="str">
        <x:v>租户间干扰 &lt;5%；越权访问 = 0；</x:v>
      </x:c>
      <x:c r="J305" s="31" t="str"/>
      <x:c r="K305" s="31" t="str">
        <x:v>L3 传输管理层 / 一致性、隔离与QoS</x:v>
      </x:c>
      <x:c r="L305" s="31" t="str">
        <x:v>L3-SC-PoolIsolation-048</x:v>
      </x:c>
    </x:row>
    <x:row r="306" ht="76" customHeight="1">
      <x:c r="A306" s="33" t="str">
        <x:v>SF-01/IR-01-11/SR-01-11-08/AR-L3-SC-PoolIsolation-048-01</x:v>
      </x:c>
      <x:c r="B306" s="33" t="n">
        <x:v>4</x:v>
      </x:c>
      <x:c r="C306" s="34" t="str">
        <x:v>AR</x:v>
      </x:c>
      <x:c r="D306" s="34" t="str">
        <x:v>AR-L3-SC-PoolIsolation-048-01</x:v>
      </x:c>
      <x:c r="E306" s="34" t="str">
        <x:v>SR-01-11-08</x:v>
      </x:c>
      <x:c r="F306" s="34" t="str">
        <x:v>            ├─ AR-L3-SC-PoolIsolation-048-01 核心实现</x:v>
      </x:c>
      <x:c r="G306" s="34" t="str">
        <x:v>核心实现</x:v>
      </x:c>
      <x:c r="H306" s="33" t="str">
        <x:v>在 `src/consistency/qos/pool_isolation.{h,cc}` 新增或重写 `PoolIsolationController`，把“多租户统一 KV 存储池资源隔离”落实为 L3 传输管理层 可调用主路径：本需求要求多租户 KV pool 实现容量、带宽、metadata namespace、KV key namespace、encryption domain 和 audit log 隔离； 输入必须显式消费 object state + traffic class + tenant quota，输出 atomic visibility + scheduled transfer budget，不得用全局单例或隐藏同步 I/O 绕开预算与状态机。</x:v>
      </x:c>
      <x:c r="I306" s="33" t="str">
        <x:v>租户间干扰 &lt;5%；越权访问 = 0；</x:v>
      </x:c>
      <x:c r="J306" s="33" t="str">
        <x:v>src/consistency/qos/pool_isolation.{h,cc}</x:v>
      </x:c>
      <x:c r="K306" s="33" t="str">
        <x:v>L3 传输管理层 / 存储池/传输管理开发</x:v>
      </x:c>
      <x:c r="L306" s="33" t="str">
        <x:v>L3-SC-PoolIsolation-048</x:v>
      </x:c>
    </x:row>
    <x:row r="307" ht="76" customHeight="1">
      <x:c r="A307" s="33" t="str">
        <x:v>SF-01/IR-01-11/SR-01-11-08/AR-L3-SC-PoolIsolation-048-02</x:v>
      </x:c>
      <x:c r="B307" s="33" t="n">
        <x:v>4</x:v>
      </x:c>
      <x:c r="C307" s="34" t="str">
        <x:v>AR</x:v>
      </x:c>
      <x:c r="D307" s="34" t="str">
        <x:v>AR-L3-SC-PoolIsolation-048-02</x:v>
      </x:c>
      <x:c r="E307" s="34" t="str">
        <x:v>SR-01-11-08</x:v>
      </x:c>
      <x:c r="F307" s="34" t="str">
        <x:v>            ├─ AR-L3-SC-PoolIsolation-048-02 契约配置与降级</x:v>
      </x:c>
      <x:c r="G307" s="34" t="str">
        <x:v>契约配置与降级</x:v>
      </x:c>
      <x:c r="H307" s="33" t="str">
        <x:v>为 `PoolIsolationOptions` 增加 `kvcache.pool_isolation.enabled`、deadline/容量/队列预算及版本字段；在调用点接入 typed error、decision_reason、fallback_reason，确保配置热更新、灰度关闭和向后兼容均可审计。</x:v>
      </x:c>
      <x:c r="I307" s="33" t="str">
        <x:v>租户间干扰 &lt;5%；越权访问 = 0；</x:v>
      </x:c>
      <x:c r="J307" s="33" t="str">
        <x:v>api/kvcache/v1/pool_isolation.proto + config/runtime/pool_isolation.yaml</x:v>
      </x:c>
      <x:c r="K307" s="33" t="str">
        <x:v>L3 传输管理层 / 存储池/传输管理开发</x:v>
      </x:c>
      <x:c r="L307" s="33" t="str">
        <x:v>L3-SC-PoolIsolation-048</x:v>
      </x:c>
    </x:row>
    <x:row r="308" ht="76" customHeight="1">
      <x:c r="A308" s="33" t="str">
        <x:v>SF-01/IR-01-11/SR-01-11-08/AR-L3-SC-PoolIsolation-048-03</x:v>
      </x:c>
      <x:c r="B308" s="33" t="n">
        <x:v>4</x:v>
      </x:c>
      <x:c r="C308" s="34" t="str">
        <x:v>AR</x:v>
      </x:c>
      <x:c r="D308" s="34" t="str">
        <x:v>AR-L3-SC-PoolIsolation-048-03</x:v>
      </x:c>
      <x:c r="E308" s="34" t="str">
        <x:v>SR-01-11-08</x:v>
      </x:c>
      <x:c r="F308" s="34" t="str">
        <x:v>            └─ AR-L3-SC-PoolIsolation-048-03 验证与观测</x:v>
      </x:c>
      <x:c r="G308" s="34" t="str">
        <x:v>验证与观测</x:v>
      </x:c>
      <x:c r="H308" s="33" t="str">
        <x:v>新增正常、边界、并发、超时、stale metadata、迁移冲突、路径拥塞/故障与 feature-flag-off 用例；在 benchmark 中固定模型、tokenizer、prompt、并发、拓扑和 baseline，采集 lookup/load/attach、TTFT、TPOT、usable/abandoned hit、带宽/时延及 CPU/NPU 利用率。</x:v>
      </x:c>
      <x:c r="I308" s="33" t="str">
        <x:v>租户间干扰 &lt;5%；越权访问 = 0；</x:v>
      </x:c>
      <x:c r="J308" s="33" t="str">
        <x:v>tests/consistency/qos/pool_isolation_test.cc + benchmarks/consistency/qos/pool_isolation_benchmark.cc</x:v>
      </x:c>
      <x:c r="K308" s="33" t="str">
        <x:v>L3 传输管理层 / 存储池/传输管理开发</x:v>
      </x:c>
      <x:c r="L308" s="33" t="str">
        <x:v>L3-SC-PoolIsolation-048</x:v>
      </x:c>
    </x:row>
    <x:row r="309" ht="76" customHeight="1">
      <x:c r="A309" s="31" t="str">
        <x:v>SF-01/IR-01-11/SR-01-11-09</x:v>
      </x:c>
      <x:c r="B309" s="31" t="n">
        <x:v>3</x:v>
      </x:c>
      <x:c r="C309" s="32" t="str">
        <x:v>SR</x:v>
      </x:c>
      <x:c r="D309" s="32" t="str">
        <x:v>SR-01-11-09</x:v>
      </x:c>
      <x:c r="E309" s="32" t="str">
        <x:v>IR-01-11</x:v>
      </x:c>
      <x:c r="F309" s="32" t="str">
        <x:v>        ├─ SR-01-11-09 动态升降级与碎片整理期间的并发无感消费</x:v>
      </x:c>
      <x:c r="G309" s="32" t="str">
        <x:v>动态升降级与碎片整理期间的并发无感消费｜L3-CO-MigrationRCULock-090</x:v>
      </x:c>
      <x:c r="H309" s="31" t="str">
        <x:v>系统重构：本需求要求针对处于冷热升降级或碎片整理过程中的活跃中途迁移（In-Flight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x:v>
      </x:c>
      <x:c r="I309" s="31" t="str">
        <x:v>同机架内本地及远端DDR命中率（Local Usable Hit Rate）提升≥30%。</x:v>
      </x:c>
      <x:c r="J309" s="31" t="str"/>
      <x:c r="K309" s="31" t="str">
        <x:v>L3 传输管理层 / 一致性、隔离与QoS</x:v>
      </x:c>
      <x:c r="L309" s="31" t="str">
        <x:v>L3-CO-MigrationRCULock-090</x:v>
      </x:c>
    </x:row>
    <x:row r="310" ht="76" customHeight="1">
      <x:c r="A310" s="33" t="str">
        <x:v>SF-01/IR-01-11/SR-01-11-09/AR-L3-CO-MigrationRCULock-090-01</x:v>
      </x:c>
      <x:c r="B310" s="33" t="n">
        <x:v>4</x:v>
      </x:c>
      <x:c r="C310" s="34" t="str">
        <x:v>AR</x:v>
      </x:c>
      <x:c r="D310" s="34" t="str">
        <x:v>AR-L3-CO-MigrationRCULock-090-01</x:v>
      </x:c>
      <x:c r="E310" s="34" t="str">
        <x:v>SR-01-11-09</x:v>
      </x:c>
      <x:c r="F310" s="34" t="str">
        <x:v>            ├─ AR-L3-CO-MigrationRCULock-090-01 核心实现</x:v>
      </x:c>
      <x:c r="G310" s="34" t="str">
        <x:v>核心实现</x:v>
      </x:c>
      <x:c r="H310" s="33" t="str">
        <x:v>在 `src/consistency/qos/migration_rculock.{h,cc}` 新增或重写 `MigrationRCULockController`，把“动态升降级与碎片整理期间的并发无感消费”落实为 L3 传输管理层 可调用主路径：本需求要求针对处于冷热升降级或碎片整理过程中的活跃中途迁移（In-Flight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 输入必须显式消费 object state + traffic class + tenant quota，输出 atomic visibility + scheduled transfer budget，不得用全局单例或隐藏同步 I/O 绕开预算与状态机。</x:v>
      </x:c>
      <x:c r="I310" s="33" t="str">
        <x:v>同机架内本地及远端DDR命中率（Local Usable Hit Rate）提升≥30%。</x:v>
      </x:c>
      <x:c r="J310" s="33" t="str">
        <x:v>src/consistency/qos/migration_rculock.{h,cc}</x:v>
      </x:c>
      <x:c r="K310" s="33" t="str">
        <x:v>L3 传输管理层 / 存储池/传输管理开发</x:v>
      </x:c>
      <x:c r="L310" s="33" t="str">
        <x:v>L3-CO-MigrationRCULock-090</x:v>
      </x:c>
    </x:row>
    <x:row r="311" ht="76" customHeight="1">
      <x:c r="A311" s="33" t="str">
        <x:v>SF-01/IR-01-11/SR-01-11-09/AR-L3-CO-MigrationRCULock-090-02</x:v>
      </x:c>
      <x:c r="B311" s="33" t="n">
        <x:v>4</x:v>
      </x:c>
      <x:c r="C311" s="34" t="str">
        <x:v>AR</x:v>
      </x:c>
      <x:c r="D311" s="34" t="str">
        <x:v>AR-L3-CO-MigrationRCULock-090-02</x:v>
      </x:c>
      <x:c r="E311" s="34" t="str">
        <x:v>SR-01-11-09</x:v>
      </x:c>
      <x:c r="F311" s="34" t="str">
        <x:v>            ├─ AR-L3-CO-MigrationRCULock-090-02 契约配置与降级</x:v>
      </x:c>
      <x:c r="G311" s="34" t="str">
        <x:v>契约配置与降级</x:v>
      </x:c>
      <x:c r="H311" s="33" t="str">
        <x:v>为 `MigrationRCULockOptions` 增加 `kvcache.migration_rculock.enabled`、deadline/容量/队列预算及版本字段；在调用点接入 typed error、decision_reason、fallback_reason，确保配置热更新、灰度关闭和向后兼容均可审计。</x:v>
      </x:c>
      <x:c r="I311" s="33" t="str">
        <x:v>同机架内本地及远端DDR命中率（Local Usable Hit Rate）提升≥30%。</x:v>
      </x:c>
      <x:c r="J311" s="33" t="str">
        <x:v>api/kvcache/v1/migration_rculock.proto + config/runtime/migration_rculock.yaml</x:v>
      </x:c>
      <x:c r="K311" s="33" t="str">
        <x:v>L3 传输管理层 / 存储池/传输管理开发</x:v>
      </x:c>
      <x:c r="L311" s="33" t="str">
        <x:v>L3-CO-MigrationRCULock-090</x:v>
      </x:c>
    </x:row>
    <x:row r="312" ht="76" customHeight="1">
      <x:c r="A312" s="33" t="str">
        <x:v>SF-01/IR-01-11/SR-01-11-09/AR-L3-CO-MigrationRCULock-090-03</x:v>
      </x:c>
      <x:c r="B312" s="33" t="n">
        <x:v>4</x:v>
      </x:c>
      <x:c r="C312" s="34" t="str">
        <x:v>AR</x:v>
      </x:c>
      <x:c r="D312" s="34" t="str">
        <x:v>AR-L3-CO-MigrationRCULock-090-03</x:v>
      </x:c>
      <x:c r="E312" s="34" t="str">
        <x:v>SR-01-11-09</x:v>
      </x:c>
      <x:c r="F312" s="34" t="str">
        <x:v>            └─ AR-L3-CO-MigrationRCULock-090-03 验证与观测</x:v>
      </x:c>
      <x:c r="G312" s="34" t="str">
        <x:v>验证与观测</x:v>
      </x:c>
      <x:c r="H312" s="33" t="str">
        <x:v>新增正常、边界、并发、超时、stale metadata、迁移冲突、路径拥塞/故障与 feature-flag-off 用例；在 benchmark 中固定模型、tokenizer、prompt、并发、拓扑和 baseline，采集 lookup/load/attach、TTFT、TPOT、usable/abandoned hit、带宽/时延及 CPU/NPU 利用率。</x:v>
      </x:c>
      <x:c r="I312" s="33" t="str">
        <x:v>同机架内本地及远端DDR命中率（Local Usable Hit Rate）提升≥30%。</x:v>
      </x:c>
      <x:c r="J312" s="33" t="str">
        <x:v>tests/consistency/qos/migration_rculock_test.cc + benchmarks/consistency/qos/migration_rculock_benchmark.cc</x:v>
      </x:c>
      <x:c r="K312" s="33" t="str">
        <x:v>L3 传输管理层 / 存储池/传输管理开发</x:v>
      </x:c>
      <x:c r="L312" s="33" t="str">
        <x:v>L3-CO-MigrationRCULock-090</x:v>
      </x:c>
    </x:row>
    <x:row r="313" ht="76" customHeight="1">
      <x:c r="A313" s="31" t="str">
        <x:v>SF-01/IR-01-11/SR-01-11-10</x:v>
      </x:c>
      <x:c r="B313" s="31" t="n">
        <x:v>3</x:v>
      </x:c>
      <x:c r="C313" s="32" t="str">
        <x:v>SR</x:v>
      </x:c>
      <x:c r="D313" s="32" t="str">
        <x:v>SR-01-11-10</x:v>
      </x:c>
      <x:c r="E313" s="32" t="str">
        <x:v>IR-01-11</x:v>
      </x:c>
      <x:c r="F313" s="32" t="str">
        <x:v>        ├─ SR-01-11-10 异常 KV 副本隔离</x:v>
      </x:c>
      <x:c r="G313" s="32" t="str">
        <x:v>异常 KV 副本隔离｜L3-CO-ReplicaQuarantine-068</x:v>
      </x:c>
      <x:c r="H313" s="31" t="str">
        <x:v>系统重构：本需求要求对 checksum 错误、visibility 未达标、layout 不兼容、version 冲突或迁移失败的 KV replica 标记为 QUARANTINED；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x:v>
      </x:c>
      <x:c r="I313" s="31" t="str">
        <x:v>Prefix命中判定P99耗时 &lt; 200us；在Share-Prefix业务下，Usable Hit Rate提升≥15%。</x:v>
      </x:c>
      <x:c r="J313" s="31" t="str"/>
      <x:c r="K313" s="31" t="str">
        <x:v>L3 传输管理层 / 一致性、隔离与QoS</x:v>
      </x:c>
      <x:c r="L313" s="31" t="str">
        <x:v>L3-CO-ReplicaQuarantine-068</x:v>
      </x:c>
    </x:row>
    <x:row r="314" ht="76" customHeight="1">
      <x:c r="A314" s="33" t="str">
        <x:v>SF-01/IR-01-11/SR-01-11-10/AR-L3-CO-ReplicaQuarantine-068-01</x:v>
      </x:c>
      <x:c r="B314" s="33" t="n">
        <x:v>4</x:v>
      </x:c>
      <x:c r="C314" s="34" t="str">
        <x:v>AR</x:v>
      </x:c>
      <x:c r="D314" s="34" t="str">
        <x:v>AR-L3-CO-ReplicaQuarantine-068-01</x:v>
      </x:c>
      <x:c r="E314" s="34" t="str">
        <x:v>SR-01-11-10</x:v>
      </x:c>
      <x:c r="F314" s="34" t="str">
        <x:v>            ├─ AR-L3-CO-ReplicaQuarantine-068-01 核心实现</x:v>
      </x:c>
      <x:c r="G314" s="34" t="str">
        <x:v>核心实现</x:v>
      </x:c>
      <x:c r="H314" s="33" t="str">
        <x:v>在 `src/consistency/qos/replica_quarantine.{h,cc}` 新增或重写 `ReplicaQuarantineController`，把“异常 KV 副本隔离”落实为 L3 传输管理层 可调用主路径：本需求要求对 checksum 错误、visibility 未达标、layout 不兼容、version 冲突或迁移失败的 KV replica 标记为 QUARANTINED； 输入必须显式消费 object state + traffic class + tenant quota，输出 atomic visibility + scheduled transfer budget，不得用全局单例或隐藏同步 I/O 绕开预算与状态机。</x:v>
      </x:c>
      <x:c r="I314" s="33" t="str">
        <x:v>Prefix命中判定P99耗时 &lt; 200us；在Share-Prefix业务下，Usable Hit Rate提升≥15%。</x:v>
      </x:c>
      <x:c r="J314" s="33" t="str">
        <x:v>src/consistency/qos/replica_quarantine.{h,cc}</x:v>
      </x:c>
      <x:c r="K314" s="33" t="str">
        <x:v>L3 传输管理层 / 存储池/传输管理开发</x:v>
      </x:c>
      <x:c r="L314" s="33" t="str">
        <x:v>L3-CO-ReplicaQuarantine-068</x:v>
      </x:c>
    </x:row>
    <x:row r="315" ht="76" customHeight="1">
      <x:c r="A315" s="33" t="str">
        <x:v>SF-01/IR-01-11/SR-01-11-10/AR-L3-CO-ReplicaQuarantine-068-02</x:v>
      </x:c>
      <x:c r="B315" s="33" t="n">
        <x:v>4</x:v>
      </x:c>
      <x:c r="C315" s="34" t="str">
        <x:v>AR</x:v>
      </x:c>
      <x:c r="D315" s="34" t="str">
        <x:v>AR-L3-CO-ReplicaQuarantine-068-02</x:v>
      </x:c>
      <x:c r="E315" s="34" t="str">
        <x:v>SR-01-11-10</x:v>
      </x:c>
      <x:c r="F315" s="34" t="str">
        <x:v>            ├─ AR-L3-CO-ReplicaQuarantine-068-02 契约配置与降级</x:v>
      </x:c>
      <x:c r="G315" s="34" t="str">
        <x:v>契约配置与降级</x:v>
      </x:c>
      <x:c r="H315" s="33" t="str">
        <x:v>为 `ReplicaQuarantineOptions` 增加 `kvcache.replica_quarantine.enabled`、deadline/容量/队列预算及版本字段；在调用点接入 typed error、decision_reason、fallback_reason，确保配置热更新、灰度关闭和向后兼容均可审计。</x:v>
      </x:c>
      <x:c r="I315" s="33" t="str">
        <x:v>Prefix命中判定P99耗时 &lt; 200us；在Share-Prefix业务下，Usable Hit Rate提升≥15%。</x:v>
      </x:c>
      <x:c r="J315" s="33" t="str">
        <x:v>api/kvcache/v1/replica_quarantine.proto + config/runtime/replica_quarantine.yaml</x:v>
      </x:c>
      <x:c r="K315" s="33" t="str">
        <x:v>L3 传输管理层 / 存储池/传输管理开发</x:v>
      </x:c>
      <x:c r="L315" s="33" t="str">
        <x:v>L3-CO-ReplicaQuarantine-068</x:v>
      </x:c>
    </x:row>
    <x:row r="316" ht="76" customHeight="1">
      <x:c r="A316" s="33" t="str">
        <x:v>SF-01/IR-01-11/SR-01-11-10/AR-L3-CO-ReplicaQuarantine-068-03</x:v>
      </x:c>
      <x:c r="B316" s="33" t="n">
        <x:v>4</x:v>
      </x:c>
      <x:c r="C316" s="34" t="str">
        <x:v>AR</x:v>
      </x:c>
      <x:c r="D316" s="34" t="str">
        <x:v>AR-L3-CO-ReplicaQuarantine-068-03</x:v>
      </x:c>
      <x:c r="E316" s="34" t="str">
        <x:v>SR-01-11-10</x:v>
      </x:c>
      <x:c r="F316" s="34" t="str">
        <x:v>            └─ AR-L3-CO-ReplicaQuarantine-068-03 验证与观测</x:v>
      </x:c>
      <x:c r="G316" s="34" t="str">
        <x:v>验证与观测</x:v>
      </x:c>
      <x:c r="H316" s="33" t="str">
        <x:v>新增正常、边界、并发、超时、stale metadata、迁移冲突、路径拥塞/故障与 feature-flag-off 用例；在 benchmark 中固定模型、tokenizer、prompt、并发、拓扑和 baseline，采集 lookup/load/attach、TTFT、TPOT、usable/abandoned hit、带宽/时延及 CPU/NPU 利用率。</x:v>
      </x:c>
      <x:c r="I316" s="33" t="str">
        <x:v>Prefix命中判定P99耗时 &lt; 200us；在Share-Prefix业务下，Usable Hit Rate提升≥15%。</x:v>
      </x:c>
      <x:c r="J316" s="33" t="str">
        <x:v>tests/consistency/qos/replica_quarantine_test.cc + benchmarks/consistency/qos/replica_quarantine_benchmark.cc</x:v>
      </x:c>
      <x:c r="K316" s="33" t="str">
        <x:v>L3 传输管理层 / 存储池/传输管理开发</x:v>
      </x:c>
      <x:c r="L316" s="33" t="str">
        <x:v>L3-CO-ReplicaQuarantine-068</x:v>
      </x:c>
    </x:row>
    <x:row r="317" ht="76" customHeight="1">
      <x:c r="A317" s="29" t="str">
        <x:v>SF-01/IR-01-12</x:v>
      </x:c>
      <x:c r="B317" s="29" t="n">
        <x:v>2</x:v>
      </x:c>
      <x:c r="C317" s="30" t="str">
        <x:v>IR</x:v>
      </x:c>
      <x:c r="D317" s="30" t="str">
        <x:v>IR-01-12</x:v>
      </x:c>
      <x:c r="E317" s="30" t="str">
        <x:v>SF-01</x:v>
      </x:c>
      <x:c r="F317" s="30" t="str">
        <x:v>    ├─ IR-01-12 支持跨介质KV完整性校验、访问保护及硬件故障恢复</x:v>
      </x:c>
      <x:c r="G317" s="30" t="str">
        <x:v>支持跨介质KV完整性校验、访问保护及硬件故障恢复</x:v>
      </x:c>
      <x:c r="H317" s="29" t="str">
        <x:v>系统应在 KV 对象进入 ready 或被 attach 前，根据介质和路径能力验证版本、长度、布局、完成状态、ECC/RAS、后端 checksum 或硬件端到端校验证据，并通过 IOMMU、MR 和安全域限制访问范围。证据缺失、数据损坏、句柄越权或硬件故障必须阻断消费、隔离副本并触发可追踪回退，保证任何错误或过期 KV 都不会进入推理计算。
技术锚点：IOMMU/MR Protection + CRC32C/xxHash + RAS Map + IntegrityPolicy</x:v>
      </x:c>
      <x:c r="I317" s="29" t="str">
        <x:v>错误/过期 KV 被消费=0；越权访问=0；view revocation p99&lt;1ms；故障注入覆盖率=100%。</x:v>
      </x:c>
      <x:c r="J317" s="29" t="str"/>
      <x:c r="K317" s="29" t="str">
        <x:v>TM5/TM6</x:v>
      </x:c>
      <x:c r="L317" s="29" t="str">
        <x:v>V2.1修订定义</x:v>
      </x:c>
    </x:row>
    <x:row r="318" ht="76" customHeight="1">
      <x:c r="A318" s="31" t="str">
        <x:v>SF-01/IR-01-12/SR-01-12-01</x:v>
      </x:c>
      <x:c r="B318" s="31" t="n">
        <x:v>3</x:v>
      </x:c>
      <x:c r="C318" s="32" t="str">
        <x:v>SR</x:v>
      </x:c>
      <x:c r="D318" s="32" t="str">
        <x:v>SR-01-12-01</x:v>
      </x:c>
      <x:c r="E318" s="32" t="str">
        <x:v>IR-01-12</x:v>
      </x:c>
      <x:c r="F318" s="32" t="str">
        <x:v>        ├─ SR-01-12-01 多租户 KVCache 隔离共享</x:v>
      </x:c>
      <x:c r="G318" s="32" t="str">
        <x:v>多租户 KVCache 隔离共享｜L1-SC-TenantIsolation-017</x:v>
      </x:c>
      <x:c r="H318" s="31" t="str">
        <x:v>系统重构：本需求要求 KV key 构造必须包含 tenant、security domain、cache salt、model id、tokenizer hash、template version、layout version 等隔离字段； 技术路径：详细设计应固定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x:v>
      </x:c>
      <x:c r="I318" s="31" t="str">
        <x:v>跨租户误命中 = 0；</x:v>
      </x:c>
      <x:c r="J318" s="31" t="str"/>
      <x:c r="K318" s="31" t="str">
        <x:v>L1 推理调度层 / 一致性、安全与可靠性</x:v>
      </x:c>
      <x:c r="L318" s="31" t="str">
        <x:v>L1-SC-TenantIsolation-017</x:v>
      </x:c>
    </x:row>
    <x:row r="319" ht="76" customHeight="1">
      <x:c r="A319" s="33" t="str">
        <x:v>SF-01/IR-01-12/SR-01-12-01/AR-L1-SC-TenantIsolation-017-01</x:v>
      </x:c>
      <x:c r="B319" s="33" t="n">
        <x:v>4</x:v>
      </x:c>
      <x:c r="C319" s="34" t="str">
        <x:v>AR</x:v>
      </x:c>
      <x:c r="D319" s="34" t="str">
        <x:v>AR-L1-SC-TenantIsolation-017-01</x:v>
      </x:c>
      <x:c r="E319" s="34" t="str">
        <x:v>SR-01-12-01</x:v>
      </x:c>
      <x:c r="F319" s="34" t="str">
        <x:v>            ├─ AR-L1-SC-TenantIsolation-017-01 核心实现</x:v>
      </x:c>
      <x:c r="G319" s="34" t="str">
        <x:v>核心实现</x:v>
      </x:c>
      <x:c r="H319" s="33" t="str">
        <x:v>在 `src/security/integrity/tenant_isolation.{h,cc}` 新增或重写 `TenantIsolationVerifier`，把“多租户 KVCache 隔离共享”落实为 L1 推理调度层 可调用主路径：本需求要求 KV key 构造必须包含 tenant、security domain、cache salt、model id、tokenizer hash、template version、layout version 等隔离字段； 输入必须显式消费 path evidence + security domain + object version，输出 ready/quarantine decision + error map，不得用全局单例或隐藏同步 I/O 绕开预算与状态机。</x:v>
      </x:c>
      <x:c r="I319" s="33" t="str">
        <x:v>跨租户误命中 = 0；</x:v>
      </x:c>
      <x:c r="J319" s="33" t="str">
        <x:v>src/security/integrity/tenant_isolation.{h,cc}</x:v>
      </x:c>
      <x:c r="K319" s="33" t="str">
        <x:v>L1 推理调度层 / 推理框架开发</x:v>
      </x:c>
      <x:c r="L319" s="33" t="str">
        <x:v>L1-SC-TenantIsolation-017</x:v>
      </x:c>
    </x:row>
    <x:row r="320" ht="76" customHeight="1">
      <x:c r="A320" s="33" t="str">
        <x:v>SF-01/IR-01-12/SR-01-12-01/AR-L1-SC-TenantIsolation-017-02</x:v>
      </x:c>
      <x:c r="B320" s="33" t="n">
        <x:v>4</x:v>
      </x:c>
      <x:c r="C320" s="34" t="str">
        <x:v>AR</x:v>
      </x:c>
      <x:c r="D320" s="34" t="str">
        <x:v>AR-L1-SC-TenantIsolation-017-02</x:v>
      </x:c>
      <x:c r="E320" s="34" t="str">
        <x:v>SR-01-12-01</x:v>
      </x:c>
      <x:c r="F320" s="34" t="str">
        <x:v>            ├─ AR-L1-SC-TenantIsolation-017-02 契约配置与降级</x:v>
      </x:c>
      <x:c r="G320" s="34" t="str">
        <x:v>契约配置与降级</x:v>
      </x:c>
      <x:c r="H320" s="33" t="str">
        <x:v>增加编译开关 `KVCACHE_ENABLE_TENANT_ISOLATION`、运行时开关 `kvcache.tenant_isolation.enabled` 与 BackendRegistry 注册项；冻结 capability、descriptor、completion/fence、error mapping 与 per-path telemetry 字段，并实现“主路径→备路径→重算/冷路径”的有界 fallback。</x:v>
      </x:c>
      <x:c r="I320" s="33" t="str">
        <x:v>跨租户误命中 = 0；</x:v>
      </x:c>
      <x:c r="J320" s="33" t="str">
        <x:v>cmake/KVCacheBackends.cmake + config/backends/tenant_isolation.yaml + src/backends/backend_registry.cc</x:v>
      </x:c>
      <x:c r="K320" s="33" t="str">
        <x:v>L1 推理调度层 / 推理框架开发</x:v>
      </x:c>
      <x:c r="L320" s="33" t="str">
        <x:v>L1-SC-TenantIsolation-017</x:v>
      </x:c>
    </x:row>
    <x:row r="321" ht="76" customHeight="1">
      <x:c r="A321" s="33" t="str">
        <x:v>SF-01/IR-01-12/SR-01-12-01/AR-L1-SC-TenantIsolation-017-03</x:v>
      </x:c>
      <x:c r="B321" s="33" t="n">
        <x:v>4</x:v>
      </x:c>
      <x:c r="C321" s="34" t="str">
        <x:v>AR</x:v>
      </x:c>
      <x:c r="D321" s="34" t="str">
        <x:v>AR-L1-SC-TenantIsolation-017-03</x:v>
      </x:c>
      <x:c r="E321" s="34" t="str">
        <x:v>SR-01-12-01</x:v>
      </x:c>
      <x:c r="F321" s="34" t="str">
        <x:v>            └─ AR-L1-SC-TenantIsolation-017-03 验证与观测</x:v>
      </x:c>
      <x:c r="G321" s="34" t="str">
        <x:v>验证与观测</x:v>
      </x:c>
      <x:c r="H321" s="33" t="str">
        <x:v>新增正常、边界、并发、超时、stale metadata、迁移冲突、路径拥塞/故障与 feature-flag-off 用例；在 benchmark 中固定模型、tokenizer、prompt、并发、拓扑和 baseline，采集 lookup/load/attach、TTFT、TPOT、usable/abandoned hit、带宽/时延及 CPU/NPU 利用率。</x:v>
      </x:c>
      <x:c r="I321" s="33" t="str">
        <x:v>跨租户误命中 = 0；</x:v>
      </x:c>
      <x:c r="J321" s="33" t="str">
        <x:v>tests/security/integrity/tenant_isolation_test.cc + benchmarks/security/integrity/tenant_isolation_benchmark.cc</x:v>
      </x:c>
      <x:c r="K321" s="33" t="str">
        <x:v>L1 推理调度层 / 推理框架开发</x:v>
      </x:c>
      <x:c r="L321" s="33" t="str">
        <x:v>L1-SC-TenantIsolation-017</x:v>
      </x:c>
    </x:row>
    <x:row r="322" ht="76" customHeight="1">
      <x:c r="A322" s="31" t="str">
        <x:v>SF-01/IR-01-12/SR-01-12-02</x:v>
      </x:c>
      <x:c r="B322" s="31" t="n">
        <x:v>3</x:v>
      </x:c>
      <x:c r="C322" s="32" t="str">
        <x:v>SR</x:v>
      </x:c>
      <x:c r="D322" s="32" t="str">
        <x:v>SR-01-12-02</x:v>
      </x:c>
      <x:c r="E322" s="32" t="str">
        <x:v>IR-01-12</x:v>
      </x:c>
      <x:c r="F322" s="32" t="str">
        <x:v>        ├─ SR-01-12-02 KV block/page 可见性同步</x:v>
      </x:c>
      <x:c r="G322" s="32" t="str">
        <x:v>KV block/page 可见性同步｜L4-CO-ExtentVisibilityFence-066</x:v>
      </x:c>
      <x:c r="H322" s="31" t="str">
        <x:v>系统重构：本需求要求底层提供 extent 粒度 visibility fence，覆盖 HBM、DDR、UB/C2C、RDMA remote memory、SSD/GDS buffer 之间的数据完成与可见性转换；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x:v>
      </x:c>
      <x:c r="I322" s="31" t="str">
        <x:v>建立前置硬件能力矩阵和注册内存池机制，确保 KV block layout 不被碎片化，并能进行有效的硬件边界隔离。</x:v>
      </x:c>
      <x:c r="J322" s="31" t="str"/>
      <x:c r="K322" s="31" t="str">
        <x:v>L4 底层传输层 / 一致性、安全与可靠性</x:v>
      </x:c>
      <x:c r="L322" s="31" t="str">
        <x:v>L4-CO-ExtentVisibilityFence-066</x:v>
      </x:c>
    </x:row>
    <x:row r="323" ht="76" customHeight="1">
      <x:c r="A323" s="33" t="str">
        <x:v>SF-01/IR-01-12/SR-01-12-02/AR-L4-CO-ExtentVisibilityFence-066-01</x:v>
      </x:c>
      <x:c r="B323" s="33" t="n">
        <x:v>4</x:v>
      </x:c>
      <x:c r="C323" s="34" t="str">
        <x:v>AR</x:v>
      </x:c>
      <x:c r="D323" s="34" t="str">
        <x:v>AR-L4-CO-ExtentVisibilityFence-066-01</x:v>
      </x:c>
      <x:c r="E323" s="34" t="str">
        <x:v>SR-01-12-02</x:v>
      </x:c>
      <x:c r="F323" s="34" t="str">
        <x:v>            ├─ AR-L4-CO-ExtentVisibilityFence-066-01 核心实现</x:v>
      </x:c>
      <x:c r="G323" s="34" t="str">
        <x:v>核心实现</x:v>
      </x:c>
      <x:c r="H323" s="33" t="str">
        <x:v>在 `src/security/integrity/extent_visibility_fence.{h,cc}` 新增或重写 `ExtentVisibilityFenceVerifier`，把“KV block/page 可见性同步”落实为 L4 底层传输层 可调用主路径：本需求要求底层提供 extent 粒度 visibility fence，覆盖 HBM、DDR、UB/C2C、RDMA remote memory、SSD/GDS buffer 之间的数据完成与可见性转换； 输入必须显式消费 path evidence + security domain + object version，输出 ready/quarantine decision + error map，不得用全局单例或隐藏同步 I/O 绕开预算与状态机。</x:v>
      </x:c>
      <x:c r="I323" s="33" t="str">
        <x:v>建立前置硬件能力矩阵和注册内存池机制，确保 KV block layout 不被碎片化，并能进行有效的硬件边界隔离。</x:v>
      </x:c>
      <x:c r="J323" s="33" t="str">
        <x:v>src/security/integrity/extent_visibility_fence.{h,cc}</x:v>
      </x:c>
      <x:c r="K323" s="33" t="str">
        <x:v>L4 底层传输层 / 驱动/硬件协同开发</x:v>
      </x:c>
      <x:c r="L323" s="33" t="str">
        <x:v>L4-CO-ExtentVisibilityFence-066</x:v>
      </x:c>
    </x:row>
    <x:row r="324" ht="76" customHeight="1">
      <x:c r="A324" s="33" t="str">
        <x:v>SF-01/IR-01-12/SR-01-12-02/AR-L4-CO-ExtentVisibilityFence-066-02</x:v>
      </x:c>
      <x:c r="B324" s="33" t="n">
        <x:v>4</x:v>
      </x:c>
      <x:c r="C324" s="34" t="str">
        <x:v>AR</x:v>
      </x:c>
      <x:c r="D324" s="34" t="str">
        <x:v>AR-L4-CO-ExtentVisibilityFence-066-02</x:v>
      </x:c>
      <x:c r="E324" s="34" t="str">
        <x:v>SR-01-12-02</x:v>
      </x:c>
      <x:c r="F324" s="34" t="str">
        <x:v>            ├─ AR-L4-CO-ExtentVisibilityFence-066-02 契约配置与降级</x:v>
      </x:c>
      <x:c r="G324" s="34" t="str">
        <x:v>契约配置与降级</x:v>
      </x:c>
      <x:c r="H324" s="33" t="str">
        <x:v>增加编译开关 `KVCACHE_ENABLE_EXTENT_VISIBILITY_FENCE`、运行时开关 `kvcache.extent_visibility_fence.enabled` 与 BackendRegistry 注册项；冻结 capability、descriptor、completion/fence、error mapping 与 per-path telemetry 字段，并实现“主路径→备路径→重算/冷路径”的有界 fallback。</x:v>
      </x:c>
      <x:c r="I324" s="33" t="str">
        <x:v>建立前置硬件能力矩阵和注册内存池机制，确保 KV block layout 不被碎片化，并能进行有效的硬件边界隔离。</x:v>
      </x:c>
      <x:c r="J324" s="33" t="str">
        <x:v>cmake/KVCacheBackends.cmake + config/backends/extent_visibility_fence.yaml + src/backends/backend_registry.cc</x:v>
      </x:c>
      <x:c r="K324" s="33" t="str">
        <x:v>L4 底层传输层 / 驱动/硬件协同开发</x:v>
      </x:c>
      <x:c r="L324" s="33" t="str">
        <x:v>L4-CO-ExtentVisibilityFence-066</x:v>
      </x:c>
    </x:row>
    <x:row r="325" ht="76" customHeight="1">
      <x:c r="A325" s="33" t="str">
        <x:v>SF-01/IR-01-12/SR-01-12-02/AR-L4-CO-ExtentVisibilityFence-066-03</x:v>
      </x:c>
      <x:c r="B325" s="33" t="n">
        <x:v>4</x:v>
      </x:c>
      <x:c r="C325" s="34" t="str">
        <x:v>AR</x:v>
      </x:c>
      <x:c r="D325" s="34" t="str">
        <x:v>AR-L4-CO-ExtentVisibilityFence-066-03</x:v>
      </x:c>
      <x:c r="E325" s="34" t="str">
        <x:v>SR-01-12-02</x:v>
      </x:c>
      <x:c r="F325" s="34" t="str">
        <x:v>            └─ AR-L4-CO-ExtentVisibilityFence-066-03 验证与观测</x:v>
      </x:c>
      <x:c r="G325" s="34" t="str">
        <x:v>验证与观测</x:v>
      </x:c>
      <x:c r="H325" s="33" t="str">
        <x:v>新增正常、边界、并发、超时、stale metadata、迁移冲突、路径拥塞/故障与 feature-flag-off 用例；在 benchmark 中固定模型、tokenizer、prompt、并发、拓扑和 baseline，采集 lookup/load/attach、TTFT、TPOT、usable/abandoned hit、带宽/时延及 CPU/NPU 利用率。</x:v>
      </x:c>
      <x:c r="I325" s="33" t="str">
        <x:v>建立前置硬件能力矩阵和注册内存池机制，确保 KV block layout 不被碎片化，并能进行有效的硬件边界隔离。</x:v>
      </x:c>
      <x:c r="J325" s="33" t="str">
        <x:v>tests/security/integrity/extent_visibility_fence_test.cc + benchmarks/security/integrity/extent_visibility_fence_benchmark.cc</x:v>
      </x:c>
      <x:c r="K325" s="33" t="str">
        <x:v>L4 底层传输层 / 驱动/硬件协同开发</x:v>
      </x:c>
      <x:c r="L325" s="33" t="str">
        <x:v>L4-CO-ExtentVisibilityFence-066</x:v>
      </x:c>
    </x:row>
    <x:row r="326" ht="76" customHeight="1">
      <x:c r="A326" s="31" t="str">
        <x:v>SF-01/IR-01-12/SR-01-12-03</x:v>
      </x:c>
      <x:c r="B326" s="31" t="n">
        <x:v>3</x:v>
      </x:c>
      <x:c r="C326" s="32" t="str">
        <x:v>SR</x:v>
      </x:c>
      <x:c r="D326" s="32" t="str">
        <x:v>SR-01-12-03</x:v>
      </x:c>
      <x:c r="E326" s="32" t="str">
        <x:v>IR-01-12</x:v>
      </x:c>
      <x:c r="F326" s="32" t="str">
        <x:v>        ├─ SR-01-12-03 跨设备 KVCache 可见性同步</x:v>
      </x:c>
      <x:c r="G326" s="32" t="str">
        <x:v>跨设备 KVCache 可见性同步｜L4-CO-FencePrimitive-052</x:v>
      </x:c>
      <x:c r="H326" s="31" t="str">
        <x:v>系统重构：本需求要求硬件抽象层提供跨语义 fence 原语，至少覆盖 cpu_to_NPU_visible、rdma_to_NPU_visible、NPU_to_UB_visible、UB_to_rdma_visible，确保不同 fabric 间数据完成与可见性边界明确。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x:v>
      </x:c>
      <x:c r="I326" s="31" t="str">
        <x:v>stale visibility fault = 0；</x:v>
      </x:c>
      <x:c r="J326" s="31" t="str"/>
      <x:c r="K326" s="31" t="str">
        <x:v>L4 底层传输层 / 一致性、安全与可靠性</x:v>
      </x:c>
      <x:c r="L326" s="31" t="str">
        <x:v>L4-CO-FencePrimitive-052</x:v>
      </x:c>
    </x:row>
    <x:row r="327" ht="76" customHeight="1">
      <x:c r="A327" s="33" t="str">
        <x:v>SF-01/IR-01-12/SR-01-12-03/AR-L4-CO-FencePrimitive-052-01</x:v>
      </x:c>
      <x:c r="B327" s="33" t="n">
        <x:v>4</x:v>
      </x:c>
      <x:c r="C327" s="34" t="str">
        <x:v>AR</x:v>
      </x:c>
      <x:c r="D327" s="34" t="str">
        <x:v>AR-L4-CO-FencePrimitive-052-01</x:v>
      </x:c>
      <x:c r="E327" s="34" t="str">
        <x:v>SR-01-12-03</x:v>
      </x:c>
      <x:c r="F327" s="34" t="str">
        <x:v>            ├─ AR-L4-CO-FencePrimitive-052-01 核心实现</x:v>
      </x:c>
      <x:c r="G327" s="34" t="str">
        <x:v>核心实现</x:v>
      </x:c>
      <x:c r="H327" s="33" t="str">
        <x:v>在 `src/security/integrity/fence_primitive.{h,cc}` 新增或重写 `FencePrimitiveVerifier`，把“跨设备 KVCache 可见性同步”落实为 L4 底层传输层 可调用主路径：本需求要求硬件抽象层提供跨语义 fence 原语，至少覆盖 cpu_to_NPU_visible、rdma_to_NPU_visible、NPU_to_UB_visible、UB_to_rdma_visible，确保不同 fabric 间数据完成与可见性边界明确。 输入必须显式消费 path evidence + security domain + object version，输出 ready/quarantine decision + error map，不得用全局单例或隐藏同步 I/O 绕开预算与状态机。</x:v>
      </x:c>
      <x:c r="I327" s="33" t="str">
        <x:v>stale visibility fault = 0；</x:v>
      </x:c>
      <x:c r="J327" s="33" t="str">
        <x:v>src/security/integrity/fence_primitive.{h,cc}</x:v>
      </x:c>
      <x:c r="K327" s="33" t="str">
        <x:v>L4 底层传输层 / 驱动/硬件协同开发</x:v>
      </x:c>
      <x:c r="L327" s="33" t="str">
        <x:v>L4-CO-FencePrimitive-052</x:v>
      </x:c>
    </x:row>
    <x:row r="328" ht="76" customHeight="1">
      <x:c r="A328" s="33" t="str">
        <x:v>SF-01/IR-01-12/SR-01-12-03/AR-L4-CO-FencePrimitive-052-02</x:v>
      </x:c>
      <x:c r="B328" s="33" t="n">
        <x:v>4</x:v>
      </x:c>
      <x:c r="C328" s="34" t="str">
        <x:v>AR</x:v>
      </x:c>
      <x:c r="D328" s="34" t="str">
        <x:v>AR-L4-CO-FencePrimitive-052-02</x:v>
      </x:c>
      <x:c r="E328" s="34" t="str">
        <x:v>SR-01-12-03</x:v>
      </x:c>
      <x:c r="F328" s="34" t="str">
        <x:v>            ├─ AR-L4-CO-FencePrimitive-052-02 契约配置与降级</x:v>
      </x:c>
      <x:c r="G328" s="34" t="str">
        <x:v>契约配置与降级</x:v>
      </x:c>
      <x:c r="H328" s="33" t="str">
        <x:v>增加编译开关 `KVCACHE_ENABLE_FENCE_PRIMITIVE`、运行时开关 `kvcache.fence_primitive.enabled` 与 BackendRegistry 注册项；冻结 capability、descriptor、completion/fence、error mapping 与 per-path telemetry 字段，并实现“主路径→备路径→重算/冷路径”的有界 fallback。</x:v>
      </x:c>
      <x:c r="I328" s="33" t="str">
        <x:v>stale visibility fault = 0；</x:v>
      </x:c>
      <x:c r="J328" s="33" t="str">
        <x:v>cmake/KVCacheBackends.cmake + config/backends/fence_primitive.yaml + src/backends/backend_registry.cc</x:v>
      </x:c>
      <x:c r="K328" s="33" t="str">
        <x:v>L4 底层传输层 / 驱动/硬件协同开发</x:v>
      </x:c>
      <x:c r="L328" s="33" t="str">
        <x:v>L4-CO-FencePrimitive-052</x:v>
      </x:c>
    </x:row>
    <x:row r="329" ht="76" customHeight="1">
      <x:c r="A329" s="33" t="str">
        <x:v>SF-01/IR-01-12/SR-01-12-03/AR-L4-CO-FencePrimitive-052-03</x:v>
      </x:c>
      <x:c r="B329" s="33" t="n">
        <x:v>4</x:v>
      </x:c>
      <x:c r="C329" s="34" t="str">
        <x:v>AR</x:v>
      </x:c>
      <x:c r="D329" s="34" t="str">
        <x:v>AR-L4-CO-FencePrimitive-052-03</x:v>
      </x:c>
      <x:c r="E329" s="34" t="str">
        <x:v>SR-01-12-03</x:v>
      </x:c>
      <x:c r="F329" s="34" t="str">
        <x:v>            └─ AR-L4-CO-FencePrimitive-052-03 验证与观测</x:v>
      </x:c>
      <x:c r="G329" s="34" t="str">
        <x:v>验证与观测</x:v>
      </x:c>
      <x:c r="H329" s="33" t="str">
        <x:v>新增正常、边界、并发、超时、stale metadata、迁移冲突、路径拥塞/故障与 feature-flag-off 用例；在 benchmark 中固定模型、tokenizer、prompt、并发、拓扑和 baseline，采集 lookup/load/attach、TTFT、TPOT、usable/abandoned hit、带宽/时延及 CPU/NPU 利用率。</x:v>
      </x:c>
      <x:c r="I329" s="33" t="str">
        <x:v>stale visibility fault = 0；</x:v>
      </x:c>
      <x:c r="J329" s="33" t="str">
        <x:v>tests/security/integrity/fence_primitive_test.cc + benchmarks/security/integrity/fence_primitive_benchmark.cc</x:v>
      </x:c>
      <x:c r="K329" s="33" t="str">
        <x:v>L4 底层传输层 / 驱动/硬件协同开发</x:v>
      </x:c>
      <x:c r="L329" s="33" t="str">
        <x:v>L4-CO-FencePrimitive-052</x:v>
      </x:c>
    </x:row>
    <x:row r="330" ht="76" customHeight="1">
      <x:c r="A330" s="31" t="str">
        <x:v>SF-01/IR-01-12/SR-01-12-04</x:v>
      </x:c>
      <x:c r="B330" s="31" t="n">
        <x:v>3</x:v>
      </x:c>
      <x:c r="C330" s="32" t="str">
        <x:v>SR</x:v>
      </x:c>
      <x:c r="D330" s="32" t="str">
        <x:v>SR-01-12-04</x:v>
      </x:c>
      <x:c r="E330" s="32" t="str">
        <x:v>IR-01-12</x:v>
      </x:c>
      <x:c r="F330" s="32" t="str">
        <x:v>        ├─ SR-01-12-04 在不引入CPU Payload扫描的前提下保证错误KV不被消费</x:v>
      </x:c>
      <x:c r="G330" s="32" t="str">
        <x:v>在不引入CPU Payload扫描的前提下保证错误KV不被消费｜L4-FT-PathIntegrityPolicy-077</x:v>
      </x:c>
      <x:c r="H330" s="31" t="str">
        <x:v>系统重构：本需求要求为不同介质和路径定义 integrity policy/evidence 契约。 技术路径：P0冻结policy枚举和状态机门槛；P1与Publish/Attach闭环。</x:v>
      </x:c>
      <x:c r="I330" s="31" t="str">
        <x:v>每条路径在 ready 前满足所配置完整性策略；策略与证据可观测、错误可阻断、fallback可执行。</x:v>
      </x:c>
      <x:c r="J330" s="31" t="str"/>
      <x:c r="K330" s="31" t="str">
        <x:v>L4 底层传输层 / 一致性、安全与可靠性</x:v>
      </x:c>
      <x:c r="L330" s="31" t="str">
        <x:v>L4-FT-PathIntegrityPolicy-077</x:v>
      </x:c>
    </x:row>
    <x:row r="331" ht="76" customHeight="1">
      <x:c r="A331" s="33" t="str">
        <x:v>SF-01/IR-01-12/SR-01-12-04/AR-L4-FT-PathIntegrityPolicy-077-01</x:v>
      </x:c>
      <x:c r="B331" s="33" t="n">
        <x:v>4</x:v>
      </x:c>
      <x:c r="C331" s="34" t="str">
        <x:v>AR</x:v>
      </x:c>
      <x:c r="D331" s="34" t="str">
        <x:v>AR-L4-FT-PathIntegrityPolicy-077-01</x:v>
      </x:c>
      <x:c r="E331" s="34" t="str">
        <x:v>SR-01-12-04</x:v>
      </x:c>
      <x:c r="F331" s="34" t="str">
        <x:v>            ├─ AR-L4-FT-PathIntegrityPolicy-077-01 核心实现</x:v>
      </x:c>
      <x:c r="G331" s="34" t="str">
        <x:v>核心实现</x:v>
      </x:c>
      <x:c r="H331" s="33" t="str">
        <x:v>在 `src/security/integrity/path_integrity_policy.{h,cc}` 新增或重写 `PathIntegrityPolicyVerifier`，把“在不引入CPU Payload扫描的前提下保证错误KV不被消费”落实为 L4 底层传输层 可调用主路径：本需求要求为不同介质和路径定义 integrity policy/evidence 契约。 输入必须显式消费 path evidence + security domain + object version，输出 ready/quarantine decision + error map，不得用全局单例或隐藏同步 I/O 绕开预算与状态机。</x:v>
      </x:c>
      <x:c r="I331" s="33" t="str">
        <x:v>每条路径在 ready 前满足所配置完整性策略；策略与证据可观测、错误可阻断、fallback可执行。</x:v>
      </x:c>
      <x:c r="J331" s="33" t="str">
        <x:v>src/security/integrity/path_integrity_policy.{h,cc}</x:v>
      </x:c>
      <x:c r="K331" s="33" t="str">
        <x:v>L4 底层传输层 / 驱动/硬件协同开发</x:v>
      </x:c>
      <x:c r="L331" s="33" t="str">
        <x:v>L4-FT-PathIntegrityPolicy-077</x:v>
      </x:c>
    </x:row>
    <x:row r="332" ht="76" customHeight="1">
      <x:c r="A332" s="33" t="str">
        <x:v>SF-01/IR-01-12/SR-01-12-04/AR-L4-FT-PathIntegrityPolicy-077-02</x:v>
      </x:c>
      <x:c r="B332" s="33" t="n">
        <x:v>4</x:v>
      </x:c>
      <x:c r="C332" s="34" t="str">
        <x:v>AR</x:v>
      </x:c>
      <x:c r="D332" s="34" t="str">
        <x:v>AR-L4-FT-PathIntegrityPolicy-077-02</x:v>
      </x:c>
      <x:c r="E332" s="34" t="str">
        <x:v>SR-01-12-04</x:v>
      </x:c>
      <x:c r="F332" s="34" t="str">
        <x:v>            ├─ AR-L4-FT-PathIntegrityPolicy-077-02 契约配置与降级</x:v>
      </x:c>
      <x:c r="G332" s="34" t="str">
        <x:v>契约配置与降级</x:v>
      </x:c>
      <x:c r="H332" s="33" t="str">
        <x:v>增加编译开关 `KVCACHE_ENABLE_PATH_INTEGRITY_POLICY`、运行时开关 `kvcache.path_integrity_policy.enabled` 与 BackendRegistry 注册项；冻结 capability、descriptor、completion/fence、error mapping 与 per-path telemetry 字段，并实现“主路径→备路径→重算/冷路径”的有界 fallback。</x:v>
      </x:c>
      <x:c r="I332" s="33" t="str">
        <x:v>每条路径在 ready 前满足所配置完整性策略；策略与证据可观测、错误可阻断、fallback可执行。</x:v>
      </x:c>
      <x:c r="J332" s="33" t="str">
        <x:v>cmake/KVCacheBackends.cmake + config/backends/path_integrity_policy.yaml + src/backends/backend_registry.cc</x:v>
      </x:c>
      <x:c r="K332" s="33" t="str">
        <x:v>L4 底层传输层 / 驱动/硬件协同开发</x:v>
      </x:c>
      <x:c r="L332" s="33" t="str">
        <x:v>L4-FT-PathIntegrityPolicy-077</x:v>
      </x:c>
    </x:row>
    <x:row r="333" ht="76" customHeight="1">
      <x:c r="A333" s="33" t="str">
        <x:v>SF-01/IR-01-12/SR-01-12-04/AR-L4-FT-PathIntegrityPolicy-077-03</x:v>
      </x:c>
      <x:c r="B333" s="33" t="n">
        <x:v>4</x:v>
      </x:c>
      <x:c r="C333" s="34" t="str">
        <x:v>AR</x:v>
      </x:c>
      <x:c r="D333" s="34" t="str">
        <x:v>AR-L4-FT-PathIntegrityPolicy-077-03</x:v>
      </x:c>
      <x:c r="E333" s="34" t="str">
        <x:v>SR-01-12-04</x:v>
      </x:c>
      <x:c r="F333" s="34" t="str">
        <x:v>            └─ AR-L4-FT-PathIntegrityPolicy-077-03 验证与观测</x:v>
      </x:c>
      <x:c r="G333" s="34" t="str">
        <x:v>验证与观测</x:v>
      </x:c>
      <x:c r="H333" s="33" t="str">
        <x:v>新增正常、边界、并发、超时、stale metadata、迁移冲突、路径拥塞/故障与 feature-flag-off 用例；在 benchmark 中固定模型、tokenizer、prompt、并发、拓扑和 baseline，采集 lookup/load/attach、TTFT、TPOT、usable/abandoned hit、带宽/时延及 CPU/NPU 利用率。</x:v>
      </x:c>
      <x:c r="I333" s="33" t="str">
        <x:v>每条路径在 ready 前满足所配置完整性策略；策略与证据可观测、错误可阻断、fallback可执行。</x:v>
      </x:c>
      <x:c r="J333" s="33" t="str">
        <x:v>tests/security/integrity/path_integrity_policy_test.cc + benchmarks/security/integrity/path_integrity_policy_benchmark.cc</x:v>
      </x:c>
      <x:c r="K333" s="33" t="str">
        <x:v>L4 底层传输层 / 驱动/硬件协同开发</x:v>
      </x:c>
      <x:c r="L333" s="33" t="str">
        <x:v>L4-FT-PathIntegrityPolicy-077</x:v>
      </x:c>
    </x:row>
    <x:row r="334" ht="76" customHeight="1">
      <x:c r="A334" s="31" t="str">
        <x:v>SF-01/IR-01-12/SR-01-12-05</x:v>
      </x:c>
      <x:c r="B334" s="31" t="n">
        <x:v>3</x:v>
      </x:c>
      <x:c r="C334" s="32" t="str">
        <x:v>SR</x:v>
      </x:c>
      <x:c r="D334" s="32" t="str">
        <x:v>SR-01-12-05</x:v>
      </x:c>
      <x:c r="E334" s="32" t="str">
        <x:v>IR-01-12</x:v>
      </x:c>
      <x:c r="F334" s="32" t="str">
        <x:v>        ├─ SR-01-12-05 KVCache 硬件故障统一恢复</x:v>
      </x:c>
      <x:c r="G334" s="32" t="str">
        <x:v>KVCache 硬件故障统一恢复｜L4-FT-RASErrorMap-061</x:v>
      </x:c>
      <x:c r="H334" s="31" t="str">
        <x:v>系统重构：本需求要求硬件层将 UB error、RDMA flush error、NPU page fault、TCP timeout、SSD read error、translation fault 映射为统一 KV object fault code，并触发对应 fallback、recompute、replica invalidation 或 quarantine 策略。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x:v>
      </x:c>
      <x:c r="I334" s="31" t="str">
        <x:v>错误恢复路径覆盖率 受SLO约束的比例；</x:v>
      </x:c>
      <x:c r="J334" s="31" t="str"/>
      <x:c r="K334" s="31" t="str">
        <x:v>L4 底层传输层 / 一致性、安全与可靠性</x:v>
      </x:c>
      <x:c r="L334" s="31" t="str">
        <x:v>L4-FT-RASErrorMap-061</x:v>
      </x:c>
    </x:row>
    <x:row r="335" ht="76" customHeight="1">
      <x:c r="A335" s="33" t="str">
        <x:v>SF-01/IR-01-12/SR-01-12-05/AR-L4-FT-RASErrorMap-061-01</x:v>
      </x:c>
      <x:c r="B335" s="33" t="n">
        <x:v>4</x:v>
      </x:c>
      <x:c r="C335" s="34" t="str">
        <x:v>AR</x:v>
      </x:c>
      <x:c r="D335" s="34" t="str">
        <x:v>AR-L4-FT-RASErrorMap-061-01</x:v>
      </x:c>
      <x:c r="E335" s="34" t="str">
        <x:v>SR-01-12-05</x:v>
      </x:c>
      <x:c r="F335" s="34" t="str">
        <x:v>            ├─ AR-L4-FT-RASErrorMap-061-01 核心实现</x:v>
      </x:c>
      <x:c r="G335" s="34" t="str">
        <x:v>核心实现</x:v>
      </x:c>
      <x:c r="H335" s="33" t="str">
        <x:v>在 `src/security/integrity/raserror_map.{h,cc}` 新增或重写 `RASErrorMapVerifier`，把“KVCache 硬件故障统一恢复”落实为 L4 底层传输层 可调用主路径：本需求要求硬件层将 UB error、RDMA flush error、NPU page fault、TCP timeout、SSD read error、translation fault 映射为统一 KV object fault code，并触发对应 fallback、recompute、replica invalidation 或 quarantine 策略。 输入必须显式消费 path evidence + security domain + object version，输出 ready/quarantine decision + error map，不得用全局单例或隐藏同步 I/O 绕开预算与状态机。</x:v>
      </x:c>
      <x:c r="I335" s="33" t="str">
        <x:v>错误恢复路径覆盖率 受SLO约束的比例；</x:v>
      </x:c>
      <x:c r="J335" s="33" t="str">
        <x:v>src/security/integrity/raserror_map.{h,cc}</x:v>
      </x:c>
      <x:c r="K335" s="33" t="str">
        <x:v>L4 底层传输层 / 驱动/硬件协同开发</x:v>
      </x:c>
      <x:c r="L335" s="33" t="str">
        <x:v>L4-FT-RASErrorMap-061</x:v>
      </x:c>
    </x:row>
    <x:row r="336" ht="76" customHeight="1">
      <x:c r="A336" s="33" t="str">
        <x:v>SF-01/IR-01-12/SR-01-12-05/AR-L4-FT-RASErrorMap-061-02</x:v>
      </x:c>
      <x:c r="B336" s="33" t="n">
        <x:v>4</x:v>
      </x:c>
      <x:c r="C336" s="34" t="str">
        <x:v>AR</x:v>
      </x:c>
      <x:c r="D336" s="34" t="str">
        <x:v>AR-L4-FT-RASErrorMap-061-02</x:v>
      </x:c>
      <x:c r="E336" s="34" t="str">
        <x:v>SR-01-12-05</x:v>
      </x:c>
      <x:c r="F336" s="34" t="str">
        <x:v>            ├─ AR-L4-FT-RASErrorMap-061-02 契约配置与降级</x:v>
      </x:c>
      <x:c r="G336" s="34" t="str">
        <x:v>契约配置与降级</x:v>
      </x:c>
      <x:c r="H336" s="33" t="str">
        <x:v>增加编译开关 `KVCACHE_ENABLE_RASERROR_MAP`、运行时开关 `kvcache.raserror_map.enabled` 与 BackendRegistry 注册项；冻结 capability、descriptor、completion/fence、error mapping 与 per-path telemetry 字段，并实现“主路径→备路径→重算/冷路径”的有界 fallback。</x:v>
      </x:c>
      <x:c r="I336" s="33" t="str">
        <x:v>错误恢复路径覆盖率 受SLO约束的比例；</x:v>
      </x:c>
      <x:c r="J336" s="33" t="str">
        <x:v>cmake/KVCacheBackends.cmake + config/backends/raserror_map.yaml + src/backends/backend_registry.cc</x:v>
      </x:c>
      <x:c r="K336" s="33" t="str">
        <x:v>L4 底层传输层 / 驱动/硬件协同开发</x:v>
      </x:c>
      <x:c r="L336" s="33" t="str">
        <x:v>L4-FT-RASErrorMap-061</x:v>
      </x:c>
    </x:row>
    <x:row r="337" ht="76" customHeight="1">
      <x:c r="A337" s="33" t="str">
        <x:v>SF-01/IR-01-12/SR-01-12-05/AR-L4-FT-RASErrorMap-061-03</x:v>
      </x:c>
      <x:c r="B337" s="33" t="n">
        <x:v>4</x:v>
      </x:c>
      <x:c r="C337" s="34" t="str">
        <x:v>AR</x:v>
      </x:c>
      <x:c r="D337" s="34" t="str">
        <x:v>AR-L4-FT-RASErrorMap-061-03</x:v>
      </x:c>
      <x:c r="E337" s="34" t="str">
        <x:v>SR-01-12-05</x:v>
      </x:c>
      <x:c r="F337" s="34" t="str">
        <x:v>            └─ AR-L4-FT-RASErrorMap-061-03 验证与观测</x:v>
      </x:c>
      <x:c r="G337" s="34" t="str">
        <x:v>验证与观测</x:v>
      </x:c>
      <x:c r="H337" s="33" t="str">
        <x:v>新增正常、边界、并发、超时、stale metadata、迁移冲突、路径拥塞/故障与 feature-flag-off 用例；在 benchmark 中固定模型、tokenizer、prompt、并发、拓扑和 baseline，采集 lookup/load/attach、TTFT、TPOT、usable/abandoned hit、带宽/时延及 CPU/NPU 利用率。</x:v>
      </x:c>
      <x:c r="I337" s="33" t="str">
        <x:v>错误恢复路径覆盖率 受SLO约束的比例；</x:v>
      </x:c>
      <x:c r="J337" s="33" t="str">
        <x:v>tests/security/integrity/raserror_map_test.cc + benchmarks/security/integrity/raserror_map_benchmark.cc</x:v>
      </x:c>
      <x:c r="K337" s="33" t="str">
        <x:v>L4 底层传输层 / 驱动/硬件协同开发</x:v>
      </x:c>
      <x:c r="L337" s="33" t="str">
        <x:v>L4-FT-RASErrorMap-061</x:v>
      </x:c>
    </x:row>
    <x:row r="338" ht="76" customHeight="1">
      <x:c r="A338" s="31" t="str">
        <x:v>SF-01/IR-01-12/SR-01-12-06</x:v>
      </x:c>
      <x:c r="B338" s="31" t="n">
        <x:v>3</x:v>
      </x:c>
      <x:c r="C338" s="32" t="str">
        <x:v>SR</x:v>
      </x:c>
      <x:c r="D338" s="32" t="str">
        <x:v>SR-01-12-06</x:v>
      </x:c>
      <x:c r="E338" s="32" t="str">
        <x:v>IR-01-12</x:v>
      </x:c>
      <x:c r="F338" s="32" t="str">
        <x:v>        ├─ SR-01-12-06 KV 副本静默损坏检测</x:v>
      </x:c>
      <x:c r="G338" s="32" t="str">
        <x:v>KV 副本静默损坏检测｜L4-FT-ReplicaIntegrityCheck-069</x:v>
      </x:c>
      <x:c r="H338" s="31" t="str">
        <x:v>系统重构：本需求要求底层在 KV replica 写入、迁移、读取和加载过程中提供 extent/page 粒度完整性校验能力，支持 checksum/CRC、长度校验、layout 校验和错误上报；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x:v>
      </x:c>
      <x:c r="I338" s="31" t="str">
        <x:v>高拥塞背景下，KVCache关键小包的P99延迟不随大流数据量线性增加。</x:v>
      </x:c>
      <x:c r="J338" s="31" t="str"/>
      <x:c r="K338" s="31" t="str">
        <x:v>L4 底层传输层 / 一致性、安全与可靠性</x:v>
      </x:c>
      <x:c r="L338" s="31" t="str">
        <x:v>L4-FT-ReplicaIntegrityCheck-069</x:v>
      </x:c>
    </x:row>
    <x:row r="339" ht="76" customHeight="1">
      <x:c r="A339" s="33" t="str">
        <x:v>SF-01/IR-01-12/SR-01-12-06/AR-L4-FT-ReplicaIntegrityCheck-069-01</x:v>
      </x:c>
      <x:c r="B339" s="33" t="n">
        <x:v>4</x:v>
      </x:c>
      <x:c r="C339" s="34" t="str">
        <x:v>AR</x:v>
      </x:c>
      <x:c r="D339" s="34" t="str">
        <x:v>AR-L4-FT-ReplicaIntegrityCheck-069-01</x:v>
      </x:c>
      <x:c r="E339" s="34" t="str">
        <x:v>SR-01-12-06</x:v>
      </x:c>
      <x:c r="F339" s="34" t="str">
        <x:v>            ├─ AR-L4-FT-ReplicaIntegrityCheck-069-01 核心实现</x:v>
      </x:c>
      <x:c r="G339" s="34" t="str">
        <x:v>核心实现</x:v>
      </x:c>
      <x:c r="H339" s="33" t="str">
        <x:v>在 `src/security/integrity/replica_integrity_check.{h,cc}` 新增或重写 `ReplicaIntegrityCheckVerifier`，把“KV 副本静默损坏检测”落实为 L4 底层传输层 可调用主路径：本需求要求底层在 KV replica 写入、迁移、读取和加载过程中提供 extent/page 粒度完整性校验能力，支持 checksum/CRC、长度校验、layout 校验和错误上报； 输入必须显式消费 path evidence + security domain + object version，输出 ready/quarantine decision + error map，不得用全局单例或隐藏同步 I/O 绕开预算与状态机。</x:v>
      </x:c>
      <x:c r="I339" s="33" t="str">
        <x:v>高拥塞背景下，KVCache关键小包的P99延迟不随大流数据量线性增加。</x:v>
      </x:c>
      <x:c r="J339" s="33" t="str">
        <x:v>src/security/integrity/replica_integrity_check.{h,cc}</x:v>
      </x:c>
      <x:c r="K339" s="33" t="str">
        <x:v>L4 底层传输层 / 驱动/硬件协同开发</x:v>
      </x:c>
      <x:c r="L339" s="33" t="str">
        <x:v>L4-FT-ReplicaIntegrityCheck-069</x:v>
      </x:c>
    </x:row>
    <x:row r="340" ht="76" customHeight="1">
      <x:c r="A340" s="33" t="str">
        <x:v>SF-01/IR-01-12/SR-01-12-06/AR-L4-FT-ReplicaIntegrityCheck-069-02</x:v>
      </x:c>
      <x:c r="B340" s="33" t="n">
        <x:v>4</x:v>
      </x:c>
      <x:c r="C340" s="34" t="str">
        <x:v>AR</x:v>
      </x:c>
      <x:c r="D340" s="34" t="str">
        <x:v>AR-L4-FT-ReplicaIntegrityCheck-069-02</x:v>
      </x:c>
      <x:c r="E340" s="34" t="str">
        <x:v>SR-01-12-06</x:v>
      </x:c>
      <x:c r="F340" s="34" t="str">
        <x:v>            ├─ AR-L4-FT-ReplicaIntegrityCheck-069-02 契约配置与降级</x:v>
      </x:c>
      <x:c r="G340" s="34" t="str">
        <x:v>契约配置与降级</x:v>
      </x:c>
      <x:c r="H340" s="33" t="str">
        <x:v>增加编译开关 `KVCACHE_ENABLE_REPLICA_INTEGRITY_CHECK`、运行时开关 `kvcache.replica_integrity_check.enabled` 与 BackendRegistry 注册项；冻结 capability、descriptor、completion/fence、error mapping 与 per-path telemetry 字段，并实现“主路径→备路径→重算/冷路径”的有界 fallback。</x:v>
      </x:c>
      <x:c r="I340" s="33" t="str">
        <x:v>高拥塞背景下，KVCache关键小包的P99延迟不随大流数据量线性增加。</x:v>
      </x:c>
      <x:c r="J340" s="33" t="str">
        <x:v>cmake/KVCacheBackends.cmake + config/backends/replica_integrity_check.yaml + src/backends/backend_registry.cc</x:v>
      </x:c>
      <x:c r="K340" s="33" t="str">
        <x:v>L4 底层传输层 / 驱动/硬件协同开发</x:v>
      </x:c>
      <x:c r="L340" s="33" t="str">
        <x:v>L4-FT-ReplicaIntegrityCheck-069</x:v>
      </x:c>
    </x:row>
    <x:row r="341" ht="76" customHeight="1">
      <x:c r="A341" s="33" t="str">
        <x:v>SF-01/IR-01-12/SR-01-12-06/AR-L4-FT-ReplicaIntegrityCheck-069-03</x:v>
      </x:c>
      <x:c r="B341" s="33" t="n">
        <x:v>4</x:v>
      </x:c>
      <x:c r="C341" s="34" t="str">
        <x:v>AR</x:v>
      </x:c>
      <x:c r="D341" s="34" t="str">
        <x:v>AR-L4-FT-ReplicaIntegrityCheck-069-03</x:v>
      </x:c>
      <x:c r="E341" s="34" t="str">
        <x:v>SR-01-12-06</x:v>
      </x:c>
      <x:c r="F341" s="34" t="str">
        <x:v>            └─ AR-L4-FT-ReplicaIntegrityCheck-069-03 验证与观测</x:v>
      </x:c>
      <x:c r="G341" s="34" t="str">
        <x:v>验证与观测</x:v>
      </x:c>
      <x:c r="H341" s="33" t="str">
        <x:v>新增正常、边界、并发、超时、stale metadata、迁移冲突、路径拥塞/故障与 feature-flag-off 用例；在 benchmark 中固定模型、tokenizer、prompt、并发、拓扑和 baseline，采集 lookup/load/attach、TTFT、TPOT、usable/abandoned hit、带宽/时延及 CPU/NPU 利用率。</x:v>
      </x:c>
      <x:c r="I341" s="33" t="str">
        <x:v>高拥塞背景下，KVCache关键小包的P99延迟不随大流数据量线性增加。</x:v>
      </x:c>
      <x:c r="J341" s="33" t="str">
        <x:v>tests/security/integrity/replica_integrity_check_test.cc + benchmarks/security/integrity/replica_integrity_check_benchmark.cc</x:v>
      </x:c>
      <x:c r="K341" s="33" t="str">
        <x:v>L4 底层传输层 / 驱动/硬件协同开发</x:v>
      </x:c>
      <x:c r="L341" s="33" t="str">
        <x:v>L4-FT-ReplicaIntegrityCheck-069</x:v>
      </x:c>
    </x:row>
    <x:row r="342" ht="76" customHeight="1">
      <x:c r="A342" s="31" t="str">
        <x:v>SF-01/IR-01-12/SR-01-12-07</x:v>
      </x:c>
      <x:c r="B342" s="31" t="n">
        <x:v>3</x:v>
      </x:c>
      <x:c r="C342" s="32" t="str">
        <x:v>SR</x:v>
      </x:c>
      <x:c r="D342" s="32" t="str">
        <x:v>SR-01-12-07</x:v>
      </x:c>
      <x:c r="E342" s="32" t="str">
        <x:v>IR-01-12</x:v>
      </x:c>
      <x:c r="F342" s="32" t="str">
        <x:v>        ├─ SR-01-12-07 主动迁移流量硬件隔离保障</x:v>
      </x:c>
      <x:c r="G342" s="32" t="str">
        <x:v>主动迁移流量硬件隔离保障｜L4-QO-MigrationQoS-064</x:v>
      </x:c>
      <x:c r="H342" s="31" t="str">
        <x:v>系统重构：本需求要求底层传输层为水位触发的主动迁移流量分配专用硬件通道（如特定的 RNIC Queue、PCIe DMA Ring 或独立拷贝引擎），与前台推理流量（TTFT/TPOT）实现物理隔离，确保大规模 KVCache 跨介质搬移时不挤兑推理带宽。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x:v>
      </x:c>
      <x:c r="I342" s="31" t="str">
        <x:v>高拥塞背景下，KVCache关键小包的P99延迟不随大流数据量线性增加。</x:v>
      </x:c>
      <x:c r="J342" s="31" t="str"/>
      <x:c r="K342" s="31" t="str">
        <x:v>L4 底层传输层 / 一致性、安全与可靠性</x:v>
      </x:c>
      <x:c r="L342" s="31" t="str">
        <x:v>L4-QO-MigrationQoS-064</x:v>
      </x:c>
    </x:row>
    <x:row r="343" ht="76" customHeight="1">
      <x:c r="A343" s="33" t="str">
        <x:v>SF-01/IR-01-12/SR-01-12-07/AR-L4-QO-MigrationQoS-064-01</x:v>
      </x:c>
      <x:c r="B343" s="33" t="n">
        <x:v>4</x:v>
      </x:c>
      <x:c r="C343" s="34" t="str">
        <x:v>AR</x:v>
      </x:c>
      <x:c r="D343" s="34" t="str">
        <x:v>AR-L4-QO-MigrationQoS-064-01</x:v>
      </x:c>
      <x:c r="E343" s="34" t="str">
        <x:v>SR-01-12-07</x:v>
      </x:c>
      <x:c r="F343" s="34" t="str">
        <x:v>            ├─ AR-L4-QO-MigrationQoS-064-01 核心实现</x:v>
      </x:c>
      <x:c r="G343" s="34" t="str">
        <x:v>核心实现</x:v>
      </x:c>
      <x:c r="H343" s="33" t="str">
        <x:v>在 `src/security/integrity/migration_qo_s.{h,cc}` 新增或重写 `MigrationQoSVerifier`，把“主动迁移流量硬件隔离保障”落实为 L4 底层传输层 可调用主路径：本需求要求底层传输层为水位触发的主动迁移流量分配专用硬件通道（如特定的 RNIC Queue、PCIe DMA Ring 或独立拷贝引擎），与前台推理流量（TTFT/TPOT）实现物理隔离，确保大规模 KVCache 跨介质搬移时不挤兑推理带宽。 输入必须显式消费 path evidence + security domain + object version，输出 ready/quarantine decision + error map，不得用全局单例或隐藏同步 I/O 绕开预算与状态机。</x:v>
      </x:c>
      <x:c r="I343" s="33" t="str">
        <x:v>高拥塞背景下，KVCache关键小包的P99延迟不随大流数据量线性增加。</x:v>
      </x:c>
      <x:c r="J343" s="33" t="str">
        <x:v>src/security/integrity/migration_qo_s.{h,cc}</x:v>
      </x:c>
      <x:c r="K343" s="33" t="str">
        <x:v>L4 底层传输层 / 驱动/硬件协同开发</x:v>
      </x:c>
      <x:c r="L343" s="33" t="str">
        <x:v>L4-QO-MigrationQoS-064</x:v>
      </x:c>
    </x:row>
    <x:row r="344" ht="76" customHeight="1">
      <x:c r="A344" s="33" t="str">
        <x:v>SF-01/IR-01-12/SR-01-12-07/AR-L4-QO-MigrationQoS-064-02</x:v>
      </x:c>
      <x:c r="B344" s="33" t="n">
        <x:v>4</x:v>
      </x:c>
      <x:c r="C344" s="34" t="str">
        <x:v>AR</x:v>
      </x:c>
      <x:c r="D344" s="34" t="str">
        <x:v>AR-L4-QO-MigrationQoS-064-02</x:v>
      </x:c>
      <x:c r="E344" s="34" t="str">
        <x:v>SR-01-12-07</x:v>
      </x:c>
      <x:c r="F344" s="34" t="str">
        <x:v>            ├─ AR-L4-QO-MigrationQoS-064-02 契约配置与降级</x:v>
      </x:c>
      <x:c r="G344" s="34" t="str">
        <x:v>契约配置与降级</x:v>
      </x:c>
      <x:c r="H344" s="33" t="str">
        <x:v>增加编译开关 `KVCACHE_ENABLE_MIGRATION_QO_S`、运行时开关 `kvcache.migration_qo_s.enabled` 与 BackendRegistry 注册项；冻结 capability、descriptor、completion/fence、error mapping 与 per-path telemetry 字段，并实现“主路径→备路径→重算/冷路径”的有界 fallback。</x:v>
      </x:c>
      <x:c r="I344" s="33" t="str">
        <x:v>高拥塞背景下，KVCache关键小包的P99延迟不随大流数据量线性增加。</x:v>
      </x:c>
      <x:c r="J344" s="33" t="str">
        <x:v>cmake/KVCacheBackends.cmake + config/backends/migration_qo_s.yaml + src/backends/backend_registry.cc</x:v>
      </x:c>
      <x:c r="K344" s="33" t="str">
        <x:v>L4 底层传输层 / 驱动/硬件协同开发</x:v>
      </x:c>
      <x:c r="L344" s="33" t="str">
        <x:v>L4-QO-MigrationQoS-064</x:v>
      </x:c>
    </x:row>
    <x:row r="345" ht="76" customHeight="1">
      <x:c r="A345" s="33" t="str">
        <x:v>SF-01/IR-01-12/SR-01-12-07/AR-L4-QO-MigrationQoS-064-03</x:v>
      </x:c>
      <x:c r="B345" s="33" t="n">
        <x:v>4</x:v>
      </x:c>
      <x:c r="C345" s="34" t="str">
        <x:v>AR</x:v>
      </x:c>
      <x:c r="D345" s="34" t="str">
        <x:v>AR-L4-QO-MigrationQoS-064-03</x:v>
      </x:c>
      <x:c r="E345" s="34" t="str">
        <x:v>SR-01-12-07</x:v>
      </x:c>
      <x:c r="F345" s="34" t="str">
        <x:v>            └─ AR-L4-QO-MigrationQoS-064-03 验证与观测</x:v>
      </x:c>
      <x:c r="G345" s="34" t="str">
        <x:v>验证与观测</x:v>
      </x:c>
      <x:c r="H345" s="33" t="str">
        <x:v>新增正常、边界、并发、超时、stale metadata、迁移冲突、路径拥塞/故障与 feature-flag-off 用例；在 benchmark 中固定模型、tokenizer、prompt、并发、拓扑和 baseline，采集 lookup/load/attach、TTFT、TPOT、usable/abandoned hit、带宽/时延及 CPU/NPU 利用率。</x:v>
      </x:c>
      <x:c r="I345" s="33" t="str">
        <x:v>高拥塞背景下，KVCache关键小包的P99延迟不随大流数据量线性增加。</x:v>
      </x:c>
      <x:c r="J345" s="33" t="str">
        <x:v>tests/security/integrity/migration_qo_s_test.cc + benchmarks/security/integrity/migration_qo_s_benchmark.cc</x:v>
      </x:c>
      <x:c r="K345" s="33" t="str">
        <x:v>L4 底层传输层 / 驱动/硬件协同开发</x:v>
      </x:c>
      <x:c r="L345" s="33" t="str">
        <x:v>L4-QO-MigrationQoS-064</x:v>
      </x:c>
    </x:row>
    <x:row r="346" ht="76" customHeight="1">
      <x:c r="A346" s="31" t="str">
        <x:v>SF-01/IR-01-12/SR-01-12-08</x:v>
      </x:c>
      <x:c r="B346" s="31" t="n">
        <x:v>3</x:v>
      </x:c>
      <x:c r="C346" s="32" t="str">
        <x:v>SR</x:v>
      </x:c>
      <x:c r="D346" s="32" t="str">
        <x:v>SR-01-12-08</x:v>
      </x:c>
      <x:c r="E346" s="32" t="str">
        <x:v>IR-01-12</x:v>
      </x:c>
      <x:c r="F346" s="32" t="str">
        <x:v>        ├─ SR-01-12-08 KV 状态迁移流量隔离</x:v>
      </x:c>
      <x:c r="G346" s="32" t="str">
        <x:v>KV 状态迁移流量隔离｜L4-QO-StateAwareTrafficClass-068</x:v>
      </x:c>
      <x:c r="H346" s="31" t="str">
        <x:v>系统重构：本需求要求底层按照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x:v>
      </x:c>
      <x:c r="I346" s="31" t="str">
        <x:v>高拥塞背景下，KVCache关键小包的P99延迟不随大流数据量线性增加。</x:v>
      </x:c>
      <x:c r="J346" s="31" t="str"/>
      <x:c r="K346" s="31" t="str">
        <x:v>L4 底层传输层 / 一致性、安全与可靠性</x:v>
      </x:c>
      <x:c r="L346" s="31" t="str">
        <x:v>L4-QO-StateAwareTrafficClass-068</x:v>
      </x:c>
    </x:row>
    <x:row r="347" ht="76" customHeight="1">
      <x:c r="A347" s="33" t="str">
        <x:v>SF-01/IR-01-12/SR-01-12-08/AR-L4-QO-StateAwareTrafficClass-068-01</x:v>
      </x:c>
      <x:c r="B347" s="33" t="n">
        <x:v>4</x:v>
      </x:c>
      <x:c r="C347" s="34" t="str">
        <x:v>AR</x:v>
      </x:c>
      <x:c r="D347" s="34" t="str">
        <x:v>AR-L4-QO-StateAwareTrafficClass-068-01</x:v>
      </x:c>
      <x:c r="E347" s="34" t="str">
        <x:v>SR-01-12-08</x:v>
      </x:c>
      <x:c r="F347" s="34" t="str">
        <x:v>            ├─ AR-L4-QO-StateAwareTrafficClass-068-01 核心实现</x:v>
      </x:c>
      <x:c r="G347" s="34" t="str">
        <x:v>核心实现</x:v>
      </x:c>
      <x:c r="H347" s="33" t="str">
        <x:v>在 `src/security/integrity/state_aware_traffic_class.{h,cc}` 新增或重写 `StateAwareTrafficClassVerifier`，把“KV 状态迁移流量隔离”落实为 L4 底层传输层 可调用主路径：本需求要求底层按照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 输入必须显式消费 path evidence + security domain + object version，输出 ready/quarantine decision + error map，不得用全局单例或隐藏同步 I/O 绕开预算与状态机。</x:v>
      </x:c>
      <x:c r="I347" s="33" t="str">
        <x:v>高拥塞背景下，KVCache关键小包的P99延迟不随大流数据量线性增加。</x:v>
      </x:c>
      <x:c r="J347" s="33" t="str">
        <x:v>src/security/integrity/state_aware_traffic_class.{h,cc}</x:v>
      </x:c>
      <x:c r="K347" s="33" t="str">
        <x:v>L4 底层传输层 / 驱动/硬件协同开发</x:v>
      </x:c>
      <x:c r="L347" s="33" t="str">
        <x:v>L4-QO-StateAwareTrafficClass-068</x:v>
      </x:c>
    </x:row>
    <x:row r="348" ht="76" customHeight="1">
      <x:c r="A348" s="33" t="str">
        <x:v>SF-01/IR-01-12/SR-01-12-08/AR-L4-QO-StateAwareTrafficClass-068-02</x:v>
      </x:c>
      <x:c r="B348" s="33" t="n">
        <x:v>4</x:v>
      </x:c>
      <x:c r="C348" s="34" t="str">
        <x:v>AR</x:v>
      </x:c>
      <x:c r="D348" s="34" t="str">
        <x:v>AR-L4-QO-StateAwareTrafficClass-068-02</x:v>
      </x:c>
      <x:c r="E348" s="34" t="str">
        <x:v>SR-01-12-08</x:v>
      </x:c>
      <x:c r="F348" s="34" t="str">
        <x:v>            ├─ AR-L4-QO-StateAwareTrafficClass-068-02 契约配置与降级</x:v>
      </x:c>
      <x:c r="G348" s="34" t="str">
        <x:v>契约配置与降级</x:v>
      </x:c>
      <x:c r="H348" s="33" t="str">
        <x:v>增加编译开关 `KVCACHE_ENABLE_STATE_AWARE_TRAFFIC_CLASS`、运行时开关 `kvcache.state_aware_traffic_class.enabled` 与 BackendRegistry 注册项；冻结 capability、descriptor、completion/fence、error mapping 与 per-path telemetry 字段，并实现“主路径→备路径→重算/冷路径”的有界 fallback。</x:v>
      </x:c>
      <x:c r="I348" s="33" t="str">
        <x:v>高拥塞背景下，KVCache关键小包的P99延迟不随大流数据量线性增加。</x:v>
      </x:c>
      <x:c r="J348" s="33" t="str">
        <x:v>cmake/KVCacheBackends.cmake + config/backends/state_aware_traffic_class.yaml + src/backends/backend_registry.cc</x:v>
      </x:c>
      <x:c r="K348" s="33" t="str">
        <x:v>L4 底层传输层 / 驱动/硬件协同开发</x:v>
      </x:c>
      <x:c r="L348" s="33" t="str">
        <x:v>L4-QO-StateAwareTrafficClass-068</x:v>
      </x:c>
    </x:row>
    <x:row r="349" ht="76" customHeight="1">
      <x:c r="A349" s="33" t="str">
        <x:v>SF-01/IR-01-12/SR-01-12-08/AR-L4-QO-StateAwareTrafficClass-068-03</x:v>
      </x:c>
      <x:c r="B349" s="33" t="n">
        <x:v>4</x:v>
      </x:c>
      <x:c r="C349" s="34" t="str">
        <x:v>AR</x:v>
      </x:c>
      <x:c r="D349" s="34" t="str">
        <x:v>AR-L4-QO-StateAwareTrafficClass-068-03</x:v>
      </x:c>
      <x:c r="E349" s="34" t="str">
        <x:v>SR-01-12-08</x:v>
      </x:c>
      <x:c r="F349" s="34" t="str">
        <x:v>            └─ AR-L4-QO-StateAwareTrafficClass-068-03 验证与观测</x:v>
      </x:c>
      <x:c r="G349" s="34" t="str">
        <x:v>验证与观测</x:v>
      </x:c>
      <x:c r="H349" s="33" t="str">
        <x:v>新增正常、边界、并发、超时、stale metadata、迁移冲突、路径拥塞/故障与 feature-flag-off 用例；在 benchmark 中固定模型、tokenizer、prompt、并发、拓扑和 baseline，采集 lookup/load/attach、TTFT、TPOT、usable/abandoned hit、带宽/时延及 CPU/NPU 利用率。</x:v>
      </x:c>
      <x:c r="I349" s="33" t="str">
        <x:v>高拥塞背景下，KVCache关键小包的P99延迟不随大流数据量线性增加。</x:v>
      </x:c>
      <x:c r="J349" s="33" t="str">
        <x:v>tests/security/integrity/state_aware_traffic_class_test.cc + benchmarks/security/integrity/state_aware_traffic_class_benchmark.cc</x:v>
      </x:c>
      <x:c r="K349" s="33" t="str">
        <x:v>L4 底层传输层 / 驱动/硬件协同开发</x:v>
      </x:c>
      <x:c r="L349" s="33" t="str">
        <x:v>L4-QO-StateAwareTrafficClass-068</x:v>
      </x:c>
    </x:row>
    <x:row r="350" ht="76" customHeight="1">
      <x:c r="A350" s="31" t="str">
        <x:v>SF-01/IR-01-12/SR-01-12-09</x:v>
      </x:c>
      <x:c r="B350" s="31" t="n">
        <x:v>3</x:v>
      </x:c>
      <x:c r="C350" s="32" t="str">
        <x:v>SR</x:v>
      </x:c>
      <x:c r="D350" s="32" t="str">
        <x:v>SR-01-12-09</x:v>
      </x:c>
      <x:c r="E350" s="32" t="str">
        <x:v>IR-01-12</x:v>
      </x:c>
      <x:c r="F350" s="32" t="str">
        <x:v>        ├─ SR-01-12-09 KVCache 多类业务流量硬件隔离</x:v>
      </x:c>
      <x:c r="G350" s="32" t="str">
        <x:v>KVCache 多类业务流量硬件隔离｜L4-QO-TrafficClass-056</x:v>
      </x:c>
      <x:c r="H350" s="31" t="str">
        <x:v>系统重构：本需求要求底层为不同 KV 流量建立流量隔离：TTFT prefix load、decode-critical copy、metadata lookup、background writeback、SSD cold restore、TCP fallback 应分 RNIC queue、copy stream、UB switch queue 或线程池隔离。 技术路径：详细设计应固定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x:v>
      </x:c>
      <x:c r="I350" s="31" t="str">
        <x:v>background interference 降低 ≥50%；</x:v>
      </x:c>
      <x:c r="J350" s="31" t="str"/>
      <x:c r="K350" s="31" t="str">
        <x:v>L4 底层传输层 / 一致性、安全与可靠性</x:v>
      </x:c>
      <x:c r="L350" s="31" t="str">
        <x:v>L4-QO-TrafficClass-056</x:v>
      </x:c>
    </x:row>
    <x:row r="351" ht="76" customHeight="1">
      <x:c r="A351" s="33" t="str">
        <x:v>SF-01/IR-01-12/SR-01-12-09/AR-L4-QO-TrafficClass-056-01</x:v>
      </x:c>
      <x:c r="B351" s="33" t="n">
        <x:v>4</x:v>
      </x:c>
      <x:c r="C351" s="34" t="str">
        <x:v>AR</x:v>
      </x:c>
      <x:c r="D351" s="34" t="str">
        <x:v>AR-L4-QO-TrafficClass-056-01</x:v>
      </x:c>
      <x:c r="E351" s="34" t="str">
        <x:v>SR-01-12-09</x:v>
      </x:c>
      <x:c r="F351" s="34" t="str">
        <x:v>            ├─ AR-L4-QO-TrafficClass-056-01 核心实现</x:v>
      </x:c>
      <x:c r="G351" s="34" t="str">
        <x:v>核心实现</x:v>
      </x:c>
      <x:c r="H351" s="33" t="str">
        <x:v>在 `src/security/integrity/traffic_class.{h,cc}` 新增或重写 `TrafficClassVerifier`，把“KVCache 多类业务流量硬件隔离”落实为 L4 底层传输层 可调用主路径：本需求要求底层为不同 KV 流量建立流量隔离：TTFT prefix load、decode-critical copy、metadata lookup、background writeback、SSD cold restore、TCP fallback 应分 RNIC queue、copy stream、UB switch queue 或线程池隔离。 输入必须显式消费 path evidence + security domain + object version，输出 ready/quarantine decision + error map，不得用全局单例或隐藏同步 I/O 绕开预算与状态机。</x:v>
      </x:c>
      <x:c r="I351" s="33" t="str">
        <x:v>background interference 降低 ≥50%；</x:v>
      </x:c>
      <x:c r="J351" s="33" t="str">
        <x:v>src/security/integrity/traffic_class.{h,cc}</x:v>
      </x:c>
      <x:c r="K351" s="33" t="str">
        <x:v>L4 底层传输层 / 驱动/硬件协同开发</x:v>
      </x:c>
      <x:c r="L351" s="33" t="str">
        <x:v>L4-QO-TrafficClass-056</x:v>
      </x:c>
    </x:row>
    <x:row r="352" ht="76" customHeight="1">
      <x:c r="A352" s="33" t="str">
        <x:v>SF-01/IR-01-12/SR-01-12-09/AR-L4-QO-TrafficClass-056-02</x:v>
      </x:c>
      <x:c r="B352" s="33" t="n">
        <x:v>4</x:v>
      </x:c>
      <x:c r="C352" s="34" t="str">
        <x:v>AR</x:v>
      </x:c>
      <x:c r="D352" s="34" t="str">
        <x:v>AR-L4-QO-TrafficClass-056-02</x:v>
      </x:c>
      <x:c r="E352" s="34" t="str">
        <x:v>SR-01-12-09</x:v>
      </x:c>
      <x:c r="F352" s="34" t="str">
        <x:v>            ├─ AR-L4-QO-TrafficClass-056-02 契约配置与降级</x:v>
      </x:c>
      <x:c r="G352" s="34" t="str">
        <x:v>契约配置与降级</x:v>
      </x:c>
      <x:c r="H352" s="33" t="str">
        <x:v>增加编译开关 `KVCACHE_ENABLE_TRAFFIC_CLASS`、运行时开关 `kvcache.traffic_class.enabled` 与 BackendRegistry 注册项；冻结 capability、descriptor、completion/fence、error mapping 与 per-path telemetry 字段，并实现“主路径→备路径→重算/冷路径”的有界 fallback。</x:v>
      </x:c>
      <x:c r="I352" s="33" t="str">
        <x:v>background interference 降低 ≥50%；</x:v>
      </x:c>
      <x:c r="J352" s="33" t="str">
        <x:v>cmake/KVCacheBackends.cmake + config/backends/traffic_class.yaml + src/backends/backend_registry.cc</x:v>
      </x:c>
      <x:c r="K352" s="33" t="str">
        <x:v>L4 底层传输层 / 驱动/硬件协同开发</x:v>
      </x:c>
      <x:c r="L352" s="33" t="str">
        <x:v>L4-QO-TrafficClass-056</x:v>
      </x:c>
    </x:row>
    <x:row r="353" ht="76" customHeight="1">
      <x:c r="A353" s="33" t="str">
        <x:v>SF-01/IR-01-12/SR-01-12-09/AR-L4-QO-TrafficClass-056-03</x:v>
      </x:c>
      <x:c r="B353" s="33" t="n">
        <x:v>4</x:v>
      </x:c>
      <x:c r="C353" s="34" t="str">
        <x:v>AR</x:v>
      </x:c>
      <x:c r="D353" s="34" t="str">
        <x:v>AR-L4-QO-TrafficClass-056-03</x:v>
      </x:c>
      <x:c r="E353" s="34" t="str">
        <x:v>SR-01-12-09</x:v>
      </x:c>
      <x:c r="F353" s="34" t="str">
        <x:v>            └─ AR-L4-QO-TrafficClass-056-03 验证与观测</x:v>
      </x:c>
      <x:c r="G353" s="34" t="str">
        <x:v>验证与观测</x:v>
      </x:c>
      <x:c r="H353" s="33" t="str">
        <x:v>新增正常、边界、并发、超时、stale metadata、迁移冲突、路径拥塞/故障与 feature-flag-off 用例；在 benchmark 中固定模型、tokenizer、prompt、并发、拓扑和 baseline，采集 lookup/load/attach、TTFT、TPOT、usable/abandoned hit、带宽/时延及 CPU/NPU 利用率。</x:v>
      </x:c>
      <x:c r="I353" s="33" t="str">
        <x:v>background interference 降低 ≥50%；</x:v>
      </x:c>
      <x:c r="J353" s="33" t="str">
        <x:v>tests/security/integrity/traffic_class_test.cc + benchmarks/security/integrity/traffic_class_benchmark.cc</x:v>
      </x:c>
      <x:c r="K353" s="33" t="str">
        <x:v>L4 底层传输层 / 驱动/硬件协同开发</x:v>
      </x:c>
      <x:c r="L353" s="33" t="str">
        <x:v>L4-QO-TrafficClass-056</x:v>
      </x:c>
    </x:row>
    <x:row r="354" ht="76" customHeight="1">
      <x:c r="A354" s="31" t="str">
        <x:v>SF-01/IR-01-12/SR-01-12-10</x:v>
      </x:c>
      <x:c r="B354" s="31" t="n">
        <x:v>3</x:v>
      </x:c>
      <x:c r="C354" s="32" t="str">
        <x:v>SR</x:v>
      </x:c>
      <x:c r="D354" s="32" t="str">
        <x:v>SR-01-12-10</x:v>
      </x:c>
      <x:c r="E354" s="32" t="str">
        <x:v>IR-01-12</x:v>
      </x:c>
      <x:c r="F354" s="32" t="str">
        <x:v>        ├─ SR-01-12-10 共享内存 KVCache 安全访问保护</x:v>
      </x:c>
      <x:c r="G354" s="32" t="str">
        <x:v>共享内存 KVCache 安全访问保护｜L4-SC-ViewProtection-062</x:v>
      </x:c>
      <x:c r="H354" s="31" t="str">
        <x:v>系统重构：本需求要求 memory view 访问必须具备硬件级保护：read-only mapping、IOMMU/SMMU domain、tenant key、view revocation、poison isolation、audit log； 技术路径：详细设计应固定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x:v>
      </x:c>
      <x:c r="I354" s="31" t="str">
        <x:v>越权访问 = 0；view revocation p99 &lt;1ms；</x:v>
      </x:c>
      <x:c r="J354" s="31" t="str"/>
      <x:c r="K354" s="31" t="str">
        <x:v>L4 底层传输层 / 一致性、安全与可靠性</x:v>
      </x:c>
      <x:c r="L354" s="31" t="str">
        <x:v>L4-SC-ViewProtection-062</x:v>
      </x:c>
    </x:row>
    <x:row r="355" ht="76" customHeight="1">
      <x:c r="A355" s="33" t="str">
        <x:v>SF-01/IR-01-12/SR-01-12-10/AR-L4-SC-ViewProtection-062-01</x:v>
      </x:c>
      <x:c r="B355" s="33" t="n">
        <x:v>4</x:v>
      </x:c>
      <x:c r="C355" s="34" t="str">
        <x:v>AR</x:v>
      </x:c>
      <x:c r="D355" s="34" t="str">
        <x:v>AR-L4-SC-ViewProtection-062-01</x:v>
      </x:c>
      <x:c r="E355" s="34" t="str">
        <x:v>SR-01-12-10</x:v>
      </x:c>
      <x:c r="F355" s="34" t="str">
        <x:v>            ├─ AR-L4-SC-ViewProtection-062-01 核心实现</x:v>
      </x:c>
      <x:c r="G355" s="34" t="str">
        <x:v>核心实现</x:v>
      </x:c>
      <x:c r="H355" s="33" t="str">
        <x:v>在 `src/security/integrity/view_protection.{h,cc}` 新增或重写 `ViewProtectionVerifier`，把“共享内存 KVCache 安全访问保护”落实为 L4 底层传输层 可调用主路径：本需求要求 memory view 访问必须具备硬件级保护：read-only mapping、IOMMU/SMMU domain、tenant key、view revocation、poison isolation、audit log； 输入必须显式消费 path evidence + security domain + object version，输出 ready/quarantine decision + error map，不得用全局单例或隐藏同步 I/O 绕开预算与状态机。</x:v>
      </x:c>
      <x:c r="I355" s="33" t="str">
        <x:v>越权访问 = 0；view revocation p99 &lt;1ms；</x:v>
      </x:c>
      <x:c r="J355" s="33" t="str">
        <x:v>src/security/integrity/view_protection.{h,cc}</x:v>
      </x:c>
      <x:c r="K355" s="33" t="str">
        <x:v>L4 底层传输层 / 驱动/硬件协同开发</x:v>
      </x:c>
      <x:c r="L355" s="33" t="str">
        <x:v>L4-SC-ViewProtection-062</x:v>
      </x:c>
    </x:row>
    <x:row r="356" ht="76" customHeight="1">
      <x:c r="A356" s="33" t="str">
        <x:v>SF-01/IR-01-12/SR-01-12-10/AR-L4-SC-ViewProtection-062-02</x:v>
      </x:c>
      <x:c r="B356" s="33" t="n">
        <x:v>4</x:v>
      </x:c>
      <x:c r="C356" s="34" t="str">
        <x:v>AR</x:v>
      </x:c>
      <x:c r="D356" s="34" t="str">
        <x:v>AR-L4-SC-ViewProtection-062-02</x:v>
      </x:c>
      <x:c r="E356" s="34" t="str">
        <x:v>SR-01-12-10</x:v>
      </x:c>
      <x:c r="F356" s="34" t="str">
        <x:v>            ├─ AR-L4-SC-ViewProtection-062-02 契约配置与降级</x:v>
      </x:c>
      <x:c r="G356" s="34" t="str">
        <x:v>契约配置与降级</x:v>
      </x:c>
      <x:c r="H356" s="33" t="str">
        <x:v>增加编译开关 `KVCACHE_ENABLE_VIEW_PROTECTION`、运行时开关 `kvcache.view_protection.enabled` 与 BackendRegistry 注册项；冻结 capability、descriptor、completion/fence、error mapping 与 per-path telemetry 字段，并实现“主路径→备路径→重算/冷路径”的有界 fallback。</x:v>
      </x:c>
      <x:c r="I356" s="33" t="str">
        <x:v>越权访问 = 0；view revocation p99 &lt;1ms；</x:v>
      </x:c>
      <x:c r="J356" s="33" t="str">
        <x:v>cmake/KVCacheBackends.cmake + config/backends/view_protection.yaml + src/backends/backend_registry.cc</x:v>
      </x:c>
      <x:c r="K356" s="33" t="str">
        <x:v>L4 底层传输层 / 驱动/硬件协同开发</x:v>
      </x:c>
      <x:c r="L356" s="33" t="str">
        <x:v>L4-SC-ViewProtection-062</x:v>
      </x:c>
    </x:row>
    <x:row r="357" ht="76" customHeight="1">
      <x:c r="A357" s="33" t="str">
        <x:v>SF-01/IR-01-12/SR-01-12-10/AR-L4-SC-ViewProtection-062-03</x:v>
      </x:c>
      <x:c r="B357" s="33" t="n">
        <x:v>4</x:v>
      </x:c>
      <x:c r="C357" s="34" t="str">
        <x:v>AR</x:v>
      </x:c>
      <x:c r="D357" s="34" t="str">
        <x:v>AR-L4-SC-ViewProtection-062-03</x:v>
      </x:c>
      <x:c r="E357" s="34" t="str">
        <x:v>SR-01-12-10</x:v>
      </x:c>
      <x:c r="F357" s="34" t="str">
        <x:v>            └─ AR-L4-SC-ViewProtection-062-03 验证与观测</x:v>
      </x:c>
      <x:c r="G357" s="34" t="str">
        <x:v>验证与观测</x:v>
      </x:c>
      <x:c r="H357" s="33" t="str">
        <x:v>新增正常、边界、并发、超时、stale metadata、迁移冲突、路径拥塞/故障与 feature-flag-off 用例；在 benchmark 中固定模型、tokenizer、prompt、并发、拓扑和 baseline，采集 lookup/load/attach、TTFT、TPOT、usable/abandoned hit、带宽/时延及 CPU/NPU 利用率。</x:v>
      </x:c>
      <x:c r="I357" s="33" t="str">
        <x:v>越权访问 = 0；view revocation p99 &lt;1ms；</x:v>
      </x:c>
      <x:c r="J357" s="33" t="str">
        <x:v>tests/security/integrity/view_protection_test.cc + benchmarks/security/integrity/view_protection_benchmark.cc</x:v>
      </x:c>
      <x:c r="K357" s="33" t="str">
        <x:v>L4 底层传输层 / 驱动/硬件协同开发</x:v>
      </x:c>
      <x:c r="L357" s="33" t="str">
        <x:v>L4-SC-ViewProtection-062</x:v>
      </x:c>
    </x:row>
    <x:row r="358" ht="76" customHeight="1">
      <x:c r="A358" s="31" t="str">
        <x:v>SF-01/IR-01-12/SR-01-12-11</x:v>
      </x:c>
      <x:c r="B358" s="31" t="n">
        <x:v>3</x:v>
      </x:c>
      <x:c r="C358" s="32" t="str">
        <x:v>SR</x:v>
      </x:c>
      <x:c r="D358" s="32" t="str">
        <x:v>SR-01-12-11</x:v>
      </x:c>
      <x:c r="E358" s="32" t="str">
        <x:v>IR-01-12</x:v>
      </x:c>
      <x:c r="F358" s="32" t="str">
        <x:v>        ├─ SR-01-12-11 后端资源切换与节点下线</x:v>
      </x:c>
      <x:c r="G358" s="32" t="str">
        <x:v>后端资源切换与节点下线｜L4-CO-DrainAndQuiesce-073</x:v>
      </x:c>
      <x:c r="H358" s="31" t="str">
        <x:v>系统重构：本需求要求底层为 RDMA QP/CQ、DMA ring、copy stream、GDS handle、UB mapping 提供 drain/quiesce 原语；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x:v>
      </x:c>
      <x:c r="I358" s="31" t="str">
        <x:v>全局内存利用率提升至≥85%，跨级冷热数据迁移过程中的TPOT抖动 &lt; 5%。</x:v>
      </x:c>
      <x:c r="J358" s="31" t="str"/>
      <x:c r="K358" s="31" t="str">
        <x:v>L4 底层传输层 / 一致性、安全与可靠性</x:v>
      </x:c>
      <x:c r="L358" s="31" t="str">
        <x:v>L4-CO-DrainAndQuiesce-073</x:v>
      </x:c>
    </x:row>
    <x:row r="359" ht="76" customHeight="1">
      <x:c r="A359" s="33" t="str">
        <x:v>SF-01/IR-01-12/SR-01-12-11/AR-L4-CO-DrainAndQuiesce-073-01</x:v>
      </x:c>
      <x:c r="B359" s="33" t="n">
        <x:v>4</x:v>
      </x:c>
      <x:c r="C359" s="34" t="str">
        <x:v>AR</x:v>
      </x:c>
      <x:c r="D359" s="34" t="str">
        <x:v>AR-L4-CO-DrainAndQuiesce-073-01</x:v>
      </x:c>
      <x:c r="E359" s="34" t="str">
        <x:v>SR-01-12-11</x:v>
      </x:c>
      <x:c r="F359" s="34" t="str">
        <x:v>            ├─ AR-L4-CO-DrainAndQuiesce-073-01 核心实现</x:v>
      </x:c>
      <x:c r="G359" s="34" t="str">
        <x:v>核心实现</x:v>
      </x:c>
      <x:c r="H359" s="33" t="str">
        <x:v>在 `src/security/integrity/drain_and_quiesce.{h,cc}` 新增或重写 `DrainAndQuiesceVerifier`，把“后端资源切换与节点下线”落实为 L4 底层传输层 可调用主路径：本需求要求底层为 RDMA QP/CQ、DMA ring、copy stream、GDS handle、UB mapping 提供 drain/quiesce 原语； 输入必须显式消费 path evidence + security domain + object version，输出 ready/quarantine decision + error map，不得用全局单例或隐藏同步 I/O 绕开预算与状态机。</x:v>
      </x:c>
      <x:c r="I359" s="33" t="str">
        <x:v>全局内存利用率提升至≥85%，跨级冷热数据迁移过程中的TPOT抖动 &lt; 5%。</x:v>
      </x:c>
      <x:c r="J359" s="33" t="str">
        <x:v>src/security/integrity/drain_and_quiesce.{h,cc}</x:v>
      </x:c>
      <x:c r="K359" s="33" t="str">
        <x:v>L4 底层传输层 / 驱动/硬件协同开发</x:v>
      </x:c>
      <x:c r="L359" s="33" t="str">
        <x:v>L4-CO-DrainAndQuiesce-073</x:v>
      </x:c>
    </x:row>
    <x:row r="360" ht="76" customHeight="1">
      <x:c r="A360" s="33" t="str">
        <x:v>SF-01/IR-01-12/SR-01-12-11/AR-L4-CO-DrainAndQuiesce-073-02</x:v>
      </x:c>
      <x:c r="B360" s="33" t="n">
        <x:v>4</x:v>
      </x:c>
      <x:c r="C360" s="34" t="str">
        <x:v>AR</x:v>
      </x:c>
      <x:c r="D360" s="34" t="str">
        <x:v>AR-L4-CO-DrainAndQuiesce-073-02</x:v>
      </x:c>
      <x:c r="E360" s="34" t="str">
        <x:v>SR-01-12-11</x:v>
      </x:c>
      <x:c r="F360" s="34" t="str">
        <x:v>            ├─ AR-L4-CO-DrainAndQuiesce-073-02 契约配置与降级</x:v>
      </x:c>
      <x:c r="G360" s="34" t="str">
        <x:v>契约配置与降级</x:v>
      </x:c>
      <x:c r="H360" s="33" t="str">
        <x:v>增加编译开关 `KVCACHE_ENABLE_DRAIN_AND_QUIESCE`、运行时开关 `kvcache.drain_and_quiesce.enabled` 与 BackendRegistry 注册项；冻结 capability、descriptor、completion/fence、error mapping 与 per-path telemetry 字段，并实现“主路径→备路径→重算/冷路径”的有界 fallback。</x:v>
      </x:c>
      <x:c r="I360" s="33" t="str">
        <x:v>全局内存利用率提升至≥85%，跨级冷热数据迁移过程中的TPOT抖动 &lt; 5%。</x:v>
      </x:c>
      <x:c r="J360" s="33" t="str">
        <x:v>cmake/KVCacheBackends.cmake + config/backends/drain_and_quiesce.yaml + src/backends/backend_registry.cc</x:v>
      </x:c>
      <x:c r="K360" s="33" t="str">
        <x:v>L4 底层传输层 / 驱动/硬件协同开发</x:v>
      </x:c>
      <x:c r="L360" s="33" t="str">
        <x:v>L4-CO-DrainAndQuiesce-073</x:v>
      </x:c>
    </x:row>
    <x:row r="361" ht="76" customHeight="1">
      <x:c r="A361" s="33" t="str">
        <x:v>SF-01/IR-01-12/SR-01-12-11/AR-L4-CO-DrainAndQuiesce-073-03</x:v>
      </x:c>
      <x:c r="B361" s="33" t="n">
        <x:v>4</x:v>
      </x:c>
      <x:c r="C361" s="34" t="str">
        <x:v>AR</x:v>
      </x:c>
      <x:c r="D361" s="34" t="str">
        <x:v>AR-L4-CO-DrainAndQuiesce-073-03</x:v>
      </x:c>
      <x:c r="E361" s="34" t="str">
        <x:v>SR-01-12-11</x:v>
      </x:c>
      <x:c r="F361" s="34" t="str">
        <x:v>            └─ AR-L4-CO-DrainAndQuiesce-073-03 验证与观测</x:v>
      </x:c>
      <x:c r="G361" s="34" t="str">
        <x:v>验证与观测</x:v>
      </x:c>
      <x:c r="H361" s="33" t="str">
        <x:v>新增正常、边界、并发、超时、stale metadata、迁移冲突、路径拥塞/故障与 feature-flag-off 用例；在 benchmark 中固定模型、tokenizer、prompt、并发、拓扑和 baseline，采集 lookup/load/attach、TTFT、TPOT、usable/abandoned hit、带宽/时延及 CPU/NPU 利用率。</x:v>
      </x:c>
      <x:c r="I361" s="33" t="str">
        <x:v>全局内存利用率提升至≥85%，跨级冷热数据迁移过程中的TPOT抖动 &lt; 5%。</x:v>
      </x:c>
      <x:c r="J361" s="33" t="str">
        <x:v>tests/security/integrity/drain_and_quiesce_test.cc + benchmarks/security/integrity/drain_and_quiesce_benchmark.cc</x:v>
      </x:c>
      <x:c r="K361" s="33" t="str">
        <x:v>L4 底层传输层 / 驱动/硬件协同开发</x:v>
      </x:c>
      <x:c r="L361" s="33" t="str">
        <x:v>L4-CO-DrainAndQuiesce-073</x:v>
      </x:c>
    </x:row>
    <x:row r="362" ht="76" customHeight="1">
      <x:c r="A362" s="31" t="str">
        <x:v>SF-01/IR-01-12/SR-01-12-12</x:v>
      </x:c>
      <x:c r="B362" s="31" t="n">
        <x:v>3</x:v>
      </x:c>
      <x:c r="C362" s="32" t="str">
        <x:v>SR</x:v>
      </x:c>
      <x:c r="D362" s="32" t="str">
        <x:v>SR-01-12-12</x:v>
      </x:c>
      <x:c r="E362" s="32" t="str">
        <x:v>IR-01-12</x:v>
      </x:c>
      <x:c r="F362" s="32" t="str">
        <x:v>        ├─ SR-01-12-12 近端共享内存 KV 访问性能观测</x:v>
      </x:c>
      <x:c r="G362" s="32" t="str">
        <x:v>近端共享内存 KV 访问性能观测｜L4-OB-RemoteAccessCounter-057</x:v>
      </x:c>
      <x:c r="H362" s="31" t="str">
        <x:v>系统重构：本需求要求 NPU/NPU runtime 暴露 remote-tier access counters：包括 UB/C2C load count、remote memory bandwidth、stall cycles、Lmiss source、copy engine utilization，使系统能判断 direct view 是否拖慢 TPOT。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x:v>
      </x:c>
      <x:c r="I362" s="31" t="str">
        <x:v>view-vs-copy 决策准确率 ≥90%；</x:v>
      </x:c>
      <x:c r="J362" s="31" t="str"/>
      <x:c r="K362" s="31" t="str">
        <x:v>L4 底层传输层 / 一致性、安全与可靠性</x:v>
      </x:c>
      <x:c r="L362" s="31" t="str">
        <x:v>L4-OB-RemoteAccessCounter-057</x:v>
      </x:c>
    </x:row>
    <x:row r="363" ht="76" customHeight="1">
      <x:c r="A363" s="33" t="str">
        <x:v>SF-01/IR-01-12/SR-01-12-12/AR-L4-OB-RemoteAccessCounter-057-01</x:v>
      </x:c>
      <x:c r="B363" s="33" t="n">
        <x:v>4</x:v>
      </x:c>
      <x:c r="C363" s="34" t="str">
        <x:v>AR</x:v>
      </x:c>
      <x:c r="D363" s="34" t="str">
        <x:v>AR-L4-OB-RemoteAccessCounter-057-01</x:v>
      </x:c>
      <x:c r="E363" s="34" t="str">
        <x:v>SR-01-12-12</x:v>
      </x:c>
      <x:c r="F363" s="34" t="str">
        <x:v>            ├─ AR-L4-OB-RemoteAccessCounter-057-01 核心实现</x:v>
      </x:c>
      <x:c r="G363" s="34" t="str">
        <x:v>核心实现</x:v>
      </x:c>
      <x:c r="H363" s="33" t="str">
        <x:v>在 `src/security/integrity/remote_access_counter.{h,cc}` 新增或重写 `RemoteAccessCounterVerifier`，把“近端共享内存 KV 访问性能观测”落实为 L4 底层传输层 可调用主路径：本需求要求 NPU/NPU runtime 暴露 remote-tier access counters：包括 UB/C2C load count、remote memory bandwidth、stall cycles、Lmiss source、copy engine utilization，使系统能判断 direct view 是否拖慢 TPOT。 输入必须显式消费 path evidence + security domain + object version，输出 ready/quarantine decision + error map，不得用全局单例或隐藏同步 I/O 绕开预算与状态机。</x:v>
      </x:c>
      <x:c r="I363" s="33" t="str">
        <x:v>view-vs-copy 决策准确率 ≥90%；</x:v>
      </x:c>
      <x:c r="J363" s="33" t="str">
        <x:v>src/security/integrity/remote_access_counter.{h,cc}</x:v>
      </x:c>
      <x:c r="K363" s="33" t="str">
        <x:v>L4 底层传输层 / 驱动/硬件协同开发</x:v>
      </x:c>
      <x:c r="L363" s="33" t="str">
        <x:v>L4-OB-RemoteAccessCounter-057</x:v>
      </x:c>
    </x:row>
    <x:row r="364" ht="76" customHeight="1">
      <x:c r="A364" s="33" t="str">
        <x:v>SF-01/IR-01-12/SR-01-12-12/AR-L4-OB-RemoteAccessCounter-057-02</x:v>
      </x:c>
      <x:c r="B364" s="33" t="n">
        <x:v>4</x:v>
      </x:c>
      <x:c r="C364" s="34" t="str">
        <x:v>AR</x:v>
      </x:c>
      <x:c r="D364" s="34" t="str">
        <x:v>AR-L4-OB-RemoteAccessCounter-057-02</x:v>
      </x:c>
      <x:c r="E364" s="34" t="str">
        <x:v>SR-01-12-12</x:v>
      </x:c>
      <x:c r="F364" s="34" t="str">
        <x:v>            ├─ AR-L4-OB-RemoteAccessCounter-057-02 契约配置与降级</x:v>
      </x:c>
      <x:c r="G364" s="34" t="str">
        <x:v>契约配置与降级</x:v>
      </x:c>
      <x:c r="H364" s="33" t="str">
        <x:v>增加编译开关 `KVCACHE_ENABLE_REMOTE_ACCESS_COUNTER`、运行时开关 `kvcache.remote_access_counter.enabled` 与 BackendRegistry 注册项；冻结 capability、descriptor、completion/fence、error mapping 与 per-path telemetry 字段，并实现“主路径→备路径→重算/冷路径”的有界 fallback。</x:v>
      </x:c>
      <x:c r="I364" s="33" t="str">
        <x:v>view-vs-copy 决策准确率 ≥90%；</x:v>
      </x:c>
      <x:c r="J364" s="33" t="str">
        <x:v>cmake/KVCacheBackends.cmake + config/backends/remote_access_counter.yaml + src/backends/backend_registry.cc</x:v>
      </x:c>
      <x:c r="K364" s="33" t="str">
        <x:v>L4 底层传输层 / 驱动/硬件协同开发</x:v>
      </x:c>
      <x:c r="L364" s="33" t="str">
        <x:v>L4-OB-RemoteAccessCounter-057</x:v>
      </x:c>
    </x:row>
    <x:row r="365" ht="76" customHeight="1">
      <x:c r="A365" s="33" t="str">
        <x:v>SF-01/IR-01-12/SR-01-12-12/AR-L4-OB-RemoteAccessCounter-057-03</x:v>
      </x:c>
      <x:c r="B365" s="33" t="n">
        <x:v>4</x:v>
      </x:c>
      <x:c r="C365" s="34" t="str">
        <x:v>AR</x:v>
      </x:c>
      <x:c r="D365" s="34" t="str">
        <x:v>AR-L4-OB-RemoteAccessCounter-057-03</x:v>
      </x:c>
      <x:c r="E365" s="34" t="str">
        <x:v>SR-01-12-12</x:v>
      </x:c>
      <x:c r="F365" s="34" t="str">
        <x:v>            └─ AR-L4-OB-RemoteAccessCounter-057-03 验证与观测</x:v>
      </x:c>
      <x:c r="G365" s="34" t="str">
        <x:v>验证与观测</x:v>
      </x:c>
      <x:c r="H365" s="33" t="str">
        <x:v>新增正常、边界、并发、超时、stale metadata、迁移冲突、路径拥塞/故障与 feature-flag-off 用例；在 benchmark 中固定模型、tokenizer、prompt、并发、拓扑和 baseline，采集 lookup/load/attach、TTFT、TPOT、usable/abandoned hit、带宽/时延及 CPU/NPU 利用率。</x:v>
      </x:c>
      <x:c r="I365" s="33" t="str">
        <x:v>view-vs-copy 决策准确率 ≥90%；</x:v>
      </x:c>
      <x:c r="J365" s="33" t="str">
        <x:v>tests/security/integrity/remote_access_counter_test.cc + benchmarks/security/integrity/remote_access_counter_benchmark.cc</x:v>
      </x:c>
      <x:c r="K365" s="33" t="str">
        <x:v>L4 底层传输层 / 驱动/硬件协同开发</x:v>
      </x:c>
      <x:c r="L365" s="33" t="str">
        <x:v>L4-OB-RemoteAccessCounter-057</x:v>
      </x:c>
    </x:row>
    <x:row r="366" ht="76" customHeight="1">
      <x:c r="A366" s="31" t="str">
        <x:v>SF-01/IR-01-12/SR-01-12-13</x:v>
      </x:c>
      <x:c r="B366" s="31" t="n">
        <x:v>3</x:v>
      </x:c>
      <x:c r="C366" s="32" t="str">
        <x:v>SR</x:v>
      </x:c>
      <x:c r="D366" s="32" t="str">
        <x:v>SR-01-12-13</x:v>
      </x:c>
      <x:c r="E366" s="32" t="str">
        <x:v>IR-01-12</x:v>
      </x:c>
      <x:c r="F366" s="32" t="str">
        <x:v>        ├─ SR-01-12-13 KV 迁移/紧凑整理期间地址无感切换</x:v>
      </x:c>
      <x:c r="G366" s="32" t="str">
        <x:v>KV 迁移/紧凑整理期间地址无感切换｜L4-CO-AtomicRemapPrimitive-065</x:v>
      </x:c>
      <x:c r="H366" s="31" t="str">
        <x:v>系统重构：本需求要求底层传输层为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x:v>
      </x:c>
      <x:c r="I366" s="31" t="str">
        <x:v>高拥塞背景下，KVCache关键小包的P99延迟不随大流数据量线性增加。</x:v>
      </x:c>
      <x:c r="J366" s="31" t="str"/>
      <x:c r="K366" s="31" t="str">
        <x:v>L4 底层传输层 / 一致性、安全与可靠性</x:v>
      </x:c>
      <x:c r="L366" s="31" t="str">
        <x:v>L4-CO-AtomicRemapPrimitive-065</x:v>
      </x:c>
    </x:row>
    <x:row r="367" ht="76" customHeight="1">
      <x:c r="A367" s="33" t="str">
        <x:v>SF-01/IR-01-12/SR-01-12-13/AR-L4-CO-AtomicRemapPrimitive-065-01</x:v>
      </x:c>
      <x:c r="B367" s="33" t="n">
        <x:v>4</x:v>
      </x:c>
      <x:c r="C367" s="34" t="str">
        <x:v>AR</x:v>
      </x:c>
      <x:c r="D367" s="34" t="str">
        <x:v>AR-L4-CO-AtomicRemapPrimitive-065-01</x:v>
      </x:c>
      <x:c r="E367" s="34" t="str">
        <x:v>SR-01-12-13</x:v>
      </x:c>
      <x:c r="F367" s="34" t="str">
        <x:v>            ├─ AR-L4-CO-AtomicRemapPrimitive-065-01 核心实现</x:v>
      </x:c>
      <x:c r="G367" s="34" t="str">
        <x:v>核心实现</x:v>
      </x:c>
      <x:c r="H367" s="33" t="str">
        <x:v>在 `src/security/integrity/atomic_remap_primitive.{h,cc}` 新增或重写 `AtomicRemapPrimitiveVerifier`，把“KV 迁移/紧凑整理期间地址无感切换”落实为 L4 底层传输层 可调用主路径：本需求要求底层传输层为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 输入必须显式消费 path evidence + security domain + object version，输出 ready/quarantine decision + error map，不得用全局单例或隐藏同步 I/O 绕开预算与状态机。</x:v>
      </x:c>
      <x:c r="I367" s="33" t="str">
        <x:v>高拥塞背景下，KVCache关键小包的P99延迟不随大流数据量线性增加。</x:v>
      </x:c>
      <x:c r="J367" s="33" t="str">
        <x:v>src/security/integrity/atomic_remap_primitive.{h,cc}</x:v>
      </x:c>
      <x:c r="K367" s="33" t="str">
        <x:v>L4 底层传输层 / 驱动/硬件协同开发</x:v>
      </x:c>
      <x:c r="L367" s="33" t="str">
        <x:v>L4-CO-AtomicRemapPrimitive-065</x:v>
      </x:c>
    </x:row>
    <x:row r="368" ht="76" customHeight="1">
      <x:c r="A368" s="33" t="str">
        <x:v>SF-01/IR-01-12/SR-01-12-13/AR-L4-CO-AtomicRemapPrimitive-065-02</x:v>
      </x:c>
      <x:c r="B368" s="33" t="n">
        <x:v>4</x:v>
      </x:c>
      <x:c r="C368" s="34" t="str">
        <x:v>AR</x:v>
      </x:c>
      <x:c r="D368" s="34" t="str">
        <x:v>AR-L4-CO-AtomicRemapPrimitive-065-02</x:v>
      </x:c>
      <x:c r="E368" s="34" t="str">
        <x:v>SR-01-12-13</x:v>
      </x:c>
      <x:c r="F368" s="34" t="str">
        <x:v>            ├─ AR-L4-CO-AtomicRemapPrimitive-065-02 契约配置与降级</x:v>
      </x:c>
      <x:c r="G368" s="34" t="str">
        <x:v>契约配置与降级</x:v>
      </x:c>
      <x:c r="H368" s="33" t="str">
        <x:v>增加编译开关 `KVCACHE_ENABLE_ATOMIC_REMAP_PRIMITIVE`、运行时开关 `kvcache.atomic_remap_primitive.enabled` 与 BackendRegistry 注册项；冻结 capability、descriptor、completion/fence、error mapping 与 per-path telemetry 字段，并实现“主路径→备路径→重算/冷路径”的有界 fallback。</x:v>
      </x:c>
      <x:c r="I368" s="33" t="str">
        <x:v>高拥塞背景下，KVCache关键小包的P99延迟不随大流数据量线性增加。</x:v>
      </x:c>
      <x:c r="J368" s="33" t="str">
        <x:v>cmake/KVCacheBackends.cmake + config/backends/atomic_remap_primitive.yaml + src/backends/backend_registry.cc</x:v>
      </x:c>
      <x:c r="K368" s="33" t="str">
        <x:v>L4 底层传输层 / 驱动/硬件协同开发</x:v>
      </x:c>
      <x:c r="L368" s="33" t="str">
        <x:v>L4-CO-AtomicRemapPrimitive-065</x:v>
      </x:c>
    </x:row>
    <x:row r="369" ht="76" customHeight="1">
      <x:c r="A369" s="33" t="str">
        <x:v>SF-01/IR-01-12/SR-01-12-13/AR-L4-CO-AtomicRemapPrimitive-065-03</x:v>
      </x:c>
      <x:c r="B369" s="33" t="n">
        <x:v>4</x:v>
      </x:c>
      <x:c r="C369" s="34" t="str">
        <x:v>AR</x:v>
      </x:c>
      <x:c r="D369" s="34" t="str">
        <x:v>AR-L4-CO-AtomicRemapPrimitive-065-03</x:v>
      </x:c>
      <x:c r="E369" s="34" t="str">
        <x:v>SR-01-12-13</x:v>
      </x:c>
      <x:c r="F369" s="34" t="str">
        <x:v>            └─ AR-L4-CO-AtomicRemapPrimitive-065-03 验证与观测</x:v>
      </x:c>
      <x:c r="G369" s="34" t="str">
        <x:v>验证与观测</x:v>
      </x:c>
      <x:c r="H369" s="33" t="str">
        <x:v>新增正常、边界、并发、超时、stale metadata、迁移冲突、路径拥塞/故障与 feature-flag-off 用例；在 benchmark 中固定模型、tokenizer、prompt、并发、拓扑和 baseline，采集 lookup/load/attach、TTFT、TPOT、usable/abandoned hit、带宽/时延及 CPU/NPU 利用率。</x:v>
      </x:c>
      <x:c r="I369" s="33" t="str">
        <x:v>高拥塞背景下，KVCache关键小包的P99延迟不随大流数据量线性增加。</x:v>
      </x:c>
      <x:c r="J369" s="33" t="str">
        <x:v>tests/security/integrity/atomic_remap_primitive_test.cc + benchmarks/security/integrity/atomic_remap_primitive_benchmark.cc</x:v>
      </x:c>
      <x:c r="K369" s="33" t="str">
        <x:v>L4 底层传输层 / 驱动/硬件协同开发</x:v>
      </x:c>
      <x:c r="L369" s="33" t="str">
        <x:v>L4-CO-AtomicRemapPrimitive-065</x:v>
      </x:c>
    </x:row>
    <x:row r="370" ht="76" customHeight="1">
      <x:c r="A370" s="31" t="str">
        <x:v>SF-01/IR-01-12/SR-01-12-14</x:v>
      </x:c>
      <x:c r="B370" s="31" t="n">
        <x:v>3</x:v>
      </x:c>
      <x:c r="C370" s="32" t="str">
        <x:v>SR</x:v>
      </x:c>
      <x:c r="D370" s="32" t="str">
        <x:v>SR-01-12-14</x:v>
      </x:c>
      <x:c r="E370" s="32" t="str">
        <x:v>IR-01-12</x:v>
      </x:c>
      <x:c r="F370" s="32" t="str">
        <x:v>        ├─ SR-01-12-14 KV 物理空间安全复用</x:v>
      </x:c>
      <x:c r="G370" s="32" t="str">
        <x:v>KV 物理空间安全复用｜L4-SC-SecureExtentRelease-074</x:v>
      </x:c>
      <x:c r="H370" s="31" t="str">
        <x:v>系统重构：本需求要求底层支持 KV extent 安全释放：对跨租户或安全域复用的 HBM/DDR/SSD extent，在释放或重新分配前执行 zero-fill、crypto erase 或 poison isolation，并向 L3 返回 release completion。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x:v>
      </x:c>
      <x:c r="I370" s="31" t="str">
        <x:v>在极高并发下OOM、非法内存访问(Segfault)、租户数据串模率为0。</x:v>
      </x:c>
      <x:c r="J370" s="31" t="str"/>
      <x:c r="K370" s="31" t="str">
        <x:v>L4 底层传输层 / 一致性、安全与可靠性</x:v>
      </x:c>
      <x:c r="L370" s="31" t="str">
        <x:v>L4-SC-SecureExtentRelease-074</x:v>
      </x:c>
    </x:row>
    <x:row r="371" ht="76" customHeight="1">
      <x:c r="A371" s="33" t="str">
        <x:v>SF-01/IR-01-12/SR-01-12-14/AR-L4-SC-SecureExtentRelease-074-01</x:v>
      </x:c>
      <x:c r="B371" s="33" t="n">
        <x:v>4</x:v>
      </x:c>
      <x:c r="C371" s="34" t="str">
        <x:v>AR</x:v>
      </x:c>
      <x:c r="D371" s="34" t="str">
        <x:v>AR-L4-SC-SecureExtentRelease-074-01</x:v>
      </x:c>
      <x:c r="E371" s="34" t="str">
        <x:v>SR-01-12-14</x:v>
      </x:c>
      <x:c r="F371" s="34" t="str">
        <x:v>            ├─ AR-L4-SC-SecureExtentRelease-074-01 核心实现</x:v>
      </x:c>
      <x:c r="G371" s="34" t="str">
        <x:v>核心实现</x:v>
      </x:c>
      <x:c r="H371" s="33" t="str">
        <x:v>在 `src/security/integrity/secure_extent_release.{h,cc}` 新增或重写 `SecureExtentReleaseVerifier`，把“KV 物理空间安全复用”落实为 L4 底层传输层 可调用主路径：本需求要求底层支持 KV extent 安全释放：对跨租户或安全域复用的 HBM/DDR/SSD extent，在释放或重新分配前执行 zero-fill、crypto erase 或 poison isolation，并向 L3 返回 release completion。 输入必须显式消费 path evidence + security domain + object version，输出 ready/quarantine decision + error map，不得用全局单例或隐藏同步 I/O 绕开预算与状态机。</x:v>
      </x:c>
      <x:c r="I371" s="33" t="str">
        <x:v>在极高并发下OOM、非法内存访问(Segfault)、租户数据串模率为0。</x:v>
      </x:c>
      <x:c r="J371" s="33" t="str">
        <x:v>src/security/integrity/secure_extent_release.{h,cc}</x:v>
      </x:c>
      <x:c r="K371" s="33" t="str">
        <x:v>L4 底层传输层 / 驱动/硬件协同开发</x:v>
      </x:c>
      <x:c r="L371" s="33" t="str">
        <x:v>L4-SC-SecureExtentRelease-074</x:v>
      </x:c>
    </x:row>
    <x:row r="372" ht="76" customHeight="1">
      <x:c r="A372" s="33" t="str">
        <x:v>SF-01/IR-01-12/SR-01-12-14/AR-L4-SC-SecureExtentRelease-074-02</x:v>
      </x:c>
      <x:c r="B372" s="33" t="n">
        <x:v>4</x:v>
      </x:c>
      <x:c r="C372" s="34" t="str">
        <x:v>AR</x:v>
      </x:c>
      <x:c r="D372" s="34" t="str">
        <x:v>AR-L4-SC-SecureExtentRelease-074-02</x:v>
      </x:c>
      <x:c r="E372" s="34" t="str">
        <x:v>SR-01-12-14</x:v>
      </x:c>
      <x:c r="F372" s="34" t="str">
        <x:v>            ├─ AR-L4-SC-SecureExtentRelease-074-02 契约配置与降级</x:v>
      </x:c>
      <x:c r="G372" s="34" t="str">
        <x:v>契约配置与降级</x:v>
      </x:c>
      <x:c r="H372" s="33" t="str">
        <x:v>增加编译开关 `KVCACHE_ENABLE_SECURE_EXTENT_RELEASE`、运行时开关 `kvcache.secure_extent_release.enabled` 与 BackendRegistry 注册项；冻结 capability、descriptor、completion/fence、error mapping 与 per-path telemetry 字段，并实现“主路径→备路径→重算/冷路径”的有界 fallback。</x:v>
      </x:c>
      <x:c r="I372" s="33" t="str">
        <x:v>在极高并发下OOM、非法内存访问(Segfault)、租户数据串模率为0。</x:v>
      </x:c>
      <x:c r="J372" s="33" t="str">
        <x:v>cmake/KVCacheBackends.cmake + config/backends/secure_extent_release.yaml + src/backends/backend_registry.cc</x:v>
      </x:c>
      <x:c r="K372" s="33" t="str">
        <x:v>L4 底层传输层 / 驱动/硬件协同开发</x:v>
      </x:c>
      <x:c r="L372" s="33" t="str">
        <x:v>L4-SC-SecureExtentRelease-074</x:v>
      </x:c>
    </x:row>
    <x:row r="373" ht="76" customHeight="1">
      <x:c r="A373" s="33" t="str">
        <x:v>SF-01/IR-01-12/SR-01-12-14/AR-L4-SC-SecureExtentRelease-074-03</x:v>
      </x:c>
      <x:c r="B373" s="33" t="n">
        <x:v>4</x:v>
      </x:c>
      <x:c r="C373" s="34" t="str">
        <x:v>AR</x:v>
      </x:c>
      <x:c r="D373" s="34" t="str">
        <x:v>AR-L4-SC-SecureExtentRelease-074-03</x:v>
      </x:c>
      <x:c r="E373" s="34" t="str">
        <x:v>SR-01-12-14</x:v>
      </x:c>
      <x:c r="F373" s="34" t="str">
        <x:v>            └─ AR-L4-SC-SecureExtentRelease-074-03 验证与观测</x:v>
      </x:c>
      <x:c r="G373" s="34" t="str">
        <x:v>验证与观测</x:v>
      </x:c>
      <x:c r="H373" s="33" t="str">
        <x:v>新增正常、边界、并发、超时、stale metadata、迁移冲突、路径拥塞/故障与 feature-flag-off 用例；在 benchmark 中固定模型、tokenizer、prompt、并发、拓扑和 baseline，采集 lookup/load/attach、TTFT、TPOT、usable/abandoned hit、带宽/时延及 CPU/NPU 利用率。</x:v>
      </x:c>
      <x:c r="I373" s="33" t="str">
        <x:v>在极高并发下OOM、非法内存访问(Segfault)、租户数据串模率为0。</x:v>
      </x:c>
      <x:c r="J373" s="33" t="str">
        <x:v>tests/security/integrity/secure_extent_release_test.cc + benchmarks/security/integrity/secure_extent_release_benchmark.cc</x:v>
      </x:c>
      <x:c r="K373" s="33" t="str">
        <x:v>L4 底层传输层 / 驱动/硬件协同开发</x:v>
      </x:c>
      <x:c r="L373" s="33" t="str">
        <x:v>L4-SC-SecureExtentRelease-074</x:v>
      </x:c>
    </x:row>
    <x:row r="374" ht="76" customHeight="1">
      <x:c r="A374" s="31" t="str">
        <x:v>SF-01/IR-01-12/SR-01-12-15</x:v>
      </x:c>
      <x:c r="B374" s="31" t="n">
        <x:v>3</x:v>
      </x:c>
      <x:c r="C374" s="32" t="str">
        <x:v>SR</x:v>
      </x:c>
      <x:c r="D374" s="32" t="str">
        <x:v>SR-01-12-15</x:v>
      </x:c>
      <x:c r="E374" s="32" t="str">
        <x:v>IR-01-12</x:v>
      </x:c>
      <x:c r="F374" s="32" t="str">
        <x:v>        ├─ SR-01-12-15 硬件级零拷贝内存重组</x:v>
      </x:c>
      <x:c r="G374" s="32" t="str">
        <x:v>硬件级零拷贝内存重组｜L4-CO-PageMigration-063</x:v>
      </x:c>
      <x:c r="H374" s="31" t="str">
        <x:v>系统重构：本需求要求底层传输层提供硬件级页迁移（Page Migration）与大页（Hugepage）重组原语，允许在不更改上层虚拟地址（GAP/指针）的前提下，在硬件层原子级完成物理内存页复制与 IOMMU/TLB 刷新。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x:v>
      </x:c>
      <x:c r="I374" s="31" t="str">
        <x:v>探索直接视图(direct view)、硬件多播及硬件原子页迁移等远期能力，避免 TPOT 被直接视图意外拖慢，不强求 &lt;500ns 等极端指标。</x:v>
      </x:c>
      <x:c r="J374" s="31" t="str"/>
      <x:c r="K374" s="31" t="str">
        <x:v>L4 底层传输层 / 一致性、安全与可靠性</x:v>
      </x:c>
      <x:c r="L374" s="31" t="str">
        <x:v>L4-CO-PageMigration-063</x:v>
      </x:c>
    </x:row>
    <x:row r="375" ht="76" customHeight="1">
      <x:c r="A375" s="33" t="str">
        <x:v>SF-01/IR-01-12/SR-01-12-15/AR-L4-CO-PageMigration-063-01</x:v>
      </x:c>
      <x:c r="B375" s="33" t="n">
        <x:v>4</x:v>
      </x:c>
      <x:c r="C375" s="34" t="str">
        <x:v>AR</x:v>
      </x:c>
      <x:c r="D375" s="34" t="str">
        <x:v>AR-L4-CO-PageMigration-063-01</x:v>
      </x:c>
      <x:c r="E375" s="34" t="str">
        <x:v>SR-01-12-15</x:v>
      </x:c>
      <x:c r="F375" s="34" t="str">
        <x:v>            ├─ AR-L4-CO-PageMigration-063-01 核心实现</x:v>
      </x:c>
      <x:c r="G375" s="34" t="str">
        <x:v>核心实现</x:v>
      </x:c>
      <x:c r="H375" s="33" t="str">
        <x:v>在 `src/security/integrity/page_migration.{h,cc}` 新增或重写 `PageMigrationVerifier`，把“硬件级零拷贝内存重组”落实为 L4 底层传输层 可调用主路径：本需求要求底层传输层提供硬件级页迁移（Page Migration）与大页（Hugepage）重组原语，允许在不更改上层虚拟地址（GAP/指针）的前提下，在硬件层原子级完成物理内存页复制与 IOMMU/TLB 刷新。 输入必须显式消费 path evidence + security domain + object version，输出 ready/quarantine decision + error map，不得用全局单例或隐藏同步 I/O 绕开预算与状态机。</x:v>
      </x:c>
      <x:c r="I375" s="33" t="str">
        <x:v>探索直接视图(direct view)、硬件多播及硬件原子页迁移等远期能力，避免 TPOT 被直接视图意外拖慢，不强求 &lt;500ns 等极端指标。</x:v>
      </x:c>
      <x:c r="J375" s="33" t="str">
        <x:v>src/security/integrity/page_migration.{h,cc}</x:v>
      </x:c>
      <x:c r="K375" s="33" t="str">
        <x:v>L4 底层传输层 / 驱动/硬件协同开发</x:v>
      </x:c>
      <x:c r="L375" s="33" t="str">
        <x:v>L4-CO-PageMigration-063</x:v>
      </x:c>
    </x:row>
    <x:row r="376" ht="76" customHeight="1">
      <x:c r="A376" s="33" t="str">
        <x:v>SF-01/IR-01-12/SR-01-12-15/AR-L4-CO-PageMigration-063-02</x:v>
      </x:c>
      <x:c r="B376" s="33" t="n">
        <x:v>4</x:v>
      </x:c>
      <x:c r="C376" s="34" t="str">
        <x:v>AR</x:v>
      </x:c>
      <x:c r="D376" s="34" t="str">
        <x:v>AR-L4-CO-PageMigration-063-02</x:v>
      </x:c>
      <x:c r="E376" s="34" t="str">
        <x:v>SR-01-12-15</x:v>
      </x:c>
      <x:c r="F376" s="34" t="str">
        <x:v>            ├─ AR-L4-CO-PageMigration-063-02 契约配置与降级</x:v>
      </x:c>
      <x:c r="G376" s="34" t="str">
        <x:v>契约配置与降级</x:v>
      </x:c>
      <x:c r="H376" s="33" t="str">
        <x:v>增加编译开关 `KVCACHE_ENABLE_PAGE_MIGRATION`、运行时开关 `kvcache.page_migration.enabled` 与 BackendRegistry 注册项；冻结 capability、descriptor、completion/fence、error mapping 与 per-path telemetry 字段，并实现“主路径→备路径→重算/冷路径”的有界 fallback。</x:v>
      </x:c>
      <x:c r="I376" s="33" t="str">
        <x:v>探索直接视图(direct view)、硬件多播及硬件原子页迁移等远期能力，避免 TPOT 被直接视图意外拖慢，不强求 &lt;500ns 等极端指标。</x:v>
      </x:c>
      <x:c r="J376" s="33" t="str">
        <x:v>cmake/KVCacheBackends.cmake + config/backends/page_migration.yaml + src/backends/backend_registry.cc</x:v>
      </x:c>
      <x:c r="K376" s="33" t="str">
        <x:v>L4 底层传输层 / 驱动/硬件协同开发</x:v>
      </x:c>
      <x:c r="L376" s="33" t="str">
        <x:v>L4-CO-PageMigration-063</x:v>
      </x:c>
    </x:row>
    <x:row r="377" ht="76" customHeight="1">
      <x:c r="A377" s="33" t="str">
        <x:v>SF-01/IR-01-12/SR-01-12-15/AR-L4-CO-PageMigration-063-03</x:v>
      </x:c>
      <x:c r="B377" s="33" t="n">
        <x:v>4</x:v>
      </x:c>
      <x:c r="C377" s="34" t="str">
        <x:v>AR</x:v>
      </x:c>
      <x:c r="D377" s="34" t="str">
        <x:v>AR-L4-CO-PageMigration-063-03</x:v>
      </x:c>
      <x:c r="E377" s="34" t="str">
        <x:v>SR-01-12-15</x:v>
      </x:c>
      <x:c r="F377" s="34" t="str">
        <x:v>            └─ AR-L4-CO-PageMigration-063-03 验证与观测</x:v>
      </x:c>
      <x:c r="G377" s="34" t="str">
        <x:v>验证与观测</x:v>
      </x:c>
      <x:c r="H377" s="33" t="str">
        <x:v>新增正常、边界、并发、超时、stale metadata、迁移冲突、路径拥塞/故障与 feature-flag-off 用例；在 benchmark 中固定模型、tokenizer、prompt、并发、拓扑和 baseline，采集 lookup/load/attach、TTFT、TPOT、usable/abandoned hit、带宽/时延及 CPU/NPU 利用率。</x:v>
      </x:c>
      <x:c r="I377" s="33" t="str">
        <x:v>探索直接视图(direct view)、硬件多播及硬件原子页迁移等远期能力，避免 TPOT 被直接视图意外拖慢，不强求 &lt;500ns 等极端指标。</x:v>
      </x:c>
      <x:c r="J377" s="33" t="str">
        <x:v>tests/security/integrity/page_migration_test.cc + benchmarks/security/integrity/page_migration_benchmark.cc</x:v>
      </x:c>
      <x:c r="K377" s="33" t="str">
        <x:v>L4 底层传输层 / 驱动/硬件协同开发</x:v>
      </x:c>
      <x:c r="L377" s="33" t="str">
        <x:v>L4-CO-PageMigration-063</x:v>
      </x:c>
    </x:row>
    <x:row r="378" ht="76" customHeight="1">
      <x:c r="A378" s="36" t="str">
        <x:v>SF-02</x:v>
      </x:c>
      <x:c r="B378" s="36" t="n">
        <x:v>1</x:v>
      </x:c>
      <x:c r="C378" s="36" t="str">
        <x:v>SF</x:v>
      </x:c>
      <x:c r="D378" s="36" t="str">
        <x:v>SF-02</x:v>
      </x:c>
      <x:c r="E378" s="36" t="str">
        <x:v>ROOT</x:v>
      </x:c>
      <x:c r="F378" s="36" t="str">
        <x:v>● SF-02 提供集群级语义复用与推理 SLO 闭环的在线加速能力</x:v>
      </x:c>
      <x:c r="G378" s="36" t="str">
        <x:v>提供集群级语义复用与推理 SLO 闭环的在线加速能力</x:v>
      </x:c>
      <x:c r="H378" s="36" t="str">
        <x:v>面向 vLLM/SGLang 建立 PrefixDirectory、KVSemanticIdentity、load-vs-recompute、cache-aware routing、tiering/prefetch 和可观测闭环，只消费有正收益的 Usable Hit，并把容量、命中与硬件路径收益兑现到 TTFT、TPOT、NPU 利用率和服务容量。</x:v>
      </x:c>
      <x:c r="I378" s="36" t="str">
        <x:v>目标工作负载 p99 TTFT 降低≥20%；后台任务引起的 p99 TPOT 回退&lt;3%；Usable Hit Rate 提升≥20%；HBM Effective Capacity 提升≥30%；OOM/preemption 降低≥50%；NPU有效利用率提升≥10%。</x:v>
      </x:c>
      <x:c r="J378" s="36" t="str"/>
      <x:c r="K378" s="36" t="str">
        <x:v>全系统</x:v>
      </x:c>
      <x:c r="L378" s="36" t="str">
        <x:v>V2.1定义</x:v>
      </x:c>
    </x:row>
    <x:row r="379" ht="76" customHeight="1">
      <x:c r="A379" s="29" t="str">
        <x:v>SF-02/IR-02-01</x:v>
      </x:c>
      <x:c r="B379" s="29" t="n">
        <x:v>2</x:v>
      </x:c>
      <x:c r="C379" s="30" t="str">
        <x:v>IR</x:v>
      </x:c>
      <x:c r="D379" s="30" t="str">
        <x:v>IR-02-01</x:v>
      </x:c>
      <x:c r="E379" s="30" t="str">
        <x:v>SF-02</x:v>
      </x:c>
      <x:c r="F379" s="30" t="str">
        <x:v>    ├─ IR-02-01 面向vLLM/SGLang的统一KVCache访问接口和后端插件规范</x:v>
      </x:c>
      <x:c r="G379" s="30" t="str">
        <x:v>面向vLLM/SGLang的统一KVCache访问接口和后端插件规范</x:v>
      </x:c>
      <x:c r="H379" s="29" t="str">
        <x:v>系统应向 vLLM、SGLang 及 KV 传输/存储后端提供版本化的统一访问协议，覆盖 publish、lookup、load、prefetch、attach、evict、status、metrics 和 fallback，使框架只表达 KV 语义身份、访问意图、时限和消费目标，不绑定具体介质或后端。新框架或新后端应通过同一兼容性测试接入，避免为每种组合重复开发。
技术锚点：C++ API + Python Protocol + gRPC/Protobuf：KVAccessIntent/QueryPlan/AttachHandle</x:v>
      </x:c>
      <x:c r="I379" s="29" t="str">
        <x:v>conformance通过率=100%；接口调用&lt;5 μs；元数据编解码&lt;200 ns/次；新后端接入工期降低≥50%。</x:v>
      </x:c>
      <x:c r="J379" s="29" t="str"/>
      <x:c r="K379" s="29" t="str">
        <x:v>TM1</x:v>
      </x:c>
      <x:c r="L379" s="29" t="str">
        <x:v>V2.1修订定义</x:v>
      </x:c>
    </x:row>
    <x:row r="380" ht="76" customHeight="1">
      <x:c r="A380" s="31" t="str">
        <x:v>SF-02/IR-02-01/SR-02-01-01</x:v>
      </x:c>
      <x:c r="B380" s="31" t="n">
        <x:v>3</x:v>
      </x:c>
      <x:c r="C380" s="32" t="str">
        <x:v>SR</x:v>
      </x:c>
      <x:c r="D380" s="32" t="str">
        <x:v>SR-02-01-01</x:v>
      </x:c>
      <x:c r="E380" s="32" t="str">
        <x:v>IR-02-01</x:v>
      </x:c>
      <x:c r="F380" s="32" t="str">
        <x:v>        ├─ SR-02-01-01 统一接口标准化</x:v>
      </x:c>
      <x:c r="G380" s="32" t="str">
        <x:v>统一接口标准化｜L2-CONN-API-STD-001</x:v>
      </x:c>
      <x:c r="H380" s="31" t="str">
        <x:v>系统重构：本需求要求定义并实施统一的KVConnector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x:v>
      </x:c>
      <x:c r="I380" s="31" t="str">
        <x:v>Prefix命中判定P99耗时 &lt; 200us；在Share-Prefix业务下，Usable Hit Rate提升≥15%。</x:v>
      </x:c>
      <x:c r="J380" s="31" t="str"/>
      <x:c r="K380" s="31" t="str">
        <x:v>L2 KVConnector层 / 统一协议与标准接口</x:v>
      </x:c>
      <x:c r="L380" s="31" t="str">
        <x:v>L2-CONN-API-STD-001</x:v>
      </x:c>
    </x:row>
    <x:row r="381" ht="76" customHeight="1">
      <x:c r="A381" s="33" t="str">
        <x:v>SF-02/IR-02-01/SR-02-01-01/AR-L2-CONN-API-STD-001-01</x:v>
      </x:c>
      <x:c r="B381" s="33" t="n">
        <x:v>4</x:v>
      </x:c>
      <x:c r="C381" s="34" t="str">
        <x:v>AR</x:v>
      </x:c>
      <x:c r="D381" s="34" t="str">
        <x:v>AR-L2-CONN-API-STD-001-01</x:v>
      </x:c>
      <x:c r="E381" s="34" t="str">
        <x:v>SR-02-01-01</x:v>
      </x:c>
      <x:c r="F381" s="34" t="str">
        <x:v>            ├─ AR-L2-CONN-API-STD-001-01 核心实现</x:v>
      </x:c>
      <x:c r="G381" s="34" t="str">
        <x:v>核心实现</x:v>
      </x:c>
      <x:c r="H381" s="33" t="str">
        <x:v>在 `src/api/connector/api_std.{h,cc}` 新增或重写 `APISTDAdapter`，把“统一接口标准化”落实为 L2 KVConnector层 可调用主路径：本需求要求定义并实施统一的KVConnector Protocol标准接口（Python Protocol + gRPC IDL双形式），覆盖put/get/prefetch/evict/get_status/get_transport_stats六类操作，制定KVPage/{ptr, mem_type, size, layer_idx}和KVMeta/{model_id, prefix_hash, dtype, kv_shape}标… 输入必须显式消费 framework intent + semantic identity + budget，输出 versioned request/response + typed error/fallback，不得用全局单例或隐藏同步 I/O 绕开预算与状态机。</x:v>
      </x:c>
      <x:c r="I381" s="33" t="str">
        <x:v>Prefix命中判定P99耗时 &lt; 200us；在Share-Prefix业务下，Usable Hit Rate提升≥15%。</x:v>
      </x:c>
      <x:c r="J381" s="33" t="str">
        <x:v>src/api/connector/api_std.{h,cc}</x:v>
      </x:c>
      <x:c r="K381" s="33" t="str">
        <x:v>L2 KVConnector层 / Connector开发</x:v>
      </x:c>
      <x:c r="L381" s="33" t="str">
        <x:v>L2-CONN-API-STD-001</x:v>
      </x:c>
    </x:row>
    <x:row r="382" ht="76" customHeight="1">
      <x:c r="A382" s="33" t="str">
        <x:v>SF-02/IR-02-01/SR-02-01-01/AR-L2-CONN-API-STD-001-02</x:v>
      </x:c>
      <x:c r="B382" s="33" t="n">
        <x:v>4</x:v>
      </x:c>
      <x:c r="C382" s="34" t="str">
        <x:v>AR</x:v>
      </x:c>
      <x:c r="D382" s="34" t="str">
        <x:v>AR-L2-CONN-API-STD-001-02</x:v>
      </x:c>
      <x:c r="E382" s="34" t="str">
        <x:v>SR-02-01-01</x:v>
      </x:c>
      <x:c r="F382" s="34" t="str">
        <x:v>            ├─ AR-L2-CONN-API-STD-001-02 契约配置与降级</x:v>
      </x:c>
      <x:c r="G382" s="34" t="str">
        <x:v>契约配置与降级</x:v>
      </x:c>
      <x:c r="H382" s="33" t="str">
        <x:v>为 `APISTDOptions` 增加 `kvcache.api_std.enabled`、deadline/容量/队列预算及版本字段；在调用点接入 typed error、decision_reason、fallback_reason，确保配置热更新、灰度关闭和向后兼容均可审计。</x:v>
      </x:c>
      <x:c r="I382" s="33" t="str">
        <x:v>Prefix命中判定P99耗时 &lt; 200us；在Share-Prefix业务下，Usable Hit Rate提升≥15%。</x:v>
      </x:c>
      <x:c r="J382" s="33" t="str">
        <x:v>api/kvcache/v1/api_std.proto + config/runtime/api_std.yaml</x:v>
      </x:c>
      <x:c r="K382" s="33" t="str">
        <x:v>L2 KVConnector层 / Connector开发</x:v>
      </x:c>
      <x:c r="L382" s="33" t="str">
        <x:v>L2-CONN-API-STD-001</x:v>
      </x:c>
    </x:row>
    <x:row r="383" ht="76" customHeight="1">
      <x:c r="A383" s="33" t="str">
        <x:v>SF-02/IR-02-01/SR-02-01-01/AR-L2-CONN-API-STD-001-03</x:v>
      </x:c>
      <x:c r="B383" s="33" t="n">
        <x:v>4</x:v>
      </x:c>
      <x:c r="C383" s="34" t="str">
        <x:v>AR</x:v>
      </x:c>
      <x:c r="D383" s="34" t="str">
        <x:v>AR-L2-CONN-API-STD-001-03</x:v>
      </x:c>
      <x:c r="E383" s="34" t="str">
        <x:v>SR-02-01-01</x:v>
      </x:c>
      <x:c r="F383" s="34" t="str">
        <x:v>            └─ AR-L2-CONN-API-STD-001-03 验证与观测</x:v>
      </x:c>
      <x:c r="G383" s="34" t="str">
        <x:v>验证与观测</x:v>
      </x:c>
      <x:c r="H383" s="33" t="str">
        <x:v>新增正常、边界、并发、超时、stale metadata、迁移冲突、路径拥塞/故障与 feature-flag-off 用例；在 benchmark 中固定模型、tokenizer、prompt、并发、拓扑和 baseline，采集 lookup/load/attach、TTFT、TPOT、usable/abandoned hit、带宽/时延及 CPU/NPU 利用率。</x:v>
      </x:c>
      <x:c r="I383" s="33" t="str">
        <x:v>Prefix命中判定P99耗时 &lt; 200us；在Share-Prefix业务下，Usable Hit Rate提升≥15%。</x:v>
      </x:c>
      <x:c r="J383" s="33" t="str">
        <x:v>tests/api/connector/api_std_test.cc + benchmarks/api/connector/api_std_benchmark.cc</x:v>
      </x:c>
      <x:c r="K383" s="33" t="str">
        <x:v>L2 KVConnector层 / Connector开发</x:v>
      </x:c>
      <x:c r="L383" s="33" t="str">
        <x:v>L2-CONN-API-STD-001</x:v>
      </x:c>
    </x:row>
    <x:row r="384" ht="76" customHeight="1">
      <x:c r="A384" s="31" t="str">
        <x:v>SF-02/IR-02-01/SR-02-01-02</x:v>
      </x:c>
      <x:c r="B384" s="31" t="n">
        <x:v>3</x:v>
      </x:c>
      <x:c r="C384" s="32" t="str">
        <x:v>SR</x:v>
      </x:c>
      <x:c r="D384" s="32" t="str">
        <x:v>SR-02-01-02</x:v>
      </x:c>
      <x:c r="E384" s="32" t="str">
        <x:v>IR-02-01</x:v>
      </x:c>
      <x:c r="F384" s="32" t="str">
        <x:v>        ├─ SR-02-01-02 算力执行内存与存储池内存管理解耦</x:v>
      </x:c>
      <x:c r="G384" s="32" t="str">
        <x:v>算力执行内存与存储池内存管理解耦｜L2-CONN-BufferContract-040</x:v>
      </x:c>
      <x:c r="H384" s="31" t="str">
        <x:v>系统重构：本需求要求明确划分推理框架执行内存（Execution HBM）与存储池存储资源（Storage Pool）的权责边界。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x:v>
      </x:c>
      <x:c r="I384" s="31" t="str">
        <x:v>错误Load（即Load耗时 &gt; Recompute耗时）比例下降至 &lt; 1%。</x:v>
      </x:c>
      <x:c r="J384" s="31" t="str"/>
      <x:c r="K384" s="31" t="str">
        <x:v>L2 KVConnector层 / 统一协议与标准接口</x:v>
      </x:c>
      <x:c r="L384" s="31" t="str">
        <x:v>L2-CONN-BufferContract-040</x:v>
      </x:c>
    </x:row>
    <x:row r="385" ht="76" customHeight="1">
      <x:c r="A385" s="33" t="str">
        <x:v>SF-02/IR-02-01/SR-02-01-02/AR-L2-CONN-BufferContract-040-01</x:v>
      </x:c>
      <x:c r="B385" s="33" t="n">
        <x:v>4</x:v>
      </x:c>
      <x:c r="C385" s="34" t="str">
        <x:v>AR</x:v>
      </x:c>
      <x:c r="D385" s="34" t="str">
        <x:v>AR-L2-CONN-BufferContract-040-01</x:v>
      </x:c>
      <x:c r="E385" s="34" t="str">
        <x:v>SR-02-01-02</x:v>
      </x:c>
      <x:c r="F385" s="34" t="str">
        <x:v>            ├─ AR-L2-CONN-BufferContract-040-01 核心实现</x:v>
      </x:c>
      <x:c r="G385" s="34" t="str">
        <x:v>核心实现</x:v>
      </x:c>
      <x:c r="H385" s="33" t="str">
        <x:v>在 `src/api/connector/buffer_contract.{h,cc}` 新增或重写 `BufferContractAdapter`，把“算力执行内存与存储池内存管理解耦”落实为 L2 KVConnector层 可调用主路径：本需求要求明确划分推理框架执行内存（Execution HBM）与存储池存储资源（Storage Pool）的权责边界。 输入必须显式消费 framework intent + semantic identity + budget，输出 versioned request/response + typed error/fallback，不得用全局单例或隐藏同步 I/O 绕开预算与状态机。</x:v>
      </x:c>
      <x:c r="I385" s="33" t="str">
        <x:v>错误Load（即Load耗时 &gt; Recompute耗时）比例下降至 &lt; 1%。</x:v>
      </x:c>
      <x:c r="J385" s="33" t="str">
        <x:v>src/api/connector/buffer_contract.{h,cc}</x:v>
      </x:c>
      <x:c r="K385" s="33" t="str">
        <x:v>L2 KVConnector层 / Connector开发</x:v>
      </x:c>
      <x:c r="L385" s="33" t="str">
        <x:v>L2-CONN-BufferContract-040</x:v>
      </x:c>
    </x:row>
    <x:row r="386" ht="76" customHeight="1">
      <x:c r="A386" s="33" t="str">
        <x:v>SF-02/IR-02-01/SR-02-01-02/AR-L2-CONN-BufferContract-040-02</x:v>
      </x:c>
      <x:c r="B386" s="33" t="n">
        <x:v>4</x:v>
      </x:c>
      <x:c r="C386" s="34" t="str">
        <x:v>AR</x:v>
      </x:c>
      <x:c r="D386" s="34" t="str">
        <x:v>AR-L2-CONN-BufferContract-040-02</x:v>
      </x:c>
      <x:c r="E386" s="34" t="str">
        <x:v>SR-02-01-02</x:v>
      </x:c>
      <x:c r="F386" s="34" t="str">
        <x:v>            ├─ AR-L2-CONN-BufferContract-040-02 契约配置与降级</x:v>
      </x:c>
      <x:c r="G386" s="34" t="str">
        <x:v>契约配置与降级</x:v>
      </x:c>
      <x:c r="H386" s="33" t="str">
        <x:v>为 `BufferContractOptions` 增加 `kvcache.buffer_contract.enabled`、deadline/容量/队列预算及版本字段；在调用点接入 typed error、decision_reason、fallback_reason，确保配置热更新、灰度关闭和向后兼容均可审计。</x:v>
      </x:c>
      <x:c r="I386" s="33" t="str">
        <x:v>错误Load（即Load耗时 &gt; Recompute耗时）比例下降至 &lt; 1%。</x:v>
      </x:c>
      <x:c r="J386" s="33" t="str">
        <x:v>api/kvcache/v1/buffer_contract.proto + config/runtime/buffer_contract.yaml</x:v>
      </x:c>
      <x:c r="K386" s="33" t="str">
        <x:v>L2 KVConnector层 / Connector开发</x:v>
      </x:c>
      <x:c r="L386" s="33" t="str">
        <x:v>L2-CONN-BufferContract-040</x:v>
      </x:c>
    </x:row>
    <x:row r="387" ht="76" customHeight="1">
      <x:c r="A387" s="33" t="str">
        <x:v>SF-02/IR-02-01/SR-02-01-02/AR-L2-CONN-BufferContract-040-03</x:v>
      </x:c>
      <x:c r="B387" s="33" t="n">
        <x:v>4</x:v>
      </x:c>
      <x:c r="C387" s="34" t="str">
        <x:v>AR</x:v>
      </x:c>
      <x:c r="D387" s="34" t="str">
        <x:v>AR-L2-CONN-BufferContract-040-03</x:v>
      </x:c>
      <x:c r="E387" s="34" t="str">
        <x:v>SR-02-01-02</x:v>
      </x:c>
      <x:c r="F387" s="34" t="str">
        <x:v>            └─ AR-L2-CONN-BufferContract-040-03 验证与观测</x:v>
      </x:c>
      <x:c r="G387" s="34" t="str">
        <x:v>验证与观测</x:v>
      </x:c>
      <x:c r="H387" s="33" t="str">
        <x:v>新增正常、边界、并发、超时、stale metadata、迁移冲突、路径拥塞/故障与 feature-flag-off 用例；在 benchmark 中固定模型、tokenizer、prompt、并发、拓扑和 baseline，采集 lookup/load/attach、TTFT、TPOT、usable/abandoned hit、带宽/时延及 CPU/NPU 利用率。</x:v>
      </x:c>
      <x:c r="I387" s="33" t="str">
        <x:v>错误Load（即Load耗时 &gt; Recompute耗时）比例下降至 &lt; 1%。</x:v>
      </x:c>
      <x:c r="J387" s="33" t="str">
        <x:v>tests/api/connector/buffer_contract_test.cc + benchmarks/api/connector/buffer_contract_benchmark.cc</x:v>
      </x:c>
      <x:c r="K387" s="33" t="str">
        <x:v>L2 KVConnector层 / Connector开发</x:v>
      </x:c>
      <x:c r="L387" s="33" t="str">
        <x:v>L2-CONN-BufferContract-040</x:v>
      </x:c>
    </x:row>
    <x:row r="388" ht="76" customHeight="1">
      <x:c r="A388" s="31" t="str">
        <x:v>SF-02/IR-02-01/SR-02-01-03</x:v>
      </x:c>
      <x:c r="B388" s="31" t="n">
        <x:v>3</x:v>
      </x:c>
      <x:c r="C388" s="32" t="str">
        <x:v>SR</x:v>
      </x:c>
      <x:c r="D388" s="32" t="str">
        <x:v>SR-02-01-03</x:v>
      </x:c>
      <x:c r="E388" s="32" t="str">
        <x:v>IR-02-01</x:v>
      </x:c>
      <x:c r="F388" s="32" t="str">
        <x:v>        ├─ SR-02-01-03 拥塞链路下的前缀命中低效绕行</x:v>
      </x:c>
      <x:c r="G388" s="32" t="str">
        <x:v>拥塞链路下的前缀命中低效绕行｜L2-CONN-CostAwareReturn-039</x:v>
      </x:c>
      <x:c r="H388" s="31" t="str">
        <x:v>系统重构：本需求要求 KVConnector 的前缀查询与获取接口实现“算力代偿感知自适应返回协议”：存储池根据底层链路 P99 时延和拓扑质量，自动评估将命中 KV 搬运至目标端（或协商 staging area）的端到端加载耗时；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x:v>
      </x:c>
      <x:c r="I388" s="31" t="str">
        <x:v>确保 L2/L3 能够向 L1 输出准确的传输和附加代价(Cost)，而不直接在连接层内丢弃请求(Drop)。</x:v>
      </x:c>
      <x:c r="J388" s="31" t="str"/>
      <x:c r="K388" s="31" t="str">
        <x:v>L2 KVConnector层 / 统一协议与标准接口</x:v>
      </x:c>
      <x:c r="L388" s="31" t="str">
        <x:v>L2-CONN-CostAwareReturn-039</x:v>
      </x:c>
    </x:row>
    <x:row r="389" ht="76" customHeight="1">
      <x:c r="A389" s="33" t="str">
        <x:v>SF-02/IR-02-01/SR-02-01-03/AR-L2-CONN-CostAwareReturn-039-01</x:v>
      </x:c>
      <x:c r="B389" s="33" t="n">
        <x:v>4</x:v>
      </x:c>
      <x:c r="C389" s="34" t="str">
        <x:v>AR</x:v>
      </x:c>
      <x:c r="D389" s="34" t="str">
        <x:v>AR-L2-CONN-CostAwareReturn-039-01</x:v>
      </x:c>
      <x:c r="E389" s="34" t="str">
        <x:v>SR-02-01-03</x:v>
      </x:c>
      <x:c r="F389" s="34" t="str">
        <x:v>            ├─ AR-L2-CONN-CostAwareReturn-039-01 核心实现</x:v>
      </x:c>
      <x:c r="G389" s="34" t="str">
        <x:v>核心实现</x:v>
      </x:c>
      <x:c r="H389" s="33" t="str">
        <x:v>在 `src/api/connector/cost_aware_return.{h,cc}` 新增或重写 `CostAwareReturnAdapter`，把“拥塞链路下的前缀命中低效绕行”落实为 L2 KVConnector层 可调用主路径：本需求要求 KVConnector 的前缀查询与获取接口实现“算力代偿感知自适应返回协议”：存储池根据底层链路 P99 时延和拓扑质量，自动评估将命中 KV 搬运至目标端（或协商 staging area）的端到端加载耗时； 输入必须显式消费 framework intent + semantic identity + budget，输出 versioned request/response + typed error/fallback，不得用全局单例或隐藏同步 I/O 绕开预算与状态机。</x:v>
      </x:c>
      <x:c r="I389" s="33" t="str">
        <x:v>确保 L2/L3 能够向 L1 输出准确的传输和附加代价(Cost)，而不直接在连接层内丢弃请求(Drop)。</x:v>
      </x:c>
      <x:c r="J389" s="33" t="str">
        <x:v>src/api/connector/cost_aware_return.{h,cc}</x:v>
      </x:c>
      <x:c r="K389" s="33" t="str">
        <x:v>L2 KVConnector层 / Connector开发</x:v>
      </x:c>
      <x:c r="L389" s="33" t="str">
        <x:v>L2-CONN-CostAwareReturn-039</x:v>
      </x:c>
    </x:row>
    <x:row r="390" ht="76" customHeight="1">
      <x:c r="A390" s="33" t="str">
        <x:v>SF-02/IR-02-01/SR-02-01-03/AR-L2-CONN-CostAwareReturn-039-02</x:v>
      </x:c>
      <x:c r="B390" s="33" t="n">
        <x:v>4</x:v>
      </x:c>
      <x:c r="C390" s="34" t="str">
        <x:v>AR</x:v>
      </x:c>
      <x:c r="D390" s="34" t="str">
        <x:v>AR-L2-CONN-CostAwareReturn-039-02</x:v>
      </x:c>
      <x:c r="E390" s="34" t="str">
        <x:v>SR-02-01-03</x:v>
      </x:c>
      <x:c r="F390" s="34" t="str">
        <x:v>            ├─ AR-L2-CONN-CostAwareReturn-039-02 契约配置与降级</x:v>
      </x:c>
      <x:c r="G390" s="34" t="str">
        <x:v>契约配置与降级</x:v>
      </x:c>
      <x:c r="H390" s="33" t="str">
        <x:v>为 `CostAwareReturnOptions` 增加 `kvcache.cost_aware_return.enabled`、deadline/容量/队列预算及版本字段；在调用点接入 typed error、decision_reason、fallback_reason，确保配置热更新、灰度关闭和向后兼容均可审计。</x:v>
      </x:c>
      <x:c r="I390" s="33" t="str">
        <x:v>确保 L2/L3 能够向 L1 输出准确的传输和附加代价(Cost)，而不直接在连接层内丢弃请求(Drop)。</x:v>
      </x:c>
      <x:c r="J390" s="33" t="str">
        <x:v>api/kvcache/v1/cost_aware_return.proto + config/runtime/cost_aware_return.yaml</x:v>
      </x:c>
      <x:c r="K390" s="33" t="str">
        <x:v>L2 KVConnector层 / Connector开发</x:v>
      </x:c>
      <x:c r="L390" s="33" t="str">
        <x:v>L2-CONN-CostAwareReturn-039</x:v>
      </x:c>
    </x:row>
    <x:row r="391" ht="76" customHeight="1">
      <x:c r="A391" s="33" t="str">
        <x:v>SF-02/IR-02-01/SR-02-01-03/AR-L2-CONN-CostAwareReturn-039-03</x:v>
      </x:c>
      <x:c r="B391" s="33" t="n">
        <x:v>4</x:v>
      </x:c>
      <x:c r="C391" s="34" t="str">
        <x:v>AR</x:v>
      </x:c>
      <x:c r="D391" s="34" t="str">
        <x:v>AR-L2-CONN-CostAwareReturn-039-03</x:v>
      </x:c>
      <x:c r="E391" s="34" t="str">
        <x:v>SR-02-01-03</x:v>
      </x:c>
      <x:c r="F391" s="34" t="str">
        <x:v>            └─ AR-L2-CONN-CostAwareReturn-039-03 验证与观测</x:v>
      </x:c>
      <x:c r="G391" s="34" t="str">
        <x:v>验证与观测</x:v>
      </x:c>
      <x:c r="H391" s="33" t="str">
        <x:v>新增正常、边界、并发、超时、stale metadata、迁移冲突、路径拥塞/故障与 feature-flag-off 用例；在 benchmark 中固定模型、tokenizer、prompt、并发、拓扑和 baseline，采集 lookup/load/attach、TTFT、TPOT、usable/abandoned hit、带宽/时延及 CPU/NPU 利用率。</x:v>
      </x:c>
      <x:c r="I391" s="33" t="str">
        <x:v>确保 L2/L3 能够向 L1 输出准确的传输和附加代价(Cost)，而不直接在连接层内丢弃请求(Drop)。</x:v>
      </x:c>
      <x:c r="J391" s="33" t="str">
        <x:v>tests/api/connector/cost_aware_return_test.cc + benchmarks/api/connector/cost_aware_return_benchmark.cc</x:v>
      </x:c>
      <x:c r="K391" s="33" t="str">
        <x:v>L2 KVConnector层 / Connector开发</x:v>
      </x:c>
      <x:c r="L391" s="33" t="str">
        <x:v>L2-CONN-CostAwareReturn-039</x:v>
      </x:c>
    </x:row>
    <x:row r="392" ht="76" customHeight="1">
      <x:c r="A392" s="31" t="str">
        <x:v>SF-02/IR-02-01/SR-02-01-04</x:v>
      </x:c>
      <x:c r="B392" s="31" t="n">
        <x:v>3</x:v>
      </x:c>
      <x:c r="C392" s="32" t="str">
        <x:v>SR</x:v>
      </x:c>
      <x:c r="D392" s="32" t="str">
        <x:v>SR-02-01-04</x:v>
      </x:c>
      <x:c r="E392" s="32" t="str">
        <x:v>IR-02-01</x:v>
      </x:c>
      <x:c r="F392" s="32" t="str">
        <x:v>        ├─ SR-02-01-04 NPU/GPU 生成 KV 后进入统一 KV 内存池</x:v>
      </x:c>
      <x:c r="G392" s="32" t="str">
        <x:v>NPU/GPU 生成 KV 后进入统一 KV 内存池｜L2-KV-PublishCommit-033</x:v>
      </x:c>
      <x:c r="H392" s="31" t="str">
        <x:v>系统重构：本需求要求 KVConnector 在 put/get/prefetch/evict 之外补充 publish_prepare、publish_commit、publish_abort 三阶段发布接口：NPU/GPU runtime 产生 KV 后先注册待发布 KV object，只有当 KV data、KVMeta、ready bitmap、checksum 和 placement record 均完成后才允许 commit；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x:v>
      </x:c>
      <x:c r="I392" s="31" t="str">
        <x:v>元数据转换和序列化开销降低至&lt;200ns/次。</x:v>
      </x:c>
      <x:c r="J392" s="31" t="str"/>
      <x:c r="K392" s="31" t="str">
        <x:v>L2 KVConnector层 / 统一协议与标准接口</x:v>
      </x:c>
      <x:c r="L392" s="31" t="str">
        <x:v>L2-KV-PublishCommit-033</x:v>
      </x:c>
    </x:row>
    <x:row r="393" ht="76" customHeight="1">
      <x:c r="A393" s="33" t="str">
        <x:v>SF-02/IR-02-01/SR-02-01-04/AR-L2-KV-PublishCommit-033-01</x:v>
      </x:c>
      <x:c r="B393" s="33" t="n">
        <x:v>4</x:v>
      </x:c>
      <x:c r="C393" s="34" t="str">
        <x:v>AR</x:v>
      </x:c>
      <x:c r="D393" s="34" t="str">
        <x:v>AR-L2-KV-PublishCommit-033-01</x:v>
      </x:c>
      <x:c r="E393" s="34" t="str">
        <x:v>SR-02-01-04</x:v>
      </x:c>
      <x:c r="F393" s="34" t="str">
        <x:v>            ├─ AR-L2-KV-PublishCommit-033-01 核心实现</x:v>
      </x:c>
      <x:c r="G393" s="34" t="str">
        <x:v>核心实现</x:v>
      </x:c>
      <x:c r="H393" s="33" t="str">
        <x:v>在 `src/api/connector/publish_commit.{h,cc}` 新增或重写 `PublishCommitAdapter`，把“NPU/GPU 生成 KV 后进入统一 KV 内存池”落实为 L2 KVConnector层 可调用主路径：本需求要求 KVConnector 在 put/get/prefetch/evict 之外补充 publish_prepare、publish_commit、publish_abort 三阶段发布接口：NPU/GPU runtime 产生 KV 后先注册待发布 KV object，只有当 KV data、KVMeta、ready bitmap、checksum 和 placement record 均完成后才允许 commit； 输入必须显式消费 framework intent + semantic identity + budget，输出 versioned request/response + typed error/fallback，不得用全局单例或隐藏同步 I/O 绕开预算与状态机。</x:v>
      </x:c>
      <x:c r="I393" s="33" t="str">
        <x:v>元数据转换和序列化开销降低至&lt;200ns/次。</x:v>
      </x:c>
      <x:c r="J393" s="33" t="str">
        <x:v>src/api/connector/publish_commit.{h,cc}</x:v>
      </x:c>
      <x:c r="K393" s="33" t="str">
        <x:v>L2 KVConnector层 / Connector开发</x:v>
      </x:c>
      <x:c r="L393" s="33" t="str">
        <x:v>L2-KV-PublishCommit-033</x:v>
      </x:c>
    </x:row>
    <x:row r="394" ht="76" customHeight="1">
      <x:c r="A394" s="33" t="str">
        <x:v>SF-02/IR-02-01/SR-02-01-04/AR-L2-KV-PublishCommit-033-02</x:v>
      </x:c>
      <x:c r="B394" s="33" t="n">
        <x:v>4</x:v>
      </x:c>
      <x:c r="C394" s="34" t="str">
        <x:v>AR</x:v>
      </x:c>
      <x:c r="D394" s="34" t="str">
        <x:v>AR-L2-KV-PublishCommit-033-02</x:v>
      </x:c>
      <x:c r="E394" s="34" t="str">
        <x:v>SR-02-01-04</x:v>
      </x:c>
      <x:c r="F394" s="34" t="str">
        <x:v>            ├─ AR-L2-KV-PublishCommit-033-02 契约配置与降级</x:v>
      </x:c>
      <x:c r="G394" s="34" t="str">
        <x:v>契约配置与降级</x:v>
      </x:c>
      <x:c r="H394" s="33" t="str">
        <x:v>为 `PublishCommitOptions` 增加 `kvcache.publish_commit.enabled`、deadline/容量/队列预算及版本字段；在调用点接入 typed error、decision_reason、fallback_reason，确保配置热更新、灰度关闭和向后兼容均可审计。</x:v>
      </x:c>
      <x:c r="I394" s="33" t="str">
        <x:v>元数据转换和序列化开销降低至&lt;200ns/次。</x:v>
      </x:c>
      <x:c r="J394" s="33" t="str">
        <x:v>api/kvcache/v1/publish_commit.proto + config/runtime/publish_commit.yaml</x:v>
      </x:c>
      <x:c r="K394" s="33" t="str">
        <x:v>L2 KVConnector层 / Connector开发</x:v>
      </x:c>
      <x:c r="L394" s="33" t="str">
        <x:v>L2-KV-PublishCommit-033</x:v>
      </x:c>
    </x:row>
    <x:row r="395" ht="76" customHeight="1">
      <x:c r="A395" s="33" t="str">
        <x:v>SF-02/IR-02-01/SR-02-01-04/AR-L2-KV-PublishCommit-033-03</x:v>
      </x:c>
      <x:c r="B395" s="33" t="n">
        <x:v>4</x:v>
      </x:c>
      <x:c r="C395" s="34" t="str">
        <x:v>AR</x:v>
      </x:c>
      <x:c r="D395" s="34" t="str">
        <x:v>AR-L2-KV-PublishCommit-033-03</x:v>
      </x:c>
      <x:c r="E395" s="34" t="str">
        <x:v>SR-02-01-04</x:v>
      </x:c>
      <x:c r="F395" s="34" t="str">
        <x:v>            └─ AR-L2-KV-PublishCommit-033-03 验证与观测</x:v>
      </x:c>
      <x:c r="G395" s="34" t="str">
        <x:v>验证与观测</x:v>
      </x:c>
      <x:c r="H395" s="33" t="str">
        <x:v>新增正常、边界、并发、超时、stale metadata、迁移冲突、路径拥塞/故障与 feature-flag-off 用例；在 benchmark 中固定模型、tokenizer、prompt、并发、拓扑和 baseline，采集 lookup/load/attach、TTFT、TPOT、usable/abandoned hit、带宽/时延及 CPU/NPU 利用率。</x:v>
      </x:c>
      <x:c r="I395" s="33" t="str">
        <x:v>元数据转换和序列化开销降低至&lt;200ns/次。</x:v>
      </x:c>
      <x:c r="J395" s="33" t="str">
        <x:v>tests/api/connector/publish_commit_test.cc + benchmarks/api/connector/publish_commit_benchmark.cc</x:v>
      </x:c>
      <x:c r="K395" s="33" t="str">
        <x:v>L2 KVConnector层 / Connector开发</x:v>
      </x:c>
      <x:c r="L395" s="33" t="str">
        <x:v>L2-KV-PublishCommit-033</x:v>
      </x:c>
    </x:row>
    <x:row r="396" ht="76" customHeight="1">
      <x:c r="A396" s="31" t="str">
        <x:v>SF-02/IR-02-01/SR-02-01-05</x:v>
      </x:c>
      <x:c r="B396" s="31" t="n">
        <x:v>3</x:v>
      </x:c>
      <x:c r="C396" s="32" t="str">
        <x:v>SR</x:v>
      </x:c>
      <x:c r="D396" s="32" t="str">
        <x:v>SR-02-01-05</x:v>
      </x:c>
      <x:c r="E396" s="32" t="str">
        <x:v>IR-02-01</x:v>
      </x:c>
      <x:c r="F396" s="32" t="str">
        <x:v>        ├─ SR-02-01-05 防止语义不兼容 KV 被误复用</x:v>
      </x:c>
      <x:c r="G396" s="32" t="str">
        <x:v>防止语义不兼容 KV 被误复用｜L2-KV-SemanticIdentity-036</x:v>
      </x:c>
      <x:c r="H396" s="31" t="str">
        <x:v>系统重构：本需求要求定义 KVSemanticIdentity 标准结构，至少包含 model_id、model_weight_version、tokenizer_hash、template_version、adapter_id、layout_version、dtype、position_policy、attention_policy、rank_partition、tenant_domain 和 cache_salt；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x:v>
      </x:c>
      <x:c r="I396" s="31" t="str">
        <x:v>元数据转换和序列化开销降低至&lt;200ns/次。</x:v>
      </x:c>
      <x:c r="J396" s="31" t="str"/>
      <x:c r="K396" s="31" t="str">
        <x:v>L2 KVConnector层 / 统一协议与标准接口</x:v>
      </x:c>
      <x:c r="L396" s="31" t="str">
        <x:v>L2-KV-SemanticIdentity-036</x:v>
      </x:c>
    </x:row>
    <x:row r="397" ht="76" customHeight="1">
      <x:c r="A397" s="33" t="str">
        <x:v>SF-02/IR-02-01/SR-02-01-05/AR-L2-KV-SemanticIdentity-036-01</x:v>
      </x:c>
      <x:c r="B397" s="33" t="n">
        <x:v>4</x:v>
      </x:c>
      <x:c r="C397" s="34" t="str">
        <x:v>AR</x:v>
      </x:c>
      <x:c r="D397" s="34" t="str">
        <x:v>AR-L2-KV-SemanticIdentity-036-01</x:v>
      </x:c>
      <x:c r="E397" s="34" t="str">
        <x:v>SR-02-01-05</x:v>
      </x:c>
      <x:c r="F397" s="34" t="str">
        <x:v>            ├─ AR-L2-KV-SemanticIdentity-036-01 核心实现</x:v>
      </x:c>
      <x:c r="G397" s="34" t="str">
        <x:v>核心实现</x:v>
      </x:c>
      <x:c r="H397" s="33" t="str">
        <x:v>在 `src/api/connector/semantic_identity.{h,cc}` 新增或重写 `SemanticIdentityAdapter`，把“防止语义不兼容 KV 被误复用”落实为 L2 KVConnector层 可调用主路径：本需求要求定义 KVSemanticIdentity 标准结构，至少包含 model_id、model_weight_version、tokenizer_hash、template_version、adapter_id、layout_version、dtype、position_policy、attention_policy、rank_partition、tenant_domain 和 cache_salt； 输入必须显式消费 framework intent + semantic identity + budget，输出 versioned request/response + typed error/fallback，不得用全局单例或隐藏同步 I/O 绕开预算与状态机。</x:v>
      </x:c>
      <x:c r="I397" s="33" t="str">
        <x:v>元数据转换和序列化开销降低至&lt;200ns/次。</x:v>
      </x:c>
      <x:c r="J397" s="33" t="str">
        <x:v>src/api/connector/semantic_identity.{h,cc}</x:v>
      </x:c>
      <x:c r="K397" s="33" t="str">
        <x:v>L2 KVConnector层 / Connector开发</x:v>
      </x:c>
      <x:c r="L397" s="33" t="str">
        <x:v>L2-KV-SemanticIdentity-036</x:v>
      </x:c>
    </x:row>
    <x:row r="398" ht="76" customHeight="1">
      <x:c r="A398" s="33" t="str">
        <x:v>SF-02/IR-02-01/SR-02-01-05/AR-L2-KV-SemanticIdentity-036-02</x:v>
      </x:c>
      <x:c r="B398" s="33" t="n">
        <x:v>4</x:v>
      </x:c>
      <x:c r="C398" s="34" t="str">
        <x:v>AR</x:v>
      </x:c>
      <x:c r="D398" s="34" t="str">
        <x:v>AR-L2-KV-SemanticIdentity-036-02</x:v>
      </x:c>
      <x:c r="E398" s="34" t="str">
        <x:v>SR-02-01-05</x:v>
      </x:c>
      <x:c r="F398" s="34" t="str">
        <x:v>            ├─ AR-L2-KV-SemanticIdentity-036-02 契约配置与降级</x:v>
      </x:c>
      <x:c r="G398" s="34" t="str">
        <x:v>契约配置与降级</x:v>
      </x:c>
      <x:c r="H398" s="33" t="str">
        <x:v>为 `SemanticIdentityOptions` 增加 `kvcache.semantic_identity.enabled`、deadline/容量/队列预算及版本字段；在调用点接入 typed error、decision_reason、fallback_reason，确保配置热更新、灰度关闭和向后兼容均可审计。</x:v>
      </x:c>
      <x:c r="I398" s="33" t="str">
        <x:v>元数据转换和序列化开销降低至&lt;200ns/次。</x:v>
      </x:c>
      <x:c r="J398" s="33" t="str">
        <x:v>api/kvcache/v1/semantic_identity.proto + config/runtime/semantic_identity.yaml</x:v>
      </x:c>
      <x:c r="K398" s="33" t="str">
        <x:v>L2 KVConnector层 / Connector开发</x:v>
      </x:c>
      <x:c r="L398" s="33" t="str">
        <x:v>L2-KV-SemanticIdentity-036</x:v>
      </x:c>
    </x:row>
    <x:row r="399" ht="76" customHeight="1">
      <x:c r="A399" s="33" t="str">
        <x:v>SF-02/IR-02-01/SR-02-01-05/AR-L2-KV-SemanticIdentity-036-03</x:v>
      </x:c>
      <x:c r="B399" s="33" t="n">
        <x:v>4</x:v>
      </x:c>
      <x:c r="C399" s="34" t="str">
        <x:v>AR</x:v>
      </x:c>
      <x:c r="D399" s="34" t="str">
        <x:v>AR-L2-KV-SemanticIdentity-036-03</x:v>
      </x:c>
      <x:c r="E399" s="34" t="str">
        <x:v>SR-02-01-05</x:v>
      </x:c>
      <x:c r="F399" s="34" t="str">
        <x:v>            └─ AR-L2-KV-SemanticIdentity-036-03 验证与观测</x:v>
      </x:c>
      <x:c r="G399" s="34" t="str">
        <x:v>验证与观测</x:v>
      </x:c>
      <x:c r="H399" s="33" t="str">
        <x:v>新增正常、边界、并发、超时、stale metadata、迁移冲突、路径拥塞/故障与 feature-flag-off 用例；在 benchmark 中固定模型、tokenizer、prompt、并发、拓扑和 baseline，采集 lookup/load/attach、TTFT、TPOT、usable/abandoned hit、带宽/时延及 CPU/NPU 利用率。</x:v>
      </x:c>
      <x:c r="I399" s="33" t="str">
        <x:v>元数据转换和序列化开销降低至&lt;200ns/次。</x:v>
      </x:c>
      <x:c r="J399" s="33" t="str">
        <x:v>tests/api/connector/semantic_identity_test.cc + benchmarks/api/connector/semantic_identity_benchmark.cc</x:v>
      </x:c>
      <x:c r="K399" s="33" t="str">
        <x:v>L2 KVConnector层 / Connector开发</x:v>
      </x:c>
      <x:c r="L399" s="33" t="str">
        <x:v>L2-KV-SemanticIdentity-036</x:v>
      </x:c>
    </x:row>
    <x:row r="400" ht="76" customHeight="1">
      <x:c r="A400" s="29" t="str">
        <x:v>SF-02/IR-02-02</x:v>
      </x:c>
      <x:c r="B400" s="29" t="n">
        <x:v>2</x:v>
      </x:c>
      <x:c r="C400" s="30" t="str">
        <x:v>IR</x:v>
      </x:c>
      <x:c r="D400" s="30" t="str">
        <x:v>IR-02-02</x:v>
      </x:c>
      <x:c r="E400" s="30" t="str">
        <x:v>SF-02</x:v>
      </x:c>
      <x:c r="F400" s="30" t="str">
        <x:v>    ├─ IR-02-02 基于缓存位置、加载收益和水位预算的推理调度与准入</x:v>
      </x:c>
      <x:c r="G400" s="30" t="str">
        <x:v>基于缓存位置、加载收益和水位预算的推理调度与准入</x:v>
      </x:c>
      <x:c r="H400" s="29" t="str">
        <x:v>系统应在请求进入执行实例和 Prefix Hit 被消费之前，根据前缀判断预算、KV 所在位置、加载/附加/同步成本、重算可节省时间、HBM 水位和实例负载完成路由与准入。只有预计在 TTFT deadline 内获得正收益的 KV 才允许加载，否则立即选择局部命中、部分重算、完全重算或平滑拒绝，避免命中反而拖慢业务。
技术锚点：vLLM Scheduler/BlockSpaceManager + SGLang Scheduler + Load-vs-Recompute Admission</x:v>
      </x:c>
      <x:c r="I400" s="29" t="str">
        <x:v>p99 TTFT降低≥20%；abandoned remote load降低≥50%；跨节点bytes/request降低≥30%；QPS提升≥10%。</x:v>
      </x:c>
      <x:c r="J400" s="29" t="str"/>
      <x:c r="K400" s="29" t="str">
        <x:v>TM1</x:v>
      </x:c>
      <x:c r="L400" s="29" t="str">
        <x:v>V2.1修订定义</x:v>
      </x:c>
    </x:row>
    <x:row r="401" ht="76" customHeight="1">
      <x:c r="A401" s="31" t="str">
        <x:v>SF-02/IR-02-02/SR-02-02-01</x:v>
      </x:c>
      <x:c r="B401" s="31" t="n">
        <x:v>3</x:v>
      </x:c>
      <x:c r="C401" s="32" t="str">
        <x:v>SR</x:v>
      </x:c>
      <x:c r="D401" s="32" t="str">
        <x:v>SR-02-02-01</x:v>
      </x:c>
      <x:c r="E401" s="32" t="str">
        <x:v>IR-02-02</x:v>
      </x:c>
      <x:c r="F401" s="32" t="str">
        <x:v>        ├─ SR-02-02-01 共享前缀命中快速判定</x:v>
      </x:c>
      <x:c r="G401" s="32" t="str">
        <x:v>共享前缀命中快速判定｜L1-PM-PrefixBudget-001</x:v>
      </x:c>
      <x:c r="H401" s="31" t="str">
        <x:v>系统重构：本需求要求在 Scheduler 中实现前缀判断预算控制机制：每个请求在进入 prefix lookup 前生成 prefix_decision_deadline_ns 与 max_remote_lookup_us，所有本地索引、远端目录查询、load/recompute 判断必须在预算内完成；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x:v>
      </x:c>
      <x:c r="I401" s="31" t="str">
        <x:v>确保 Prefix 命中不严重拖累 TTFT；usable_hit / total_requests 的转化率稳定。</x:v>
      </x:c>
      <x:c r="J401" s="31" t="str"/>
      <x:c r="K401" s="31" t="str">
        <x:v>L1 推理调度层 / 调度与路由控制</x:v>
      </x:c>
      <x:c r="L401" s="31" t="str">
        <x:v>L1-PM-PrefixBudget-001</x:v>
      </x:c>
    </x:row>
    <x:row r="402" ht="76" customHeight="1">
      <x:c r="A402" s="33" t="str">
        <x:v>SF-02/IR-02-02/SR-02-02-01/AR-L1-PM-PrefixBudget-001-01</x:v>
      </x:c>
      <x:c r="B402" s="33" t="n">
        <x:v>4</x:v>
      </x:c>
      <x:c r="C402" s="34" t="str">
        <x:v>AR</x:v>
      </x:c>
      <x:c r="D402" s="34" t="str">
        <x:v>AR-L1-PM-PrefixBudget-001-01</x:v>
      </x:c>
      <x:c r="E402" s="34" t="str">
        <x:v>SR-02-02-01</x:v>
      </x:c>
      <x:c r="F402" s="34" t="str">
        <x:v>            ├─ AR-L1-PM-PrefixBudget-001-01 核心实现</x:v>
      </x:c>
      <x:c r="G402" s="34" t="str">
        <x:v>核心实现</x:v>
      </x:c>
      <x:c r="H402" s="33" t="str">
        <x:v>在 `src/runtime/scheduler/prefix_budget.{h,cc}` 新增或重写 `PrefixBudgetController`，把“共享前缀命中快速判定”落实为 L1 推理调度层 可调用主路径：本需求要求在 Scheduler 中实现前缀判断预算控制机制：每个请求在进入 prefix lookup 前生成 prefix_decision_deadline_ns 与 max_remote_lookup_us，所有本地索引、远端目录查询、load/recompute 判断必须在预算内完成； 输入必须显式消费 PrefixBudget + placement summary + recompute estimate，输出 admission/routing decision + QueryPlan id，不得用全局单例或隐藏同步 I/O 绕开预算与状态机。</x:v>
      </x:c>
      <x:c r="I402" s="33" t="str">
        <x:v>确保 Prefix 命中不严重拖累 TTFT；usable_hit / total_requests 的转化率稳定。</x:v>
      </x:c>
      <x:c r="J402" s="33" t="str">
        <x:v>src/runtime/scheduler/prefix_budget.{h,cc}</x:v>
      </x:c>
      <x:c r="K402" s="33" t="str">
        <x:v>L1 推理调度层 / 推理框架开发</x:v>
      </x:c>
      <x:c r="L402" s="33" t="str">
        <x:v>L1-PM-PrefixBudget-001</x:v>
      </x:c>
    </x:row>
    <x:row r="403" ht="76" customHeight="1">
      <x:c r="A403" s="33" t="str">
        <x:v>SF-02/IR-02-02/SR-02-02-01/AR-L1-PM-PrefixBudget-001-02</x:v>
      </x:c>
      <x:c r="B403" s="33" t="n">
        <x:v>4</x:v>
      </x:c>
      <x:c r="C403" s="34" t="str">
        <x:v>AR</x:v>
      </x:c>
      <x:c r="D403" s="34" t="str">
        <x:v>AR-L1-PM-PrefixBudget-001-02</x:v>
      </x:c>
      <x:c r="E403" s="34" t="str">
        <x:v>SR-02-02-01</x:v>
      </x:c>
      <x:c r="F403" s="34" t="str">
        <x:v>            ├─ AR-L1-PM-PrefixBudget-001-02 契约配置与降级</x:v>
      </x:c>
      <x:c r="G403" s="34" t="str">
        <x:v>契约配置与降级</x:v>
      </x:c>
      <x:c r="H403" s="33" t="str">
        <x:v>为 `PrefixBudgetOptions` 增加 `kvcache.prefix_budget.enabled`、deadline/容量/队列预算及版本字段；在调用点接入 typed error、decision_reason、fallback_reason，确保配置热更新、灰度关闭和向后兼容均可审计。</x:v>
      </x:c>
      <x:c r="I403" s="33" t="str">
        <x:v>确保 Prefix 命中不严重拖累 TTFT；usable_hit / total_requests 的转化率稳定。</x:v>
      </x:c>
      <x:c r="J403" s="33" t="str">
        <x:v>api/kvcache/v1/prefix_budget.proto + config/runtime/prefix_budget.yaml</x:v>
      </x:c>
      <x:c r="K403" s="33" t="str">
        <x:v>L1 推理调度层 / 推理框架开发</x:v>
      </x:c>
      <x:c r="L403" s="33" t="str">
        <x:v>L1-PM-PrefixBudget-001</x:v>
      </x:c>
    </x:row>
    <x:row r="404" ht="76" customHeight="1">
      <x:c r="A404" s="33" t="str">
        <x:v>SF-02/IR-02-02/SR-02-02-01/AR-L1-PM-PrefixBudget-001-03</x:v>
      </x:c>
      <x:c r="B404" s="33" t="n">
        <x:v>4</x:v>
      </x:c>
      <x:c r="C404" s="34" t="str">
        <x:v>AR</x:v>
      </x:c>
      <x:c r="D404" s="34" t="str">
        <x:v>AR-L1-PM-PrefixBudget-001-03</x:v>
      </x:c>
      <x:c r="E404" s="34" t="str">
        <x:v>SR-02-02-01</x:v>
      </x:c>
      <x:c r="F404" s="34" t="str">
        <x:v>            └─ AR-L1-PM-PrefixBudget-001-03 验证与观测</x:v>
      </x:c>
      <x:c r="G404" s="34" t="str">
        <x:v>验证与观测</x:v>
      </x:c>
      <x:c r="H404" s="33" t="str">
        <x:v>新增正常、边界、并发、超时、stale metadata、迁移冲突、路径拥塞/故障与 feature-flag-off 用例；在 benchmark 中固定模型、tokenizer、prompt、并发、拓扑和 baseline，采集 lookup/load/attach、TTFT、TPOT、usable/abandoned hit、带宽/时延及 CPU/NPU 利用率。</x:v>
      </x:c>
      <x:c r="I404" s="33" t="str">
        <x:v>确保 Prefix 命中不严重拖累 TTFT；usable_hit / total_requests 的转化率稳定。</x:v>
      </x:c>
      <x:c r="J404" s="33" t="str">
        <x:v>tests/runtime/scheduler/prefix_budget_test.cc + benchmarks/runtime/scheduler/prefix_budget_benchmark.cc</x:v>
      </x:c>
      <x:c r="K404" s="33" t="str">
        <x:v>L1 推理调度层 / 推理框架开发</x:v>
      </x:c>
      <x:c r="L404" s="33" t="str">
        <x:v>L1-PM-PrefixBudget-001</x:v>
      </x:c>
    </x:row>
    <x:row r="405" ht="76" customHeight="1">
      <x:c r="A405" s="31" t="str">
        <x:v>SF-02/IR-02-02/SR-02-02-02</x:v>
      </x:c>
      <x:c r="B405" s="31" t="n">
        <x:v>3</x:v>
      </x:c>
      <x:c r="C405" s="32" t="str">
        <x:v>SR</x:v>
      </x:c>
      <x:c r="D405" s="32" t="str">
        <x:v>SR-02-02-02</x:v>
      </x:c>
      <x:c r="E405" s="32" t="str">
        <x:v>IR-02-02</x:v>
      </x:c>
      <x:c r="F405" s="32" t="str">
        <x:v>        ├─ SR-02-02-02 命中 KV 加载收益判定</x:v>
      </x:c>
      <x:c r="G405" s="32" t="str">
        <x:v>命中 KV 加载收益判定｜L1-RT-Admission-007</x:v>
      </x:c>
      <x:c r="H405" s="31" t="str">
        <x:v>系统重构：本需求要求 Scheduler 在 prefix hit 后执行 load-vs-recompute admission 判断：只有当 lookup + transfer + attach + rank_sync 小于 recompute_saved_time 且满足 TTFT deadline 时才允许加载 KV，否则必须直接 recompute 或 partial recompute。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x:v>
      </x:c>
      <x:c r="I405" s="31" t="str">
        <x:v>p99 TTFT 降低 ≥20%；abandoned remote load 降低 ≥50%；</x:v>
      </x:c>
      <x:c r="J405" s="31" t="str"/>
      <x:c r="K405" s="31" t="str">
        <x:v>L1 推理调度层 / 调度与路由控制</x:v>
      </x:c>
      <x:c r="L405" s="31" t="str">
        <x:v>L1-RT-Admission-007</x:v>
      </x:c>
    </x:row>
    <x:row r="406" ht="76" customHeight="1">
      <x:c r="A406" s="33" t="str">
        <x:v>SF-02/IR-02-02/SR-02-02-02/AR-L1-RT-Admission-007-01</x:v>
      </x:c>
      <x:c r="B406" s="33" t="n">
        <x:v>4</x:v>
      </x:c>
      <x:c r="C406" s="34" t="str">
        <x:v>AR</x:v>
      </x:c>
      <x:c r="D406" s="34" t="str">
        <x:v>AR-L1-RT-Admission-007-01</x:v>
      </x:c>
      <x:c r="E406" s="34" t="str">
        <x:v>SR-02-02-02</x:v>
      </x:c>
      <x:c r="F406" s="34" t="str">
        <x:v>            ├─ AR-L1-RT-Admission-007-01 核心实现</x:v>
      </x:c>
      <x:c r="G406" s="34" t="str">
        <x:v>核心实现</x:v>
      </x:c>
      <x:c r="H406" s="33" t="str">
        <x:v>在 `src/runtime/scheduler/admission.{h,cc}` 新增或重写 `AdmissionController`，把“命中 KV 加载收益判定”落实为 L1 推理调度层 可调用主路径：本需求要求 Scheduler 在 prefix hit 后执行 load-vs-recompute admission 判断：只有当 lookup + transfer + attach + rank_sync 小于 recompute_saved_time 且满足 TTFT deadline 时才允许加载 KV，否则必须直接 recompute 或 partial recompute。 输入必须显式消费 PrefixBudget + placement summary + recompute estimate，输出 admission/routing decision + QueryPlan id，不得用全局单例或隐藏同步 I/O 绕开预算与状态机。</x:v>
      </x:c>
      <x:c r="I406" s="33" t="str">
        <x:v>p99 TTFT 降低 ≥20%；abandoned remote load 降低 ≥50%；</x:v>
      </x:c>
      <x:c r="J406" s="33" t="str">
        <x:v>src/runtime/scheduler/admission.{h,cc}</x:v>
      </x:c>
      <x:c r="K406" s="33" t="str">
        <x:v>L1 推理调度层 / 推理框架开发</x:v>
      </x:c>
      <x:c r="L406" s="33" t="str">
        <x:v>L1-RT-Admission-007</x:v>
      </x:c>
    </x:row>
    <x:row r="407" ht="76" customHeight="1">
      <x:c r="A407" s="33" t="str">
        <x:v>SF-02/IR-02-02/SR-02-02-02/AR-L1-RT-Admission-007-02</x:v>
      </x:c>
      <x:c r="B407" s="33" t="n">
        <x:v>4</x:v>
      </x:c>
      <x:c r="C407" s="34" t="str">
        <x:v>AR</x:v>
      </x:c>
      <x:c r="D407" s="34" t="str">
        <x:v>AR-L1-RT-Admission-007-02</x:v>
      </x:c>
      <x:c r="E407" s="34" t="str">
        <x:v>SR-02-02-02</x:v>
      </x:c>
      <x:c r="F407" s="34" t="str">
        <x:v>            ├─ AR-L1-RT-Admission-007-02 契约配置与降级</x:v>
      </x:c>
      <x:c r="G407" s="34" t="str">
        <x:v>契约配置与降级</x:v>
      </x:c>
      <x:c r="H407" s="33" t="str">
        <x:v>为 `AdmissionOptions` 增加 `kvcache.admission.enabled`、deadline/容量/队列预算及版本字段；在调用点接入 typed error、decision_reason、fallback_reason，确保配置热更新、灰度关闭和向后兼容均可审计。</x:v>
      </x:c>
      <x:c r="I407" s="33" t="str">
        <x:v>p99 TTFT 降低 ≥20%；abandoned remote load 降低 ≥50%；</x:v>
      </x:c>
      <x:c r="J407" s="33" t="str">
        <x:v>api/kvcache/v1/admission.proto + config/runtime/admission.yaml</x:v>
      </x:c>
      <x:c r="K407" s="33" t="str">
        <x:v>L1 推理调度层 / 推理框架开发</x:v>
      </x:c>
      <x:c r="L407" s="33" t="str">
        <x:v>L1-RT-Admission-007</x:v>
      </x:c>
    </x:row>
    <x:row r="408" ht="76" customHeight="1">
      <x:c r="A408" s="33" t="str">
        <x:v>SF-02/IR-02-02/SR-02-02-02/AR-L1-RT-Admission-007-03</x:v>
      </x:c>
      <x:c r="B408" s="33" t="n">
        <x:v>4</x:v>
      </x:c>
      <x:c r="C408" s="34" t="str">
        <x:v>AR</x:v>
      </x:c>
      <x:c r="D408" s="34" t="str">
        <x:v>AR-L1-RT-Admission-007-03</x:v>
      </x:c>
      <x:c r="E408" s="34" t="str">
        <x:v>SR-02-02-02</x:v>
      </x:c>
      <x:c r="F408" s="34" t="str">
        <x:v>            └─ AR-L1-RT-Admission-007-03 验证与观测</x:v>
      </x:c>
      <x:c r="G408" s="34" t="str">
        <x:v>验证与观测</x:v>
      </x:c>
      <x:c r="H408" s="33" t="str">
        <x:v>新增正常、边界、并发、超时、stale metadata、迁移冲突、路径拥塞/故障与 feature-flag-off 用例；在 benchmark 中固定模型、tokenizer、prompt、并发、拓扑和 baseline，采集 lookup/load/attach、TTFT、TPOT、usable/abandoned hit、带宽/时延及 CPU/NPU 利用率。</x:v>
      </x:c>
      <x:c r="I408" s="33" t="str">
        <x:v>p99 TTFT 降低 ≥20%；abandoned remote load 降低 ≥50%；</x:v>
      </x:c>
      <x:c r="J408" s="33" t="str">
        <x:v>tests/runtime/scheduler/admission_test.cc + benchmarks/runtime/scheduler/admission_benchmark.cc</x:v>
      </x:c>
      <x:c r="K408" s="33" t="str">
        <x:v>L1 推理调度层 / 推理框架开发</x:v>
      </x:c>
      <x:c r="L408" s="33" t="str">
        <x:v>L1-RT-Admission-007</x:v>
      </x:c>
    </x:row>
    <x:row r="409" ht="76" customHeight="1">
      <x:c r="A409" s="31" t="str">
        <x:v>SF-02/IR-02-02/SR-02-02-03</x:v>
      </x:c>
      <x:c r="B409" s="31" t="n">
        <x:v>3</x:v>
      </x:c>
      <x:c r="C409" s="32" t="str">
        <x:v>SR</x:v>
      </x:c>
      <x:c r="D409" s="32" t="str">
        <x:v>SR-02-02-03</x:v>
      </x:c>
      <x:c r="E409" s="32" t="str">
        <x:v>IR-02-02</x:v>
      </x:c>
      <x:c r="F409" s="32" t="str">
        <x:v>        ├─ SR-02-02-03 级联水位高压反压准入</x:v>
      </x:c>
      <x:c r="G409" s="32" t="str">
        <x:v>级联水位高压反压准入｜L1-RT-WatermarkAdmission-024</x:v>
      </x:c>
      <x:c r="H409" s="31" t="str">
        <x:v>系统重构：本需求要求调度器引入水位驱动的强反压准入策略。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x:v>
      </x:c>
      <x:c r="I409" s="31" t="str">
        <x:v>错误Load（即Load耗时 &gt; Recompute耗时）比例下降至 &lt; 1%。</x:v>
      </x:c>
      <x:c r="J409" s="31" t="str"/>
      <x:c r="K409" s="31" t="str">
        <x:v>L1 推理调度层 / 调度与路由控制</x:v>
      </x:c>
      <x:c r="L409" s="31" t="str">
        <x:v>L1-RT-WatermarkAdmission-024</x:v>
      </x:c>
    </x:row>
    <x:row r="410" ht="76" customHeight="1">
      <x:c r="A410" s="33" t="str">
        <x:v>SF-02/IR-02-02/SR-02-02-03/AR-L1-RT-WatermarkAdmission-024-01</x:v>
      </x:c>
      <x:c r="B410" s="33" t="n">
        <x:v>4</x:v>
      </x:c>
      <x:c r="C410" s="34" t="str">
        <x:v>AR</x:v>
      </x:c>
      <x:c r="D410" s="34" t="str">
        <x:v>AR-L1-RT-WatermarkAdmission-024-01</x:v>
      </x:c>
      <x:c r="E410" s="34" t="str">
        <x:v>SR-02-02-03</x:v>
      </x:c>
      <x:c r="F410" s="34" t="str">
        <x:v>            ├─ AR-L1-RT-WatermarkAdmission-024-01 核心实现</x:v>
      </x:c>
      <x:c r="G410" s="34" t="str">
        <x:v>核心实现</x:v>
      </x:c>
      <x:c r="H410" s="33" t="str">
        <x:v>在 `src/runtime/scheduler/watermark_admission.{h,cc}` 新增或重写 `WatermarkAdmissionController`，把“级联水位高压反压准入”落实为 L1 推理调度层 可调用主路径：本需求要求调度器引入水位驱动的强反压准入策略。 输入必须显式消费 PrefixBudget + placement summary + recompute estimate，输出 admission/routing decision + QueryPlan id，不得用全局单例或隐藏同步 I/O 绕开预算与状态机。</x:v>
      </x:c>
      <x:c r="I410" s="33" t="str">
        <x:v>错误Load（即Load耗时 &gt; Recompute耗时）比例下降至 &lt; 1%。</x:v>
      </x:c>
      <x:c r="J410" s="33" t="str">
        <x:v>src/runtime/scheduler/watermark_admission.{h,cc}</x:v>
      </x:c>
      <x:c r="K410" s="33" t="str">
        <x:v>L1 推理调度层 / 推理框架开发</x:v>
      </x:c>
      <x:c r="L410" s="33" t="str">
        <x:v>L1-RT-WatermarkAdmission-024</x:v>
      </x:c>
    </x:row>
    <x:row r="411" ht="76" customHeight="1">
      <x:c r="A411" s="33" t="str">
        <x:v>SF-02/IR-02-02/SR-02-02-03/AR-L1-RT-WatermarkAdmission-024-02</x:v>
      </x:c>
      <x:c r="B411" s="33" t="n">
        <x:v>4</x:v>
      </x:c>
      <x:c r="C411" s="34" t="str">
        <x:v>AR</x:v>
      </x:c>
      <x:c r="D411" s="34" t="str">
        <x:v>AR-L1-RT-WatermarkAdmission-024-02</x:v>
      </x:c>
      <x:c r="E411" s="34" t="str">
        <x:v>SR-02-02-03</x:v>
      </x:c>
      <x:c r="F411" s="34" t="str">
        <x:v>            ├─ AR-L1-RT-WatermarkAdmission-024-02 契约配置与降级</x:v>
      </x:c>
      <x:c r="G411" s="34" t="str">
        <x:v>契约配置与降级</x:v>
      </x:c>
      <x:c r="H411" s="33" t="str">
        <x:v>为 `WatermarkAdmissionOptions` 增加 `kvcache.watermark_admission.enabled`、deadline/容量/队列预算及版本字段；在调用点接入 typed error、decision_reason、fallback_reason，确保配置热更新、灰度关闭和向后兼容均可审计。</x:v>
      </x:c>
      <x:c r="I411" s="33" t="str">
        <x:v>错误Load（即Load耗时 &gt; Recompute耗时）比例下降至 &lt; 1%。</x:v>
      </x:c>
      <x:c r="J411" s="33" t="str">
        <x:v>api/kvcache/v1/watermark_admission.proto + config/runtime/watermark_admission.yaml</x:v>
      </x:c>
      <x:c r="K411" s="33" t="str">
        <x:v>L1 推理调度层 / 推理框架开发</x:v>
      </x:c>
      <x:c r="L411" s="33" t="str">
        <x:v>L1-RT-WatermarkAdmission-024</x:v>
      </x:c>
    </x:row>
    <x:row r="412" ht="76" customHeight="1">
      <x:c r="A412" s="33" t="str">
        <x:v>SF-02/IR-02-02/SR-02-02-03/AR-L1-RT-WatermarkAdmission-024-03</x:v>
      </x:c>
      <x:c r="B412" s="33" t="n">
        <x:v>4</x:v>
      </x:c>
      <x:c r="C412" s="34" t="str">
        <x:v>AR</x:v>
      </x:c>
      <x:c r="D412" s="34" t="str">
        <x:v>AR-L1-RT-WatermarkAdmission-024-03</x:v>
      </x:c>
      <x:c r="E412" s="34" t="str">
        <x:v>SR-02-02-03</x:v>
      </x:c>
      <x:c r="F412" s="34" t="str">
        <x:v>            └─ AR-L1-RT-WatermarkAdmission-024-03 验证与观测</x:v>
      </x:c>
      <x:c r="G412" s="34" t="str">
        <x:v>验证与观测</x:v>
      </x:c>
      <x:c r="H412" s="33" t="str">
        <x:v>新增正常、边界、并发、超时、stale metadata、迁移冲突、路径拥塞/故障与 feature-flag-off 用例；在 benchmark 中固定模型、tokenizer、prompt、并发、拓扑和 baseline，采集 lookup/load/attach、TTFT、TPOT、usable/abandoned hit、带宽/时延及 CPU/NPU 利用率。</x:v>
      </x:c>
      <x:c r="I412" s="33" t="str">
        <x:v>错误Load（即Load耗时 &gt; Recompute耗时）比例下降至 &lt; 1%。</x:v>
      </x:c>
      <x:c r="J412" s="33" t="str">
        <x:v>tests/runtime/scheduler/watermark_admission_test.cc + benchmarks/runtime/scheduler/watermark_admission_benchmark.cc</x:v>
      </x:c>
      <x:c r="K412" s="33" t="str">
        <x:v>L1 推理调度层 / 推理框架开发</x:v>
      </x:c>
      <x:c r="L412" s="33" t="str">
        <x:v>L1-RT-WatermarkAdmission-024</x:v>
      </x:c>
    </x:row>
    <x:row r="413" ht="76" customHeight="1">
      <x:c r="A413" s="31" t="str">
        <x:v>SF-02/IR-02-02/SR-02-02-04</x:v>
      </x:c>
      <x:c r="B413" s="31" t="n">
        <x:v>3</x:v>
      </x:c>
      <x:c r="C413" s="32" t="str">
        <x:v>SR</x:v>
      </x:c>
      <x:c r="D413" s="32" t="str">
        <x:v>SR-02-02-04</x:v>
      </x:c>
      <x:c r="E413" s="32" t="str">
        <x:v>IR-02-02</x:v>
      </x:c>
      <x:c r="F413" s="32" t="str">
        <x:v>        ├─ SR-02-02-04 KVCache 亲和路由调度</x:v>
      </x:c>
      <x:c r="G413" s="32" t="str">
        <x:v>KVCache 亲和路由调度｜L1-RT-CacheAwareRouting-006</x:v>
      </x:c>
      <x:c r="H413" s="31" t="str">
        <x:v>系统重构：本需求要求 Router 在选择推理实例前查询 KV placement summary，优先将请求路由到已拥有对应 prefix KV 的 HBM、本地 DDR 或同机架远端 DDR 节点；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x:v>
      </x:c>
      <x:c r="I413" s="31" t="str">
        <x:v>local usable hit rate 提升 ≥25%；跨节点 KV bytes/request 降低 ≥30%；</x:v>
      </x:c>
      <x:c r="J413" s="31" t="str"/>
      <x:c r="K413" s="31" t="str">
        <x:v>L1 推理调度层 / 调度与路由控制</x:v>
      </x:c>
      <x:c r="L413" s="31" t="str">
        <x:v>L1-RT-CacheAwareRouting-006</x:v>
      </x:c>
    </x:row>
    <x:row r="414" ht="76" customHeight="1">
      <x:c r="A414" s="33" t="str">
        <x:v>SF-02/IR-02-02/SR-02-02-04/AR-L1-RT-CacheAwareRouting-006-01</x:v>
      </x:c>
      <x:c r="B414" s="33" t="n">
        <x:v>4</x:v>
      </x:c>
      <x:c r="C414" s="34" t="str">
        <x:v>AR</x:v>
      </x:c>
      <x:c r="D414" s="34" t="str">
        <x:v>AR-L1-RT-CacheAwareRouting-006-01</x:v>
      </x:c>
      <x:c r="E414" s="34" t="str">
        <x:v>SR-02-02-04</x:v>
      </x:c>
      <x:c r="F414" s="34" t="str">
        <x:v>            ├─ AR-L1-RT-CacheAwareRouting-006-01 核心实现</x:v>
      </x:c>
      <x:c r="G414" s="34" t="str">
        <x:v>核心实现</x:v>
      </x:c>
      <x:c r="H414" s="33" t="str">
        <x:v>在 `src/runtime/scheduler/cache_aware_routing.{h,cc}` 新增或重写 `CacheAwareRoutingController`，把“KVCache 亲和路由调度”落实为 L1 推理调度层 可调用主路径：本需求要求 Router 在选择推理实例前查询 KV placement summary，优先将请求路由到已拥有对应 prefix KV 的 HBM、本地 DDR 或同机架远端 DDR 节点； 输入必须显式消费 PrefixBudget + placement summary + recompute estimate，输出 admission/routing decision + QueryPlan id，不得用全局单例或隐藏同步 I/O 绕开预算与状态机。</x:v>
      </x:c>
      <x:c r="I414" s="33" t="str">
        <x:v>local usable hit rate 提升 ≥25%；跨节点 KV bytes/request 降低 ≥30%；</x:v>
      </x:c>
      <x:c r="J414" s="33" t="str">
        <x:v>src/runtime/scheduler/cache_aware_routing.{h,cc}</x:v>
      </x:c>
      <x:c r="K414" s="33" t="str">
        <x:v>L1 推理调度层 / 推理框架开发</x:v>
      </x:c>
      <x:c r="L414" s="33" t="str">
        <x:v>L1-RT-CacheAwareRouting-006</x:v>
      </x:c>
    </x:row>
    <x:row r="415" ht="76" customHeight="1">
      <x:c r="A415" s="33" t="str">
        <x:v>SF-02/IR-02-02/SR-02-02-04/AR-L1-RT-CacheAwareRouting-006-02</x:v>
      </x:c>
      <x:c r="B415" s="33" t="n">
        <x:v>4</x:v>
      </x:c>
      <x:c r="C415" s="34" t="str">
        <x:v>AR</x:v>
      </x:c>
      <x:c r="D415" s="34" t="str">
        <x:v>AR-L1-RT-CacheAwareRouting-006-02</x:v>
      </x:c>
      <x:c r="E415" s="34" t="str">
        <x:v>SR-02-02-04</x:v>
      </x:c>
      <x:c r="F415" s="34" t="str">
        <x:v>            ├─ AR-L1-RT-CacheAwareRouting-006-02 契约配置与降级</x:v>
      </x:c>
      <x:c r="G415" s="34" t="str">
        <x:v>契约配置与降级</x:v>
      </x:c>
      <x:c r="H415" s="33" t="str">
        <x:v>为 `CacheAwareRoutingOptions` 增加 `kvcache.cache_aware_routing.enabled`、deadline/容量/队列预算及版本字段；在调用点接入 typed error、decision_reason、fallback_reason，确保配置热更新、灰度关闭和向后兼容均可审计。</x:v>
      </x:c>
      <x:c r="I415" s="33" t="str">
        <x:v>local usable hit rate 提升 ≥25%；跨节点 KV bytes/request 降低 ≥30%；</x:v>
      </x:c>
      <x:c r="J415" s="33" t="str">
        <x:v>api/kvcache/v1/cache_aware_routing.proto + config/runtime/cache_aware_routing.yaml</x:v>
      </x:c>
      <x:c r="K415" s="33" t="str">
        <x:v>L1 推理调度层 / 推理框架开发</x:v>
      </x:c>
      <x:c r="L415" s="33" t="str">
        <x:v>L1-RT-CacheAwareRouting-006</x:v>
      </x:c>
    </x:row>
    <x:row r="416" ht="76" customHeight="1">
      <x:c r="A416" s="33" t="str">
        <x:v>SF-02/IR-02-02/SR-02-02-04/AR-L1-RT-CacheAwareRouting-006-03</x:v>
      </x:c>
      <x:c r="B416" s="33" t="n">
        <x:v>4</x:v>
      </x:c>
      <x:c r="C416" s="34" t="str">
        <x:v>AR</x:v>
      </x:c>
      <x:c r="D416" s="34" t="str">
        <x:v>AR-L1-RT-CacheAwareRouting-006-03</x:v>
      </x:c>
      <x:c r="E416" s="34" t="str">
        <x:v>SR-02-02-04</x:v>
      </x:c>
      <x:c r="F416" s="34" t="str">
        <x:v>            └─ AR-L1-RT-CacheAwareRouting-006-03 验证与观测</x:v>
      </x:c>
      <x:c r="G416" s="34" t="str">
        <x:v>验证与观测</x:v>
      </x:c>
      <x:c r="H416" s="33" t="str">
        <x:v>新增正常、边界、并发、超时、stale metadata、迁移冲突、路径拥塞/故障与 feature-flag-off 用例；在 benchmark 中固定模型、tokenizer、prompt、并发、拓扑和 baseline，采集 lookup/load/attach、TTFT、TPOT、usable/abandoned hit、带宽/时延及 CPU/NPU 利用率。</x:v>
      </x:c>
      <x:c r="I416" s="33" t="str">
        <x:v>local usable hit rate 提升 ≥25%；跨节点 KV bytes/request 降低 ≥30%；</x:v>
      </x:c>
      <x:c r="J416" s="33" t="str">
        <x:v>tests/runtime/scheduler/cache_aware_routing_test.cc + benchmarks/runtime/scheduler/cache_aware_routing_benchmark.cc</x:v>
      </x:c>
      <x:c r="K416" s="33" t="str">
        <x:v>L1 推理调度层 / 推理框架开发</x:v>
      </x:c>
      <x:c r="L416" s="33" t="str">
        <x:v>L1-RT-CacheAwareRouting-006</x:v>
      </x:c>
    </x:row>
    <x:row r="417" ht="76" customHeight="1">
      <x:c r="A417" s="31" t="str">
        <x:v>SF-02/IR-02-02/SR-02-02-05</x:v>
      </x:c>
      <x:c r="B417" s="31" t="n">
        <x:v>3</x:v>
      </x:c>
      <x:c r="C417" s="32" t="str">
        <x:v>SR</x:v>
      </x:c>
      <x:c r="D417" s="32" t="str">
        <x:v>SR-02-02-05</x:v>
      </x:c>
      <x:c r="E417" s="32" t="str">
        <x:v>IR-02-02</x:v>
      </x:c>
      <x:c r="F417" s="32" t="str">
        <x:v>        ├─ SR-02-02-05 多层异构存储调度</x:v>
      </x:c>
      <x:c r="G417" s="32" t="str">
        <x:v>多层异构存储调度｜L1-VLLM-HIER-SCHED-002</x:v>
      </x:c>
      <x:c r="H417" s="31" t="str">
        <x:v>系统重构：本需求要求扩展vLLM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x:v>
      </x:c>
      <x:c r="I417" s="31" t="str">
        <x:v>内存碎片率控制在&lt;5%，平均并发处理能力（QPS）提升≥10%。</x:v>
      </x:c>
      <x:c r="J417" s="31" t="str"/>
      <x:c r="K417" s="31" t="str">
        <x:v>L1 推理调度层 / 调度与路由控制</x:v>
      </x:c>
      <x:c r="L417" s="31" t="str">
        <x:v>L1-VLLM-HIER-SCHED-002</x:v>
      </x:c>
    </x:row>
    <x:row r="418" ht="76" customHeight="1">
      <x:c r="A418" s="33" t="str">
        <x:v>SF-02/IR-02-02/SR-02-02-05/AR-L1-VLLM-HIER-SCHED-002-01</x:v>
      </x:c>
      <x:c r="B418" s="33" t="n">
        <x:v>4</x:v>
      </x:c>
      <x:c r="C418" s="34" t="str">
        <x:v>AR</x:v>
      </x:c>
      <x:c r="D418" s="34" t="str">
        <x:v>AR-L1-VLLM-HIER-SCHED-002-01</x:v>
      </x:c>
      <x:c r="E418" s="34" t="str">
        <x:v>SR-02-02-05</x:v>
      </x:c>
      <x:c r="F418" s="34" t="str">
        <x:v>            ├─ AR-L1-VLLM-HIER-SCHED-002-01 核心实现</x:v>
      </x:c>
      <x:c r="G418" s="34" t="str">
        <x:v>核心实现</x:v>
      </x:c>
      <x:c r="H418" s="33" t="str">
        <x:v>在 `src/runtime/scheduler/hier_sched.{h,cc}` 新增或重写 `HIERSCHEDController`，把“多层异构存储调度”落实为 L1 推理调度层 可调用主路径：本需求要求扩展vLLM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 输入必须显式消费 PrefixBudget + placement summary + recompute estimate，输出 admission/routing decision + QueryPlan id，不得用全局单例或隐藏同步 I/O 绕开预算与状态机。</x:v>
      </x:c>
      <x:c r="I418" s="33" t="str">
        <x:v>内存碎片率控制在&lt;5%，平均并发处理能力（QPS）提升≥10%。</x:v>
      </x:c>
      <x:c r="J418" s="33" t="str">
        <x:v>src/runtime/scheduler/hier_sched.{h,cc}</x:v>
      </x:c>
      <x:c r="K418" s="33" t="str">
        <x:v>L1 推理调度层 / 推理框架开发</x:v>
      </x:c>
      <x:c r="L418" s="33" t="str">
        <x:v>L1-VLLM-HIER-SCHED-002</x:v>
      </x:c>
    </x:row>
    <x:row r="419" ht="76" customHeight="1">
      <x:c r="A419" s="33" t="str">
        <x:v>SF-02/IR-02-02/SR-02-02-05/AR-L1-VLLM-HIER-SCHED-002-02</x:v>
      </x:c>
      <x:c r="B419" s="33" t="n">
        <x:v>4</x:v>
      </x:c>
      <x:c r="C419" s="34" t="str">
        <x:v>AR</x:v>
      </x:c>
      <x:c r="D419" s="34" t="str">
        <x:v>AR-L1-VLLM-HIER-SCHED-002-02</x:v>
      </x:c>
      <x:c r="E419" s="34" t="str">
        <x:v>SR-02-02-05</x:v>
      </x:c>
      <x:c r="F419" s="34" t="str">
        <x:v>            ├─ AR-L1-VLLM-HIER-SCHED-002-02 契约配置与降级</x:v>
      </x:c>
      <x:c r="G419" s="34" t="str">
        <x:v>契约配置与降级</x:v>
      </x:c>
      <x:c r="H419" s="33" t="str">
        <x:v>为 `HIERSCHEDOptions` 增加 `kvcache.hier_sched.enabled`、deadline/容量/队列预算及版本字段；在调用点接入 typed error、decision_reason、fallback_reason，确保配置热更新、灰度关闭和向后兼容均可审计。</x:v>
      </x:c>
      <x:c r="I419" s="33" t="str">
        <x:v>内存碎片率控制在&lt;5%，平均并发处理能力（QPS）提升≥10%。</x:v>
      </x:c>
      <x:c r="J419" s="33" t="str">
        <x:v>api/kvcache/v1/hier_sched.proto + config/runtime/hier_sched.yaml</x:v>
      </x:c>
      <x:c r="K419" s="33" t="str">
        <x:v>L1 推理调度层 / 推理框架开发</x:v>
      </x:c>
      <x:c r="L419" s="33" t="str">
        <x:v>L1-VLLM-HIER-SCHED-002</x:v>
      </x:c>
    </x:row>
    <x:row r="420" ht="76" customHeight="1">
      <x:c r="A420" s="33" t="str">
        <x:v>SF-02/IR-02-02/SR-02-02-05/AR-L1-VLLM-HIER-SCHED-002-03</x:v>
      </x:c>
      <x:c r="B420" s="33" t="n">
        <x:v>4</x:v>
      </x:c>
      <x:c r="C420" s="34" t="str">
        <x:v>AR</x:v>
      </x:c>
      <x:c r="D420" s="34" t="str">
        <x:v>AR-L1-VLLM-HIER-SCHED-002-03</x:v>
      </x:c>
      <x:c r="E420" s="34" t="str">
        <x:v>SR-02-02-05</x:v>
      </x:c>
      <x:c r="F420" s="34" t="str">
        <x:v>            └─ AR-L1-VLLM-HIER-SCHED-002-03 验证与观测</x:v>
      </x:c>
      <x:c r="G420" s="34" t="str">
        <x:v>验证与观测</x:v>
      </x:c>
      <x:c r="H420" s="33" t="str">
        <x:v>新增正常、边界、并发、超时、stale metadata、迁移冲突、路径拥塞/故障与 feature-flag-off 用例；在 benchmark 中固定模型、tokenizer、prompt、并发、拓扑和 baseline，采集 lookup/load/attach、TTFT、TPOT、usable/abandoned hit、带宽/时延及 CPU/NPU 利用率。</x:v>
      </x:c>
      <x:c r="I420" s="33" t="str">
        <x:v>内存碎片率控制在&lt;5%，平均并发处理能力（QPS）提升≥10%。</x:v>
      </x:c>
      <x:c r="J420" s="33" t="str">
        <x:v>tests/runtime/scheduler/hier_sched_test.cc + benchmarks/runtime/scheduler/hier_sched_benchmark.cc</x:v>
      </x:c>
      <x:c r="K420" s="33" t="str">
        <x:v>L1 推理调度层 / 推理框架开发</x:v>
      </x:c>
      <x:c r="L420" s="33" t="str">
        <x:v>L1-VLLM-HIER-SCHED-002</x:v>
      </x:c>
    </x:row>
    <x:row r="421" ht="76" customHeight="1">
      <x:c r="A421" s="29" t="str">
        <x:v>SF-02/IR-02-03</x:v>
      </x:c>
      <x:c r="B421" s="29" t="n">
        <x:v>2</x:v>
      </x:c>
      <x:c r="C421" s="30" t="str">
        <x:v>IR</x:v>
      </x:c>
      <x:c r="D421" s="30" t="str">
        <x:v>IR-02-03</x:v>
      </x:c>
      <x:c r="E421" s="30" t="str">
        <x:v>SF-02</x:v>
      </x:c>
      <x:c r="F421" s="30" t="str">
        <x:v>    ├─ IR-02-03 支持vLLM哈希和SGLang RadixTree的低时延前缀匹配</x:v>
      </x:c>
      <x:c r="G421" s="30" t="str">
        <x:v>支持vLLM哈希和SGLang RadixTree的低时延前缀匹配</x:v>
      </x:c>
      <x:c r="H421" s="29" t="str">
        <x:v>系统应对 vLLM token-block hash 和 SGLang RadixTree 最长前缀匹配提供统一的低时延查询能力，支持会话增量哈希、并发读、长前缀匹配和路径压缩，使前缀判断不再受 Python GIL、重复 token/hash 计算或深树遍历限制。输出应是可继续进行语义与消费资格校验的候选 prefix span，而不是仅返回简单 hit/miss。
技术锚点：SGLang RadixTree + vLLM block hash + C++/Cython RCU + AVX2/NEON + xxHash</x:v>
      </x:c>
      <x:c r="I421" s="29" t="str">
        <x:v>Prefix lookup p99&lt;200 μs；100并发吞吐提升≥8x；Usable Hit Rate提升≥15%；GIL持有时间降低≥90%。</x:v>
      </x:c>
      <x:c r="J421" s="29" t="str"/>
      <x:c r="K421" s="29" t="str">
        <x:v>TM1/TM2</x:v>
      </x:c>
      <x:c r="L421" s="29" t="str">
        <x:v>V2.1修订定义</x:v>
      </x:c>
    </x:row>
    <x:row r="422" ht="76" customHeight="1">
      <x:c r="A422" s="31" t="str">
        <x:v>SF-02/IR-02-03/SR-02-03-01</x:v>
      </x:c>
      <x:c r="B422" s="31" t="n">
        <x:v>3</x:v>
      </x:c>
      <x:c r="C422" s="32" t="str">
        <x:v>SR</x:v>
      </x:c>
      <x:c r="D422" s="32" t="str">
        <x:v>SR-02-03-01</x:v>
      </x:c>
      <x:c r="E422" s="32" t="str">
        <x:v>IR-02-03</x:v>
      </x:c>
      <x:c r="F422" s="32" t="str">
        <x:v>        ├─ SR-02-03-01 前缀匹配关键路径加速</x:v>
      </x:c>
      <x:c r="G422" s="32" t="str">
        <x:v>前缀匹配关键路径加速｜L1-SGL-PFX-IDX-003</x:v>
      </x:c>
      <x:c r="H422" s="31" t="str">
        <x:v>系统重构：本需求要求将SGLang RadixTree的最长前缀匹配（LPM）核心遍历函数从Python实现迁移至C++/Cython，通过SIMD（AVX2）加速节点键的字符串比较操作，并引入RCU无锁并发设计允许多个LPM查询同时执行，同时采用路径压缩减少RadixTree节点数量。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x:v>
      </x:c>
      <x:c r="I422" s="31" t="str">
        <x:v>Prefix命中判定P99耗时 &lt; 200us；在Share-Prefix业务下，Usable Hit Rate提升≥15%。</x:v>
      </x:c>
      <x:c r="J422" s="31" t="str"/>
      <x:c r="K422" s="31" t="str">
        <x:v>L1 推理调度层 / 前缀索引与命中判定</x:v>
      </x:c>
      <x:c r="L422" s="31" t="str">
        <x:v>L1-SGL-PFX-IDX-003</x:v>
      </x:c>
    </x:row>
    <x:row r="423" ht="76" customHeight="1">
      <x:c r="A423" s="33" t="str">
        <x:v>SF-02/IR-02-03/SR-02-03-01/AR-L1-SGL-PFX-IDX-003-01</x:v>
      </x:c>
      <x:c r="B423" s="33" t="n">
        <x:v>4</x:v>
      </x:c>
      <x:c r="C423" s="34" t="str">
        <x:v>AR</x:v>
      </x:c>
      <x:c r="D423" s="34" t="str">
        <x:v>AR-L1-SGL-PFX-IDX-003-01</x:v>
      </x:c>
      <x:c r="E423" s="34" t="str">
        <x:v>SR-02-03-01</x:v>
      </x:c>
      <x:c r="F423" s="34" t="str">
        <x:v>            ├─ AR-L1-SGL-PFX-IDX-003-01 核心实现</x:v>
      </x:c>
      <x:c r="G423" s="34" t="str">
        <x:v>核心实现</x:v>
      </x:c>
      <x:c r="H423" s="33" t="str">
        <x:v>在 `src/index/prefix/pfx_idx.{h,cc}` 新增或重写 `PFXIDXIndex`，把“前缀匹配关键路径加速”落实为 L1 推理调度层 可调用主路径：本需求要求将SGLang RadixTree的最长前缀匹配（LPM）核心遍历函数从Python实现迁移至C++/Cython，通过SIMD（AVX2）加速节点键的字符串比较操作，并引入RCU无锁并发设计允许多个LPM查询同时执行，同时采用路径压缩减少RadixTree节点数量。 输入必须显式消费 tokens + semantic salt + session rolling state，输出 prefix spans + local candidate ids，不得用全局单例或隐藏同步 I/O 绕开预算与状态机。</x:v>
      </x:c>
      <x:c r="I423" s="33" t="str">
        <x:v>Prefix命中判定P99耗时 &lt; 200us；在Share-Prefix业务下，Usable Hit Rate提升≥15%。</x:v>
      </x:c>
      <x:c r="J423" s="33" t="str">
        <x:v>src/index/prefix/pfx_idx.{h,cc}</x:v>
      </x:c>
      <x:c r="K423" s="33" t="str">
        <x:v>L1 推理调度层 / 推理框架开发</x:v>
      </x:c>
      <x:c r="L423" s="33" t="str">
        <x:v>L1-SGL-PFX-IDX-003</x:v>
      </x:c>
    </x:row>
    <x:row r="424" ht="76" customHeight="1">
      <x:c r="A424" s="33" t="str">
        <x:v>SF-02/IR-02-03/SR-02-03-01/AR-L1-SGL-PFX-IDX-003-02</x:v>
      </x:c>
      <x:c r="B424" s="33" t="n">
        <x:v>4</x:v>
      </x:c>
      <x:c r="C424" s="34" t="str">
        <x:v>AR</x:v>
      </x:c>
      <x:c r="D424" s="34" t="str">
        <x:v>AR-L1-SGL-PFX-IDX-003-02</x:v>
      </x:c>
      <x:c r="E424" s="34" t="str">
        <x:v>SR-02-03-01</x:v>
      </x:c>
      <x:c r="F424" s="34" t="str">
        <x:v>            ├─ AR-L1-SGL-PFX-IDX-003-02 契约配置与降级</x:v>
      </x:c>
      <x:c r="G424" s="34" t="str">
        <x:v>契约配置与降级</x:v>
      </x:c>
      <x:c r="H424" s="33" t="str">
        <x:v>为 `PFXIDXOptions` 增加 `kvcache.pfx_idx.enabled`、deadline/容量/队列预算及版本字段；在调用点接入 typed error、decision_reason、fallback_reason，确保配置热更新、灰度关闭和向后兼容均可审计。</x:v>
      </x:c>
      <x:c r="I424" s="33" t="str">
        <x:v>Prefix命中判定P99耗时 &lt; 200us；在Share-Prefix业务下，Usable Hit Rate提升≥15%。</x:v>
      </x:c>
      <x:c r="J424" s="33" t="str">
        <x:v>api/kvcache/v1/pfx_idx.proto + config/runtime/pfx_idx.yaml</x:v>
      </x:c>
      <x:c r="K424" s="33" t="str">
        <x:v>L1 推理调度层 / 推理框架开发</x:v>
      </x:c>
      <x:c r="L424" s="33" t="str">
        <x:v>L1-SGL-PFX-IDX-003</x:v>
      </x:c>
    </x:row>
    <x:row r="425" ht="76" customHeight="1">
      <x:c r="A425" s="33" t="str">
        <x:v>SF-02/IR-02-03/SR-02-03-01/AR-L1-SGL-PFX-IDX-003-03</x:v>
      </x:c>
      <x:c r="B425" s="33" t="n">
        <x:v>4</x:v>
      </x:c>
      <x:c r="C425" s="34" t="str">
        <x:v>AR</x:v>
      </x:c>
      <x:c r="D425" s="34" t="str">
        <x:v>AR-L1-SGL-PFX-IDX-003-03</x:v>
      </x:c>
      <x:c r="E425" s="34" t="str">
        <x:v>SR-02-03-01</x:v>
      </x:c>
      <x:c r="F425" s="34" t="str">
        <x:v>            └─ AR-L1-SGL-PFX-IDX-003-03 验证与观测</x:v>
      </x:c>
      <x:c r="G425" s="34" t="str">
        <x:v>验证与观测</x:v>
      </x:c>
      <x:c r="H425" s="33" t="str">
        <x:v>新增正常、边界、并发、超时、stale metadata、迁移冲突、路径拥塞/故障与 feature-flag-off 用例；在 benchmark 中固定模型、tokenizer、prompt、并发、拓扑和 baseline，采集 lookup/load/attach、TTFT、TPOT、usable/abandoned hit、带宽/时延及 CPU/NPU 利用率。</x:v>
      </x:c>
      <x:c r="I425" s="33" t="str">
        <x:v>Prefix命中判定P99耗时 &lt; 200us；在Share-Prefix业务下，Usable Hit Rate提升≥15%。</x:v>
      </x:c>
      <x:c r="J425" s="33" t="str">
        <x:v>tests/index/prefix/pfx_idx_test.cc + benchmarks/index/prefix/pfx_idx_benchmark.cc</x:v>
      </x:c>
      <x:c r="K425" s="33" t="str">
        <x:v>L1 推理调度层 / 推理框架开发</x:v>
      </x:c>
      <x:c r="L425" s="33" t="str">
        <x:v>L1-SGL-PFX-IDX-003</x:v>
      </x:c>
    </x:row>
    <x:row r="426" ht="76" customHeight="1">
      <x:c r="A426" s="31" t="str">
        <x:v>SF-02/IR-02-03/SR-02-03-02</x:v>
      </x:c>
      <x:c r="B426" s="31" t="n">
        <x:v>3</x:v>
      </x:c>
      <x:c r="C426" s="32" t="str">
        <x:v>SR</x:v>
      </x:c>
      <x:c r="D426" s="32" t="str">
        <x:v>SR-02-03-02</x:v>
      </x:c>
      <x:c r="E426" s="32" t="str">
        <x:v>IR-02-03</x:v>
      </x:c>
      <x:c r="F426" s="32" t="str">
        <x:v>        ├─ SR-02-03-02 前缀匹配关键路径解耦</x:v>
      </x:c>
      <x:c r="G426" s="32" t="str">
        <x:v>前缀匹配关键路径解耦｜L1-VLLM-PFX-SCHED-006</x:v>
      </x:c>
      <x:c r="H426" s="31" t="str">
        <x:v>系统重构：本需求要求将前缀匹配检测（哈希计算+本地查询+远端状态确认）从Scheduler决策的同步串行路径中解耦，通过独立前缀预检测Worker Pool异步执行，使Scheduler在决策时能直接读取已完成结果，远端RTT不再出现在调度关键路径上。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x:v>
      </x:c>
      <x:c r="I426" s="31" t="str">
        <x:v>Prefix命中判定P99耗时 &lt; 200us；在Share-Prefix业务下，Usable Hit Rate提升≥15%。</x:v>
      </x:c>
      <x:c r="J426" s="31" t="str"/>
      <x:c r="K426" s="31" t="str">
        <x:v>L1 推理调度层 / 前缀索引与命中判定</x:v>
      </x:c>
      <x:c r="L426" s="31" t="str">
        <x:v>L1-VLLM-PFX-SCHED-006</x:v>
      </x:c>
    </x:row>
    <x:row r="427" ht="76" customHeight="1">
      <x:c r="A427" s="33" t="str">
        <x:v>SF-02/IR-02-03/SR-02-03-02/AR-L1-VLLM-PFX-SCHED-006-01</x:v>
      </x:c>
      <x:c r="B427" s="33" t="n">
        <x:v>4</x:v>
      </x:c>
      <x:c r="C427" s="34" t="str">
        <x:v>AR</x:v>
      </x:c>
      <x:c r="D427" s="34" t="str">
        <x:v>AR-L1-VLLM-PFX-SCHED-006-01</x:v>
      </x:c>
      <x:c r="E427" s="34" t="str">
        <x:v>SR-02-03-02</x:v>
      </x:c>
      <x:c r="F427" s="34" t="str">
        <x:v>            ├─ AR-L1-VLLM-PFX-SCHED-006-01 核心实现</x:v>
      </x:c>
      <x:c r="G427" s="34" t="str">
        <x:v>核心实现</x:v>
      </x:c>
      <x:c r="H427" s="33" t="str">
        <x:v>在 `src/index/prefix/pfx_sched.{h,cc}` 新增或重写 `PFXSCHEDIndex`，把“前缀匹配关键路径解耦”落实为 L1 推理调度层 可调用主路径：本需求要求将前缀匹配检测（哈希计算+本地查询+远端状态确认）从Scheduler决策的同步串行路径中解耦，通过独立前缀预检测Worker Pool异步执行，使Scheduler在决策时能直接读取已完成结果，远端RTT不再出现在调度关键路径上。 输入必须显式消费 tokens + semantic salt + session rolling state，输出 prefix spans + local candidate ids，不得用全局单例或隐藏同步 I/O 绕开预算与状态机。</x:v>
      </x:c>
      <x:c r="I427" s="33" t="str">
        <x:v>Prefix命中判定P99耗时 &lt; 200us；在Share-Prefix业务下，Usable Hit Rate提升≥15%。</x:v>
      </x:c>
      <x:c r="J427" s="33" t="str">
        <x:v>src/index/prefix/pfx_sched.{h,cc}</x:v>
      </x:c>
      <x:c r="K427" s="33" t="str">
        <x:v>L1 推理调度层 / 推理框架开发</x:v>
      </x:c>
      <x:c r="L427" s="33" t="str">
        <x:v>L1-VLLM-PFX-SCHED-006</x:v>
      </x:c>
    </x:row>
    <x:row r="428" ht="76" customHeight="1">
      <x:c r="A428" s="33" t="str">
        <x:v>SF-02/IR-02-03/SR-02-03-02/AR-L1-VLLM-PFX-SCHED-006-02</x:v>
      </x:c>
      <x:c r="B428" s="33" t="n">
        <x:v>4</x:v>
      </x:c>
      <x:c r="C428" s="34" t="str">
        <x:v>AR</x:v>
      </x:c>
      <x:c r="D428" s="34" t="str">
        <x:v>AR-L1-VLLM-PFX-SCHED-006-02</x:v>
      </x:c>
      <x:c r="E428" s="34" t="str">
        <x:v>SR-02-03-02</x:v>
      </x:c>
      <x:c r="F428" s="34" t="str">
        <x:v>            ├─ AR-L1-VLLM-PFX-SCHED-006-02 契约配置与降级</x:v>
      </x:c>
      <x:c r="G428" s="34" t="str">
        <x:v>契约配置与降级</x:v>
      </x:c>
      <x:c r="H428" s="33" t="str">
        <x:v>为 `PFXSCHEDOptions` 增加 `kvcache.pfx_sched.enabled`、deadline/容量/队列预算及版本字段；在调用点接入 typed error、decision_reason、fallback_reason，确保配置热更新、灰度关闭和向后兼容均可审计。</x:v>
      </x:c>
      <x:c r="I428" s="33" t="str">
        <x:v>Prefix命中判定P99耗时 &lt; 200us；在Share-Prefix业务下，Usable Hit Rate提升≥15%。</x:v>
      </x:c>
      <x:c r="J428" s="33" t="str">
        <x:v>api/kvcache/v1/pfx_sched.proto + config/runtime/pfx_sched.yaml</x:v>
      </x:c>
      <x:c r="K428" s="33" t="str">
        <x:v>L1 推理调度层 / 推理框架开发</x:v>
      </x:c>
      <x:c r="L428" s="33" t="str">
        <x:v>L1-VLLM-PFX-SCHED-006</x:v>
      </x:c>
    </x:row>
    <x:row r="429" ht="76" customHeight="1">
      <x:c r="A429" s="33" t="str">
        <x:v>SF-02/IR-02-03/SR-02-03-02/AR-L1-VLLM-PFX-SCHED-006-03</x:v>
      </x:c>
      <x:c r="B429" s="33" t="n">
        <x:v>4</x:v>
      </x:c>
      <x:c r="C429" s="34" t="str">
        <x:v>AR</x:v>
      </x:c>
      <x:c r="D429" s="34" t="str">
        <x:v>AR-L1-VLLM-PFX-SCHED-006-03</x:v>
      </x:c>
      <x:c r="E429" s="34" t="str">
        <x:v>SR-02-03-02</x:v>
      </x:c>
      <x:c r="F429" s="34" t="str">
        <x:v>            └─ AR-L1-VLLM-PFX-SCHED-006-03 验证与观测</x:v>
      </x:c>
      <x:c r="G429" s="34" t="str">
        <x:v>验证与观测</x:v>
      </x:c>
      <x:c r="H429" s="33" t="str">
        <x:v>新增正常、边界、并发、超时、stale metadata、迁移冲突、路径拥塞/故障与 feature-flag-off 用例；在 benchmark 中固定模型、tokenizer、prompt、并发、拓扑和 baseline，采集 lookup/load/attach、TTFT、TPOT、usable/abandoned hit、带宽/时延及 CPU/NPU 利用率。</x:v>
      </x:c>
      <x:c r="I429" s="33" t="str">
        <x:v>Prefix命中判定P99耗时 &lt; 200us；在Share-Prefix业务下，Usable Hit Rate提升≥15%。</x:v>
      </x:c>
      <x:c r="J429" s="33" t="str">
        <x:v>tests/index/prefix/pfx_sched_test.cc + benchmarks/index/prefix/pfx_sched_benchmark.cc</x:v>
      </x:c>
      <x:c r="K429" s="33" t="str">
        <x:v>L1 推理调度层 / 推理框架开发</x:v>
      </x:c>
      <x:c r="L429" s="33" t="str">
        <x:v>L1-VLLM-PFX-SCHED-006</x:v>
      </x:c>
    </x:row>
    <x:row r="430" ht="76" customHeight="1">
      <x:c r="A430" s="31" t="str">
        <x:v>SF-02/IR-02-03/SR-02-03-03</x:v>
      </x:c>
      <x:c r="B430" s="31" t="n">
        <x:v>3</x:v>
      </x:c>
      <x:c r="C430" s="32" t="str">
        <x:v>SR</x:v>
      </x:c>
      <x:c r="D430" s="32" t="str">
        <x:v>SR-02-03-03</x:v>
      </x:c>
      <x:c r="E430" s="32" t="str">
        <x:v>IR-02-03</x:v>
      </x:c>
      <x:c r="F430" s="32" t="str">
        <x:v>        ├─ SR-02-03-03 前缀匹配关键路径</x:v>
      </x:c>
      <x:c r="G430" s="32" t="str">
        <x:v>前缀匹配关键路径｜L1-VLLM-PFX-IDX-005</x:v>
      </x:c>
      <x:c r="H430" s="31" t="str">
        <x:v>系统重构：本需求要求将vLLM的前缀哈希计算从CPU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x:v>
      </x:c>
      <x:c r="I430" s="31" t="str">
        <x:v>Prefix命中判定P99耗时 &lt; 200us；在Share-Prefix业务下，Usable Hit Rate提升≥15%。</x:v>
      </x:c>
      <x:c r="J430" s="31" t="str"/>
      <x:c r="K430" s="31" t="str">
        <x:v>L1 推理调度层 / 前缀索引与命中判定</x:v>
      </x:c>
      <x:c r="L430" s="31" t="str">
        <x:v>L1-VLLM-PFX-IDX-005</x:v>
      </x:c>
    </x:row>
    <x:row r="431" ht="76" customHeight="1">
      <x:c r="A431" s="33" t="str">
        <x:v>SF-02/IR-02-03/SR-02-03-03/AR-L1-VLLM-PFX-IDX-005-01</x:v>
      </x:c>
      <x:c r="B431" s="33" t="n">
        <x:v>4</x:v>
      </x:c>
      <x:c r="C431" s="34" t="str">
        <x:v>AR</x:v>
      </x:c>
      <x:c r="D431" s="34" t="str">
        <x:v>AR-L1-VLLM-PFX-IDX-005-01</x:v>
      </x:c>
      <x:c r="E431" s="34" t="str">
        <x:v>SR-02-03-03</x:v>
      </x:c>
      <x:c r="F431" s="34" t="str">
        <x:v>            ├─ AR-L1-VLLM-PFX-IDX-005-01 核心实现</x:v>
      </x:c>
      <x:c r="G431" s="34" t="str">
        <x:v>核心实现</x:v>
      </x:c>
      <x:c r="H431" s="33" t="str">
        <x:v>在 `src/index/prefix/pfx_idx.{h,cc}` 新增或重写 `PFXIDXIndex`，把“前缀匹配关键路径”落实为 L1 推理调度层 可调用主路径：本需求要求将vLLM的前缀哈希计算从CPU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 输入必须显式消费 tokens + semantic salt + session rolling state，输出 prefix spans + local candidate ids，不得用全局单例或隐藏同步 I/O 绕开预算与状态机。</x:v>
      </x:c>
      <x:c r="I431" s="33" t="str">
        <x:v>Prefix命中判定P99耗时 &lt; 200us；在Share-Prefix业务下，Usable Hit Rate提升≥15%。</x:v>
      </x:c>
      <x:c r="J431" s="33" t="str">
        <x:v>src/index/prefix/pfx_idx.{h,cc}</x:v>
      </x:c>
      <x:c r="K431" s="33" t="str">
        <x:v>L1 推理调度层 / 推理框架开发</x:v>
      </x:c>
      <x:c r="L431" s="33" t="str">
        <x:v>L1-VLLM-PFX-IDX-005</x:v>
      </x:c>
    </x:row>
    <x:row r="432" ht="76" customHeight="1">
      <x:c r="A432" s="33" t="str">
        <x:v>SF-02/IR-02-03/SR-02-03-03/AR-L1-VLLM-PFX-IDX-005-02</x:v>
      </x:c>
      <x:c r="B432" s="33" t="n">
        <x:v>4</x:v>
      </x:c>
      <x:c r="C432" s="34" t="str">
        <x:v>AR</x:v>
      </x:c>
      <x:c r="D432" s="34" t="str">
        <x:v>AR-L1-VLLM-PFX-IDX-005-02</x:v>
      </x:c>
      <x:c r="E432" s="34" t="str">
        <x:v>SR-02-03-03</x:v>
      </x:c>
      <x:c r="F432" s="34" t="str">
        <x:v>            ├─ AR-L1-VLLM-PFX-IDX-005-02 契约配置与降级</x:v>
      </x:c>
      <x:c r="G432" s="34" t="str">
        <x:v>契约配置与降级</x:v>
      </x:c>
      <x:c r="H432" s="33" t="str">
        <x:v>为 `PFXIDXOptions` 增加 `kvcache.pfx_idx.enabled`、deadline/容量/队列预算及版本字段；在调用点接入 typed error、decision_reason、fallback_reason，确保配置热更新、灰度关闭和向后兼容均可审计。</x:v>
      </x:c>
      <x:c r="I432" s="33" t="str">
        <x:v>Prefix命中判定P99耗时 &lt; 200us；在Share-Prefix业务下，Usable Hit Rate提升≥15%。</x:v>
      </x:c>
      <x:c r="J432" s="33" t="str">
        <x:v>api/kvcache/v1/pfx_idx.proto + config/runtime/pfx_idx.yaml</x:v>
      </x:c>
      <x:c r="K432" s="33" t="str">
        <x:v>L1 推理调度层 / 推理框架开发</x:v>
      </x:c>
      <x:c r="L432" s="33" t="str">
        <x:v>L1-VLLM-PFX-IDX-005</x:v>
      </x:c>
    </x:row>
    <x:row r="433" ht="76" customHeight="1">
      <x:c r="A433" s="33" t="str">
        <x:v>SF-02/IR-02-03/SR-02-03-03/AR-L1-VLLM-PFX-IDX-005-03</x:v>
      </x:c>
      <x:c r="B433" s="33" t="n">
        <x:v>4</x:v>
      </x:c>
      <x:c r="C433" s="34" t="str">
        <x:v>AR</x:v>
      </x:c>
      <x:c r="D433" s="34" t="str">
        <x:v>AR-L1-VLLM-PFX-IDX-005-03</x:v>
      </x:c>
      <x:c r="E433" s="34" t="str">
        <x:v>SR-02-03-03</x:v>
      </x:c>
      <x:c r="F433" s="34" t="str">
        <x:v>            └─ AR-L1-VLLM-PFX-IDX-005-03 验证与观测</x:v>
      </x:c>
      <x:c r="G433" s="34" t="str">
        <x:v>验证与观测</x:v>
      </x:c>
      <x:c r="H433" s="33" t="str">
        <x:v>新增正常、边界、并发、超时、stale metadata、迁移冲突、路径拥塞/故障与 feature-flag-off 用例；在 benchmark 中固定模型、tokenizer、prompt、并发、拓扑和 baseline，采集 lookup/load/attach、TTFT、TPOT、usable/abandoned hit、带宽/时延及 CPU/NPU 利用率。</x:v>
      </x:c>
      <x:c r="I433" s="33" t="str">
        <x:v>Prefix命中判定P99耗时 &lt; 200us；在Share-Prefix业务下，Usable Hit Rate提升≥15%。</x:v>
      </x:c>
      <x:c r="J433" s="33" t="str">
        <x:v>tests/index/prefix/pfx_idx_test.cc + benchmarks/index/prefix/pfx_idx_benchmark.cc</x:v>
      </x:c>
      <x:c r="K433" s="33" t="str">
        <x:v>L1 推理调度层 / 推理框架开发</x:v>
      </x:c>
      <x:c r="L433" s="33" t="str">
        <x:v>L1-VLLM-PFX-IDX-005</x:v>
      </x:c>
    </x:row>
    <x:row r="434" ht="76" customHeight="1">
      <x:c r="A434" s="29" t="str">
        <x:v>SF-02/IR-02-04</x:v>
      </x:c>
      <x:c r="B434" s="29" t="n">
        <x:v>2</x:v>
      </x:c>
      <x:c r="C434" s="30" t="str">
        <x:v>IR</x:v>
      </x:c>
      <x:c r="D434" s="30" t="str">
        <x:v>IR-02-04</x:v>
      </x:c>
      <x:c r="E434" s="30" t="str">
        <x:v>SF-02</x:v>
      </x:c>
      <x:c r="F434" s="30" t="str">
        <x:v>    ├─ IR-02-04 支持本地元数据缓存、Negative Cache及批量查询的命中快判</x:v>
      </x:c>
      <x:c r="G434" s="30" t="str">
        <x:v>支持本地元数据缓存、Negative Cache及批量查询的命中快判</x:v>
      </x:c>
      <x:c r="H434" s="29" t="str">
        <x:v>系统应在推理节点本地维护热前缀元数据、目录镜像、Negative Cache 和快速过滤结构，并提供 Batch/Range Lookup，使确定 miss 和高频命中无需每次访问远端目录。所有本地结果必须携带版本或新鲜度证据，在 TTL 过期、收到 invalidation 或一致性不确定时自动绕过本地结果，兼顾 TTFT 快判和命中正确性。
技术锚点：absl::flat_hash_map/Folly F14 + Bloom/Cuckoo Filter + Batch/Range Lookup</x:v>
      </x:c>
      <x:c r="I434" s="29" t="str">
        <x:v>本地命中查询&lt;10 μs；确定miss p99&lt;5 μs；remote lookup QPS降低≥50%；Bloom FPR&lt;0.1%。</x:v>
      </x:c>
      <x:c r="J434" s="29" t="str"/>
      <x:c r="K434" s="29" t="str">
        <x:v>TM2</x:v>
      </x:c>
      <x:c r="L434" s="29" t="str">
        <x:v>V2.1修订定义</x:v>
      </x:c>
    </x:row>
    <x:row r="435" ht="76" customHeight="1">
      <x:c r="A435" s="31" t="str">
        <x:v>SF-02/IR-02-04/SR-02-04-01</x:v>
      </x:c>
      <x:c r="B435" s="31" t="n">
        <x:v>3</x:v>
      </x:c>
      <x:c r="C435" s="32" t="str">
        <x:v>SR</x:v>
      </x:c>
      <x:c r="D435" s="32" t="str">
        <x:v>SR-02-04-01</x:v>
      </x:c>
      <x:c r="E435" s="32" t="str">
        <x:v>IR-02-04</x:v>
      </x:c>
      <x:c r="F435" s="32" t="str">
        <x:v>        ├─ SR-02-04-01 前缀命中后的可消费状态判定</x:v>
      </x:c>
      <x:c r="G435" s="32" t="str">
        <x:v>前缀命中后的可消费状态判定｜L2-KV-ConsumeEligibility-035</x:v>
      </x:c>
      <x:c r="H435" s="31" t="str">
        <x:v>系统重构：本需求要求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x:v>
      </x:c>
      <x:c r="I435" s="31" t="str">
        <x:v>Prefix命中判定P99耗时 &lt; 200us；在Share-Prefix业务下，Usable Hit Rate提升≥15%。</x:v>
      </x:c>
      <x:c r="J435" s="31" t="str"/>
      <x:c r="K435" s="31" t="str">
        <x:v>L2 KVConnector层 / 本地元数据缓存与快速判定</x:v>
      </x:c>
      <x:c r="L435" s="31" t="str">
        <x:v>L2-KV-ConsumeEligibility-035</x:v>
      </x:c>
    </x:row>
    <x:row r="436" ht="76" customHeight="1">
      <x:c r="A436" s="33" t="str">
        <x:v>SF-02/IR-02-04/SR-02-04-01/AR-L2-KV-ConsumeEligibility-035-01</x:v>
      </x:c>
      <x:c r="B436" s="33" t="n">
        <x:v>4</x:v>
      </x:c>
      <x:c r="C436" s="34" t="str">
        <x:v>AR</x:v>
      </x:c>
      <x:c r="D436" s="34" t="str">
        <x:v>AR-L2-KV-ConsumeEligibility-035-01</x:v>
      </x:c>
      <x:c r="E436" s="34" t="str">
        <x:v>SR-02-04-01</x:v>
      </x:c>
      <x:c r="F436" s="34" t="str">
        <x:v>            ├─ AR-L2-KV-ConsumeEligibility-035-01 核心实现</x:v>
      </x:c>
      <x:c r="G436" s="34" t="str">
        <x:v>核心实现</x:v>
      </x:c>
      <x:c r="H436" s="33" t="str">
        <x:v>在 `src/metadata/local_cache/consume_eligibility.{h,cc}` 新增或重写 `ConsumeEligibilityCache`，把“前缀命中后的可消费状态判定”落实为 L2 KVConnector层 可调用主路径：本需求要求 Connector 提供 consume eligibility 查询接口：输入 prefix_hash、semantic identity、deadline、target_device、rank context，返回 CONSUMABLE、WAIT_READY、NEED_LOAD、NEED_COPY_TO_HBM、MIGRATING_RETRY、STALE_RECOMPUTE、MISS 等语义结果，避免 Schedule… 输入必须显式消费 semantic key + prefix range + version watermark，输出 candidate/negative result + freshness evidence，不得用全局单例或隐藏同步 I/O 绕开预算与状态机。</x:v>
      </x:c>
      <x:c r="I436" s="33" t="str">
        <x:v>Prefix命中判定P99耗时 &lt; 200us；在Share-Prefix业务下，Usable Hit Rate提升≥15%。</x:v>
      </x:c>
      <x:c r="J436" s="33" t="str">
        <x:v>src/metadata/local_cache/consume_eligibility.{h,cc}</x:v>
      </x:c>
      <x:c r="K436" s="33" t="str">
        <x:v>L2 KVConnector层 / Connector开发</x:v>
      </x:c>
      <x:c r="L436" s="33" t="str">
        <x:v>L2-KV-ConsumeEligibility-035</x:v>
      </x:c>
    </x:row>
    <x:row r="437" ht="76" customHeight="1">
      <x:c r="A437" s="33" t="str">
        <x:v>SF-02/IR-02-04/SR-02-04-01/AR-L2-KV-ConsumeEligibility-035-02</x:v>
      </x:c>
      <x:c r="B437" s="33" t="n">
        <x:v>4</x:v>
      </x:c>
      <x:c r="C437" s="34" t="str">
        <x:v>AR</x:v>
      </x:c>
      <x:c r="D437" s="34" t="str">
        <x:v>AR-L2-KV-ConsumeEligibility-035-02</x:v>
      </x:c>
      <x:c r="E437" s="34" t="str">
        <x:v>SR-02-04-01</x:v>
      </x:c>
      <x:c r="F437" s="34" t="str">
        <x:v>            ├─ AR-L2-KV-ConsumeEligibility-035-02 契约配置与降级</x:v>
      </x:c>
      <x:c r="G437" s="34" t="str">
        <x:v>契约配置与降级</x:v>
      </x:c>
      <x:c r="H437" s="33" t="str">
        <x:v>为 `ConsumeEligibilityOptions` 增加 `kvcache.consume_eligibility.enabled`、deadline/容量/队列预算及版本字段；在调用点接入 typed error、decision_reason、fallback_reason，确保配置热更新、灰度关闭和向后兼容均可审计。</x:v>
      </x:c>
      <x:c r="I437" s="33" t="str">
        <x:v>Prefix命中判定P99耗时 &lt; 200us；在Share-Prefix业务下，Usable Hit Rate提升≥15%。</x:v>
      </x:c>
      <x:c r="J437" s="33" t="str">
        <x:v>api/kvcache/v1/consume_eligibility.proto + config/runtime/consume_eligibility.yaml</x:v>
      </x:c>
      <x:c r="K437" s="33" t="str">
        <x:v>L2 KVConnector层 / Connector开发</x:v>
      </x:c>
      <x:c r="L437" s="33" t="str">
        <x:v>L2-KV-ConsumeEligibility-035</x:v>
      </x:c>
    </x:row>
    <x:row r="438" ht="76" customHeight="1">
      <x:c r="A438" s="33" t="str">
        <x:v>SF-02/IR-02-04/SR-02-04-01/AR-L2-KV-ConsumeEligibility-035-03</x:v>
      </x:c>
      <x:c r="B438" s="33" t="n">
        <x:v>4</x:v>
      </x:c>
      <x:c r="C438" s="34" t="str">
        <x:v>AR</x:v>
      </x:c>
      <x:c r="D438" s="34" t="str">
        <x:v>AR-L2-KV-ConsumeEligibility-035-03</x:v>
      </x:c>
      <x:c r="E438" s="34" t="str">
        <x:v>SR-02-04-01</x:v>
      </x:c>
      <x:c r="F438" s="34" t="str">
        <x:v>            └─ AR-L2-KV-ConsumeEligibility-035-03 验证与观测</x:v>
      </x:c>
      <x:c r="G438" s="34" t="str">
        <x:v>验证与观测</x:v>
      </x:c>
      <x:c r="H438" s="33" t="str">
        <x:v>新增正常、边界、并发、超时、stale metadata、迁移冲突、路径拥塞/故障与 feature-flag-off 用例；在 benchmark 中固定模型、tokenizer、prompt、并发、拓扑和 baseline，采集 lookup/load/attach、TTFT、TPOT、usable/abandoned hit、带宽/时延及 CPU/NPU 利用率。</x:v>
      </x:c>
      <x:c r="I438" s="33" t="str">
        <x:v>Prefix命中判定P99耗时 &lt; 200us；在Share-Prefix业务下，Usable Hit Rate提升≥15%。</x:v>
      </x:c>
      <x:c r="J438" s="33" t="str">
        <x:v>tests/metadata/local_cache/consume_eligibility_test.cc + benchmarks/metadata/local_cache/consume_eligibility_benchmark.cc</x:v>
      </x:c>
      <x:c r="K438" s="33" t="str">
        <x:v>L2 KVConnector层 / Connector开发</x:v>
      </x:c>
      <x:c r="L438" s="33" t="str">
        <x:v>L2-KV-ConsumeEligibility-035</x:v>
      </x:c>
    </x:row>
    <x:row r="439" ht="76" customHeight="1">
      <x:c r="A439" s="31" t="str">
        <x:v>SF-02/IR-02-04/SR-02-04-02</x:v>
      </x:c>
      <x:c r="B439" s="31" t="n">
        <x:v>3</x:v>
      </x:c>
      <x:c r="C439" s="32" t="str">
        <x:v>SR</x:v>
      </x:c>
      <x:c r="D439" s="32" t="str">
        <x:v>SR-02-04-02</x:v>
      </x:c>
      <x:c r="E439" s="32" t="str">
        <x:v>IR-02-04</x:v>
      </x:c>
      <x:c r="F439" s="32" t="str">
        <x:v>        ├─ SR-02-04-02 前缀命中快速判断</x:v>
      </x:c>
      <x:c r="G439" s="32" t="str">
        <x:v>前缀命中快速判断｜L3-CONN-PFX-IDX-005</x:v>
      </x:c>
      <x:c r="H439" s="31" t="str">
        <x:v>系统重构：本需求要求实现两级前缀索引结构：第一级本地 Filter（FPR&lt;0.1%，内存&lt;50MB）在5μs内快速排除确定Miss，避免不必要的分布式RTT；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x:v>
      </x:c>
      <x:c r="I439" s="31" t="str">
        <x:v>Prefix命中判定P99耗时 &lt; 200us；在Share-Prefix业务下，Usable Hit Rate提升≥15%。</x:v>
      </x:c>
      <x:c r="J439" s="31" t="str"/>
      <x:c r="K439" s="31" t="str">
        <x:v>L3 传输管理层 / 本地元数据缓存与快速判定</x:v>
      </x:c>
      <x:c r="L439" s="31" t="str">
        <x:v>L3-CONN-PFX-IDX-005</x:v>
      </x:c>
    </x:row>
    <x:row r="440" ht="76" customHeight="1">
      <x:c r="A440" s="33" t="str">
        <x:v>SF-02/IR-02-04/SR-02-04-02/AR-L3-CONN-PFX-IDX-005-01</x:v>
      </x:c>
      <x:c r="B440" s="33" t="n">
        <x:v>4</x:v>
      </x:c>
      <x:c r="C440" s="34" t="str">
        <x:v>AR</x:v>
      </x:c>
      <x:c r="D440" s="34" t="str">
        <x:v>AR-L3-CONN-PFX-IDX-005-01</x:v>
      </x:c>
      <x:c r="E440" s="34" t="str">
        <x:v>SR-02-04-02</x:v>
      </x:c>
      <x:c r="F440" s="34" t="str">
        <x:v>            ├─ AR-L3-CONN-PFX-IDX-005-01 核心实现</x:v>
      </x:c>
      <x:c r="G440" s="34" t="str">
        <x:v>核心实现</x:v>
      </x:c>
      <x:c r="H440" s="33" t="str">
        <x:v>在 `src/metadata/local_cache/pfx_idx.{h,cc}` 新增或重写 `PFXIDXCache`，把“前缀命中快速判断”落实为 L3 传输管理层 可调用主路径：本需求要求实现两级前缀索引结构：第一级本地 Filter（FPR&lt;0.1%，内存&lt;50MB）在5μs内快速排除确定Miss，避免不必要的分布式RTT； 输入必须显式消费 semantic key + prefix range + version watermark，输出 candidate/negative result + freshness evidence，不得用全局单例或隐藏同步 I/O 绕开预算与状态机。</x:v>
      </x:c>
      <x:c r="I440" s="33" t="str">
        <x:v>Prefix命中判定P99耗时 &lt; 200us；在Share-Prefix业务下，Usable Hit Rate提升≥15%。</x:v>
      </x:c>
      <x:c r="J440" s="33" t="str">
        <x:v>src/metadata/local_cache/pfx_idx.{h,cc}</x:v>
      </x:c>
      <x:c r="K440" s="33" t="str">
        <x:v>L3 传输管理层 / 存储池/传输管理开发</x:v>
      </x:c>
      <x:c r="L440" s="33" t="str">
        <x:v>L3-CONN-PFX-IDX-005</x:v>
      </x:c>
    </x:row>
    <x:row r="441" ht="76" customHeight="1">
      <x:c r="A441" s="33" t="str">
        <x:v>SF-02/IR-02-04/SR-02-04-02/AR-L3-CONN-PFX-IDX-005-02</x:v>
      </x:c>
      <x:c r="B441" s="33" t="n">
        <x:v>4</x:v>
      </x:c>
      <x:c r="C441" s="34" t="str">
        <x:v>AR</x:v>
      </x:c>
      <x:c r="D441" s="34" t="str">
        <x:v>AR-L3-CONN-PFX-IDX-005-02</x:v>
      </x:c>
      <x:c r="E441" s="34" t="str">
        <x:v>SR-02-04-02</x:v>
      </x:c>
      <x:c r="F441" s="34" t="str">
        <x:v>            ├─ AR-L3-CONN-PFX-IDX-005-02 契约配置与降级</x:v>
      </x:c>
      <x:c r="G441" s="34" t="str">
        <x:v>契约配置与降级</x:v>
      </x:c>
      <x:c r="H441" s="33" t="str">
        <x:v>为 `PFXIDXOptions` 增加 `kvcache.pfx_idx.enabled`、deadline/容量/队列预算及版本字段；在调用点接入 typed error、decision_reason、fallback_reason，确保配置热更新、灰度关闭和向后兼容均可审计。</x:v>
      </x:c>
      <x:c r="I441" s="33" t="str">
        <x:v>Prefix命中判定P99耗时 &lt; 200us；在Share-Prefix业务下，Usable Hit Rate提升≥15%。</x:v>
      </x:c>
      <x:c r="J441" s="33" t="str">
        <x:v>api/kvcache/v1/pfx_idx.proto + config/runtime/pfx_idx.yaml</x:v>
      </x:c>
      <x:c r="K441" s="33" t="str">
        <x:v>L3 传输管理层 / 存储池/传输管理开发</x:v>
      </x:c>
      <x:c r="L441" s="33" t="str">
        <x:v>L3-CONN-PFX-IDX-005</x:v>
      </x:c>
    </x:row>
    <x:row r="442" ht="76" customHeight="1">
      <x:c r="A442" s="33" t="str">
        <x:v>SF-02/IR-02-04/SR-02-04-02/AR-L3-CONN-PFX-IDX-005-03</x:v>
      </x:c>
      <x:c r="B442" s="33" t="n">
        <x:v>4</x:v>
      </x:c>
      <x:c r="C442" s="34" t="str">
        <x:v>AR</x:v>
      </x:c>
      <x:c r="D442" s="34" t="str">
        <x:v>AR-L3-CONN-PFX-IDX-005-03</x:v>
      </x:c>
      <x:c r="E442" s="34" t="str">
        <x:v>SR-02-04-02</x:v>
      </x:c>
      <x:c r="F442" s="34" t="str">
        <x:v>            └─ AR-L3-CONN-PFX-IDX-005-03 验证与观测</x:v>
      </x:c>
      <x:c r="G442" s="34" t="str">
        <x:v>验证与观测</x:v>
      </x:c>
      <x:c r="H442" s="33" t="str">
        <x:v>新增正常、边界、并发、超时、stale metadata、迁移冲突、路径拥塞/故障与 feature-flag-off 用例；在 benchmark 中固定模型、tokenizer、prompt、并发、拓扑和 baseline，采集 lookup/load/attach、TTFT、TPOT、usable/abandoned hit、带宽/时延及 CPU/NPU 利用率。</x:v>
      </x:c>
      <x:c r="I442" s="33" t="str">
        <x:v>Prefix命中判定P99耗时 &lt; 200us；在Share-Prefix业务下，Usable Hit Rate提升≥15%。</x:v>
      </x:c>
      <x:c r="J442" s="33" t="str">
        <x:v>tests/metadata/local_cache/pfx_idx_test.cc + benchmarks/metadata/local_cache/pfx_idx_benchmark.cc</x:v>
      </x:c>
      <x:c r="K442" s="33" t="str">
        <x:v>L3 传输管理层 / 存储池/传输管理开发</x:v>
      </x:c>
      <x:c r="L442" s="33" t="str">
        <x:v>L3-CONN-PFX-IDX-005</x:v>
      </x:c>
    </x:row>
    <x:row r="443" ht="76" customHeight="1">
      <x:c r="A443" s="31" t="str">
        <x:v>SF-02/IR-02-04/SR-02-04-03</x:v>
      </x:c>
      <x:c r="B443" s="31" t="n">
        <x:v>3</x:v>
      </x:c>
      <x:c r="C443" s="32" t="str">
        <x:v>SR</x:v>
      </x:c>
      <x:c r="D443" s="32" t="str">
        <x:v>SR-02-04-03</x:v>
      </x:c>
      <x:c r="E443" s="32" t="str">
        <x:v>IR-02-04</x:v>
      </x:c>
      <x:c r="F443" s="32" t="str">
        <x:v>        ├─ SR-02-04-03 前缀命中快速决策</x:v>
      </x:c>
      <x:c r="G443" s="32" t="str">
        <x:v>前缀命中快速决策｜L2-CONN-META-CACHE-004</x:v>
      </x:c>
      <x:c r="H443" s="31" t="str">
        <x:v>系统重构：本需求要求在Connector层维护本地in-process元数据缓存（HashMap，默认100K条目），缓存prefix_hash到存储位置的映射关系，通过TTL过期和L3层版本号失效通知保证缓存一致性，使高频复用场景下的元数据查询从基线时延 RTT降至10μs以内。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x:v>
      </x:c>
      <x:c r="I443" s="31" t="str">
        <x:v>Prefix命中判定P99耗时 &lt; 200us；在Share-Prefix业务下，Usable Hit Rate提升≥15%。</x:v>
      </x:c>
      <x:c r="J443" s="31" t="str"/>
      <x:c r="K443" s="31" t="str">
        <x:v>L2 KVConnector层 / 本地元数据缓存与快速判定</x:v>
      </x:c>
      <x:c r="L443" s="31" t="str">
        <x:v>L2-CONN-META-CACHE-004</x:v>
      </x:c>
    </x:row>
    <x:row r="444" ht="76" customHeight="1">
      <x:c r="A444" s="33" t="str">
        <x:v>SF-02/IR-02-04/SR-02-04-03/AR-L2-CONN-META-CACHE-004-01</x:v>
      </x:c>
      <x:c r="B444" s="33" t="n">
        <x:v>4</x:v>
      </x:c>
      <x:c r="C444" s="34" t="str">
        <x:v>AR</x:v>
      </x:c>
      <x:c r="D444" s="34" t="str">
        <x:v>AR-L2-CONN-META-CACHE-004-01</x:v>
      </x:c>
      <x:c r="E444" s="34" t="str">
        <x:v>SR-02-04-03</x:v>
      </x:c>
      <x:c r="F444" s="34" t="str">
        <x:v>            ├─ AR-L2-CONN-META-CACHE-004-01 核心实现</x:v>
      </x:c>
      <x:c r="G444" s="34" t="str">
        <x:v>核心实现</x:v>
      </x:c>
      <x:c r="H444" s="33" t="str">
        <x:v>在 `src/metadata/local_cache/meta_cache.{h,cc}` 新增或重写 `METACACHECache`，把“前缀命中快速决策”落实为 L2 KVConnector层 可调用主路径：本需求要求在Connector层维护本地in-process元数据缓存（HashMap，默认100K条目），缓存prefix_hash到存储位置的映射关系，通过TTL过期和L3层版本号失效通知保证缓存一致性，使高频复用场景下的元数据查询从基线时延 RTT降至10μs以内。 输入必须显式消费 semantic key + prefix range + version watermark，输出 candidate/negative result + freshness evidence，不得用全局单例或隐藏同步 I/O 绕开预算与状态机。</x:v>
      </x:c>
      <x:c r="I444" s="33" t="str">
        <x:v>Prefix命中判定P99耗时 &lt; 200us；在Share-Prefix业务下，Usable Hit Rate提升≥15%。</x:v>
      </x:c>
      <x:c r="J444" s="33" t="str">
        <x:v>src/metadata/local_cache/meta_cache.{h,cc}</x:v>
      </x:c>
      <x:c r="K444" s="33" t="str">
        <x:v>L2 KVConnector层 / Connector开发</x:v>
      </x:c>
      <x:c r="L444" s="33" t="str">
        <x:v>L2-CONN-META-CACHE-004</x:v>
      </x:c>
    </x:row>
    <x:row r="445" ht="76" customHeight="1">
      <x:c r="A445" s="33" t="str">
        <x:v>SF-02/IR-02-04/SR-02-04-03/AR-L2-CONN-META-CACHE-004-02</x:v>
      </x:c>
      <x:c r="B445" s="33" t="n">
        <x:v>4</x:v>
      </x:c>
      <x:c r="C445" s="34" t="str">
        <x:v>AR</x:v>
      </x:c>
      <x:c r="D445" s="34" t="str">
        <x:v>AR-L2-CONN-META-CACHE-004-02</x:v>
      </x:c>
      <x:c r="E445" s="34" t="str">
        <x:v>SR-02-04-03</x:v>
      </x:c>
      <x:c r="F445" s="34" t="str">
        <x:v>            ├─ AR-L2-CONN-META-CACHE-004-02 契约配置与降级</x:v>
      </x:c>
      <x:c r="G445" s="34" t="str">
        <x:v>契约配置与降级</x:v>
      </x:c>
      <x:c r="H445" s="33" t="str">
        <x:v>为 `METACACHEOptions` 增加 `kvcache.meta_cache.enabled`、deadline/容量/队列预算及版本字段；在调用点接入 typed error、decision_reason、fallback_reason，确保配置热更新、灰度关闭和向后兼容均可审计。</x:v>
      </x:c>
      <x:c r="I445" s="33" t="str">
        <x:v>Prefix命中判定P99耗时 &lt; 200us；在Share-Prefix业务下，Usable Hit Rate提升≥15%。</x:v>
      </x:c>
      <x:c r="J445" s="33" t="str">
        <x:v>api/kvcache/v1/meta_cache.proto + config/runtime/meta_cache.yaml</x:v>
      </x:c>
      <x:c r="K445" s="33" t="str">
        <x:v>L2 KVConnector层 / Connector开发</x:v>
      </x:c>
      <x:c r="L445" s="33" t="str">
        <x:v>L2-CONN-META-CACHE-004</x:v>
      </x:c>
    </x:row>
    <x:row r="446" ht="76" customHeight="1">
      <x:c r="A446" s="33" t="str">
        <x:v>SF-02/IR-02-04/SR-02-04-03/AR-L2-CONN-META-CACHE-004-03</x:v>
      </x:c>
      <x:c r="B446" s="33" t="n">
        <x:v>4</x:v>
      </x:c>
      <x:c r="C446" s="34" t="str">
        <x:v>AR</x:v>
      </x:c>
      <x:c r="D446" s="34" t="str">
        <x:v>AR-L2-CONN-META-CACHE-004-03</x:v>
      </x:c>
      <x:c r="E446" s="34" t="str">
        <x:v>SR-02-04-03</x:v>
      </x:c>
      <x:c r="F446" s="34" t="str">
        <x:v>            └─ AR-L2-CONN-META-CACHE-004-03 验证与观测</x:v>
      </x:c>
      <x:c r="G446" s="34" t="str">
        <x:v>验证与观测</x:v>
      </x:c>
      <x:c r="H446" s="33" t="str">
        <x:v>新增正常、边界、并发、超时、stale metadata、迁移冲突、路径拥塞/故障与 feature-flag-off 用例；在 benchmark 中固定模型、tokenizer、prompt、并发、拓扑和 baseline，采集 lookup/load/attach、TTFT、TPOT、usable/abandoned hit、带宽/时延及 CPU/NPU 利用率。</x:v>
      </x:c>
      <x:c r="I446" s="33" t="str">
        <x:v>Prefix命中判定P99耗时 &lt; 200us；在Share-Prefix业务下，Usable Hit Rate提升≥15%。</x:v>
      </x:c>
      <x:c r="J446" s="33" t="str">
        <x:v>tests/metadata/local_cache/meta_cache_test.cc + benchmarks/metadata/local_cache/meta_cache_benchmark.cc</x:v>
      </x:c>
      <x:c r="K446" s="33" t="str">
        <x:v>L2 KVConnector层 / Connector开发</x:v>
      </x:c>
      <x:c r="L446" s="33" t="str">
        <x:v>L2-CONN-META-CACHE-004</x:v>
      </x:c>
    </x:row>
    <x:row r="447" ht="76" customHeight="1">
      <x:c r="A447" s="31" t="str">
        <x:v>SF-02/IR-02-04/SR-02-04-04</x:v>
      </x:c>
      <x:c r="B447" s="31" t="n">
        <x:v>3</x:v>
      </x:c>
      <x:c r="C447" s="32" t="str">
        <x:v>SR</x:v>
      </x:c>
      <x:c r="D447" s="32" t="str">
        <x:v>SR-02-04-04</x:v>
      </x:c>
      <x:c r="E447" s="32" t="str">
        <x:v>IR-02-04</x:v>
      </x:c>
      <x:c r="F447" s="32" t="str">
        <x:v>        ├─ SR-02-04-04 共享前缀 KVCache 批量查询</x:v>
      </x:c>
      <x:c r="G447" s="32" t="str">
        <x:v>共享前缀 KVCache 批量查询｜L2-PM-BatchLookup-021</x:v>
      </x:c>
      <x:c r="H447" s="31" t="str">
        <x:v>系统重构：本需求要求 Connector 提供 batch prefix lookup API：一次提交 block hash vector、radix span 或 page hash range，返回连续命中区间、tier、location、version 和 estimated load cost，避免每个 block/page 单独访问远端目录造成 metadata RTT 风暴。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x:v>
      </x:c>
      <x:c r="I447" s="31" t="str">
        <x:v>remote lookup QPS 降低 ≥50%；lookup p99 降低 ≥30%；</x:v>
      </x:c>
      <x:c r="J447" s="31" t="str"/>
      <x:c r="K447" s="31" t="str">
        <x:v>L2 KVConnector层 / 本地元数据缓存与快速判定</x:v>
      </x:c>
      <x:c r="L447" s="31" t="str">
        <x:v>L2-PM-BatchLookup-021</x:v>
      </x:c>
    </x:row>
    <x:row r="448" ht="76" customHeight="1">
      <x:c r="A448" s="33" t="str">
        <x:v>SF-02/IR-02-04/SR-02-04-04/AR-L2-PM-BatchLookup-021-01</x:v>
      </x:c>
      <x:c r="B448" s="33" t="n">
        <x:v>4</x:v>
      </x:c>
      <x:c r="C448" s="34" t="str">
        <x:v>AR</x:v>
      </x:c>
      <x:c r="D448" s="34" t="str">
        <x:v>AR-L2-PM-BatchLookup-021-01</x:v>
      </x:c>
      <x:c r="E448" s="34" t="str">
        <x:v>SR-02-04-04</x:v>
      </x:c>
      <x:c r="F448" s="34" t="str">
        <x:v>            ├─ AR-L2-PM-BatchLookup-021-01 核心实现</x:v>
      </x:c>
      <x:c r="G448" s="34" t="str">
        <x:v>核心实现</x:v>
      </x:c>
      <x:c r="H448" s="33" t="str">
        <x:v>在 `src/metadata/local_cache/batch_lookup.{h,cc}` 新增或重写 `BatchLookupCache`，把“共享前缀 KVCache 批量查询”落实为 L2 KVConnector层 可调用主路径：本需求要求 Connector 提供 batch prefix lookup API：一次提交 block hash vector、radix span 或 page hash range，返回连续命中区间、tier、location、version 和 estimated load cost，避免每个 block/page 单独访问远端目录造成 metadata RTT 风暴。 输入必须显式消费 semantic key + prefix range + version watermark，输出 candidate/negative result + freshness evidence，不得用全局单例或隐藏同步 I/O 绕开预算与状态机。</x:v>
      </x:c>
      <x:c r="I448" s="33" t="str">
        <x:v>remote lookup QPS 降低 ≥50%；lookup p99 降低 ≥30%；</x:v>
      </x:c>
      <x:c r="J448" s="33" t="str">
        <x:v>src/metadata/local_cache/batch_lookup.{h,cc}</x:v>
      </x:c>
      <x:c r="K448" s="33" t="str">
        <x:v>L2 KVConnector层 / Connector开发</x:v>
      </x:c>
      <x:c r="L448" s="33" t="str">
        <x:v>L2-PM-BatchLookup-021</x:v>
      </x:c>
    </x:row>
    <x:row r="449" ht="76" customHeight="1">
      <x:c r="A449" s="33" t="str">
        <x:v>SF-02/IR-02-04/SR-02-04-04/AR-L2-PM-BatchLookup-021-02</x:v>
      </x:c>
      <x:c r="B449" s="33" t="n">
        <x:v>4</x:v>
      </x:c>
      <x:c r="C449" s="34" t="str">
        <x:v>AR</x:v>
      </x:c>
      <x:c r="D449" s="34" t="str">
        <x:v>AR-L2-PM-BatchLookup-021-02</x:v>
      </x:c>
      <x:c r="E449" s="34" t="str">
        <x:v>SR-02-04-04</x:v>
      </x:c>
      <x:c r="F449" s="34" t="str">
        <x:v>            ├─ AR-L2-PM-BatchLookup-021-02 契约配置与降级</x:v>
      </x:c>
      <x:c r="G449" s="34" t="str">
        <x:v>契约配置与降级</x:v>
      </x:c>
      <x:c r="H449" s="33" t="str">
        <x:v>为 `BatchLookupOptions` 增加 `kvcache.batch_lookup.enabled`、deadline/容量/队列预算及版本字段；在调用点接入 typed error、decision_reason、fallback_reason，确保配置热更新、灰度关闭和向后兼容均可审计。</x:v>
      </x:c>
      <x:c r="I449" s="33" t="str">
        <x:v>remote lookup QPS 降低 ≥50%；lookup p99 降低 ≥30%；</x:v>
      </x:c>
      <x:c r="J449" s="33" t="str">
        <x:v>api/kvcache/v1/batch_lookup.proto + config/runtime/batch_lookup.yaml</x:v>
      </x:c>
      <x:c r="K449" s="33" t="str">
        <x:v>L2 KVConnector层 / Connector开发</x:v>
      </x:c>
      <x:c r="L449" s="33" t="str">
        <x:v>L2-PM-BatchLookup-021</x:v>
      </x:c>
    </x:row>
    <x:row r="450" ht="76" customHeight="1">
      <x:c r="A450" s="33" t="str">
        <x:v>SF-02/IR-02-04/SR-02-04-04/AR-L2-PM-BatchLookup-021-03</x:v>
      </x:c>
      <x:c r="B450" s="33" t="n">
        <x:v>4</x:v>
      </x:c>
      <x:c r="C450" s="34" t="str">
        <x:v>AR</x:v>
      </x:c>
      <x:c r="D450" s="34" t="str">
        <x:v>AR-L2-PM-BatchLookup-021-03</x:v>
      </x:c>
      <x:c r="E450" s="34" t="str">
        <x:v>SR-02-04-04</x:v>
      </x:c>
      <x:c r="F450" s="34" t="str">
        <x:v>            └─ AR-L2-PM-BatchLookup-021-03 验证与观测</x:v>
      </x:c>
      <x:c r="G450" s="34" t="str">
        <x:v>验证与观测</x:v>
      </x:c>
      <x:c r="H450" s="33" t="str">
        <x:v>新增正常、边界、并发、超时、stale metadata、迁移冲突、路径拥塞/故障与 feature-flag-off 用例；在 benchmark 中固定模型、tokenizer、prompt、并发、拓扑和 baseline，采集 lookup/load/attach、TTFT、TPOT、usable/abandoned hit、带宽/时延及 CPU/NPU 利用率。</x:v>
      </x:c>
      <x:c r="I450" s="33" t="str">
        <x:v>remote lookup QPS 降低 ≥50%；lookup p99 降低 ≥30%；</x:v>
      </x:c>
      <x:c r="J450" s="33" t="str">
        <x:v>tests/metadata/local_cache/batch_lookup_test.cc + benchmarks/metadata/local_cache/batch_lookup_benchmark.cc</x:v>
      </x:c>
      <x:c r="K450" s="33" t="str">
        <x:v>L2 KVConnector层 / Connector开发</x:v>
      </x:c>
      <x:c r="L450" s="33" t="str">
        <x:v>L2-PM-BatchLookup-021</x:v>
      </x:c>
    </x:row>
    <x:row r="451" ht="76" customHeight="1">
      <x:c r="A451" s="29" t="str">
        <x:v>SF-02/IR-02-05</x:v>
      </x:c>
      <x:c r="B451" s="29" t="n">
        <x:v>2</x:v>
      </x:c>
      <x:c r="C451" s="30" t="str">
        <x:v>IR</x:v>
      </x:c>
      <x:c r="D451" s="30" t="str">
        <x:v>IR-02-05</x:v>
      </x:c>
      <x:c r="E451" s="30" t="str">
        <x:v>SF-02</x:v>
      </x:c>
      <x:c r="F451" s="30" t="str">
        <x:v>    ├─ IR-02-05 支持集群级前缀目录、KV位置索引及副本可用性查询</x:v>
      </x:c>
      <x:c r="G451" s="30" t="str">
        <x:v>支持集群级前缀目录、KV位置索引及副本可用性查询</x:v>
      </x:c>
      <x:c r="H451" s="29" t="str">
        <x:v>系统应提供集群级 PrefixDirectory 和 KV 元数据服务，统一记录语义身份、对象 ID、extent、placement、副本、布局、版本、ready、lease、健康状态和 tombstone，回答前缀是否存在、是否可安全消费、有哪些副本以及从哪个位置获取最有利。目录应支持分片、副本、镜像、失效传播和故障恢复，避免同步远端查询成为 TTFT 单点瓶颈。
技术锚点：Compressed Radix/Hash Index + Consistent Hash + RocksDB/braft + Directory Mirror</x:v>
      </x:c>
      <x:c r="I451" s="29" t="str">
        <x:v>remote directory RTT降低≥50%；lookup p99降低≥30%；目录可用性≥99.99%；stale hit=0。</x:v>
      </x:c>
      <x:c r="J451" s="29" t="str"/>
      <x:c r="K451" s="29" t="str">
        <x:v>TM2</x:v>
      </x:c>
      <x:c r="L451" s="29" t="str">
        <x:v>V2.1修订定义</x:v>
      </x:c>
    </x:row>
    <x:row r="452" ht="76" customHeight="1">
      <x:c r="A452" s="31" t="str">
        <x:v>SF-02/IR-02-05/SR-02-05-01</x:v>
      </x:c>
      <x:c r="B452" s="31" t="n">
        <x:v>3</x:v>
      </x:c>
      <x:c r="C452" s="32" t="str">
        <x:v>SR</x:v>
      </x:c>
      <x:c r="D452" s="32" t="str">
        <x:v>SR-02-05-01</x:v>
      </x:c>
      <x:c r="E452" s="32" t="str">
        <x:v>IR-02-05</x:v>
      </x:c>
      <x:c r="F452" s="32" t="str">
        <x:v>        ├─ SR-02-05-01 高吞吐低时延元数据发布一致性</x:v>
      </x:c>
      <x:c r="G452" s="32" t="str">
        <x:v>高吞吐低时延元数据发布一致性｜L3-MS-AtomicPublishVisibility-087</x:v>
      </x:c>
      <x:c r="H452" s="31" t="str">
        <x:v>系统重构：本需求要求放弃控制面的三阶段提交（单写者流水线）与分布式 WAL 日志，数据平面全面拥抱单写者最终一致性架构；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x:v>
      </x:c>
      <x:c r="I452" s="31" t="str">
        <x:v>Prefix命中判定P99耗时 &lt; 200us；在Share-Prefix业务下，Usable Hit Rate提升≥15%。</x:v>
      </x:c>
      <x:c r="J452" s="31" t="str"/>
      <x:c r="K452" s="31" t="str">
        <x:v>L3 传输管理层 / 前缀目录与元数据平面</x:v>
      </x:c>
      <x:c r="L452" s="31" t="str">
        <x:v>L3-MS-AtomicPublishVisibility-087</x:v>
      </x:c>
    </x:row>
    <x:row r="453" ht="76" customHeight="1">
      <x:c r="A453" s="33" t="str">
        <x:v>SF-02/IR-02-05/SR-02-05-01/AR-L3-MS-AtomicPublishVisibility-087-01</x:v>
      </x:c>
      <x:c r="B453" s="33" t="n">
        <x:v>4</x:v>
      </x:c>
      <x:c r="C453" s="34" t="str">
        <x:v>AR</x:v>
      </x:c>
      <x:c r="D453" s="34" t="str">
        <x:v>AR-L3-MS-AtomicPublishVisibility-087-01</x:v>
      </x:c>
      <x:c r="E453" s="34" t="str">
        <x:v>SR-02-05-01</x:v>
      </x:c>
      <x:c r="F453" s="34" t="str">
        <x:v>            ├─ AR-L3-MS-AtomicPublishVisibility-087-01 核心实现</x:v>
      </x:c>
      <x:c r="G453" s="34" t="str">
        <x:v>核心实现</x:v>
      </x:c>
      <x:c r="H453" s="33" t="str">
        <x:v>在 `src/metadata/directory/atomic_publish_visibility.{h,cc}` 新增或重写 `AtomicPublishVisibilityDirectory`，把“高吞吐低时延元数据发布一致性”落实为 L3 传输管理层 可调用主路径：本需求要求放弃控制面的三阶段提交（单写者流水线）与分布式 WAL 日志，数据平面全面拥抱单写者最终一致性架构； 输入必须显式消费 publish/invalidations + prefix query + topology，输出 PrefixDirectoryRecord + replica candidates + consume eligibility，不得用全局单例或隐藏同步 I/O 绕开预算与状态机。</x:v>
      </x:c>
      <x:c r="I453" s="33" t="str">
        <x:v>Prefix命中判定P99耗时 &lt; 200us；在Share-Prefix业务下，Usable Hit Rate提升≥15%。</x:v>
      </x:c>
      <x:c r="J453" s="33" t="str">
        <x:v>src/metadata/directory/atomic_publish_visibility.{h,cc}</x:v>
      </x:c>
      <x:c r="K453" s="33" t="str">
        <x:v>L3 传输管理层 / 存储池/传输管理开发</x:v>
      </x:c>
      <x:c r="L453" s="33" t="str">
        <x:v>L3-MS-AtomicPublishVisibility-087</x:v>
      </x:c>
    </x:row>
    <x:row r="454" ht="76" customHeight="1">
      <x:c r="A454" s="33" t="str">
        <x:v>SF-02/IR-02-05/SR-02-05-01/AR-L3-MS-AtomicPublishVisibility-087-02</x:v>
      </x:c>
      <x:c r="B454" s="33" t="n">
        <x:v>4</x:v>
      </x:c>
      <x:c r="C454" s="34" t="str">
        <x:v>AR</x:v>
      </x:c>
      <x:c r="D454" s="34" t="str">
        <x:v>AR-L3-MS-AtomicPublishVisibility-087-02</x:v>
      </x:c>
      <x:c r="E454" s="34" t="str">
        <x:v>SR-02-05-01</x:v>
      </x:c>
      <x:c r="F454" s="34" t="str">
        <x:v>            ├─ AR-L3-MS-AtomicPublishVisibility-087-02 契约配置与降级</x:v>
      </x:c>
      <x:c r="G454" s="34" t="str">
        <x:v>契约配置与降级</x:v>
      </x:c>
      <x:c r="H454" s="33" t="str">
        <x:v>为 `AtomicPublishVisibilityOptions` 增加 `kvcache.atomic_publish_visibility.enabled`、deadline/容量/队列预算及版本字段；在调用点接入 typed error、decision_reason、fallback_reason，确保配置热更新、灰度关闭和向后兼容均可审计。</x:v>
      </x:c>
      <x:c r="I454" s="33" t="str">
        <x:v>Prefix命中判定P99耗时 &lt; 200us；在Share-Prefix业务下，Usable Hit Rate提升≥15%。</x:v>
      </x:c>
      <x:c r="J454" s="33" t="str">
        <x:v>api/kvcache/v1/atomic_publish_visibility.proto + config/runtime/atomic_publish_visibility.yaml</x:v>
      </x:c>
      <x:c r="K454" s="33" t="str">
        <x:v>L3 传输管理层 / 存储池/传输管理开发</x:v>
      </x:c>
      <x:c r="L454" s="33" t="str">
        <x:v>L3-MS-AtomicPublishVisibility-087</x:v>
      </x:c>
    </x:row>
    <x:row r="455" ht="76" customHeight="1">
      <x:c r="A455" s="33" t="str">
        <x:v>SF-02/IR-02-05/SR-02-05-01/AR-L3-MS-AtomicPublishVisibility-087-03</x:v>
      </x:c>
      <x:c r="B455" s="33" t="n">
        <x:v>4</x:v>
      </x:c>
      <x:c r="C455" s="34" t="str">
        <x:v>AR</x:v>
      </x:c>
      <x:c r="D455" s="34" t="str">
        <x:v>AR-L3-MS-AtomicPublishVisibility-087-03</x:v>
      </x:c>
      <x:c r="E455" s="34" t="str">
        <x:v>SR-02-05-01</x:v>
      </x:c>
      <x:c r="F455" s="34" t="str">
        <x:v>            └─ AR-L3-MS-AtomicPublishVisibility-087-03 验证与观测</x:v>
      </x:c>
      <x:c r="G455" s="34" t="str">
        <x:v>验证与观测</x:v>
      </x:c>
      <x:c r="H455" s="33" t="str">
        <x:v>新增正常、边界、并发、超时、stale metadata、迁移冲突、路径拥塞/故障与 feature-flag-off 用例；在 benchmark 中固定模型、tokenizer、prompt、并发、拓扑和 baseline，采集 lookup/load/attach、TTFT、TPOT、usable/abandoned hit、带宽/时延及 CPU/NPU 利用率。</x:v>
      </x:c>
      <x:c r="I455" s="33" t="str">
        <x:v>Prefix命中判定P99耗时 &lt; 200us；在Share-Prefix业务下，Usable Hit Rate提升≥15%。</x:v>
      </x:c>
      <x:c r="J455" s="33" t="str">
        <x:v>tests/metadata/directory/atomic_publish_visibility_test.cc + benchmarks/metadata/directory/atomic_publish_visibility_benchmark.cc</x:v>
      </x:c>
      <x:c r="K455" s="33" t="str">
        <x:v>L3 传输管理层 / 存储池/传输管理开发</x:v>
      </x:c>
      <x:c r="L455" s="33" t="str">
        <x:v>L3-MS-AtomicPublishVisibility-087</x:v>
      </x:c>
    </x:row>
    <x:row r="456" ht="76" customHeight="1">
      <x:c r="A456" s="31" t="str">
        <x:v>SF-02/IR-02-05/SR-02-05-02</x:v>
      </x:c>
      <x:c r="B456" s="31" t="n">
        <x:v>3</x:v>
      </x:c>
      <x:c r="C456" s="32" t="str">
        <x:v>SR</x:v>
      </x:c>
      <x:c r="D456" s="32" t="str">
        <x:v>SR-02-05-02</x:v>
      </x:c>
      <x:c r="E456" s="32" t="str">
        <x:v>IR-02-05</x:v>
      </x:c>
      <x:c r="F456" s="32" t="str">
        <x:v>        ├─ SR-02-05-02 Prefix hit 后能否转化为 usable hit</x:v>
      </x:c>
      <x:c r="G456" s="32" t="str">
        <x:v>Prefix hit 后能否转化为 usable hit｜L3-MS-ConsumeEligibility-060</x:v>
      </x:c>
      <x:c r="H456" s="31" t="str">
        <x:v>系统重构：本需求要求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x:v>
      </x:c>
      <x:c r="I456" s="31" t="str">
        <x:v>Prefix命中判定P99耗时 &lt; 200us；在Share-Prefix业务下，Usable Hit Rate提升≥15%。</x:v>
      </x:c>
      <x:c r="J456" s="31" t="str"/>
      <x:c r="K456" s="31" t="str">
        <x:v>L3 传输管理层 / 前缀目录与元数据平面</x:v>
      </x:c>
      <x:c r="L456" s="31" t="str">
        <x:v>L3-MS-ConsumeEligibility-060</x:v>
      </x:c>
    </x:row>
    <x:row r="457" ht="76" customHeight="1">
      <x:c r="A457" s="33" t="str">
        <x:v>SF-02/IR-02-05/SR-02-05-02/AR-L3-MS-ConsumeEligibility-060-01</x:v>
      </x:c>
      <x:c r="B457" s="33" t="n">
        <x:v>4</x:v>
      </x:c>
      <x:c r="C457" s="34" t="str">
        <x:v>AR</x:v>
      </x:c>
      <x:c r="D457" s="34" t="str">
        <x:v>AR-L3-MS-ConsumeEligibility-060-01</x:v>
      </x:c>
      <x:c r="E457" s="34" t="str">
        <x:v>SR-02-05-02</x:v>
      </x:c>
      <x:c r="F457" s="34" t="str">
        <x:v>            ├─ AR-L3-MS-ConsumeEligibility-060-01 核心实现</x:v>
      </x:c>
      <x:c r="G457" s="34" t="str">
        <x:v>核心实现</x:v>
      </x:c>
      <x:c r="H457" s="33" t="str">
        <x:v>在 `src/metadata/directory/consume_eligibility.{h,cc}` 新增或重写 `ConsumeEligibilityDirectory`，把“Prefix hit 后能否转化为 usable hit”落实为 L3 传输管理层 可调用主路径：本需求要求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 输入必须显式消费 publish/invalidations + prefix query + topology，输出 PrefixDirectoryRecord + replica candidates + consume eligibility，不得用全局单例或隐藏同步 I/O 绕开预算与状态机。</x:v>
      </x:c>
      <x:c r="I457" s="33" t="str">
        <x:v>Prefix命中判定P99耗时 &lt; 200us；在Share-Prefix业务下，Usable Hit Rate提升≥15%。</x:v>
      </x:c>
      <x:c r="J457" s="33" t="str">
        <x:v>src/metadata/directory/consume_eligibility.{h,cc}</x:v>
      </x:c>
      <x:c r="K457" s="33" t="str">
        <x:v>L3 传输管理层 / 存储池/传输管理开发</x:v>
      </x:c>
      <x:c r="L457" s="33" t="str">
        <x:v>L3-MS-ConsumeEligibility-060</x:v>
      </x:c>
    </x:row>
    <x:row r="458" ht="76" customHeight="1">
      <x:c r="A458" s="33" t="str">
        <x:v>SF-02/IR-02-05/SR-02-05-02/AR-L3-MS-ConsumeEligibility-060-02</x:v>
      </x:c>
      <x:c r="B458" s="33" t="n">
        <x:v>4</x:v>
      </x:c>
      <x:c r="C458" s="34" t="str">
        <x:v>AR</x:v>
      </x:c>
      <x:c r="D458" s="34" t="str">
        <x:v>AR-L3-MS-ConsumeEligibility-060-02</x:v>
      </x:c>
      <x:c r="E458" s="34" t="str">
        <x:v>SR-02-05-02</x:v>
      </x:c>
      <x:c r="F458" s="34" t="str">
        <x:v>            ├─ AR-L3-MS-ConsumeEligibility-060-02 契约配置与降级</x:v>
      </x:c>
      <x:c r="G458" s="34" t="str">
        <x:v>契约配置与降级</x:v>
      </x:c>
      <x:c r="H458" s="33" t="str">
        <x:v>为 `ConsumeEligibilityOptions` 增加 `kvcache.consume_eligibility.enabled`、deadline/容量/队列预算及版本字段；在调用点接入 typed error、decision_reason、fallback_reason，确保配置热更新、灰度关闭和向后兼容均可审计。</x:v>
      </x:c>
      <x:c r="I458" s="33" t="str">
        <x:v>Prefix命中判定P99耗时 &lt; 200us；在Share-Prefix业务下，Usable Hit Rate提升≥15%。</x:v>
      </x:c>
      <x:c r="J458" s="33" t="str">
        <x:v>api/kvcache/v1/consume_eligibility.proto + config/runtime/consume_eligibility.yaml</x:v>
      </x:c>
      <x:c r="K458" s="33" t="str">
        <x:v>L3 传输管理层 / 存储池/传输管理开发</x:v>
      </x:c>
      <x:c r="L458" s="33" t="str">
        <x:v>L3-MS-ConsumeEligibility-060</x:v>
      </x:c>
    </x:row>
    <x:row r="459" ht="76" customHeight="1">
      <x:c r="A459" s="33" t="str">
        <x:v>SF-02/IR-02-05/SR-02-05-02/AR-L3-MS-ConsumeEligibility-060-03</x:v>
      </x:c>
      <x:c r="B459" s="33" t="n">
        <x:v>4</x:v>
      </x:c>
      <x:c r="C459" s="34" t="str">
        <x:v>AR</x:v>
      </x:c>
      <x:c r="D459" s="34" t="str">
        <x:v>AR-L3-MS-ConsumeEligibility-060-03</x:v>
      </x:c>
      <x:c r="E459" s="34" t="str">
        <x:v>SR-02-05-02</x:v>
      </x:c>
      <x:c r="F459" s="34" t="str">
        <x:v>            └─ AR-L3-MS-ConsumeEligibility-060-03 验证与观测</x:v>
      </x:c>
      <x:c r="G459" s="34" t="str">
        <x:v>验证与观测</x:v>
      </x:c>
      <x:c r="H459" s="33" t="str">
        <x:v>新增正常、边界、并发、超时、stale metadata、迁移冲突、路径拥塞/故障与 feature-flag-off 用例；在 benchmark 中固定模型、tokenizer、prompt、并发、拓扑和 baseline，采集 lookup/load/attach、TTFT、TPOT、usable/abandoned hit、带宽/时延及 CPU/NPU 利用率。</x:v>
      </x:c>
      <x:c r="I459" s="33" t="str">
        <x:v>Prefix命中判定P99耗时 &lt; 200us；在Share-Prefix业务下，Usable Hit Rate提升≥15%。</x:v>
      </x:c>
      <x:c r="J459" s="33" t="str">
        <x:v>tests/metadata/directory/consume_eligibility_test.cc + benchmarks/metadata/directory/consume_eligibility_benchmark.cc</x:v>
      </x:c>
      <x:c r="K459" s="33" t="str">
        <x:v>L3 传输管理层 / 存储池/传输管理开发</x:v>
      </x:c>
      <x:c r="L459" s="33" t="str">
        <x:v>L3-MS-ConsumeEligibility-060</x:v>
      </x:c>
    </x:row>
    <x:row r="460" ht="76" customHeight="1">
      <x:c r="A460" s="31" t="str">
        <x:v>SF-02/IR-02-05/SR-02-05-03</x:v>
      </x:c>
      <x:c r="B460" s="31" t="n">
        <x:v>3</x:v>
      </x:c>
      <x:c r="C460" s="32" t="str">
        <x:v>SR</x:v>
      </x:c>
      <x:c r="D460" s="32" t="str">
        <x:v>SR-02-05-03</x:v>
      </x:c>
      <x:c r="E460" s="32" t="str">
        <x:v>IR-02-05</x:v>
      </x:c>
      <x:c r="F460" s="32" t="str">
        <x:v>        ├─ SR-02-05-03 节点级 KVCache 目录镜像加速</x:v>
      </x:c>
      <x:c r="G460" s="32" t="str">
        <x:v>节点级 KVCache 目录镜像加速｜L3-MS-DirectoryMirror-036</x:v>
      </x:c>
      <x:c r="H460" s="31" t="str">
        <x:v>系统重构：本需求要求每个推理节点维护 节点级目录镜像，使确定 miss 和热命中尽量在本地完成，避免分布式 directory RTT 进入 TTFT 主路径。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x:v>
      </x:c>
      <x:c r="I460" s="31" t="str">
        <x:v>remote directory RTT 降低 ≥50%；</x:v>
      </x:c>
      <x:c r="J460" s="31" t="str"/>
      <x:c r="K460" s="31" t="str">
        <x:v>L3 传输管理层 / 前缀目录与元数据平面</x:v>
      </x:c>
      <x:c r="L460" s="31" t="str">
        <x:v>L3-MS-DirectoryMirror-036</x:v>
      </x:c>
    </x:row>
    <x:row r="461" ht="76" customHeight="1">
      <x:c r="A461" s="33" t="str">
        <x:v>SF-02/IR-02-05/SR-02-05-03/AR-L3-MS-DirectoryMirror-036-01</x:v>
      </x:c>
      <x:c r="B461" s="33" t="n">
        <x:v>4</x:v>
      </x:c>
      <x:c r="C461" s="34" t="str">
        <x:v>AR</x:v>
      </x:c>
      <x:c r="D461" s="34" t="str">
        <x:v>AR-L3-MS-DirectoryMirror-036-01</x:v>
      </x:c>
      <x:c r="E461" s="34" t="str">
        <x:v>SR-02-05-03</x:v>
      </x:c>
      <x:c r="F461" s="34" t="str">
        <x:v>            ├─ AR-L3-MS-DirectoryMirror-036-01 核心实现</x:v>
      </x:c>
      <x:c r="G461" s="34" t="str">
        <x:v>核心实现</x:v>
      </x:c>
      <x:c r="H461" s="33" t="str">
        <x:v>在 `src/metadata/directory/directory_mirror.{h,cc}` 新增或重写 `DirectoryMirrorDirectory`，把“节点级 KVCache 目录镜像加速”落实为 L3 传输管理层 可调用主路径：本需求要求每个推理节点维护 节点级目录镜像，使确定 miss 和热命中尽量在本地完成，避免分布式 directory RTT 进入 TTFT 主路径。 输入必须显式消费 publish/invalidations + prefix query + topology，输出 PrefixDirectoryRecord + replica candidates + consume eligibility，不得用全局单例或隐藏同步 I/O 绕开预算与状态机。</x:v>
      </x:c>
      <x:c r="I461" s="33" t="str">
        <x:v>remote directory RTT 降低 ≥50%；</x:v>
      </x:c>
      <x:c r="J461" s="33" t="str">
        <x:v>src/metadata/directory/directory_mirror.{h,cc}</x:v>
      </x:c>
      <x:c r="K461" s="33" t="str">
        <x:v>L3 传输管理层 / 存储池/传输管理开发</x:v>
      </x:c>
      <x:c r="L461" s="33" t="str">
        <x:v>L3-MS-DirectoryMirror-036</x:v>
      </x:c>
    </x:row>
    <x:row r="462" ht="76" customHeight="1">
      <x:c r="A462" s="33" t="str">
        <x:v>SF-02/IR-02-05/SR-02-05-03/AR-L3-MS-DirectoryMirror-036-02</x:v>
      </x:c>
      <x:c r="B462" s="33" t="n">
        <x:v>4</x:v>
      </x:c>
      <x:c r="C462" s="34" t="str">
        <x:v>AR</x:v>
      </x:c>
      <x:c r="D462" s="34" t="str">
        <x:v>AR-L3-MS-DirectoryMirror-036-02</x:v>
      </x:c>
      <x:c r="E462" s="34" t="str">
        <x:v>SR-02-05-03</x:v>
      </x:c>
      <x:c r="F462" s="34" t="str">
        <x:v>            ├─ AR-L3-MS-DirectoryMirror-036-02 契约配置与降级</x:v>
      </x:c>
      <x:c r="G462" s="34" t="str">
        <x:v>契约配置与降级</x:v>
      </x:c>
      <x:c r="H462" s="33" t="str">
        <x:v>为 `DirectoryMirrorOptions` 增加 `kvcache.directory_mirror.enabled`、deadline/容量/队列预算及版本字段；在调用点接入 typed error、decision_reason、fallback_reason，确保配置热更新、灰度关闭和向后兼容均可审计。</x:v>
      </x:c>
      <x:c r="I462" s="33" t="str">
        <x:v>remote directory RTT 降低 ≥50%；</x:v>
      </x:c>
      <x:c r="J462" s="33" t="str">
        <x:v>api/kvcache/v1/directory_mirror.proto + config/runtime/directory_mirror.yaml</x:v>
      </x:c>
      <x:c r="K462" s="33" t="str">
        <x:v>L3 传输管理层 / 存储池/传输管理开发</x:v>
      </x:c>
      <x:c r="L462" s="33" t="str">
        <x:v>L3-MS-DirectoryMirror-036</x:v>
      </x:c>
    </x:row>
    <x:row r="463" ht="76" customHeight="1">
      <x:c r="A463" s="33" t="str">
        <x:v>SF-02/IR-02-05/SR-02-05-03/AR-L3-MS-DirectoryMirror-036-03</x:v>
      </x:c>
      <x:c r="B463" s="33" t="n">
        <x:v>4</x:v>
      </x:c>
      <x:c r="C463" s="34" t="str">
        <x:v>AR</x:v>
      </x:c>
      <x:c r="D463" s="34" t="str">
        <x:v>AR-L3-MS-DirectoryMirror-036-03</x:v>
      </x:c>
      <x:c r="E463" s="34" t="str">
        <x:v>SR-02-05-03</x:v>
      </x:c>
      <x:c r="F463" s="34" t="str">
        <x:v>            └─ AR-L3-MS-DirectoryMirror-036-03 验证与观测</x:v>
      </x:c>
      <x:c r="G463" s="34" t="str">
        <x:v>验证与观测</x:v>
      </x:c>
      <x:c r="H463" s="33" t="str">
        <x:v>新增正常、边界、并发、超时、stale metadata、迁移冲突、路径拥塞/故障与 feature-flag-off 用例；在 benchmark 中固定模型、tokenizer、prompt、并发、拓扑和 baseline，采集 lookup/load/attach、TTFT、TPOT、usable/abandoned hit、带宽/时延及 CPU/NPU 利用率。</x:v>
      </x:c>
      <x:c r="I463" s="33" t="str">
        <x:v>remote directory RTT 降低 ≥50%；</x:v>
      </x:c>
      <x:c r="J463" s="33" t="str">
        <x:v>tests/metadata/directory/directory_mirror_test.cc + benchmarks/metadata/directory/directory_mirror_benchmark.cc</x:v>
      </x:c>
      <x:c r="K463" s="33" t="str">
        <x:v>L3 传输管理层 / 存储池/传输管理开发</x:v>
      </x:c>
      <x:c r="L463" s="33" t="str">
        <x:v>L3-MS-DirectoryMirror-036</x:v>
      </x:c>
    </x:row>
    <x:row r="464" ht="76" customHeight="1">
      <x:c r="A464" s="31" t="str">
        <x:v>SF-02/IR-02-05/SR-02-05-04</x:v>
      </x:c>
      <x:c r="B464" s="31" t="n">
        <x:v>3</x:v>
      </x:c>
      <x:c r="C464" s="32" t="str">
        <x:v>SR</x:v>
      </x:c>
      <x:c r="D464" s="32" t="str">
        <x:v>SR-02-05-04</x:v>
      </x:c>
      <x:c r="E464" s="32" t="str">
        <x:v>IR-02-05</x:v>
      </x:c>
      <x:c r="F464" s="32" t="str">
        <x:v>        ├─ SR-02-05-04 Prefix lookup 避免远端 RTT 进入 TTFT</x:v>
      </x:c>
      <x:c r="G464" s="32" t="str">
        <x:v>Prefix lookup 避免远端 RTT 进入 TTFT｜L3-MS-HotLocalIndex-070</x:v>
      </x:c>
      <x:c r="H464" s="31" t="str">
        <x:v>系统重构：本需求要求每个推理节点维护 hot local prefix index，采用 fast fingerprint + semantic digest + placement summary 的两级结构，使确定 miss、热 prefix hit、stale 过滤尽量在本地完成；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x:v>
      </x:c>
      <x:c r="I464" s="31" t="str">
        <x:v>Prefix命中判定P99耗时 &lt; 200us；在Share-Prefix业务下，Usable Hit Rate提升≥15%。</x:v>
      </x:c>
      <x:c r="J464" s="31" t="str"/>
      <x:c r="K464" s="31" t="str">
        <x:v>L3 传输管理层 / 前缀目录与元数据平面</x:v>
      </x:c>
      <x:c r="L464" s="31" t="str">
        <x:v>L3-MS-HotLocalIndex-070</x:v>
      </x:c>
    </x:row>
    <x:row r="465" ht="76" customHeight="1">
      <x:c r="A465" s="33" t="str">
        <x:v>SF-02/IR-02-05/SR-02-05-04/AR-L3-MS-HotLocalIndex-070-01</x:v>
      </x:c>
      <x:c r="B465" s="33" t="n">
        <x:v>4</x:v>
      </x:c>
      <x:c r="C465" s="34" t="str">
        <x:v>AR</x:v>
      </x:c>
      <x:c r="D465" s="34" t="str">
        <x:v>AR-L3-MS-HotLocalIndex-070-01</x:v>
      </x:c>
      <x:c r="E465" s="34" t="str">
        <x:v>SR-02-05-04</x:v>
      </x:c>
      <x:c r="F465" s="34" t="str">
        <x:v>            ├─ AR-L3-MS-HotLocalIndex-070-01 核心实现</x:v>
      </x:c>
      <x:c r="G465" s="34" t="str">
        <x:v>核心实现</x:v>
      </x:c>
      <x:c r="H465" s="33" t="str">
        <x:v>在 `src/metadata/directory/hot_local_index.{h,cc}` 新增或重写 `HotLocalIndexDirectory`，把“Prefix lookup 避免远端 RTT 进入 TTFT”落实为 L3 传输管理层 可调用主路径：本需求要求每个推理节点维护 hot local prefix index，采用 fast fingerprint + semantic digest + placement summary 的两级结构，使确定 miss、热 prefix hit、stale 过滤尽量在本地完成； 输入必须显式消费 publish/invalidations + prefix query + topology，输出 PrefixDirectoryRecord + replica candidates + consume eligibility，不得用全局单例或隐藏同步 I/O 绕开预算与状态机。</x:v>
      </x:c>
      <x:c r="I465" s="33" t="str">
        <x:v>Prefix命中判定P99耗时 &lt; 200us；在Share-Prefix业务下，Usable Hit Rate提升≥15%。</x:v>
      </x:c>
      <x:c r="J465" s="33" t="str">
        <x:v>src/metadata/directory/hot_local_index.{h,cc}</x:v>
      </x:c>
      <x:c r="K465" s="33" t="str">
        <x:v>L3 传输管理层 / 存储池/传输管理开发</x:v>
      </x:c>
      <x:c r="L465" s="33" t="str">
        <x:v>L3-MS-HotLocalIndex-070</x:v>
      </x:c>
    </x:row>
    <x:row r="466" ht="76" customHeight="1">
      <x:c r="A466" s="33" t="str">
        <x:v>SF-02/IR-02-05/SR-02-05-04/AR-L3-MS-HotLocalIndex-070-02</x:v>
      </x:c>
      <x:c r="B466" s="33" t="n">
        <x:v>4</x:v>
      </x:c>
      <x:c r="C466" s="34" t="str">
        <x:v>AR</x:v>
      </x:c>
      <x:c r="D466" s="34" t="str">
        <x:v>AR-L3-MS-HotLocalIndex-070-02</x:v>
      </x:c>
      <x:c r="E466" s="34" t="str">
        <x:v>SR-02-05-04</x:v>
      </x:c>
      <x:c r="F466" s="34" t="str">
        <x:v>            ├─ AR-L3-MS-HotLocalIndex-070-02 契约配置与降级</x:v>
      </x:c>
      <x:c r="G466" s="34" t="str">
        <x:v>契约配置与降级</x:v>
      </x:c>
      <x:c r="H466" s="33" t="str">
        <x:v>为 `HotLocalIndexOptions` 增加 `kvcache.hot_local_index.enabled`、deadline/容量/队列预算及版本字段；在调用点接入 typed error、decision_reason、fallback_reason，确保配置热更新、灰度关闭和向后兼容均可审计。</x:v>
      </x:c>
      <x:c r="I466" s="33" t="str">
        <x:v>Prefix命中判定P99耗时 &lt; 200us；在Share-Prefix业务下，Usable Hit Rate提升≥15%。</x:v>
      </x:c>
      <x:c r="J466" s="33" t="str">
        <x:v>api/kvcache/v1/hot_local_index.proto + config/runtime/hot_local_index.yaml</x:v>
      </x:c>
      <x:c r="K466" s="33" t="str">
        <x:v>L3 传输管理层 / 存储池/传输管理开发</x:v>
      </x:c>
      <x:c r="L466" s="33" t="str">
        <x:v>L3-MS-HotLocalIndex-070</x:v>
      </x:c>
    </x:row>
    <x:row r="467" ht="76" customHeight="1">
      <x:c r="A467" s="33" t="str">
        <x:v>SF-02/IR-02-05/SR-02-05-04/AR-L3-MS-HotLocalIndex-070-03</x:v>
      </x:c>
      <x:c r="B467" s="33" t="n">
        <x:v>4</x:v>
      </x:c>
      <x:c r="C467" s="34" t="str">
        <x:v>AR</x:v>
      </x:c>
      <x:c r="D467" s="34" t="str">
        <x:v>AR-L3-MS-HotLocalIndex-070-03</x:v>
      </x:c>
      <x:c r="E467" s="34" t="str">
        <x:v>SR-02-05-04</x:v>
      </x:c>
      <x:c r="F467" s="34" t="str">
        <x:v>            └─ AR-L3-MS-HotLocalIndex-070-03 验证与观测</x:v>
      </x:c>
      <x:c r="G467" s="34" t="str">
        <x:v>验证与观测</x:v>
      </x:c>
      <x:c r="H467" s="33" t="str">
        <x:v>新增正常、边界、并发、超时、stale metadata、迁移冲突、路径拥塞/故障与 feature-flag-off 用例；在 benchmark 中固定模型、tokenizer、prompt、并发、拓扑和 baseline，采集 lookup/load/attach、TTFT、TPOT、usable/abandoned hit、带宽/时延及 CPU/NPU 利用率。</x:v>
      </x:c>
      <x:c r="I467" s="33" t="str">
        <x:v>Prefix命中判定P99耗时 &lt; 200us；在Share-Prefix业务下，Usable Hit Rate提升≥15%。</x:v>
      </x:c>
      <x:c r="J467" s="33" t="str">
        <x:v>tests/metadata/directory/hot_local_index_test.cc + benchmarks/metadata/directory/hot_local_index_benchmark.cc</x:v>
      </x:c>
      <x:c r="K467" s="33" t="str">
        <x:v>L3 传输管理层 / 存储池/传输管理开发</x:v>
      </x:c>
      <x:c r="L467" s="33" t="str">
        <x:v>L3-MS-HotLocalIndex-070</x:v>
      </x:c>
    </x:row>
    <x:row r="468" ht="76" customHeight="1">
      <x:c r="A468" s="31" t="str">
        <x:v>SF-02/IR-02-05/SR-02-05-05</x:v>
      </x:c>
      <x:c r="B468" s="31" t="n">
        <x:v>3</x:v>
      </x:c>
      <x:c r="C468" s="32" t="str">
        <x:v>SR</x:v>
      </x:c>
      <x:c r="D468" s="32" t="str">
        <x:v>SR-02-05-05</x:v>
      </x:c>
      <x:c r="E468" s="32" t="str">
        <x:v>IR-02-05</x:v>
      </x:c>
      <x:c r="F468" s="32" t="str">
        <x:v>        ├─ SR-02-05-05 旧 KV 副本复活与 stale hit 防护</x:v>
      </x:c>
      <x:c r="G468" s="32" t="str">
        <x:v>旧 KV 副本复活与 stale hit 防护｜L3-MS-InvalidationTombstone-066</x:v>
      </x:c>
      <x:c r="H468" s="31" t="str">
        <x:v>系统重构：本需求要求全局 prefix directory 支持 version invalidation、namespace invalidation 和 tombstone 机制；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x:v>
      </x:c>
      <x:c r="I468" s="31" t="str">
        <x:v>Prefix命中判定P99耗时 &lt; 200us；在Share-Prefix业务下，Usable Hit Rate提升≥15%。</x:v>
      </x:c>
      <x:c r="J468" s="31" t="str"/>
      <x:c r="K468" s="31" t="str">
        <x:v>L3 传输管理层 / 前缀目录与元数据平面</x:v>
      </x:c>
      <x:c r="L468" s="31" t="str">
        <x:v>L3-MS-InvalidationTombstone-066</x:v>
      </x:c>
    </x:row>
    <x:row r="469" ht="76" customHeight="1">
      <x:c r="A469" s="33" t="str">
        <x:v>SF-02/IR-02-05/SR-02-05-05/AR-L3-MS-InvalidationTombstone-066-01</x:v>
      </x:c>
      <x:c r="B469" s="33" t="n">
        <x:v>4</x:v>
      </x:c>
      <x:c r="C469" s="34" t="str">
        <x:v>AR</x:v>
      </x:c>
      <x:c r="D469" s="34" t="str">
        <x:v>AR-L3-MS-InvalidationTombstone-066-01</x:v>
      </x:c>
      <x:c r="E469" s="34" t="str">
        <x:v>SR-02-05-05</x:v>
      </x:c>
      <x:c r="F469" s="34" t="str">
        <x:v>            ├─ AR-L3-MS-InvalidationTombstone-066-01 核心实现</x:v>
      </x:c>
      <x:c r="G469" s="34" t="str">
        <x:v>核心实现</x:v>
      </x:c>
      <x:c r="H469" s="33" t="str">
        <x:v>在 `src/metadata/directory/invalidation_tombstone.{h,cc}` 新增或重写 `InvalidationTombstoneDirectory`，把“旧 KV 副本复活与 stale hit 防护”落实为 L3 传输管理层 可调用主路径：本需求要求全局 prefix directory 支持 version invalidation、namespace invalidation 和 tombstone 机制； 输入必须显式消费 publish/invalidations + prefix query + topology，输出 PrefixDirectoryRecord + replica candidates + consume eligibility，不得用全局单例或隐藏同步 I/O 绕开预算与状态机。</x:v>
      </x:c>
      <x:c r="I469" s="33" t="str">
        <x:v>Prefix命中判定P99耗时 &lt; 200us；在Share-Prefix业务下，Usable Hit Rate提升≥15%。</x:v>
      </x:c>
      <x:c r="J469" s="33" t="str">
        <x:v>src/metadata/directory/invalidation_tombstone.{h,cc}</x:v>
      </x:c>
      <x:c r="K469" s="33" t="str">
        <x:v>L3 传输管理层 / 存储池/传输管理开发</x:v>
      </x:c>
      <x:c r="L469" s="33" t="str">
        <x:v>L3-MS-InvalidationTombstone-066</x:v>
      </x:c>
    </x:row>
    <x:row r="470" ht="76" customHeight="1">
      <x:c r="A470" s="33" t="str">
        <x:v>SF-02/IR-02-05/SR-02-05-05/AR-L3-MS-InvalidationTombstone-066-02</x:v>
      </x:c>
      <x:c r="B470" s="33" t="n">
        <x:v>4</x:v>
      </x:c>
      <x:c r="C470" s="34" t="str">
        <x:v>AR</x:v>
      </x:c>
      <x:c r="D470" s="34" t="str">
        <x:v>AR-L3-MS-InvalidationTombstone-066-02</x:v>
      </x:c>
      <x:c r="E470" s="34" t="str">
        <x:v>SR-02-05-05</x:v>
      </x:c>
      <x:c r="F470" s="34" t="str">
        <x:v>            ├─ AR-L3-MS-InvalidationTombstone-066-02 契约配置与降级</x:v>
      </x:c>
      <x:c r="G470" s="34" t="str">
        <x:v>契约配置与降级</x:v>
      </x:c>
      <x:c r="H470" s="33" t="str">
        <x:v>为 `InvalidationTombstoneOptions` 增加 `kvcache.invalidation_tombstone.enabled`、deadline/容量/队列预算及版本字段；在调用点接入 typed error、decision_reason、fallback_reason，确保配置热更新、灰度关闭和向后兼容均可审计。</x:v>
      </x:c>
      <x:c r="I470" s="33" t="str">
        <x:v>Prefix命中判定P99耗时 &lt; 200us；在Share-Prefix业务下，Usable Hit Rate提升≥15%。</x:v>
      </x:c>
      <x:c r="J470" s="33" t="str">
        <x:v>api/kvcache/v1/invalidation_tombstone.proto + config/runtime/invalidation_tombstone.yaml</x:v>
      </x:c>
      <x:c r="K470" s="33" t="str">
        <x:v>L3 传输管理层 / 存储池/传输管理开发</x:v>
      </x:c>
      <x:c r="L470" s="33" t="str">
        <x:v>L3-MS-InvalidationTombstone-066</x:v>
      </x:c>
    </x:row>
    <x:row r="471" ht="76" customHeight="1">
      <x:c r="A471" s="33" t="str">
        <x:v>SF-02/IR-02-05/SR-02-05-05/AR-L3-MS-InvalidationTombstone-066-03</x:v>
      </x:c>
      <x:c r="B471" s="33" t="n">
        <x:v>4</x:v>
      </x:c>
      <x:c r="C471" s="34" t="str">
        <x:v>AR</x:v>
      </x:c>
      <x:c r="D471" s="34" t="str">
        <x:v>AR-L3-MS-InvalidationTombstone-066-03</x:v>
      </x:c>
      <x:c r="E471" s="34" t="str">
        <x:v>SR-02-05-05</x:v>
      </x:c>
      <x:c r="F471" s="34" t="str">
        <x:v>            └─ AR-L3-MS-InvalidationTombstone-066-03 验证与观测</x:v>
      </x:c>
      <x:c r="G471" s="34" t="str">
        <x:v>验证与观测</x:v>
      </x:c>
      <x:c r="H471" s="33" t="str">
        <x:v>新增正常、边界、并发、超时、stale metadata、迁移冲突、路径拥塞/故障与 feature-flag-off 用例；在 benchmark 中固定模型、tokenizer、prompt、并发、拓扑和 baseline，采集 lookup/load/attach、TTFT、TPOT、usable/abandoned hit、带宽/时延及 CPU/NPU 利用率。</x:v>
      </x:c>
      <x:c r="I471" s="33" t="str">
        <x:v>Prefix命中判定P99耗时 &lt; 200us；在Share-Prefix业务下，Usable Hit Rate提升≥15%。</x:v>
      </x:c>
      <x:c r="J471" s="33" t="str">
        <x:v>tests/metadata/directory/invalidation_tombstone_test.cc + benchmarks/metadata/directory/invalidation_tombstone_benchmark.cc</x:v>
      </x:c>
      <x:c r="K471" s="33" t="str">
        <x:v>L3 传输管理层 / 存储池/传输管理开发</x:v>
      </x:c>
      <x:c r="L471" s="33" t="str">
        <x:v>L3-MS-InvalidationTombstone-066</x:v>
      </x:c>
    </x:row>
    <x:row r="472" ht="76" customHeight="1">
      <x:c r="A472" s="31" t="str">
        <x:v>SF-02/IR-02-05/SR-02-05-06</x:v>
      </x:c>
      <x:c r="B472" s="31" t="n">
        <x:v>3</x:v>
      </x:c>
      <x:c r="C472" s="32" t="str">
        <x:v>SR</x:v>
      </x:c>
      <x:c r="D472" s="32" t="str">
        <x:v>SR-02-05-06</x:v>
      </x:c>
      <x:c r="E472" s="32" t="str">
        <x:v>IR-02-05</x:v>
      </x:c>
      <x:c r="F472" s="32" t="str">
        <x:v>        ├─ SR-02-05-06 KVCache 元数据热路径加速</x:v>
      </x:c>
      <x:c r="G472" s="32" t="str">
        <x:v>KVCache 元数据热路径加速｜L3-MS-MetadataDataPlane-035</x:v>
      </x:c>
      <x:c r="H472" s="31" t="str">
        <x:v>系统重构：本需求要求将 KV metadata plane 与 KV data plane 物理和逻辑隔离：prefix directory、manifest、ready bitmap、placement summary 优先放 UB/C2C/local DDR；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x:v>
      </x:c>
      <x:c r="I472" s="31" t="str">
        <x:v>prefix lookup p99 降低 ≥30%；</x:v>
      </x:c>
      <x:c r="J472" s="31" t="str"/>
      <x:c r="K472" s="31" t="str">
        <x:v>L3 传输管理层 / 前缀目录与元数据平面</x:v>
      </x:c>
      <x:c r="L472" s="31" t="str">
        <x:v>L3-MS-MetadataDataPlane-035</x:v>
      </x:c>
    </x:row>
    <x:row r="473" ht="76" customHeight="1">
      <x:c r="A473" s="33" t="str">
        <x:v>SF-02/IR-02-05/SR-02-05-06/AR-L3-MS-MetadataDataPlane-035-01</x:v>
      </x:c>
      <x:c r="B473" s="33" t="n">
        <x:v>4</x:v>
      </x:c>
      <x:c r="C473" s="34" t="str">
        <x:v>AR</x:v>
      </x:c>
      <x:c r="D473" s="34" t="str">
        <x:v>AR-L3-MS-MetadataDataPlane-035-01</x:v>
      </x:c>
      <x:c r="E473" s="34" t="str">
        <x:v>SR-02-05-06</x:v>
      </x:c>
      <x:c r="F473" s="34" t="str">
        <x:v>            ├─ AR-L3-MS-MetadataDataPlane-035-01 核心实现</x:v>
      </x:c>
      <x:c r="G473" s="34" t="str">
        <x:v>核心实现</x:v>
      </x:c>
      <x:c r="H473" s="33" t="str">
        <x:v>在 `src/metadata/directory/metadata_data_plane.{h,cc}` 新增或重写 `MetadataDataPlaneDirectory`，把“KVCache 元数据热路径加速”落实为 L3 传输管理层 可调用主路径：本需求要求将 KV metadata plane 与 KV data plane 物理和逻辑隔离：prefix directory、manifest、ready bitmap、placement summary 优先放 UB/C2C/local DDR； 输入必须显式消费 publish/invalidations + prefix query + topology，输出 PrefixDirectoryRecord + replica candidates + consume eligibility，不得用全局单例或隐藏同步 I/O 绕开预算与状态机。</x:v>
      </x:c>
      <x:c r="I473" s="33" t="str">
        <x:v>prefix lookup p99 降低 ≥30%；</x:v>
      </x:c>
      <x:c r="J473" s="33" t="str">
        <x:v>src/metadata/directory/metadata_data_plane.{h,cc}</x:v>
      </x:c>
      <x:c r="K473" s="33" t="str">
        <x:v>L3 传输管理层 / 存储池/传输管理开发</x:v>
      </x:c>
      <x:c r="L473" s="33" t="str">
        <x:v>L3-MS-MetadataDataPlane-035</x:v>
      </x:c>
    </x:row>
    <x:row r="474" ht="76" customHeight="1">
      <x:c r="A474" s="33" t="str">
        <x:v>SF-02/IR-02-05/SR-02-05-06/AR-L3-MS-MetadataDataPlane-035-02</x:v>
      </x:c>
      <x:c r="B474" s="33" t="n">
        <x:v>4</x:v>
      </x:c>
      <x:c r="C474" s="34" t="str">
        <x:v>AR</x:v>
      </x:c>
      <x:c r="D474" s="34" t="str">
        <x:v>AR-L3-MS-MetadataDataPlane-035-02</x:v>
      </x:c>
      <x:c r="E474" s="34" t="str">
        <x:v>SR-02-05-06</x:v>
      </x:c>
      <x:c r="F474" s="34" t="str">
        <x:v>            ├─ AR-L3-MS-MetadataDataPlane-035-02 契约配置与降级</x:v>
      </x:c>
      <x:c r="G474" s="34" t="str">
        <x:v>契约配置与降级</x:v>
      </x:c>
      <x:c r="H474" s="33" t="str">
        <x:v>为 `MetadataDataPlaneOptions` 增加 `kvcache.metadata_data_plane.enabled`、deadline/容量/队列预算及版本字段；在调用点接入 typed error、decision_reason、fallback_reason，确保配置热更新、灰度关闭和向后兼容均可审计。</x:v>
      </x:c>
      <x:c r="I474" s="33" t="str">
        <x:v>prefix lookup p99 降低 ≥30%；</x:v>
      </x:c>
      <x:c r="J474" s="33" t="str">
        <x:v>api/kvcache/v1/metadata_data_plane.proto + config/runtime/metadata_data_plane.yaml</x:v>
      </x:c>
      <x:c r="K474" s="33" t="str">
        <x:v>L3 传输管理层 / 存储池/传输管理开发</x:v>
      </x:c>
      <x:c r="L474" s="33" t="str">
        <x:v>L3-MS-MetadataDataPlane-035</x:v>
      </x:c>
    </x:row>
    <x:row r="475" ht="76" customHeight="1">
      <x:c r="A475" s="33" t="str">
        <x:v>SF-02/IR-02-05/SR-02-05-06/AR-L3-MS-MetadataDataPlane-035-03</x:v>
      </x:c>
      <x:c r="B475" s="33" t="n">
        <x:v>4</x:v>
      </x:c>
      <x:c r="C475" s="34" t="str">
        <x:v>AR</x:v>
      </x:c>
      <x:c r="D475" s="34" t="str">
        <x:v>AR-L3-MS-MetadataDataPlane-035-03</x:v>
      </x:c>
      <x:c r="E475" s="34" t="str">
        <x:v>SR-02-05-06</x:v>
      </x:c>
      <x:c r="F475" s="34" t="str">
        <x:v>            └─ AR-L3-MS-MetadataDataPlane-035-03 验证与观测</x:v>
      </x:c>
      <x:c r="G475" s="34" t="str">
        <x:v>验证与观测</x:v>
      </x:c>
      <x:c r="H475" s="33" t="str">
        <x:v>新增正常、边界、并发、超时、stale metadata、迁移冲突、路径拥塞/故障与 feature-flag-off 用例；在 benchmark 中固定模型、tokenizer、prompt、并发、拓扑和 baseline，采集 lookup/load/attach、TTFT、TPOT、usable/abandoned hit、带宽/时延及 CPU/NPU 利用率。</x:v>
      </x:c>
      <x:c r="I475" s="33" t="str">
        <x:v>prefix lookup p99 降低 ≥30%；</x:v>
      </x:c>
      <x:c r="J475" s="33" t="str">
        <x:v>tests/metadata/directory/metadata_data_plane_test.cc + benchmarks/metadata/directory/metadata_data_plane_benchmark.cc</x:v>
      </x:c>
      <x:c r="K475" s="33" t="str">
        <x:v>L3 传输管理层 / 存储池/传输管理开发</x:v>
      </x:c>
      <x:c r="L475" s="33" t="str">
        <x:v>L3-MS-MetadataDataPlane-035</x:v>
      </x:c>
    </x:row>
    <x:row r="476" ht="76" customHeight="1">
      <x:c r="A476" s="31" t="str">
        <x:v>SF-02/IR-02-05/SR-02-05-07</x:v>
      </x:c>
      <x:c r="B476" s="31" t="n">
        <x:v>3</x:v>
      </x:c>
      <x:c r="C476" s="32" t="str">
        <x:v>SR</x:v>
      </x:c>
      <x:c r="D476" s="32" t="str">
        <x:v>SR-02-05-07</x:v>
      </x:c>
      <x:c r="E476" s="32" t="str">
        <x:v>IR-02-05</x:v>
      </x:c>
      <x:c r="F476" s="32" t="str">
        <x:v>        ├─ SR-02-05-07 前缀匹配元数据结构设计</x:v>
      </x:c>
      <x:c r="G476" s="32" t="str">
        <x:v>前缀匹配元数据结构设计｜L3-MS-PrefixDirectorySchema-069</x:v>
      </x:c>
      <x:c r="H476" s="31" t="str">
        <x:v>系统重构：本需求要求设计面向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x:v>
      </x:c>
      <x:c r="I476" s="31" t="str">
        <x:v>Prefix命中判定P99耗时 &lt; 200us；在Share-Prefix业务下，Usable Hit Rate提升≥15%。</x:v>
      </x:c>
      <x:c r="J476" s="31" t="str"/>
      <x:c r="K476" s="31" t="str">
        <x:v>L3 传输管理层 / 前缀目录与元数据平面</x:v>
      </x:c>
      <x:c r="L476" s="31" t="str">
        <x:v>L3-MS-PrefixDirectorySchema-069</x:v>
      </x:c>
    </x:row>
    <x:row r="477" ht="76" customHeight="1">
      <x:c r="A477" s="33" t="str">
        <x:v>SF-02/IR-02-05/SR-02-05-07/AR-L3-MS-PrefixDirectorySchema-069-01</x:v>
      </x:c>
      <x:c r="B477" s="33" t="n">
        <x:v>4</x:v>
      </x:c>
      <x:c r="C477" s="34" t="str">
        <x:v>AR</x:v>
      </x:c>
      <x:c r="D477" s="34" t="str">
        <x:v>AR-L3-MS-PrefixDirectorySchema-069-01</x:v>
      </x:c>
      <x:c r="E477" s="34" t="str">
        <x:v>SR-02-05-07</x:v>
      </x:c>
      <x:c r="F477" s="34" t="str">
        <x:v>            ├─ AR-L3-MS-PrefixDirectorySchema-069-01 核心实现</x:v>
      </x:c>
      <x:c r="G477" s="34" t="str">
        <x:v>核心实现</x:v>
      </x:c>
      <x:c r="H477" s="33" t="str">
        <x:v>在 `src/metadata/directory/prefix_directory_schema.{h,cc}` 新增或重写 `PrefixDirectorySchemaDirectory`，把“前缀匹配元数据结构设计”落实为 L3 传输管理层 可调用主路径：本需求要求设计面向 TTFT 关键路径的 prefix directory entry 结构，entry 至少包含 prefix_hash、prefix_span、semantic identity digest、object_id list、continuous block range、tier summary、best placement summary、version、ready summary、estimated_load_c… 输入必须显式消费 publish/invalidations + prefix query + topology，输出 PrefixDirectoryRecord + replica candidates + consume eligibility，不得用全局单例或隐藏同步 I/O 绕开预算与状态机。</x:v>
      </x:c>
      <x:c r="I477" s="33" t="str">
        <x:v>Prefix命中判定P99耗时 &lt; 200us；在Share-Prefix业务下，Usable Hit Rate提升≥15%。</x:v>
      </x:c>
      <x:c r="J477" s="33" t="str">
        <x:v>src/metadata/directory/prefix_directory_schema.{h,cc}</x:v>
      </x:c>
      <x:c r="K477" s="33" t="str">
        <x:v>L3 传输管理层 / 存储池/传输管理开发</x:v>
      </x:c>
      <x:c r="L477" s="33" t="str">
        <x:v>L3-MS-PrefixDirectorySchema-069</x:v>
      </x:c>
    </x:row>
    <x:row r="478" ht="76" customHeight="1">
      <x:c r="A478" s="33" t="str">
        <x:v>SF-02/IR-02-05/SR-02-05-07/AR-L3-MS-PrefixDirectorySchema-069-02</x:v>
      </x:c>
      <x:c r="B478" s="33" t="n">
        <x:v>4</x:v>
      </x:c>
      <x:c r="C478" s="34" t="str">
        <x:v>AR</x:v>
      </x:c>
      <x:c r="D478" s="34" t="str">
        <x:v>AR-L3-MS-PrefixDirectorySchema-069-02</x:v>
      </x:c>
      <x:c r="E478" s="34" t="str">
        <x:v>SR-02-05-07</x:v>
      </x:c>
      <x:c r="F478" s="34" t="str">
        <x:v>            ├─ AR-L3-MS-PrefixDirectorySchema-069-02 契约配置与降级</x:v>
      </x:c>
      <x:c r="G478" s="34" t="str">
        <x:v>契约配置与降级</x:v>
      </x:c>
      <x:c r="H478" s="33" t="str">
        <x:v>为 `PrefixDirectorySchemaOptions` 增加 `kvcache.prefix_directory_schema.enabled`、deadline/容量/队列预算及版本字段；在调用点接入 typed error、decision_reason、fallback_reason，确保配置热更新、灰度关闭和向后兼容均可审计。</x:v>
      </x:c>
      <x:c r="I478" s="33" t="str">
        <x:v>Prefix命中判定P99耗时 &lt; 200us；在Share-Prefix业务下，Usable Hit Rate提升≥15%。</x:v>
      </x:c>
      <x:c r="J478" s="33" t="str">
        <x:v>api/kvcache/v1/prefix_directory_schema.proto + config/runtime/prefix_directory_schema.yaml</x:v>
      </x:c>
      <x:c r="K478" s="33" t="str">
        <x:v>L3 传输管理层 / 存储池/传输管理开发</x:v>
      </x:c>
      <x:c r="L478" s="33" t="str">
        <x:v>L3-MS-PrefixDirectorySchema-069</x:v>
      </x:c>
    </x:row>
    <x:row r="479" ht="76" customHeight="1">
      <x:c r="A479" s="33" t="str">
        <x:v>SF-02/IR-02-05/SR-02-05-07/AR-L3-MS-PrefixDirectorySchema-069-03</x:v>
      </x:c>
      <x:c r="B479" s="33" t="n">
        <x:v>4</x:v>
      </x:c>
      <x:c r="C479" s="34" t="str">
        <x:v>AR</x:v>
      </x:c>
      <x:c r="D479" s="34" t="str">
        <x:v>AR-L3-MS-PrefixDirectorySchema-069-03</x:v>
      </x:c>
      <x:c r="E479" s="34" t="str">
        <x:v>SR-02-05-07</x:v>
      </x:c>
      <x:c r="F479" s="34" t="str">
        <x:v>            └─ AR-L3-MS-PrefixDirectorySchema-069-03 验证与观测</x:v>
      </x:c>
      <x:c r="G479" s="34" t="str">
        <x:v>验证与观测</x:v>
      </x:c>
      <x:c r="H479" s="33" t="str">
        <x:v>新增正常、边界、并发、超时、stale metadata、迁移冲突、路径拥塞/故障与 feature-flag-off 用例；在 benchmark 中固定模型、tokenizer、prompt、并发、拓扑和 baseline，采集 lookup/load/attach、TTFT、TPOT、usable/abandoned hit、带宽/时延及 CPU/NPU 利用率。</x:v>
      </x:c>
      <x:c r="I479" s="33" t="str">
        <x:v>Prefix命中判定P99耗时 &lt; 200us；在Share-Prefix业务下，Usable Hit Rate提升≥15%。</x:v>
      </x:c>
      <x:c r="J479" s="33" t="str">
        <x:v>tests/metadata/directory/prefix_directory_schema_test.cc + benchmarks/metadata/directory/prefix_directory_schema_benchmark.cc</x:v>
      </x:c>
      <x:c r="K479" s="33" t="str">
        <x:v>L3 传输管理层 / 存储池/传输管理开发</x:v>
      </x:c>
      <x:c r="L479" s="33" t="str">
        <x:v>L3-MS-PrefixDirectorySchema-069</x:v>
      </x:c>
    </x:row>
    <x:row r="480" ht="76" customHeight="1">
      <x:c r="A480" s="31" t="str">
        <x:v>SF-02/IR-02-05/SR-02-05-08</x:v>
      </x:c>
      <x:c r="B480" s="31" t="n">
        <x:v>3</x:v>
      </x:c>
      <x:c r="C480" s="32" t="str">
        <x:v>SR</x:v>
      </x:c>
      <x:c r="D480" s="32" t="str">
        <x:v>SR-02-05-08</x:v>
      </x:c>
      <x:c r="E480" s="32" t="str">
        <x:v>IR-02-05</x:v>
      </x:c>
      <x:c r="F480" s="32" t="str">
        <x:v>        ├─ SR-02-05-08 长前缀批量命中判定</x:v>
      </x:c>
      <x:c r="G480" s="32" t="str">
        <x:v>长前缀批量命中判定｜L3-MS-RangeBatchLookup-071</x:v>
      </x:c>
      <x:c r="H480" s="31" t="str">
        <x:v>系统重构：本需求要求 prefix directory 支持 range/batch lookup：一次输入 block hash vector、radix span 或 page range，返回最长连续可消费区间、不可消费区间、候选 placement 列表和推荐 load/recompute 分界，避免逐 block 查询造成 metadata RTT 风暴。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x:v>
      </x:c>
      <x:c r="I480" s="31" t="str">
        <x:v>Prefix命中判定P99耗时 &lt; 200us；在Share-Prefix业务下，Usable Hit Rate提升≥15%。</x:v>
      </x:c>
      <x:c r="J480" s="31" t="str"/>
      <x:c r="K480" s="31" t="str">
        <x:v>L3 传输管理层 / 前缀目录与元数据平面</x:v>
      </x:c>
      <x:c r="L480" s="31" t="str">
        <x:v>L3-MS-RangeBatchLookup-071</x:v>
      </x:c>
    </x:row>
    <x:row r="481" ht="76" customHeight="1">
      <x:c r="A481" s="33" t="str">
        <x:v>SF-02/IR-02-05/SR-02-05-08/AR-L3-MS-RangeBatchLookup-071-01</x:v>
      </x:c>
      <x:c r="B481" s="33" t="n">
        <x:v>4</x:v>
      </x:c>
      <x:c r="C481" s="34" t="str">
        <x:v>AR</x:v>
      </x:c>
      <x:c r="D481" s="34" t="str">
        <x:v>AR-L3-MS-RangeBatchLookup-071-01</x:v>
      </x:c>
      <x:c r="E481" s="34" t="str">
        <x:v>SR-02-05-08</x:v>
      </x:c>
      <x:c r="F481" s="34" t="str">
        <x:v>            ├─ AR-L3-MS-RangeBatchLookup-071-01 核心实现</x:v>
      </x:c>
      <x:c r="G481" s="34" t="str">
        <x:v>核心实现</x:v>
      </x:c>
      <x:c r="H481" s="33" t="str">
        <x:v>在 `src/metadata/directory/range_batch_lookup.{h,cc}` 新增或重写 `RangeBatchLookupDirectory`，把“长前缀批量命中判定”落实为 L3 传输管理层 可调用主路径：本需求要求 prefix directory 支持 range/batch lookup：一次输入 block hash vector、radix span 或 page range，返回最长连续可消费区间、不可消费区间、候选 placement 列表和推荐 load/recompute 分界，避免逐 block 查询造成 metadata RTT 风暴。 输入必须显式消费 publish/invalidations + prefix query + topology，输出 PrefixDirectoryRecord + replica candidates + consume eligibility，不得用全局单例或隐藏同步 I/O 绕开预算与状态机。</x:v>
      </x:c>
      <x:c r="I481" s="33" t="str">
        <x:v>Prefix命中判定P99耗时 &lt; 200us；在Share-Prefix业务下，Usable Hit Rate提升≥15%。</x:v>
      </x:c>
      <x:c r="J481" s="33" t="str">
        <x:v>src/metadata/directory/range_batch_lookup.{h,cc}</x:v>
      </x:c>
      <x:c r="K481" s="33" t="str">
        <x:v>L3 传输管理层 / 存储池/传输管理开发</x:v>
      </x:c>
      <x:c r="L481" s="33" t="str">
        <x:v>L3-MS-RangeBatchLookup-071</x:v>
      </x:c>
    </x:row>
    <x:row r="482" ht="76" customHeight="1">
      <x:c r="A482" s="33" t="str">
        <x:v>SF-02/IR-02-05/SR-02-05-08/AR-L3-MS-RangeBatchLookup-071-02</x:v>
      </x:c>
      <x:c r="B482" s="33" t="n">
        <x:v>4</x:v>
      </x:c>
      <x:c r="C482" s="34" t="str">
        <x:v>AR</x:v>
      </x:c>
      <x:c r="D482" s="34" t="str">
        <x:v>AR-L3-MS-RangeBatchLookup-071-02</x:v>
      </x:c>
      <x:c r="E482" s="34" t="str">
        <x:v>SR-02-05-08</x:v>
      </x:c>
      <x:c r="F482" s="34" t="str">
        <x:v>            ├─ AR-L3-MS-RangeBatchLookup-071-02 契约配置与降级</x:v>
      </x:c>
      <x:c r="G482" s="34" t="str">
        <x:v>契约配置与降级</x:v>
      </x:c>
      <x:c r="H482" s="33" t="str">
        <x:v>为 `RangeBatchLookupOptions` 增加 `kvcache.range_batch_lookup.enabled`、deadline/容量/队列预算及版本字段；在调用点接入 typed error、decision_reason、fallback_reason，确保配置热更新、灰度关闭和向后兼容均可审计。</x:v>
      </x:c>
      <x:c r="I482" s="33" t="str">
        <x:v>Prefix命中判定P99耗时 &lt; 200us；在Share-Prefix业务下，Usable Hit Rate提升≥15%。</x:v>
      </x:c>
      <x:c r="J482" s="33" t="str">
        <x:v>api/kvcache/v1/range_batch_lookup.proto + config/runtime/range_batch_lookup.yaml</x:v>
      </x:c>
      <x:c r="K482" s="33" t="str">
        <x:v>L3 传输管理层 / 存储池/传输管理开发</x:v>
      </x:c>
      <x:c r="L482" s="33" t="str">
        <x:v>L3-MS-RangeBatchLookup-071</x:v>
      </x:c>
    </x:row>
    <x:row r="483" ht="76" customHeight="1">
      <x:c r="A483" s="33" t="str">
        <x:v>SF-02/IR-02-05/SR-02-05-08/AR-L3-MS-RangeBatchLookup-071-03</x:v>
      </x:c>
      <x:c r="B483" s="33" t="n">
        <x:v>4</x:v>
      </x:c>
      <x:c r="C483" s="34" t="str">
        <x:v>AR</x:v>
      </x:c>
      <x:c r="D483" s="34" t="str">
        <x:v>AR-L3-MS-RangeBatchLookup-071-03</x:v>
      </x:c>
      <x:c r="E483" s="34" t="str">
        <x:v>SR-02-05-08</x:v>
      </x:c>
      <x:c r="F483" s="34" t="str">
        <x:v>            └─ AR-L3-MS-RangeBatchLookup-071-03 验证与观测</x:v>
      </x:c>
      <x:c r="G483" s="34" t="str">
        <x:v>验证与观测</x:v>
      </x:c>
      <x:c r="H483" s="33" t="str">
        <x:v>新增正常、边界、并发、超时、stale metadata、迁移冲突、路径拥塞/故障与 feature-flag-off 用例；在 benchmark 中固定模型、tokenizer、prompt、并发、拓扑和 baseline，采集 lookup/load/attach、TTFT、TPOT、usable/abandoned hit、带宽/时延及 CPU/NPU 利用率。</x:v>
      </x:c>
      <x:c r="I483" s="33" t="str">
        <x:v>Prefix命中判定P99耗时 &lt; 200us；在Share-Prefix业务下，Usable Hit Rate提升≥15%。</x:v>
      </x:c>
      <x:c r="J483" s="33" t="str">
        <x:v>tests/metadata/directory/range_batch_lookup_test.cc + benchmarks/metadata/directory/range_batch_lookup_benchmark.cc</x:v>
      </x:c>
      <x:c r="K483" s="33" t="str">
        <x:v>L3 传输管理层 / 存储池/传输管理开发</x:v>
      </x:c>
      <x:c r="L483" s="33" t="str">
        <x:v>L3-MS-RangeBatchLookup-071</x:v>
      </x:c>
    </x:row>
    <x:row r="484" ht="76" customHeight="1">
      <x:c r="A484" s="31" t="str">
        <x:v>SF-02/IR-02-05/SR-02-05-09</x:v>
      </x:c>
      <x:c r="B484" s="31" t="n">
        <x:v>3</x:v>
      </x:c>
      <x:c r="C484" s="32" t="str">
        <x:v>SR</x:v>
      </x:c>
      <x:c r="D484" s="32" t="str">
        <x:v>SR-02-05-09</x:v>
      </x:c>
      <x:c r="E484" s="32" t="str">
        <x:v>IR-02-05</x:v>
      </x:c>
      <x:c r="F484" s="32" t="str">
        <x:v>        ├─ SR-02-05-09 多副本 KV 的位置与状态管理</x:v>
      </x:c>
      <x:c r="G484" s="32" t="str">
        <x:v>多副本 KV 的位置与状态管理｜L3-MS-ReplicaPlacementState-059</x:v>
      </x:c>
      <x:c r="H484" s="31" t="str">
        <x:v>系统重构：本需求要求同一 KV object 的每个副本独立维护 placement state，至少包含 tier、node_id、device_id、offset/extent、layout、visibility_level、queue_state、replica_health、version、last_access 和 migration_token；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x:v>
      </x:c>
      <x:c r="I484" s="31" t="str">
        <x:v>节点动态加入/退出时的缓存失效控制在局部范围内（遵循一致性哈希比例）。</x:v>
      </x:c>
      <x:c r="J484" s="31" t="str"/>
      <x:c r="K484" s="31" t="str">
        <x:v>L3 传输管理层 / 前缀目录与元数据平面</x:v>
      </x:c>
      <x:c r="L484" s="31" t="str">
        <x:v>L3-MS-ReplicaPlacementState-059</x:v>
      </x:c>
    </x:row>
    <x:row r="485" ht="76" customHeight="1">
      <x:c r="A485" s="33" t="str">
        <x:v>SF-02/IR-02-05/SR-02-05-09/AR-L3-MS-ReplicaPlacementState-059-01</x:v>
      </x:c>
      <x:c r="B485" s="33" t="n">
        <x:v>4</x:v>
      </x:c>
      <x:c r="C485" s="34" t="str">
        <x:v>AR</x:v>
      </x:c>
      <x:c r="D485" s="34" t="str">
        <x:v>AR-L3-MS-ReplicaPlacementState-059-01</x:v>
      </x:c>
      <x:c r="E485" s="34" t="str">
        <x:v>SR-02-05-09</x:v>
      </x:c>
      <x:c r="F485" s="34" t="str">
        <x:v>            ├─ AR-L3-MS-ReplicaPlacementState-059-01 核心实现</x:v>
      </x:c>
      <x:c r="G485" s="34" t="str">
        <x:v>核心实现</x:v>
      </x:c>
      <x:c r="H485" s="33" t="str">
        <x:v>在 `src/metadata/directory/replica_placement_state.{h,cc}` 新增或重写 `ReplicaPlacementStateDirectory`，把“多副本 KV 的位置与状态管理”落实为 L3 传输管理层 可调用主路径：本需求要求同一 KV object 的每个副本独立维护 placement state，至少包含 tier、node_id、device_id、offset/extent、layout、visibility_level、queue_state、replica_health、version、last_access 和 migration_token； 输入必须显式消费 publish/invalidations + prefix query + topology，输出 PrefixDirectoryRecord + replica candidates + consume eligibility，不得用全局单例或隐藏同步 I/O 绕开预算与状态机。</x:v>
      </x:c>
      <x:c r="I485" s="33" t="str">
        <x:v>节点动态加入/退出时的缓存失效控制在局部范围内（遵循一致性哈希比例）。</x:v>
      </x:c>
      <x:c r="J485" s="33" t="str">
        <x:v>src/metadata/directory/replica_placement_state.{h,cc}</x:v>
      </x:c>
      <x:c r="K485" s="33" t="str">
        <x:v>L3 传输管理层 / 存储池/传输管理开发</x:v>
      </x:c>
      <x:c r="L485" s="33" t="str">
        <x:v>L3-MS-ReplicaPlacementState-059</x:v>
      </x:c>
    </x:row>
    <x:row r="486" ht="76" customHeight="1">
      <x:c r="A486" s="33" t="str">
        <x:v>SF-02/IR-02-05/SR-02-05-09/AR-L3-MS-ReplicaPlacementState-059-02</x:v>
      </x:c>
      <x:c r="B486" s="33" t="n">
        <x:v>4</x:v>
      </x:c>
      <x:c r="C486" s="34" t="str">
        <x:v>AR</x:v>
      </x:c>
      <x:c r="D486" s="34" t="str">
        <x:v>AR-L3-MS-ReplicaPlacementState-059-02</x:v>
      </x:c>
      <x:c r="E486" s="34" t="str">
        <x:v>SR-02-05-09</x:v>
      </x:c>
      <x:c r="F486" s="34" t="str">
        <x:v>            ├─ AR-L3-MS-ReplicaPlacementState-059-02 契约配置与降级</x:v>
      </x:c>
      <x:c r="G486" s="34" t="str">
        <x:v>契约配置与降级</x:v>
      </x:c>
      <x:c r="H486" s="33" t="str">
        <x:v>为 `ReplicaPlacementStateOptions` 增加 `kvcache.replica_placement_state.enabled`、deadline/容量/队列预算及版本字段；在调用点接入 typed error、decision_reason、fallback_reason，确保配置热更新、灰度关闭和向后兼容均可审计。</x:v>
      </x:c>
      <x:c r="I486" s="33" t="str">
        <x:v>节点动态加入/退出时的缓存失效控制在局部范围内（遵循一致性哈希比例）。</x:v>
      </x:c>
      <x:c r="J486" s="33" t="str">
        <x:v>api/kvcache/v1/replica_placement_state.proto + config/runtime/replica_placement_state.yaml</x:v>
      </x:c>
      <x:c r="K486" s="33" t="str">
        <x:v>L3 传输管理层 / 存储池/传输管理开发</x:v>
      </x:c>
      <x:c r="L486" s="33" t="str">
        <x:v>L3-MS-ReplicaPlacementState-059</x:v>
      </x:c>
    </x:row>
    <x:row r="487" ht="76" customHeight="1">
      <x:c r="A487" s="33" t="str">
        <x:v>SF-02/IR-02-05/SR-02-05-09/AR-L3-MS-ReplicaPlacementState-059-03</x:v>
      </x:c>
      <x:c r="B487" s="33" t="n">
        <x:v>4</x:v>
      </x:c>
      <x:c r="C487" s="34" t="str">
        <x:v>AR</x:v>
      </x:c>
      <x:c r="D487" s="34" t="str">
        <x:v>AR-L3-MS-ReplicaPlacementState-059-03</x:v>
      </x:c>
      <x:c r="E487" s="34" t="str">
        <x:v>SR-02-05-09</x:v>
      </x:c>
      <x:c r="F487" s="34" t="str">
        <x:v>            └─ AR-L3-MS-ReplicaPlacementState-059-03 验证与观测</x:v>
      </x:c>
      <x:c r="G487" s="34" t="str">
        <x:v>验证与观测</x:v>
      </x:c>
      <x:c r="H487" s="33" t="str">
        <x:v>新增正常、边界、并发、超时、stale metadata、迁移冲突、路径拥塞/故障与 feature-flag-off 用例；在 benchmark 中固定模型、tokenizer、prompt、并发、拓扑和 baseline，采集 lookup/load/attach、TTFT、TPOT、usable/abandoned hit、带宽/时延及 CPU/NPU 利用率。</x:v>
      </x:c>
      <x:c r="I487" s="33" t="str">
        <x:v>节点动态加入/退出时的缓存失效控制在局部范围内（遵循一致性哈希比例）。</x:v>
      </x:c>
      <x:c r="J487" s="33" t="str">
        <x:v>tests/metadata/directory/replica_placement_state_test.cc + benchmarks/metadata/directory/replica_placement_state_benchmark.cc</x:v>
      </x:c>
      <x:c r="K487" s="33" t="str">
        <x:v>L3 传输管理层 / 存储池/传输管理开发</x:v>
      </x:c>
      <x:c r="L487" s="33" t="str">
        <x:v>L3-MS-ReplicaPlacementState-059</x:v>
      </x:c>
    </x:row>
    <x:row r="488" ht="76" customHeight="1">
      <x:c r="A488" s="31" t="str">
        <x:v>SF-02/IR-02-05/SR-02-05-10</x:v>
      </x:c>
      <x:c r="B488" s="31" t="n">
        <x:v>3</x:v>
      </x:c>
      <x:c r="C488" s="32" t="str">
        <x:v>SR</x:v>
      </x:c>
      <x:c r="D488" s="32" t="str">
        <x:v>SR-02-05-10</x:v>
      </x:c>
      <x:c r="E488" s="32" t="str">
        <x:v>IR-02-05</x:v>
      </x:c>
      <x:c r="F488" s="32" t="str">
        <x:v>        ├─ SR-02-05-10 本地元数据缓存过期导致误命中</x:v>
      </x:c>
      <x:c r="G488" s="32" t="str">
        <x:v>本地元数据缓存过期导致误命中｜L3-MS-StaleHitGuard-067</x:v>
      </x:c>
      <x:c r="H488" s="31" t="str">
        <x:v>系统重构：本需求要求 L3 元数据查询结果必须携带 version、epoch、directory_generation 和 stale 标记；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x:v>
      </x:c>
      <x:c r="I488" s="31" t="str">
        <x:v>节点动态加入/退出时的缓存失效控制在局部范围内（遵循一致性哈希比例）。</x:v>
      </x:c>
      <x:c r="J488" s="31" t="str"/>
      <x:c r="K488" s="31" t="str">
        <x:v>L3 传输管理层 / 前缀目录与元数据平面</x:v>
      </x:c>
      <x:c r="L488" s="31" t="str">
        <x:v>L3-MS-StaleHitGuard-067</x:v>
      </x:c>
    </x:row>
    <x:row r="489" ht="76" customHeight="1">
      <x:c r="A489" s="33" t="str">
        <x:v>SF-02/IR-02-05/SR-02-05-10/AR-L3-MS-StaleHitGuard-067-01</x:v>
      </x:c>
      <x:c r="B489" s="33" t="n">
        <x:v>4</x:v>
      </x:c>
      <x:c r="C489" s="34" t="str">
        <x:v>AR</x:v>
      </x:c>
      <x:c r="D489" s="34" t="str">
        <x:v>AR-L3-MS-StaleHitGuard-067-01</x:v>
      </x:c>
      <x:c r="E489" s="34" t="str">
        <x:v>SR-02-05-10</x:v>
      </x:c>
      <x:c r="F489" s="34" t="str">
        <x:v>            ├─ AR-L3-MS-StaleHitGuard-067-01 核心实现</x:v>
      </x:c>
      <x:c r="G489" s="34" t="str">
        <x:v>核心实现</x:v>
      </x:c>
      <x:c r="H489" s="33" t="str">
        <x:v>在 `src/metadata/directory/stale_hit_guard.{h,cc}` 新增或重写 `StaleHitGuardDirectory`，把“本地元数据缓存过期导致误命中”落实为 L3 传输管理层 可调用主路径：本需求要求 L3 元数据查询结果必须携带 version、epoch、directory_generation 和 stale 标记； 输入必须显式消费 publish/invalidations + prefix query + topology，输出 PrefixDirectoryRecord + replica candidates + consume eligibility，不得用全局单例或隐藏同步 I/O 绕开预算与状态机。</x:v>
      </x:c>
      <x:c r="I489" s="33" t="str">
        <x:v>节点动态加入/退出时的缓存失效控制在局部范围内（遵循一致性哈希比例）。</x:v>
      </x:c>
      <x:c r="J489" s="33" t="str">
        <x:v>src/metadata/directory/stale_hit_guard.{h,cc}</x:v>
      </x:c>
      <x:c r="K489" s="33" t="str">
        <x:v>L3 传输管理层 / 存储池/传输管理开发</x:v>
      </x:c>
      <x:c r="L489" s="33" t="str">
        <x:v>L3-MS-StaleHitGuard-067</x:v>
      </x:c>
    </x:row>
    <x:row r="490" ht="76" customHeight="1">
      <x:c r="A490" s="33" t="str">
        <x:v>SF-02/IR-02-05/SR-02-05-10/AR-L3-MS-StaleHitGuard-067-02</x:v>
      </x:c>
      <x:c r="B490" s="33" t="n">
        <x:v>4</x:v>
      </x:c>
      <x:c r="C490" s="34" t="str">
        <x:v>AR</x:v>
      </x:c>
      <x:c r="D490" s="34" t="str">
        <x:v>AR-L3-MS-StaleHitGuard-067-02</x:v>
      </x:c>
      <x:c r="E490" s="34" t="str">
        <x:v>SR-02-05-10</x:v>
      </x:c>
      <x:c r="F490" s="34" t="str">
        <x:v>            ├─ AR-L3-MS-StaleHitGuard-067-02 契约配置与降级</x:v>
      </x:c>
      <x:c r="G490" s="34" t="str">
        <x:v>契约配置与降级</x:v>
      </x:c>
      <x:c r="H490" s="33" t="str">
        <x:v>为 `StaleHitGuardOptions` 增加 `kvcache.stale_hit_guard.enabled`、deadline/容量/队列预算及版本字段；在调用点接入 typed error、decision_reason、fallback_reason，确保配置热更新、灰度关闭和向后兼容均可审计。</x:v>
      </x:c>
      <x:c r="I490" s="33" t="str">
        <x:v>节点动态加入/退出时的缓存失效控制在局部范围内（遵循一致性哈希比例）。</x:v>
      </x:c>
      <x:c r="J490" s="33" t="str">
        <x:v>api/kvcache/v1/stale_hit_guard.proto + config/runtime/stale_hit_guard.yaml</x:v>
      </x:c>
      <x:c r="K490" s="33" t="str">
        <x:v>L3 传输管理层 / 存储池/传输管理开发</x:v>
      </x:c>
      <x:c r="L490" s="33" t="str">
        <x:v>L3-MS-StaleHitGuard-067</x:v>
      </x:c>
    </x:row>
    <x:row r="491" ht="76" customHeight="1">
      <x:c r="A491" s="33" t="str">
        <x:v>SF-02/IR-02-05/SR-02-05-10/AR-L3-MS-StaleHitGuard-067-03</x:v>
      </x:c>
      <x:c r="B491" s="33" t="n">
        <x:v>4</x:v>
      </x:c>
      <x:c r="C491" s="34" t="str">
        <x:v>AR</x:v>
      </x:c>
      <x:c r="D491" s="34" t="str">
        <x:v>AR-L3-MS-StaleHitGuard-067-03</x:v>
      </x:c>
      <x:c r="E491" s="34" t="str">
        <x:v>SR-02-05-10</x:v>
      </x:c>
      <x:c r="F491" s="34" t="str">
        <x:v>            └─ AR-L3-MS-StaleHitGuard-067-03 验证与观测</x:v>
      </x:c>
      <x:c r="G491" s="34" t="str">
        <x:v>验证与观测</x:v>
      </x:c>
      <x:c r="H491" s="33" t="str">
        <x:v>新增正常、边界、并发、超时、stale metadata、迁移冲突、路径拥塞/故障与 feature-flag-off 用例；在 benchmark 中固定模型、tokenizer、prompt、并发、拓扑和 baseline，采集 lookup/load/attach、TTFT、TPOT、usable/abandoned hit、带宽/时延及 CPU/NPU 利用率。</x:v>
      </x:c>
      <x:c r="I491" s="33" t="str">
        <x:v>节点动态加入/退出时的缓存失效控制在局部范围内（遵循一致性哈希比例）。</x:v>
      </x:c>
      <x:c r="J491" s="33" t="str">
        <x:v>tests/metadata/directory/stale_hit_guard_test.cc + benchmarks/metadata/directory/stale_hit_guard_benchmark.cc</x:v>
      </x:c>
      <x:c r="K491" s="33" t="str">
        <x:v>L3 传输管理层 / 存储池/传输管理开发</x:v>
      </x:c>
      <x:c r="L491" s="33" t="str">
        <x:v>L3-MS-StaleHitGuard-067</x:v>
      </x:c>
    </x:row>
    <x:row r="492" ht="76" customHeight="1">
      <x:c r="A492" s="31" t="str">
        <x:v>SF-02/IR-02-05/SR-02-05-11</x:v>
      </x:c>
      <x:c r="B492" s="31" t="n">
        <x:v>3</x:v>
      </x:c>
      <x:c r="C492" s="32" t="str">
        <x:v>SR</x:v>
      </x:c>
      <x:c r="D492" s="32" t="str">
        <x:v>SR-02-05-11</x:v>
      </x:c>
      <x:c r="E492" s="32" t="str">
        <x:v>IR-02-05</x:v>
      </x:c>
      <x:c r="F492" s="32" t="str">
        <x:v>        ├─ SR-02-05-11 前缀命中判断加速</x:v>
      </x:c>
      <x:c r="G492" s="32" t="str">
        <x:v>前缀命中判断加速｜L3-MC-PFX-IDX-003</x:v>
      </x:c>
      <x:c r="H492" s="31" t="str">
        <x:v>系统重构：本需求要求将Mooncake的前缀元数据查询路径从基于TCP的etcd/Redis改造为基于RDMA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x:v>
      </x:c>
      <x:c r="I492" s="31" t="str">
        <x:v>Prefix命中判定P99耗时 &lt; 200us；在Share-Prefix业务下，Usable Hit Rate提升≥15%。</x:v>
      </x:c>
      <x:c r="J492" s="31" t="str"/>
      <x:c r="K492" s="31" t="str">
        <x:v>L3 传输管理层 / 前缀目录与元数据平面</x:v>
      </x:c>
      <x:c r="L492" s="31" t="str">
        <x:v>L3-MC-PFX-IDX-003</x:v>
      </x:c>
    </x:row>
    <x:row r="493" ht="76" customHeight="1">
      <x:c r="A493" s="33" t="str">
        <x:v>SF-02/IR-02-05/SR-02-05-11/AR-L3-MC-PFX-IDX-003-01</x:v>
      </x:c>
      <x:c r="B493" s="33" t="n">
        <x:v>4</x:v>
      </x:c>
      <x:c r="C493" s="34" t="str">
        <x:v>AR</x:v>
      </x:c>
      <x:c r="D493" s="34" t="str">
        <x:v>AR-L3-MC-PFX-IDX-003-01</x:v>
      </x:c>
      <x:c r="E493" s="34" t="str">
        <x:v>SR-02-05-11</x:v>
      </x:c>
      <x:c r="F493" s="34" t="str">
        <x:v>            ├─ AR-L3-MC-PFX-IDX-003-01 核心实现</x:v>
      </x:c>
      <x:c r="G493" s="34" t="str">
        <x:v>核心实现</x:v>
      </x:c>
      <x:c r="H493" s="33" t="str">
        <x:v>在 `src/metadata/directory/pfx_idx.{h,cc}` 新增或重写 `PFXIDXDirectory`，把“前缀命中判断加速”落实为 L3 传输管理层 可调用主路径：本需求要求将Mooncake的前缀元数据查询路径从基于TCP的etcd/Redis改造为基于RDMA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 输入必须显式消费 publish/invalidations + prefix query + topology，输出 PrefixDirectoryRecord + replica candidates + consume eligibility，不得用全局单例或隐藏同步 I/O 绕开预算与状态机。</x:v>
      </x:c>
      <x:c r="I493" s="33" t="str">
        <x:v>Prefix命中判定P99耗时 &lt; 200us；在Share-Prefix业务下，Usable Hit Rate提升≥15%。</x:v>
      </x:c>
      <x:c r="J493" s="33" t="str">
        <x:v>src/metadata/directory/pfx_idx.{h,cc}</x:v>
      </x:c>
      <x:c r="K493" s="33" t="str">
        <x:v>L3 传输管理层 / 存储池/传输管理开发</x:v>
      </x:c>
      <x:c r="L493" s="33" t="str">
        <x:v>L3-MC-PFX-IDX-003</x:v>
      </x:c>
    </x:row>
    <x:row r="494" ht="76" customHeight="1">
      <x:c r="A494" s="33" t="str">
        <x:v>SF-02/IR-02-05/SR-02-05-11/AR-L3-MC-PFX-IDX-003-02</x:v>
      </x:c>
      <x:c r="B494" s="33" t="n">
        <x:v>4</x:v>
      </x:c>
      <x:c r="C494" s="34" t="str">
        <x:v>AR</x:v>
      </x:c>
      <x:c r="D494" s="34" t="str">
        <x:v>AR-L3-MC-PFX-IDX-003-02</x:v>
      </x:c>
      <x:c r="E494" s="34" t="str">
        <x:v>SR-02-05-11</x:v>
      </x:c>
      <x:c r="F494" s="34" t="str">
        <x:v>            ├─ AR-L3-MC-PFX-IDX-003-02 契约配置与降级</x:v>
      </x:c>
      <x:c r="G494" s="34" t="str">
        <x:v>契约配置与降级</x:v>
      </x:c>
      <x:c r="H494" s="33" t="str">
        <x:v>为 `PFXIDXOptions` 增加 `kvcache.pfx_idx.enabled`、deadline/容量/队列预算及版本字段；在调用点接入 typed error、decision_reason、fallback_reason，确保配置热更新、灰度关闭和向后兼容均可审计。</x:v>
      </x:c>
      <x:c r="I494" s="33" t="str">
        <x:v>Prefix命中判定P99耗时 &lt; 200us；在Share-Prefix业务下，Usable Hit Rate提升≥15%。</x:v>
      </x:c>
      <x:c r="J494" s="33" t="str">
        <x:v>api/kvcache/v1/pfx_idx.proto + config/runtime/pfx_idx.yaml</x:v>
      </x:c>
      <x:c r="K494" s="33" t="str">
        <x:v>L3 传输管理层 / 存储池/传输管理开发</x:v>
      </x:c>
      <x:c r="L494" s="33" t="str">
        <x:v>L3-MC-PFX-IDX-003</x:v>
      </x:c>
    </x:row>
    <x:row r="495" ht="76" customHeight="1">
      <x:c r="A495" s="33" t="str">
        <x:v>SF-02/IR-02-05/SR-02-05-11/AR-L3-MC-PFX-IDX-003-03</x:v>
      </x:c>
      <x:c r="B495" s="33" t="n">
        <x:v>4</x:v>
      </x:c>
      <x:c r="C495" s="34" t="str">
        <x:v>AR</x:v>
      </x:c>
      <x:c r="D495" s="34" t="str">
        <x:v>AR-L3-MC-PFX-IDX-003-03</x:v>
      </x:c>
      <x:c r="E495" s="34" t="str">
        <x:v>SR-02-05-11</x:v>
      </x:c>
      <x:c r="F495" s="34" t="str">
        <x:v>            └─ AR-L3-MC-PFX-IDX-003-03 验证与观测</x:v>
      </x:c>
      <x:c r="G495" s="34" t="str">
        <x:v>验证与观测</x:v>
      </x:c>
      <x:c r="H495" s="33" t="str">
        <x:v>新增正常、边界、并发、超时、stale metadata、迁移冲突、路径拥塞/故障与 feature-flag-off 用例；在 benchmark 中固定模型、tokenizer、prompt、并发、拓扑和 baseline，采集 lookup/load/attach、TTFT、TPOT、usable/abandoned hit、带宽/时延及 CPU/NPU 利用率。</x:v>
      </x:c>
      <x:c r="I495" s="33" t="str">
        <x:v>Prefix命中判定P99耗时 &lt; 200us；在Share-Prefix业务下，Usable Hit Rate提升≥15%。</x:v>
      </x:c>
      <x:c r="J495" s="33" t="str">
        <x:v>tests/metadata/directory/pfx_idx_test.cc + benchmarks/metadata/directory/pfx_idx_benchmark.cc</x:v>
      </x:c>
      <x:c r="K495" s="33" t="str">
        <x:v>L3 传输管理层 / 存储池/传输管理开发</x:v>
      </x:c>
      <x:c r="L495" s="33" t="str">
        <x:v>L3-MC-PFX-IDX-003</x:v>
      </x:c>
    </x:row>
    <x:row r="496" ht="76" customHeight="1">
      <x:c r="A496" s="31" t="str">
        <x:v>SF-02/IR-02-05/SR-02-05-12</x:v>
      </x:c>
      <x:c r="B496" s="31" t="n">
        <x:v>3</x:v>
      </x:c>
      <x:c r="C496" s="32" t="str">
        <x:v>SR</x:v>
      </x:c>
      <x:c r="D496" s="32" t="str">
        <x:v>SR-02-05-12</x:v>
      </x:c>
      <x:c r="E496" s="32" t="str">
        <x:v>IR-02-05</x:v>
      </x:c>
      <x:c r="F496" s="32" t="str">
        <x:v>        ├─ SR-02-05-12 分布式索引高可用</x:v>
      </x:c>
      <x:c r="G496" s="32" t="str">
        <x:v>分布式索引高可用｜L3-MC-PFX-REPL-004</x:v>
      </x:c>
      <x:c r="H496" s="31" t="str">
        <x:v>系统重构：本需求要求为Mooncake分布式前缀索引实现基于一致性哈希环（+一致性哈希多节点/物理节点）的均衡分片机制，并为每个分片提供N=2副本，通过RDMA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x:v>
      </x:c>
      <x:c r="I496" s="31" t="str">
        <x:v>Prefix命中判定P99耗时 &lt; 200us；在Share-Prefix业务下，Usable Hit Rate提升≥15%。</x:v>
      </x:c>
      <x:c r="J496" s="31" t="str"/>
      <x:c r="K496" s="31" t="str">
        <x:v>L3 传输管理层 / 前缀目录与元数据平面</x:v>
      </x:c>
      <x:c r="L496" s="31" t="str">
        <x:v>L3-MC-PFX-REPL-004</x:v>
      </x:c>
    </x:row>
    <x:row r="497" ht="76" customHeight="1">
      <x:c r="A497" s="33" t="str">
        <x:v>SF-02/IR-02-05/SR-02-05-12/AR-L3-MC-PFX-REPL-004-01</x:v>
      </x:c>
      <x:c r="B497" s="33" t="n">
        <x:v>4</x:v>
      </x:c>
      <x:c r="C497" s="34" t="str">
        <x:v>AR</x:v>
      </x:c>
      <x:c r="D497" s="34" t="str">
        <x:v>AR-L3-MC-PFX-REPL-004-01</x:v>
      </x:c>
      <x:c r="E497" s="34" t="str">
        <x:v>SR-02-05-12</x:v>
      </x:c>
      <x:c r="F497" s="34" t="str">
        <x:v>            ├─ AR-L3-MC-PFX-REPL-004-01 核心实现</x:v>
      </x:c>
      <x:c r="G497" s="34" t="str">
        <x:v>核心实现</x:v>
      </x:c>
      <x:c r="H497" s="33" t="str">
        <x:v>在 `src/metadata/directory/pfx_repl.{h,cc}` 新增或重写 `PFXREPLDirectory`，把“分布式索引高可用”落实为 L3 传输管理层 可调用主路径：本需求要求为Mooncake分布式前缀索引实现基于一致性哈希环（+一致性哈希多节点/物理节点）的均衡分片机制，并为每个分片提供N=2副本，通过RDMA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 输入必须显式消费 publish/invalidations + prefix query + topology，输出 PrefixDirectoryRecord + replica candidates + consume eligibility，不得用全局单例或隐藏同步 I/O 绕开预算与状态机。</x:v>
      </x:c>
      <x:c r="I497" s="33" t="str">
        <x:v>Prefix命中判定P99耗时 &lt; 200us；在Share-Prefix业务下，Usable Hit Rate提升≥15%。</x:v>
      </x:c>
      <x:c r="J497" s="33" t="str">
        <x:v>src/metadata/directory/pfx_repl.{h,cc}</x:v>
      </x:c>
      <x:c r="K497" s="33" t="str">
        <x:v>L3 传输管理层 / 存储池/传输管理开发</x:v>
      </x:c>
      <x:c r="L497" s="33" t="str">
        <x:v>L3-MC-PFX-REPL-004</x:v>
      </x:c>
    </x:row>
    <x:row r="498" ht="76" customHeight="1">
      <x:c r="A498" s="33" t="str">
        <x:v>SF-02/IR-02-05/SR-02-05-12/AR-L3-MC-PFX-REPL-004-02</x:v>
      </x:c>
      <x:c r="B498" s="33" t="n">
        <x:v>4</x:v>
      </x:c>
      <x:c r="C498" s="34" t="str">
        <x:v>AR</x:v>
      </x:c>
      <x:c r="D498" s="34" t="str">
        <x:v>AR-L3-MC-PFX-REPL-004-02</x:v>
      </x:c>
      <x:c r="E498" s="34" t="str">
        <x:v>SR-02-05-12</x:v>
      </x:c>
      <x:c r="F498" s="34" t="str">
        <x:v>            ├─ AR-L3-MC-PFX-REPL-004-02 契约配置与降级</x:v>
      </x:c>
      <x:c r="G498" s="34" t="str">
        <x:v>契约配置与降级</x:v>
      </x:c>
      <x:c r="H498" s="33" t="str">
        <x:v>为 `PFXREPLOptions` 增加 `kvcache.pfx_repl.enabled`、deadline/容量/队列预算及版本字段；在调用点接入 typed error、decision_reason、fallback_reason，确保配置热更新、灰度关闭和向后兼容均可审计。</x:v>
      </x:c>
      <x:c r="I498" s="33" t="str">
        <x:v>Prefix命中判定P99耗时 &lt; 200us；在Share-Prefix业务下，Usable Hit Rate提升≥15%。</x:v>
      </x:c>
      <x:c r="J498" s="33" t="str">
        <x:v>api/kvcache/v1/pfx_repl.proto + config/runtime/pfx_repl.yaml</x:v>
      </x:c>
      <x:c r="K498" s="33" t="str">
        <x:v>L3 传输管理层 / 存储池/传输管理开发</x:v>
      </x:c>
      <x:c r="L498" s="33" t="str">
        <x:v>L3-MC-PFX-REPL-004</x:v>
      </x:c>
    </x:row>
    <x:row r="499" ht="76" customHeight="1">
      <x:c r="A499" s="33" t="str">
        <x:v>SF-02/IR-02-05/SR-02-05-12/AR-L3-MC-PFX-REPL-004-03</x:v>
      </x:c>
      <x:c r="B499" s="33" t="n">
        <x:v>4</x:v>
      </x:c>
      <x:c r="C499" s="34" t="str">
        <x:v>AR</x:v>
      </x:c>
      <x:c r="D499" s="34" t="str">
        <x:v>AR-L3-MC-PFX-REPL-004-03</x:v>
      </x:c>
      <x:c r="E499" s="34" t="str">
        <x:v>SR-02-05-12</x:v>
      </x:c>
      <x:c r="F499" s="34" t="str">
        <x:v>            └─ AR-L3-MC-PFX-REPL-004-03 验证与观测</x:v>
      </x:c>
      <x:c r="G499" s="34" t="str">
        <x:v>验证与观测</x:v>
      </x:c>
      <x:c r="H499" s="33" t="str">
        <x:v>新增正常、边界、并发、超时、stale metadata、迁移冲突、路径拥塞/故障与 feature-flag-off 用例；在 benchmark 中固定模型、tokenizer、prompt、并发、拓扑和 baseline，采集 lookup/load/attach、TTFT、TPOT、usable/abandoned hit、带宽/时延及 CPU/NPU 利用率。</x:v>
      </x:c>
      <x:c r="I499" s="33" t="str">
        <x:v>Prefix命中判定P99耗时 &lt; 200us；在Share-Prefix业务下，Usable Hit Rate提升≥15%。</x:v>
      </x:c>
      <x:c r="J499" s="33" t="str">
        <x:v>tests/metadata/directory/pfx_repl_test.cc + benchmarks/metadata/directory/pfx_repl_benchmark.cc</x:v>
      </x:c>
      <x:c r="K499" s="33" t="str">
        <x:v>L3 传输管理层 / 存储池/传输管理开发</x:v>
      </x:c>
      <x:c r="L499" s="33" t="str">
        <x:v>L3-MC-PFX-REPL-004</x:v>
      </x:c>
    </x:row>
    <x:row r="500" ht="76" customHeight="1">
      <x:c r="A500" s="31" t="str">
        <x:v>SF-02/IR-02-05/SR-02-05-13</x:v>
      </x:c>
      <x:c r="B500" s="31" t="n">
        <x:v>3</x:v>
      </x:c>
      <x:c r="C500" s="32" t="str">
        <x:v>SR</x:v>
      </x:c>
      <x:c r="D500" s="32" t="str">
        <x:v>SR-02-05-13</x:v>
      </x:c>
      <x:c r="E500" s="32" t="str">
        <x:v>IR-02-05</x:v>
      </x:c>
      <x:c r="F500" s="32" t="str">
        <x:v>        ├─ SR-02-05-13 热点前缀目录分片与镜像</x:v>
      </x:c>
      <x:c r="G500" s="32" t="str">
        <x:v>热点前缀目录分片与镜像｜L3-MS-DirectoryShardPolicy-073</x:v>
      </x:c>
      <x:c r="H500" s="31" t="str">
        <x:v>系统重构：本需求要求 prefix directory 支持按 semantic identity、prefix hash、tenant/domain、model namespace 进行分片，并对 hot prefix 支持本地镜像和多副本目录，避免公共 system prompt、agent tool schema、RAG 模板等热点 prefix 造成单点目录瓶颈。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x:v>
      </x:c>
      <x:c r="I500" s="31" t="str">
        <x:v>Prefix命中判定P99耗时 &lt; 200us；在Share-Prefix业务下，Usable Hit Rate提升≥15%。</x:v>
      </x:c>
      <x:c r="J500" s="31" t="str"/>
      <x:c r="K500" s="31" t="str">
        <x:v>L3 传输管理层 / 前缀目录与元数据平面</x:v>
      </x:c>
      <x:c r="L500" s="31" t="str">
        <x:v>L3-MS-DirectoryShardPolicy-073</x:v>
      </x:c>
    </x:row>
    <x:row r="501" ht="76" customHeight="1">
      <x:c r="A501" s="33" t="str">
        <x:v>SF-02/IR-02-05/SR-02-05-13/AR-L3-MS-DirectoryShardPolicy-073-01</x:v>
      </x:c>
      <x:c r="B501" s="33" t="n">
        <x:v>4</x:v>
      </x:c>
      <x:c r="C501" s="34" t="str">
        <x:v>AR</x:v>
      </x:c>
      <x:c r="D501" s="34" t="str">
        <x:v>AR-L3-MS-DirectoryShardPolicy-073-01</x:v>
      </x:c>
      <x:c r="E501" s="34" t="str">
        <x:v>SR-02-05-13</x:v>
      </x:c>
      <x:c r="F501" s="34" t="str">
        <x:v>            ├─ AR-L3-MS-DirectoryShardPolicy-073-01 核心实现</x:v>
      </x:c>
      <x:c r="G501" s="34" t="str">
        <x:v>核心实现</x:v>
      </x:c>
      <x:c r="H501" s="33" t="str">
        <x:v>在 `src/metadata/directory/directory_shard_policy.{h,cc}` 新增或重写 `DirectoryShardPolicyDirectory`，把“热点前缀目录分片与镜像”落实为 L3 传输管理层 可调用主路径：本需求要求 prefix directory 支持按 semantic identity、prefix hash、tenant/domain、model namespace 进行分片，并对 hot prefix 支持本地镜像和多副本目录，避免公共 system prompt、agent tool schema、RAG 模板等热点 prefix 造成单点目录瓶颈。 输入必须显式消费 publish/invalidations + prefix query + topology，输出 PrefixDirectoryRecord + replica candidates + consume eligibility，不得用全局单例或隐藏同步 I/O 绕开预算与状态机。</x:v>
      </x:c>
      <x:c r="I501" s="33" t="str">
        <x:v>Prefix命中判定P99耗时 &lt; 200us；在Share-Prefix业务下，Usable Hit Rate提升≥15%。</x:v>
      </x:c>
      <x:c r="J501" s="33" t="str">
        <x:v>src/metadata/directory/directory_shard_policy.{h,cc}</x:v>
      </x:c>
      <x:c r="K501" s="33" t="str">
        <x:v>L3 传输管理层 / 存储池/传输管理开发</x:v>
      </x:c>
      <x:c r="L501" s="33" t="str">
        <x:v>L3-MS-DirectoryShardPolicy-073</x:v>
      </x:c>
    </x:row>
    <x:row r="502" ht="76" customHeight="1">
      <x:c r="A502" s="33" t="str">
        <x:v>SF-02/IR-02-05/SR-02-05-13/AR-L3-MS-DirectoryShardPolicy-073-02</x:v>
      </x:c>
      <x:c r="B502" s="33" t="n">
        <x:v>4</x:v>
      </x:c>
      <x:c r="C502" s="34" t="str">
        <x:v>AR</x:v>
      </x:c>
      <x:c r="D502" s="34" t="str">
        <x:v>AR-L3-MS-DirectoryShardPolicy-073-02</x:v>
      </x:c>
      <x:c r="E502" s="34" t="str">
        <x:v>SR-02-05-13</x:v>
      </x:c>
      <x:c r="F502" s="34" t="str">
        <x:v>            ├─ AR-L3-MS-DirectoryShardPolicy-073-02 契约配置与降级</x:v>
      </x:c>
      <x:c r="G502" s="34" t="str">
        <x:v>契约配置与降级</x:v>
      </x:c>
      <x:c r="H502" s="33" t="str">
        <x:v>为 `DirectoryShardPolicyOptions` 增加 `kvcache.directory_shard_policy.enabled`、deadline/容量/队列预算及版本字段；在调用点接入 typed error、decision_reason、fallback_reason，确保配置热更新、灰度关闭和向后兼容均可审计。</x:v>
      </x:c>
      <x:c r="I502" s="33" t="str">
        <x:v>Prefix命中判定P99耗时 &lt; 200us；在Share-Prefix业务下，Usable Hit Rate提升≥15%。</x:v>
      </x:c>
      <x:c r="J502" s="33" t="str">
        <x:v>api/kvcache/v1/directory_shard_policy.proto + config/runtime/directory_shard_policy.yaml</x:v>
      </x:c>
      <x:c r="K502" s="33" t="str">
        <x:v>L3 传输管理层 / 存储池/传输管理开发</x:v>
      </x:c>
      <x:c r="L502" s="33" t="str">
        <x:v>L3-MS-DirectoryShardPolicy-073</x:v>
      </x:c>
    </x:row>
    <x:row r="503" ht="76" customHeight="1">
      <x:c r="A503" s="33" t="str">
        <x:v>SF-02/IR-02-05/SR-02-05-13/AR-L3-MS-DirectoryShardPolicy-073-03</x:v>
      </x:c>
      <x:c r="B503" s="33" t="n">
        <x:v>4</x:v>
      </x:c>
      <x:c r="C503" s="34" t="str">
        <x:v>AR</x:v>
      </x:c>
      <x:c r="D503" s="34" t="str">
        <x:v>AR-L3-MS-DirectoryShardPolicy-073-03</x:v>
      </x:c>
      <x:c r="E503" s="34" t="str">
        <x:v>SR-02-05-13</x:v>
      </x:c>
      <x:c r="F503" s="34" t="str">
        <x:v>            └─ AR-L3-MS-DirectoryShardPolicy-073-03 验证与观测</x:v>
      </x:c>
      <x:c r="G503" s="34" t="str">
        <x:v>验证与观测</x:v>
      </x:c>
      <x:c r="H503" s="33" t="str">
        <x:v>新增正常、边界、并发、超时、stale metadata、迁移冲突、路径拥塞/故障与 feature-flag-off 用例；在 benchmark 中固定模型、tokenizer、prompt、并发、拓扑和 baseline，采集 lookup/load/attach、TTFT、TPOT、usable/abandoned hit、带宽/时延及 CPU/NPU 利用率。</x:v>
      </x:c>
      <x:c r="I503" s="33" t="str">
        <x:v>Prefix命中判定P99耗时 &lt; 200us；在Share-Prefix业务下，Usable Hit Rate提升≥15%。</x:v>
      </x:c>
      <x:c r="J503" s="33" t="str">
        <x:v>tests/metadata/directory/directory_shard_policy_test.cc + benchmarks/metadata/directory/directory_shard_policy_benchmark.cc</x:v>
      </x:c>
      <x:c r="K503" s="33" t="str">
        <x:v>L3 传输管理层 / 存储池/传输管理开发</x:v>
      </x:c>
      <x:c r="L503" s="33" t="str">
        <x:v>L3-MS-DirectoryShardPolicy-073</x:v>
      </x:c>
    </x:row>
    <x:row r="504" ht="76" customHeight="1">
      <x:c r="A504" s="31" t="str">
        <x:v>SF-02/IR-02-05/SR-02-05-14</x:v>
      </x:c>
      <x:c r="B504" s="31" t="n">
        <x:v>3</x:v>
      </x:c>
      <x:c r="C504" s="32" t="str">
        <x:v>SR</x:v>
      </x:c>
      <x:c r="D504" s="32" t="str">
        <x:v>SR-02-05-14</x:v>
      </x:c>
      <x:c r="E504" s="32" t="str">
        <x:v>IR-02-05</x:v>
      </x:c>
      <x:c r="F504" s="32" t="str">
        <x:v>        ├─ SR-02-05-14 前缀元数据查询结构优化</x:v>
      </x:c>
      <x:c r="G504" s="32" t="str">
        <x:v>前缀元数据查询结构优化｜L3-MS-MetadataCompactLayout-074</x:v>
      </x:c>
      <x:c r="H504" s="31" t="str">
        <x:v>系统重构：本需求要求 prefix metadata 采用紧凑内存布局，将 TTFT 快路径字段与冷字段分离；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x:v>
      </x:c>
      <x:c r="I504" s="31" t="str">
        <x:v>Prefix命中判定P99耗时 &lt; 200us；在Share-Prefix业务下，Usable Hit Rate提升≥15%。</x:v>
      </x:c>
      <x:c r="J504" s="31" t="str"/>
      <x:c r="K504" s="31" t="str">
        <x:v>L3 传输管理层 / 前缀目录与元数据平面</x:v>
      </x:c>
      <x:c r="L504" s="31" t="str">
        <x:v>L3-MS-MetadataCompactLayout-074</x:v>
      </x:c>
    </x:row>
    <x:row r="505" ht="76" customHeight="1">
      <x:c r="A505" s="33" t="str">
        <x:v>SF-02/IR-02-05/SR-02-05-14/AR-L3-MS-MetadataCompactLayout-074-01</x:v>
      </x:c>
      <x:c r="B505" s="33" t="n">
        <x:v>4</x:v>
      </x:c>
      <x:c r="C505" s="34" t="str">
        <x:v>AR</x:v>
      </x:c>
      <x:c r="D505" s="34" t="str">
        <x:v>AR-L3-MS-MetadataCompactLayout-074-01</x:v>
      </x:c>
      <x:c r="E505" s="34" t="str">
        <x:v>SR-02-05-14</x:v>
      </x:c>
      <x:c r="F505" s="34" t="str">
        <x:v>            ├─ AR-L3-MS-MetadataCompactLayout-074-01 核心实现</x:v>
      </x:c>
      <x:c r="G505" s="34" t="str">
        <x:v>核心实现</x:v>
      </x:c>
      <x:c r="H505" s="33" t="str">
        <x:v>在 `src/metadata/directory/metadata_compact_layout.{h,cc}` 新增或重写 `MetadataCompactLayoutDirectory`，把“前缀元数据查询结构优化”落实为 L3 传输管理层 可调用主路径：本需求要求 prefix metadata 采用紧凑内存布局，将 TTFT 快路径字段与冷字段分离； 输入必须显式消费 publish/invalidations + prefix query + topology，输出 PrefixDirectoryRecord + replica candidates + consume eligibility，不得用全局单例或隐藏同步 I/O 绕开预算与状态机。</x:v>
      </x:c>
      <x:c r="I505" s="33" t="str">
        <x:v>Prefix命中判定P99耗时 &lt; 200us；在Share-Prefix业务下，Usable Hit Rate提升≥15%。</x:v>
      </x:c>
      <x:c r="J505" s="33" t="str">
        <x:v>src/metadata/directory/metadata_compact_layout.{h,cc}</x:v>
      </x:c>
      <x:c r="K505" s="33" t="str">
        <x:v>L3 传输管理层 / 存储池/传输管理开发</x:v>
      </x:c>
      <x:c r="L505" s="33" t="str">
        <x:v>L3-MS-MetadataCompactLayout-074</x:v>
      </x:c>
    </x:row>
    <x:row r="506" ht="76" customHeight="1">
      <x:c r="A506" s="33" t="str">
        <x:v>SF-02/IR-02-05/SR-02-05-14/AR-L3-MS-MetadataCompactLayout-074-02</x:v>
      </x:c>
      <x:c r="B506" s="33" t="n">
        <x:v>4</x:v>
      </x:c>
      <x:c r="C506" s="34" t="str">
        <x:v>AR</x:v>
      </x:c>
      <x:c r="D506" s="34" t="str">
        <x:v>AR-L3-MS-MetadataCompactLayout-074-02</x:v>
      </x:c>
      <x:c r="E506" s="34" t="str">
        <x:v>SR-02-05-14</x:v>
      </x:c>
      <x:c r="F506" s="34" t="str">
        <x:v>            ├─ AR-L3-MS-MetadataCompactLayout-074-02 契约配置与降级</x:v>
      </x:c>
      <x:c r="G506" s="34" t="str">
        <x:v>契约配置与降级</x:v>
      </x:c>
      <x:c r="H506" s="33" t="str">
        <x:v>为 `MetadataCompactLayoutOptions` 增加 `kvcache.metadata_compact_layout.enabled`、deadline/容量/队列预算及版本字段；在调用点接入 typed error、decision_reason、fallback_reason，确保配置热更新、灰度关闭和向后兼容均可审计。</x:v>
      </x:c>
      <x:c r="I506" s="33" t="str">
        <x:v>Prefix命中判定P99耗时 &lt; 200us；在Share-Prefix业务下，Usable Hit Rate提升≥15%。</x:v>
      </x:c>
      <x:c r="J506" s="33" t="str">
        <x:v>api/kvcache/v1/metadata_compact_layout.proto + config/runtime/metadata_compact_layout.yaml</x:v>
      </x:c>
      <x:c r="K506" s="33" t="str">
        <x:v>L3 传输管理层 / 存储池/传输管理开发</x:v>
      </x:c>
      <x:c r="L506" s="33" t="str">
        <x:v>L3-MS-MetadataCompactLayout-074</x:v>
      </x:c>
    </x:row>
    <x:row r="507" ht="76" customHeight="1">
      <x:c r="A507" s="33" t="str">
        <x:v>SF-02/IR-02-05/SR-02-05-14/AR-L3-MS-MetadataCompactLayout-074-03</x:v>
      </x:c>
      <x:c r="B507" s="33" t="n">
        <x:v>4</x:v>
      </x:c>
      <x:c r="C507" s="34" t="str">
        <x:v>AR</x:v>
      </x:c>
      <x:c r="D507" s="34" t="str">
        <x:v>AR-L3-MS-MetadataCompactLayout-074-03</x:v>
      </x:c>
      <x:c r="E507" s="34" t="str">
        <x:v>SR-02-05-14</x:v>
      </x:c>
      <x:c r="F507" s="34" t="str">
        <x:v>            └─ AR-L3-MS-MetadataCompactLayout-074-03 验证与观测</x:v>
      </x:c>
      <x:c r="G507" s="34" t="str">
        <x:v>验证与观测</x:v>
      </x:c>
      <x:c r="H507" s="33" t="str">
        <x:v>新增正常、边界、并发、超时、stale metadata、迁移冲突、路径拥塞/故障与 feature-flag-off 用例；在 benchmark 中固定模型、tokenizer、prompt、并发、拓扑和 baseline，采集 lookup/load/attach、TTFT、TPOT、usable/abandoned hit、带宽/时延及 CPU/NPU 利用率。</x:v>
      </x:c>
      <x:c r="I507" s="33" t="str">
        <x:v>Prefix命中判定P99耗时 &lt; 200us；在Share-Prefix业务下，Usable Hit Rate提升≥15%。</x:v>
      </x:c>
      <x:c r="J507" s="33" t="str">
        <x:v>tests/metadata/directory/metadata_compact_layout_test.cc + benchmarks/metadata/directory/metadata_compact_layout_benchmark.cc</x:v>
      </x:c>
      <x:c r="K507" s="33" t="str">
        <x:v>L3 传输管理层 / 存储池/传输管理开发</x:v>
      </x:c>
      <x:c r="L507" s="33" t="str">
        <x:v>L3-MS-MetadataCompactLayout-074</x:v>
      </x:c>
    </x:row>
    <x:row r="508" ht="76" customHeight="1">
      <x:c r="A508" s="31" t="str">
        <x:v>SF-02/IR-02-05/SR-02-05-15</x:v>
      </x:c>
      <x:c r="B508" s="31" t="n">
        <x:v>3</x:v>
      </x:c>
      <x:c r="C508" s="32" t="str">
        <x:v>SR</x:v>
      </x:c>
      <x:c r="D508" s="32" t="str">
        <x:v>SR-02-05-15</x:v>
      </x:c>
      <x:c r="E508" s="32" t="str">
        <x:v>IR-02-05</x:v>
      </x:c>
      <x:c r="F508" s="32" t="str">
        <x:v>        ├─ SR-02-05-15 多副本 KVCache 全局目录管理</x:v>
      </x:c>
      <x:c r="G508" s="32" t="str">
        <x:v>多副本 KVCache 全局目录管理｜L3-MS-MultiReplicaDirectory-037</x:v>
      </x:c>
      <x:c r="H508" s="31" t="str">
        <x:v>系统重构：本需求要求全局 KV directory 支持同一 KV object 的多语义副本记录：包括 UB/C2C memory view、local DDR、remote DDR RDMA source、SSD segment、object key，并维护 version、visibility、hotness 与 cost metadata。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x:v>
      </x:c>
      <x:c r="I508" s="31" t="str">
        <x:v>path selection 命中最优副本比例 ≥90%；</x:v>
      </x:c>
      <x:c r="J508" s="31" t="str"/>
      <x:c r="K508" s="31" t="str">
        <x:v>L3 传输管理层 / 前缀目录与元数据平面</x:v>
      </x:c>
      <x:c r="L508" s="31" t="str">
        <x:v>L3-MS-MultiReplicaDirectory-037</x:v>
      </x:c>
    </x:row>
    <x:row r="509" ht="76" customHeight="1">
      <x:c r="A509" s="33" t="str">
        <x:v>SF-02/IR-02-05/SR-02-05-15/AR-L3-MS-MultiReplicaDirectory-037-01</x:v>
      </x:c>
      <x:c r="B509" s="33" t="n">
        <x:v>4</x:v>
      </x:c>
      <x:c r="C509" s="34" t="str">
        <x:v>AR</x:v>
      </x:c>
      <x:c r="D509" s="34" t="str">
        <x:v>AR-L3-MS-MultiReplicaDirectory-037-01</x:v>
      </x:c>
      <x:c r="E509" s="34" t="str">
        <x:v>SR-02-05-15</x:v>
      </x:c>
      <x:c r="F509" s="34" t="str">
        <x:v>            ├─ AR-L3-MS-MultiReplicaDirectory-037-01 核心实现</x:v>
      </x:c>
      <x:c r="G509" s="34" t="str">
        <x:v>核心实现</x:v>
      </x:c>
      <x:c r="H509" s="33" t="str">
        <x:v>在 `src/metadata/directory/multi_replica_directory.{h,cc}` 新增或重写 `MultiReplicaDirectoryDirectory`，把“多副本 KVCache 全局目录管理”落实为 L3 传输管理层 可调用主路径：本需求要求全局 KV directory 支持同一 KV object 的多语义副本记录：包括 UB/C2C memory view、local DDR、remote DDR RDMA source、SSD segment、object key，并维护 version、visibility、hotness 与 cost metadata。 输入必须显式消费 publish/invalidations + prefix query + topology，输出 PrefixDirectoryRecord + replica candidates + consume eligibility，不得用全局单例或隐藏同步 I/O 绕开预算与状态机。</x:v>
      </x:c>
      <x:c r="I509" s="33" t="str">
        <x:v>path selection 命中最优副本比例 ≥90%；</x:v>
      </x:c>
      <x:c r="J509" s="33" t="str">
        <x:v>src/metadata/directory/multi_replica_directory.{h,cc}</x:v>
      </x:c>
      <x:c r="K509" s="33" t="str">
        <x:v>L3 传输管理层 / 存储池/传输管理开发</x:v>
      </x:c>
      <x:c r="L509" s="33" t="str">
        <x:v>L3-MS-MultiReplicaDirectory-037</x:v>
      </x:c>
    </x:row>
    <x:row r="510" ht="76" customHeight="1">
      <x:c r="A510" s="33" t="str">
        <x:v>SF-02/IR-02-05/SR-02-05-15/AR-L3-MS-MultiReplicaDirectory-037-02</x:v>
      </x:c>
      <x:c r="B510" s="33" t="n">
        <x:v>4</x:v>
      </x:c>
      <x:c r="C510" s="34" t="str">
        <x:v>AR</x:v>
      </x:c>
      <x:c r="D510" s="34" t="str">
        <x:v>AR-L3-MS-MultiReplicaDirectory-037-02</x:v>
      </x:c>
      <x:c r="E510" s="34" t="str">
        <x:v>SR-02-05-15</x:v>
      </x:c>
      <x:c r="F510" s="34" t="str">
        <x:v>            ├─ AR-L3-MS-MultiReplicaDirectory-037-02 契约配置与降级</x:v>
      </x:c>
      <x:c r="G510" s="34" t="str">
        <x:v>契约配置与降级</x:v>
      </x:c>
      <x:c r="H510" s="33" t="str">
        <x:v>为 `MultiReplicaDirectoryOptions` 增加 `kvcache.multi_replica_directory.enabled`、deadline/容量/队列预算及版本字段；在调用点接入 typed error、decision_reason、fallback_reason，确保配置热更新、灰度关闭和向后兼容均可审计。</x:v>
      </x:c>
      <x:c r="I510" s="33" t="str">
        <x:v>path selection 命中最优副本比例 ≥90%；</x:v>
      </x:c>
      <x:c r="J510" s="33" t="str">
        <x:v>api/kvcache/v1/multi_replica_directory.proto + config/runtime/multi_replica_directory.yaml</x:v>
      </x:c>
      <x:c r="K510" s="33" t="str">
        <x:v>L3 传输管理层 / 存储池/传输管理开发</x:v>
      </x:c>
      <x:c r="L510" s="33" t="str">
        <x:v>L3-MS-MultiReplicaDirectory-037</x:v>
      </x:c>
    </x:row>
    <x:row r="511" ht="76" customHeight="1">
      <x:c r="A511" s="33" t="str">
        <x:v>SF-02/IR-02-05/SR-02-05-15/AR-L3-MS-MultiReplicaDirectory-037-03</x:v>
      </x:c>
      <x:c r="B511" s="33" t="n">
        <x:v>4</x:v>
      </x:c>
      <x:c r="C511" s="34" t="str">
        <x:v>AR</x:v>
      </x:c>
      <x:c r="D511" s="34" t="str">
        <x:v>AR-L3-MS-MultiReplicaDirectory-037-03</x:v>
      </x:c>
      <x:c r="E511" s="34" t="str">
        <x:v>SR-02-05-15</x:v>
      </x:c>
      <x:c r="F511" s="34" t="str">
        <x:v>            └─ AR-L3-MS-MultiReplicaDirectory-037-03 验证与观测</x:v>
      </x:c>
      <x:c r="G511" s="34" t="str">
        <x:v>验证与观测</x:v>
      </x:c>
      <x:c r="H511" s="33" t="str">
        <x:v>新增正常、边界、并发、超时、stale metadata、迁移冲突、路径拥塞/故障与 feature-flag-off 用例；在 benchmark 中固定模型、tokenizer、prompt、并发、拓扑和 baseline，采集 lookup/load/attach、TTFT、TPOT、usable/abandoned hit、带宽/时延及 CPU/NPU 利用率。</x:v>
      </x:c>
      <x:c r="I511" s="33" t="str">
        <x:v>path selection 命中最优副本比例 ≥90%；</x:v>
      </x:c>
      <x:c r="J511" s="33" t="str">
        <x:v>tests/metadata/directory/multi_replica_directory_test.cc + benchmarks/metadata/directory/multi_replica_directory_benchmark.cc</x:v>
      </x:c>
      <x:c r="K511" s="33" t="str">
        <x:v>L3 传输管理层 / 存储池/传输管理开发</x:v>
      </x:c>
      <x:c r="L511" s="33" t="str">
        <x:v>L3-MS-MultiReplicaDirectory-037</x:v>
      </x:c>
    </x:row>
    <x:row r="512" ht="76" customHeight="1">
      <x:c r="A512" s="31" t="str">
        <x:v>SF-02/IR-02-05/SR-02-05-16</x:v>
      </x:c>
      <x:c r="B512" s="31" t="n">
        <x:v>3</x:v>
      </x:c>
      <x:c r="C512" s="32" t="str">
        <x:v>SR</x:v>
      </x:c>
      <x:c r="D512" s="32" t="str">
        <x:v>SR-02-05-16</x:v>
      </x:c>
      <x:c r="E512" s="32" t="str">
        <x:v>IR-02-05</x:v>
      </x:c>
      <x:c r="F512" s="32" t="str">
        <x:v>        ├─ SR-02-05-16 TTFT 关键路径高性能元数据检索</x:v>
      </x:c>
      <x:c r="G512" s="32" t="str">
        <x:v>TTFT 关键路径高性能元数据检索｜L3-MS-TTFTIndexLayout-088</x:v>
      </x:c>
      <x:c r="H512" s="31" t="str">
        <x:v>系统重构：本需求要求针对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x:v>
      </x:c>
      <x:c r="I512" s="31" t="str">
        <x:v>Prefix命中判定P99耗时 &lt; 200us；在Share-Prefix业务下，Usable Hit Rate提升≥15%。</x:v>
      </x:c>
      <x:c r="J512" s="31" t="str"/>
      <x:c r="K512" s="31" t="str">
        <x:v>L3 传输管理层 / 前缀目录与元数据平面</x:v>
      </x:c>
      <x:c r="L512" s="31" t="str">
        <x:v>L3-MS-TTFTIndexLayout-088</x:v>
      </x:c>
    </x:row>
    <x:row r="513" ht="76" customHeight="1">
      <x:c r="A513" s="33" t="str">
        <x:v>SF-02/IR-02-05/SR-02-05-16/AR-L3-MS-TTFTIndexLayout-088-01</x:v>
      </x:c>
      <x:c r="B513" s="33" t="n">
        <x:v>4</x:v>
      </x:c>
      <x:c r="C513" s="34" t="str">
        <x:v>AR</x:v>
      </x:c>
      <x:c r="D513" s="34" t="str">
        <x:v>AR-L3-MS-TTFTIndexLayout-088-01</x:v>
      </x:c>
      <x:c r="E513" s="34" t="str">
        <x:v>SR-02-05-16</x:v>
      </x:c>
      <x:c r="F513" s="34" t="str">
        <x:v>            ├─ AR-L3-MS-TTFTIndexLayout-088-01 核心实现</x:v>
      </x:c>
      <x:c r="G513" s="34" t="str">
        <x:v>核心实现</x:v>
      </x:c>
      <x:c r="H513" s="33" t="str">
        <x:v>在 `src/metadata/directory/ttftindex_layout.{h,cc}` 新增或重写 `TTFTIndexLayoutDirectory`，把“TTFT 关键路径高性能元数据检索”落实为 L3 传输管理层 可调用主路径：本需求要求针对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 输入必须显式消费 publish/invalidations + prefix query + topology，输出 PrefixDirectoryRecord + replica candidates + consume eligibility，不得用全局单例或隐藏同步 I/O 绕开预算与状态机。</x:v>
      </x:c>
      <x:c r="I513" s="33" t="str">
        <x:v>Prefix命中判定P99耗时 &lt; 200us；在Share-Prefix业务下，Usable Hit Rate提升≥15%。</x:v>
      </x:c>
      <x:c r="J513" s="33" t="str">
        <x:v>src/metadata/directory/ttftindex_layout.{h,cc}</x:v>
      </x:c>
      <x:c r="K513" s="33" t="str">
        <x:v>L3 传输管理层 / 存储池/传输管理开发</x:v>
      </x:c>
      <x:c r="L513" s="33" t="str">
        <x:v>L3-MS-TTFTIndexLayout-088</x:v>
      </x:c>
    </x:row>
    <x:row r="514" ht="76" customHeight="1">
      <x:c r="A514" s="33" t="str">
        <x:v>SF-02/IR-02-05/SR-02-05-16/AR-L3-MS-TTFTIndexLayout-088-02</x:v>
      </x:c>
      <x:c r="B514" s="33" t="n">
        <x:v>4</x:v>
      </x:c>
      <x:c r="C514" s="34" t="str">
        <x:v>AR</x:v>
      </x:c>
      <x:c r="D514" s="34" t="str">
        <x:v>AR-L3-MS-TTFTIndexLayout-088-02</x:v>
      </x:c>
      <x:c r="E514" s="34" t="str">
        <x:v>SR-02-05-16</x:v>
      </x:c>
      <x:c r="F514" s="34" t="str">
        <x:v>            ├─ AR-L3-MS-TTFTIndexLayout-088-02 契约配置与降级</x:v>
      </x:c>
      <x:c r="G514" s="34" t="str">
        <x:v>契约配置与降级</x:v>
      </x:c>
      <x:c r="H514" s="33" t="str">
        <x:v>为 `TTFTIndexLayoutOptions` 增加 `kvcache.ttftindex_layout.enabled`、deadline/容量/队列预算及版本字段；在调用点接入 typed error、decision_reason、fallback_reason，确保配置热更新、灰度关闭和向后兼容均可审计。</x:v>
      </x:c>
      <x:c r="I514" s="33" t="str">
        <x:v>Prefix命中判定P99耗时 &lt; 200us；在Share-Prefix业务下，Usable Hit Rate提升≥15%。</x:v>
      </x:c>
      <x:c r="J514" s="33" t="str">
        <x:v>api/kvcache/v1/ttftindex_layout.proto + config/runtime/ttftindex_layout.yaml</x:v>
      </x:c>
      <x:c r="K514" s="33" t="str">
        <x:v>L3 传输管理层 / 存储池/传输管理开发</x:v>
      </x:c>
      <x:c r="L514" s="33" t="str">
        <x:v>L3-MS-TTFTIndexLayout-088</x:v>
      </x:c>
    </x:row>
    <x:row r="515" ht="76" customHeight="1">
      <x:c r="A515" s="33" t="str">
        <x:v>SF-02/IR-02-05/SR-02-05-16/AR-L3-MS-TTFTIndexLayout-088-03</x:v>
      </x:c>
      <x:c r="B515" s="33" t="n">
        <x:v>4</x:v>
      </x:c>
      <x:c r="C515" s="34" t="str">
        <x:v>AR</x:v>
      </x:c>
      <x:c r="D515" s="34" t="str">
        <x:v>AR-L3-MS-TTFTIndexLayout-088-03</x:v>
      </x:c>
      <x:c r="E515" s="34" t="str">
        <x:v>SR-02-05-16</x:v>
      </x:c>
      <x:c r="F515" s="34" t="str">
        <x:v>            └─ AR-L3-MS-TTFTIndexLayout-088-03 验证与观测</x:v>
      </x:c>
      <x:c r="G515" s="34" t="str">
        <x:v>验证与观测</x:v>
      </x:c>
      <x:c r="H515" s="33" t="str">
        <x:v>新增正常、边界、并发、超时、stale metadata、迁移冲突、路径拥塞/故障与 feature-flag-off 用例；在 benchmark 中固定模型、tokenizer、prompt、并发、拓扑和 baseline，采集 lookup/load/attach、TTFT、TPOT、usable/abandoned hit、带宽/时延及 CPU/NPU 利用率。</x:v>
      </x:c>
      <x:c r="I515" s="33" t="str">
        <x:v>Prefix命中判定P99耗时 &lt; 200us；在Share-Prefix业务下，Usable Hit Rate提升≥15%。</x:v>
      </x:c>
      <x:c r="J515" s="33" t="str">
        <x:v>tests/metadata/directory/ttftindex_layout_test.cc + benchmarks/metadata/directory/ttftindex_layout_benchmark.cc</x:v>
      </x:c>
      <x:c r="K515" s="33" t="str">
        <x:v>L3 传输管理层 / 存储池/传输管理开发</x:v>
      </x:c>
      <x:c r="L515" s="33" t="str">
        <x:v>L3-MS-TTFTIndexLayout-088</x:v>
      </x:c>
    </x:row>
    <x:row r="516" ht="76" customHeight="1">
      <x:c r="A516" s="31" t="str">
        <x:v>SF-02/IR-02-05/SR-02-05-17</x:v>
      </x:c>
      <x:c r="B516" s="31" t="n">
        <x:v>3</x:v>
      </x:c>
      <x:c r="C516" s="32" t="str">
        <x:v>SR</x:v>
      </x:c>
      <x:c r="D516" s="32" t="str">
        <x:v>SR-02-05-17</x:v>
      </x:c>
      <x:c r="E516" s="32" t="str">
        <x:v>IR-02-05</x:v>
      </x:c>
      <x:c r="F516" s="32" t="str">
        <x:v>        ├─ SR-02-05-17 命中 KV 加载价值评估</x:v>
      </x:c>
      <x:c r="G516" s="32" t="str">
        <x:v>命中 KV 加载价值评估｜L3-PM-HitQuality-023</x:v>
      </x:c>
      <x:c r="H516" s="31" t="str">
        <x:v>系统重构：本需求要求 Connector 在返回 prefix hit 时同时返回 hit quality metadata，包括所在 tier、bytes、layout、queue depth、replica count、estimated load latency、visibility state，使 Scheduler 能判断该 hit 是否能在 TTFT budget 内转化为 usable hit。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x:v>
      </x:c>
      <x:c r="I516" s="31" t="str">
        <x:v>Prefix命中判定P99耗时 &lt; 200us；在Share-Prefix业务下，Usable Hit Rate提升≥15%。</x:v>
      </x:c>
      <x:c r="J516" s="31" t="str"/>
      <x:c r="K516" s="31" t="str">
        <x:v>L3 传输管理层 / 前缀目录与元数据平面</x:v>
      </x:c>
      <x:c r="L516" s="31" t="str">
        <x:v>L3-PM-HitQuality-023</x:v>
      </x:c>
    </x:row>
    <x:row r="517" ht="76" customHeight="1">
      <x:c r="A517" s="33" t="str">
        <x:v>SF-02/IR-02-05/SR-02-05-17/AR-L3-PM-HitQuality-023-01</x:v>
      </x:c>
      <x:c r="B517" s="33" t="n">
        <x:v>4</x:v>
      </x:c>
      <x:c r="C517" s="34" t="str">
        <x:v>AR</x:v>
      </x:c>
      <x:c r="D517" s="34" t="str">
        <x:v>AR-L3-PM-HitQuality-023-01</x:v>
      </x:c>
      <x:c r="E517" s="34" t="str">
        <x:v>SR-02-05-17</x:v>
      </x:c>
      <x:c r="F517" s="34" t="str">
        <x:v>            ├─ AR-L3-PM-HitQuality-023-01 核心实现</x:v>
      </x:c>
      <x:c r="G517" s="34" t="str">
        <x:v>核心实现</x:v>
      </x:c>
      <x:c r="H517" s="33" t="str">
        <x:v>在 `src/metadata/directory/hit_quality.{h,cc}` 新增或重写 `HitQualityDirectory`，把“命中 KV 加载价值评估”落实为 L3 传输管理层 可调用主路径：本需求要求 Connector 在返回 prefix hit 时同时返回 hit quality metadata，包括所在 tier、bytes、layout、queue depth、replica count、estimated load latency、visibility state，使 Scheduler 能判断该 hit 是否能在 TTFT budget 内转化为 usable hit。 输入必须显式消费 publish/invalidations + prefix query + topology，输出 PrefixDirectoryRecord + replica candidates + consume eligibility，不得用全局单例或隐藏同步 I/O 绕开预算与状态机。</x:v>
      </x:c>
      <x:c r="I517" s="33" t="str">
        <x:v>Prefix命中判定P99耗时 &lt; 200us；在Share-Prefix业务下，Usable Hit Rate提升≥15%。</x:v>
      </x:c>
      <x:c r="J517" s="33" t="str">
        <x:v>src/metadata/directory/hit_quality.{h,cc}</x:v>
      </x:c>
      <x:c r="K517" s="33" t="str">
        <x:v>L3 传输管理层 / 存储池/传输管理开发</x:v>
      </x:c>
      <x:c r="L517" s="33" t="str">
        <x:v>L3-PM-HitQuality-023</x:v>
      </x:c>
    </x:row>
    <x:row r="518" ht="76" customHeight="1">
      <x:c r="A518" s="33" t="str">
        <x:v>SF-02/IR-02-05/SR-02-05-17/AR-L3-PM-HitQuality-023-02</x:v>
      </x:c>
      <x:c r="B518" s="33" t="n">
        <x:v>4</x:v>
      </x:c>
      <x:c r="C518" s="34" t="str">
        <x:v>AR</x:v>
      </x:c>
      <x:c r="D518" s="34" t="str">
        <x:v>AR-L3-PM-HitQuality-023-02</x:v>
      </x:c>
      <x:c r="E518" s="34" t="str">
        <x:v>SR-02-05-17</x:v>
      </x:c>
      <x:c r="F518" s="34" t="str">
        <x:v>            ├─ AR-L3-PM-HitQuality-023-02 契约配置与降级</x:v>
      </x:c>
      <x:c r="G518" s="34" t="str">
        <x:v>契约配置与降级</x:v>
      </x:c>
      <x:c r="H518" s="33" t="str">
        <x:v>为 `HitQualityOptions` 增加 `kvcache.hit_quality.enabled`、deadline/容量/队列预算及版本字段；在调用点接入 typed error、decision_reason、fallback_reason，确保配置热更新、灰度关闭和向后兼容均可审计。</x:v>
      </x:c>
      <x:c r="I518" s="33" t="str">
        <x:v>Prefix命中判定P99耗时 &lt; 200us；在Share-Prefix业务下，Usable Hit Rate提升≥15%。</x:v>
      </x:c>
      <x:c r="J518" s="33" t="str">
        <x:v>api/kvcache/v1/hit_quality.proto + config/runtime/hit_quality.yaml</x:v>
      </x:c>
      <x:c r="K518" s="33" t="str">
        <x:v>L3 传输管理层 / 存储池/传输管理开发</x:v>
      </x:c>
      <x:c r="L518" s="33" t="str">
        <x:v>L3-PM-HitQuality-023</x:v>
      </x:c>
    </x:row>
    <x:row r="519" ht="76" customHeight="1">
      <x:c r="A519" s="33" t="str">
        <x:v>SF-02/IR-02-05/SR-02-05-17/AR-L3-PM-HitQuality-023-03</x:v>
      </x:c>
      <x:c r="B519" s="33" t="n">
        <x:v>4</x:v>
      </x:c>
      <x:c r="C519" s="34" t="str">
        <x:v>AR</x:v>
      </x:c>
      <x:c r="D519" s="34" t="str">
        <x:v>AR-L3-PM-HitQuality-023-03</x:v>
      </x:c>
      <x:c r="E519" s="34" t="str">
        <x:v>SR-02-05-17</x:v>
      </x:c>
      <x:c r="F519" s="34" t="str">
        <x:v>            └─ AR-L3-PM-HitQuality-023-03 验证与观测</x:v>
      </x:c>
      <x:c r="G519" s="34" t="str">
        <x:v>验证与观测</x:v>
      </x:c>
      <x:c r="H519" s="33" t="str">
        <x:v>新增正常、边界、并发、超时、stale metadata、迁移冲突、路径拥塞/故障与 feature-flag-off 用例；在 benchmark 中固定模型、tokenizer、prompt、并发、拓扑和 baseline，采集 lookup/load/attach、TTFT、TPOT、usable/abandoned hit、带宽/时延及 CPU/NPU 利用率。</x:v>
      </x:c>
      <x:c r="I519" s="33" t="str">
        <x:v>Prefix命中判定P99耗时 &lt; 200us；在Share-Prefix业务下，Usable Hit Rate提升≥15%。</x:v>
      </x:c>
      <x:c r="J519" s="33" t="str">
        <x:v>tests/metadata/directory/hit_quality_test.cc + benchmarks/metadata/directory/hit_quality_benchmark.cc</x:v>
      </x:c>
      <x:c r="K519" s="33" t="str">
        <x:v>L3 传输管理层 / 存储池/传输管理开发</x:v>
      </x:c>
      <x:c r="L519" s="33" t="str">
        <x:v>L3-PM-HitQuality-023</x:v>
      </x:c>
    </x:row>
    <x:row r="520" ht="76" customHeight="1">
      <x:c r="A520" s="29" t="str">
        <x:v>SF-02/IR-02-06</x:v>
      </x:c>
      <x:c r="B520" s="29" t="n">
        <x:v>2</x:v>
      </x:c>
      <x:c r="C520" s="30" t="str">
        <x:v>IR</x:v>
      </x:c>
      <x:c r="D520" s="30" t="str">
        <x:v>IR-02-06</x:v>
      </x:c>
      <x:c r="E520" s="30" t="str">
        <x:v>SF-02</x:v>
      </x:c>
      <x:c r="F520" s="30" t="str">
        <x:v>    ├─ IR-02-06 支持KV卸载加载、分层回源及计算—传输流水并行</x:v>
      </x:c>
      <x:c r="G520" s="30" t="str">
        <x:v>支持KV卸载加载、分层回源及计算—传输流水并行</x:v>
      </x:c>
      <x:c r="H520" s="29" t="str">
        <x:v>系统应把 KV swap、offload、load、SSD/远端回源和 Layer/Page 级加载从同步等待改造成可批量、可取消、可与 Prefill/Decode 重叠的异步流水；当部分层或页面就绪时，框架能够在满足依赖的前提下提前开始计算，而无需等待整个 KV 对象完成加载，从而隐藏数据传输时延并减少 NPU 空闲。
技术锚点：vLLM KVConnector + SGLang HiCache + CUDA/NPU Stream/Event + async pipeline</x:v>
      </x:c>
      <x:c r="I520" s="29" t="str">
        <x:v>计算/传输重叠≥60%；swap-in TTFT降低≥25%；批量传输时延降低≥50%；额外内存≤15%。</x:v>
      </x:c>
      <x:c r="J520" s="29" t="str"/>
      <x:c r="K520" s="29" t="str">
        <x:v>TM1/TM4</x:v>
      </x:c>
      <x:c r="L520" s="29" t="str">
        <x:v>V2.1修订定义</x:v>
      </x:c>
    </x:row>
    <x:row r="521" ht="76" customHeight="1">
      <x:c r="A521" s="31" t="str">
        <x:v>SF-02/IR-02-06/SR-02-06-01</x:v>
      </x:c>
      <x:c r="B521" s="31" t="n">
        <x:v>3</x:v>
      </x:c>
      <x:c r="C521" s="32" t="str">
        <x:v>SR</x:v>
      </x:c>
      <x:c r="D521" s="32" t="str">
        <x:v>SR-02-06-01</x:v>
      </x:c>
      <x:c r="E521" s="32" t="str">
        <x:v>IR-02-06</x:v>
      </x:c>
      <x:c r="F521" s="32" t="str">
        <x:v>        ├─ SR-02-06-01 投机性前缀预取</x:v>
      </x:c>
      <x:c r="G521" s="32" t="str">
        <x:v>投机性前缀预取｜L1-SGL-PRFCH-SCHED-004</x:v>
      </x:c>
      <x:c r="H521" s="31" t="str">
        <x:v>系统重构：本需求要求在SGLang中实现基于请求到达批次分析的投机性前缀预取机制，通过检测短时间窗口内同前缀请求的批量到达模式，主动触发OFFLOADED状态RadixNode从CPU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x:v>
      </x:c>
      <x:c r="I521" s="31" t="str">
        <x:v>Prefix命中判定P99耗时 &lt; 200us；在Share-Prefix业务下，Usable Hit Rate提升≥15%。</x:v>
      </x:c>
      <x:c r="J521" s="31" t="str"/>
      <x:c r="K521" s="31" t="str">
        <x:v>L1 推理调度层 / 卸载/加载与预取优化</x:v>
      </x:c>
      <x:c r="L521" s="31" t="str">
        <x:v>L1-SGL-PRFCH-SCHED-004</x:v>
      </x:c>
    </x:row>
    <x:row r="522" ht="76" customHeight="1">
      <x:c r="A522" s="33" t="str">
        <x:v>SF-02/IR-02-06/SR-02-06-01/AR-L1-SGL-PRFCH-SCHED-004-01</x:v>
      </x:c>
      <x:c r="B522" s="33" t="n">
        <x:v>4</x:v>
      </x:c>
      <x:c r="C522" s="34" t="str">
        <x:v>AR</x:v>
      </x:c>
      <x:c r="D522" s="34" t="str">
        <x:v>AR-L1-SGL-PRFCH-SCHED-004-01</x:v>
      </x:c>
      <x:c r="E522" s="34" t="str">
        <x:v>SR-02-06-01</x:v>
      </x:c>
      <x:c r="F522" s="34" t="str">
        <x:v>            ├─ AR-L1-SGL-PRFCH-SCHED-004-01 核心实现</x:v>
      </x:c>
      <x:c r="G522" s="34" t="str">
        <x:v>核心实现</x:v>
      </x:c>
      <x:c r="H522" s="33" t="str">
        <x:v>在 `src/runtime/load_pipeline/prfch_sched.{h,cc}` 新增或重写 `PRFCHSCHEDPipeline`，把“投机性前缀预取”落实为 L1 推理调度层 可调用主路径：本需求要求在SGLang中实现基于请求到达批次分析的投机性前缀预取机制，通过检测短时间窗口内同前缀请求的批量到达模式，主动触发OFFLOADED状态RadixNode从CPU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 输入必须显式消费 schedule lookahead + block/page spans + stream budget，输出 prefetch/load ticket + per-layer ready，不得用全局单例或隐藏同步 I/O 绕开预算与状态机。</x:v>
      </x:c>
      <x:c r="I522" s="33" t="str">
        <x:v>Prefix命中判定P99耗时 &lt; 200us；在Share-Prefix业务下，Usable Hit Rate提升≥15%。</x:v>
      </x:c>
      <x:c r="J522" s="33" t="str">
        <x:v>src/runtime/load_pipeline/prfch_sched.{h,cc}</x:v>
      </x:c>
      <x:c r="K522" s="33" t="str">
        <x:v>L1 推理调度层 / 推理框架开发</x:v>
      </x:c>
      <x:c r="L522" s="33" t="str">
        <x:v>L1-SGL-PRFCH-SCHED-004</x:v>
      </x:c>
    </x:row>
    <x:row r="523" ht="76" customHeight="1">
      <x:c r="A523" s="33" t="str">
        <x:v>SF-02/IR-02-06/SR-02-06-01/AR-L1-SGL-PRFCH-SCHED-004-02</x:v>
      </x:c>
      <x:c r="B523" s="33" t="n">
        <x:v>4</x:v>
      </x:c>
      <x:c r="C523" s="34" t="str">
        <x:v>AR</x:v>
      </x:c>
      <x:c r="D523" s="34" t="str">
        <x:v>AR-L1-SGL-PRFCH-SCHED-004-02</x:v>
      </x:c>
      <x:c r="E523" s="34" t="str">
        <x:v>SR-02-06-01</x:v>
      </x:c>
      <x:c r="F523" s="34" t="str">
        <x:v>            ├─ AR-L1-SGL-PRFCH-SCHED-004-02 契约配置与降级</x:v>
      </x:c>
      <x:c r="G523" s="34" t="str">
        <x:v>契约配置与降级</x:v>
      </x:c>
      <x:c r="H523" s="33" t="str">
        <x:v>为 `PRFCHSCHEDOptions` 增加 `kvcache.prfch_sched.enabled`、deadline/容量/队列预算及版本字段；在调用点接入 typed error、decision_reason、fallback_reason，确保配置热更新、灰度关闭和向后兼容均可审计。</x:v>
      </x:c>
      <x:c r="I523" s="33" t="str">
        <x:v>Prefix命中判定P99耗时 &lt; 200us；在Share-Prefix业务下，Usable Hit Rate提升≥15%。</x:v>
      </x:c>
      <x:c r="J523" s="33" t="str">
        <x:v>api/kvcache/v1/prfch_sched.proto + config/runtime/prfch_sched.yaml</x:v>
      </x:c>
      <x:c r="K523" s="33" t="str">
        <x:v>L1 推理调度层 / 推理框架开发</x:v>
      </x:c>
      <x:c r="L523" s="33" t="str">
        <x:v>L1-SGL-PRFCH-SCHED-004</x:v>
      </x:c>
    </x:row>
    <x:row r="524" ht="76" customHeight="1">
      <x:c r="A524" s="33" t="str">
        <x:v>SF-02/IR-02-06/SR-02-06-01/AR-L1-SGL-PRFCH-SCHED-004-03</x:v>
      </x:c>
      <x:c r="B524" s="33" t="n">
        <x:v>4</x:v>
      </x:c>
      <x:c r="C524" s="34" t="str">
        <x:v>AR</x:v>
      </x:c>
      <x:c r="D524" s="34" t="str">
        <x:v>AR-L1-SGL-PRFCH-SCHED-004-03</x:v>
      </x:c>
      <x:c r="E524" s="34" t="str">
        <x:v>SR-02-06-01</x:v>
      </x:c>
      <x:c r="F524" s="34" t="str">
        <x:v>            └─ AR-L1-SGL-PRFCH-SCHED-004-03 验证与观测</x:v>
      </x:c>
      <x:c r="G524" s="34" t="str">
        <x:v>验证与观测</x:v>
      </x:c>
      <x:c r="H524" s="33" t="str">
        <x:v>新增正常、边界、并发、超时、stale metadata、迁移冲突、路径拥塞/故障与 feature-flag-off 用例；在 benchmark 中固定模型、tokenizer、prompt、并发、拓扑和 baseline，采集 lookup/load/attach、TTFT、TPOT、usable/abandoned hit、带宽/时延及 CPU/NPU 利用率。</x:v>
      </x:c>
      <x:c r="I524" s="33" t="str">
        <x:v>Prefix命中判定P99耗时 &lt; 200us；在Share-Prefix业务下，Usable Hit Rate提升≥15%。</x:v>
      </x:c>
      <x:c r="J524" s="33" t="str">
        <x:v>tests/runtime/load_pipeline/prfch_sched_test.cc + benchmarks/runtime/load_pipeline/prfch_sched_benchmark.cc</x:v>
      </x:c>
      <x:c r="K524" s="33" t="str">
        <x:v>L1 推理调度层 / 推理框架开发</x:v>
      </x:c>
      <x:c r="L524" s="33" t="str">
        <x:v>L1-SGL-PRFCH-SCHED-004</x:v>
      </x:c>
    </x:row>
    <x:row r="525" ht="76" customHeight="1">
      <x:c r="A525" s="31" t="str">
        <x:v>SF-02/IR-02-06/SR-02-06-02</x:v>
      </x:c>
      <x:c r="B525" s="31" t="n">
        <x:v>3</x:v>
      </x:c>
      <x:c r="C525" s="32" t="str">
        <x:v>SR</x:v>
      </x:c>
      <x:c r="D525" s="32" t="str">
        <x:v>SR-02-06-02</x:v>
      </x:c>
      <x:c r="E525" s="32" t="str">
        <x:v>IR-02-06</x:v>
      </x:c>
      <x:c r="F525" s="32" t="str">
        <x:v>        ├─ SR-02-06-02 流式KV加载Pipeline</x:v>
      </x:c>
      <x:c r="G525" s="32" t="str">
        <x:v>流式KV加载Pipeline｜L1-SGL-SWP-XFER-002</x:v>
      </x:c>
      <x:c r="H525" s="31" t="str">
        <x:v>系统重构：本需求要求实现SGLang的Layer级流式KVCache加载Pipeline，将整体KVCache加载从"等待全部L层就绪才开始计算"改为"每K层就绪即触发对应层的Attention计算"，通过分级 Stream与Event同步实现KVCache加载与prefill计算的深度流水线重叠。 技术路径：详细设计应固定框架适配点、Connector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x:v>
      </x:c>
      <x:c r="I525" s="31" t="str">
        <x:v>内存碎片率控制在&lt;5%，平均并发处理能力（QPS）提升≥10%。</x:v>
      </x:c>
      <x:c r="J525" s="31" t="str"/>
      <x:c r="K525" s="31" t="str">
        <x:v>L1 推理调度层 / 卸载/加载与预取优化</x:v>
      </x:c>
      <x:c r="L525" s="31" t="str">
        <x:v>L1-SGL-SWP-XFER-002</x:v>
      </x:c>
    </x:row>
    <x:row r="526" ht="76" customHeight="1">
      <x:c r="A526" s="33" t="str">
        <x:v>SF-02/IR-02-06/SR-02-06-02/AR-L1-SGL-SWP-XFER-002-01</x:v>
      </x:c>
      <x:c r="B526" s="33" t="n">
        <x:v>4</x:v>
      </x:c>
      <x:c r="C526" s="34" t="str">
        <x:v>AR</x:v>
      </x:c>
      <x:c r="D526" s="34" t="str">
        <x:v>AR-L1-SGL-SWP-XFER-002-01</x:v>
      </x:c>
      <x:c r="E526" s="34" t="str">
        <x:v>SR-02-06-02</x:v>
      </x:c>
      <x:c r="F526" s="34" t="str">
        <x:v>            ├─ AR-L1-SGL-SWP-XFER-002-01 核心实现</x:v>
      </x:c>
      <x:c r="G526" s="34" t="str">
        <x:v>核心实现</x:v>
      </x:c>
      <x:c r="H526" s="33" t="str">
        <x:v>在 `src/runtime/load_pipeline/swp_xfer.{h,cc}` 新增或重写 `SWPXFERPipeline`，把“流式KV加载Pipeline”落实为 L1 推理调度层 可调用主路径：本需求要求实现SGLang的Layer级流式KVCache加载Pipeline，将整体KVCache加载从"等待全部L层就绪才开始计算"改为"每K层就绪即触发对应层的Attention计算"，通过分级 Stream与Event同步实现KVCache加载与prefill计算的深度流水线重叠。 输入必须显式消费 schedule lookahead + block/page spans + stream budget，输出 prefetch/load ticket + per-layer ready，不得用全局单例或隐藏同步 I/O 绕开预算与状态机。</x:v>
      </x:c>
      <x:c r="I526" s="33" t="str">
        <x:v>内存碎片率控制在&lt;5%，平均并发处理能力（QPS）提升≥10%。</x:v>
      </x:c>
      <x:c r="J526" s="33" t="str">
        <x:v>src/runtime/load_pipeline/swp_xfer.{h,cc}</x:v>
      </x:c>
      <x:c r="K526" s="33" t="str">
        <x:v>L1 推理调度层 / 推理框架开发</x:v>
      </x:c>
      <x:c r="L526" s="33" t="str">
        <x:v>L1-SGL-SWP-XFER-002</x:v>
      </x:c>
    </x:row>
    <x:row r="527" ht="76" customHeight="1">
      <x:c r="A527" s="33" t="str">
        <x:v>SF-02/IR-02-06/SR-02-06-02/AR-L1-SGL-SWP-XFER-002-02</x:v>
      </x:c>
      <x:c r="B527" s="33" t="n">
        <x:v>4</x:v>
      </x:c>
      <x:c r="C527" s="34" t="str">
        <x:v>AR</x:v>
      </x:c>
      <x:c r="D527" s="34" t="str">
        <x:v>AR-L1-SGL-SWP-XFER-002-02</x:v>
      </x:c>
      <x:c r="E527" s="34" t="str">
        <x:v>SR-02-06-02</x:v>
      </x:c>
      <x:c r="F527" s="34" t="str">
        <x:v>            ├─ AR-L1-SGL-SWP-XFER-002-02 契约配置与降级</x:v>
      </x:c>
      <x:c r="G527" s="34" t="str">
        <x:v>契约配置与降级</x:v>
      </x:c>
      <x:c r="H527" s="33" t="str">
        <x:v>为 `SWPXFEROptions` 增加 `kvcache.swp_xfer.enabled`、deadline/容量/队列预算及版本字段；在调用点接入 typed error、decision_reason、fallback_reason，确保配置热更新、灰度关闭和向后兼容均可审计。</x:v>
      </x:c>
      <x:c r="I527" s="33" t="str">
        <x:v>内存碎片率控制在&lt;5%，平均并发处理能力（QPS）提升≥10%。</x:v>
      </x:c>
      <x:c r="J527" s="33" t="str">
        <x:v>api/kvcache/v1/swp_xfer.proto + config/runtime/swp_xfer.yaml</x:v>
      </x:c>
      <x:c r="K527" s="33" t="str">
        <x:v>L1 推理调度层 / 推理框架开发</x:v>
      </x:c>
      <x:c r="L527" s="33" t="str">
        <x:v>L1-SGL-SWP-XFER-002</x:v>
      </x:c>
    </x:row>
    <x:row r="528" ht="76" customHeight="1">
      <x:c r="A528" s="33" t="str">
        <x:v>SF-02/IR-02-06/SR-02-06-02/AR-L1-SGL-SWP-XFER-002-03</x:v>
      </x:c>
      <x:c r="B528" s="33" t="n">
        <x:v>4</x:v>
      </x:c>
      <x:c r="C528" s="34" t="str">
        <x:v>AR</x:v>
      </x:c>
      <x:c r="D528" s="34" t="str">
        <x:v>AR-L1-SGL-SWP-XFER-002-03</x:v>
      </x:c>
      <x:c r="E528" s="34" t="str">
        <x:v>SR-02-06-02</x:v>
      </x:c>
      <x:c r="F528" s="34" t="str">
        <x:v>            └─ AR-L1-SGL-SWP-XFER-002-03 验证与观测</x:v>
      </x:c>
      <x:c r="G528" s="34" t="str">
        <x:v>验证与观测</x:v>
      </x:c>
      <x:c r="H528" s="33" t="str">
        <x:v>新增正常、边界、并发、超时、stale metadata、迁移冲突、路径拥塞/故障与 feature-flag-off 用例；在 benchmark 中固定模型、tokenizer、prompt、并发、拓扑和 baseline，采集 lookup/load/attach、TTFT、TPOT、usable/abandoned hit、带宽/时延及 CPU/NPU 利用率。</x:v>
      </x:c>
      <x:c r="I528" s="33" t="str">
        <x:v>内存碎片率控制在&lt;5%，平均并发处理能力（QPS）提升≥10%。</x:v>
      </x:c>
      <x:c r="J528" s="33" t="str">
        <x:v>tests/runtime/load_pipeline/swp_xfer_test.cc + benchmarks/runtime/load_pipeline/swp_xfer_benchmark.cc</x:v>
      </x:c>
      <x:c r="K528" s="33" t="str">
        <x:v>L1 推理调度层 / 推理框架开发</x:v>
      </x:c>
      <x:c r="L528" s="33" t="str">
        <x:v>L1-SGL-SWP-XFER-002</x:v>
      </x:c>
    </x:row>
    <x:row r="529" ht="76" customHeight="1">
      <x:c r="A529" s="31" t="str">
        <x:v>SF-02/IR-02-06/SR-02-06-03</x:v>
      </x:c>
      <x:c r="B529" s="31" t="n">
        <x:v>3</x:v>
      </x:c>
      <x:c r="C529" s="32" t="str">
        <x:v>SR</x:v>
      </x:c>
      <x:c r="D529" s="32" t="str">
        <x:v>SR-02-06-03</x:v>
      </x:c>
      <x:c r="E529" s="32" t="str">
        <x:v>IR-02-06</x:v>
      </x:c>
      <x:c r="F529" s="32" t="str">
        <x:v>        ├─ SR-02-06-03 请求调度预取优化</x:v>
      </x:c>
      <x:c r="G529" s="32" t="str">
        <x:v>请求调度预取优化｜L1-VLLM-PRFCH-SCHED-004</x:v>
      </x:c>
      <x:c r="H529" s="31" t="str">
        <x:v>系统重构：本需求要求在vLLM Scheduler中实现N步Lookahead预测机制，对请求队列中即将被调度的序列提前发起低优先级异步KVCache预取，使数据传输时延与请求排队等待时延充分重叠，从而消除Swap In等待对TTFT关键路径的影响。 技术路径：详细设计应固定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x:v>
      </x:c>
      <x:c r="I529" s="31" t="str">
        <x:v>内存碎片率控制在&lt;5%，平均并发处理能力（QPS）提升≥10%。</x:v>
      </x:c>
      <x:c r="J529" s="31" t="str"/>
      <x:c r="K529" s="31" t="str">
        <x:v>L1 推理调度层 / 卸载/加载与预取优化</x:v>
      </x:c>
      <x:c r="L529" s="31" t="str">
        <x:v>L1-VLLM-PRFCH-SCHED-004</x:v>
      </x:c>
    </x:row>
    <x:row r="530" ht="76" customHeight="1">
      <x:c r="A530" s="33" t="str">
        <x:v>SF-02/IR-02-06/SR-02-06-03/AR-L1-VLLM-PRFCH-SCHED-004-01</x:v>
      </x:c>
      <x:c r="B530" s="33" t="n">
        <x:v>4</x:v>
      </x:c>
      <x:c r="C530" s="34" t="str">
        <x:v>AR</x:v>
      </x:c>
      <x:c r="D530" s="34" t="str">
        <x:v>AR-L1-VLLM-PRFCH-SCHED-004-01</x:v>
      </x:c>
      <x:c r="E530" s="34" t="str">
        <x:v>SR-02-06-03</x:v>
      </x:c>
      <x:c r="F530" s="34" t="str">
        <x:v>            ├─ AR-L1-VLLM-PRFCH-SCHED-004-01 核心实现</x:v>
      </x:c>
      <x:c r="G530" s="34" t="str">
        <x:v>核心实现</x:v>
      </x:c>
      <x:c r="H530" s="33" t="str">
        <x:v>在 `src/runtime/load_pipeline/prfch_sched.{h,cc}` 新增或重写 `PRFCHSCHEDPipeline`，把“请求调度预取优化”落实为 L1 推理调度层 可调用主路径：本需求要求在vLLM Scheduler中实现N步Lookahead预测机制，对请求队列中即将被调度的序列提前发起低优先级异步KVCache预取，使数据传输时延与请求排队等待时延充分重叠，从而消除Swap In等待对TTFT关键路径的影响。 输入必须显式消费 schedule lookahead + block/page spans + stream budget，输出 prefetch/load ticket + per-layer ready，不得用全局单例或隐藏同步 I/O 绕开预算与状态机。</x:v>
      </x:c>
      <x:c r="I530" s="33" t="str">
        <x:v>内存碎片率控制在&lt;5%，平均并发处理能力（QPS）提升≥10%。</x:v>
      </x:c>
      <x:c r="J530" s="33" t="str">
        <x:v>src/runtime/load_pipeline/prfch_sched.{h,cc}</x:v>
      </x:c>
      <x:c r="K530" s="33" t="str">
        <x:v>L1 推理调度层 / 推理框架开发</x:v>
      </x:c>
      <x:c r="L530" s="33" t="str">
        <x:v>L1-VLLM-PRFCH-SCHED-004</x:v>
      </x:c>
    </x:row>
    <x:row r="531" ht="76" customHeight="1">
      <x:c r="A531" s="33" t="str">
        <x:v>SF-02/IR-02-06/SR-02-06-03/AR-L1-VLLM-PRFCH-SCHED-004-02</x:v>
      </x:c>
      <x:c r="B531" s="33" t="n">
        <x:v>4</x:v>
      </x:c>
      <x:c r="C531" s="34" t="str">
        <x:v>AR</x:v>
      </x:c>
      <x:c r="D531" s="34" t="str">
        <x:v>AR-L1-VLLM-PRFCH-SCHED-004-02</x:v>
      </x:c>
      <x:c r="E531" s="34" t="str">
        <x:v>SR-02-06-03</x:v>
      </x:c>
      <x:c r="F531" s="34" t="str">
        <x:v>            ├─ AR-L1-VLLM-PRFCH-SCHED-004-02 契约配置与降级</x:v>
      </x:c>
      <x:c r="G531" s="34" t="str">
        <x:v>契约配置与降级</x:v>
      </x:c>
      <x:c r="H531" s="33" t="str">
        <x:v>为 `PRFCHSCHEDOptions` 增加 `kvcache.prfch_sched.enabled`、deadline/容量/队列预算及版本字段；在调用点接入 typed error、decision_reason、fallback_reason，确保配置热更新、灰度关闭和向后兼容均可审计。</x:v>
      </x:c>
      <x:c r="I531" s="33" t="str">
        <x:v>内存碎片率控制在&lt;5%，平均并发处理能力（QPS）提升≥10%。</x:v>
      </x:c>
      <x:c r="J531" s="33" t="str">
        <x:v>api/kvcache/v1/prfch_sched.proto + config/runtime/prfch_sched.yaml</x:v>
      </x:c>
      <x:c r="K531" s="33" t="str">
        <x:v>L1 推理调度层 / 推理框架开发</x:v>
      </x:c>
      <x:c r="L531" s="33" t="str">
        <x:v>L1-VLLM-PRFCH-SCHED-004</x:v>
      </x:c>
    </x:row>
    <x:row r="532" ht="76" customHeight="1">
      <x:c r="A532" s="33" t="str">
        <x:v>SF-02/IR-02-06/SR-02-06-03/AR-L1-VLLM-PRFCH-SCHED-004-03</x:v>
      </x:c>
      <x:c r="B532" s="33" t="n">
        <x:v>4</x:v>
      </x:c>
      <x:c r="C532" s="34" t="str">
        <x:v>AR</x:v>
      </x:c>
      <x:c r="D532" s="34" t="str">
        <x:v>AR-L1-VLLM-PRFCH-SCHED-004-03</x:v>
      </x:c>
      <x:c r="E532" s="34" t="str">
        <x:v>SR-02-06-03</x:v>
      </x:c>
      <x:c r="F532" s="34" t="str">
        <x:v>            └─ AR-L1-VLLM-PRFCH-SCHED-004-03 验证与观测</x:v>
      </x:c>
      <x:c r="G532" s="34" t="str">
        <x:v>验证与观测</x:v>
      </x:c>
      <x:c r="H532" s="33" t="str">
        <x:v>新增正常、边界、并发、超时、stale metadata、迁移冲突、路径拥塞/故障与 feature-flag-off 用例；在 benchmark 中固定模型、tokenizer、prompt、并发、拓扑和 baseline，采集 lookup/load/attach、TTFT、TPOT、usable/abandoned hit、带宽/时延及 CPU/NPU 利用率。</x:v>
      </x:c>
      <x:c r="I532" s="33" t="str">
        <x:v>内存碎片率控制在&lt;5%，平均并发处理能力（QPS）提升≥10%。</x:v>
      </x:c>
      <x:c r="J532" s="33" t="str">
        <x:v>tests/runtime/load_pipeline/prfch_sched_test.cc + benchmarks/runtime/load_pipeline/prfch_sched_benchmark.cc</x:v>
      </x:c>
      <x:c r="K532" s="33" t="str">
        <x:v>L1 推理调度层 / 推理框架开发</x:v>
      </x:c>
      <x:c r="L532" s="33" t="str">
        <x:v>L1-VLLM-PRFCH-SCHED-004</x:v>
      </x:c>
    </x:row>
    <x:row r="533" ht="76" customHeight="1">
      <x:c r="A533" s="31" t="str">
        <x:v>SF-02/IR-02-06/SR-02-06-04</x:v>
      </x:c>
      <x:c r="B533" s="31" t="n">
        <x:v>3</x:v>
      </x:c>
      <x:c r="C533" s="32" t="str">
        <x:v>SR</x:v>
      </x:c>
      <x:c r="D533" s="32" t="str">
        <x:v>SR-02-06-04</x:v>
      </x:c>
      <x:c r="E533" s="32" t="str">
        <x:v>IR-02-06</x:v>
      </x:c>
      <x:c r="F533" s="32" t="str">
        <x:v>        ├─ SR-02-06-04 Swap批量传输优化</x:v>
      </x:c>
      <x:c r="G533" s="32" t="str">
        <x:v>Swap批量传输优化｜L2-CONN-SWP-XFER-003</x:v>
      </x:c>
      <x:c r="H533" s="31" t="str">
        <x:v>系统重构：本需求要求实现KVCache Block的批量聚合传输能力，将多个非连续Block的批量memcpy，将当前for循环逐Block传输模式替换为单次批量DMA提交，显著提升PCIe带宽利用率并降低CPU launch overhead。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x:v>
      </x:c>
      <x:c r="I533" s="31" t="str">
        <x:v>元数据转换和序列化开销降低至&lt;200ns/次。</x:v>
      </x:c>
      <x:c r="J533" s="31" t="str"/>
      <x:c r="K533" s="31" t="str">
        <x:v>L2 KVConnector层 / 卸载/加载与预取优化</x:v>
      </x:c>
      <x:c r="L533" s="31" t="str">
        <x:v>L2-CONN-SWP-XFER-003</x:v>
      </x:c>
    </x:row>
    <x:row r="534" ht="76" customHeight="1">
      <x:c r="A534" s="33" t="str">
        <x:v>SF-02/IR-02-06/SR-02-06-04/AR-L2-CONN-SWP-XFER-003-01</x:v>
      </x:c>
      <x:c r="B534" s="33" t="n">
        <x:v>4</x:v>
      </x:c>
      <x:c r="C534" s="34" t="str">
        <x:v>AR</x:v>
      </x:c>
      <x:c r="D534" s="34" t="str">
        <x:v>AR-L2-CONN-SWP-XFER-003-01</x:v>
      </x:c>
      <x:c r="E534" s="34" t="str">
        <x:v>SR-02-06-04</x:v>
      </x:c>
      <x:c r="F534" s="34" t="str">
        <x:v>            ├─ AR-L2-CONN-SWP-XFER-003-01 核心实现</x:v>
      </x:c>
      <x:c r="G534" s="34" t="str">
        <x:v>核心实现</x:v>
      </x:c>
      <x:c r="H534" s="33" t="str">
        <x:v>在 `src/runtime/load_pipeline/swp_xfer.{h,cc}` 新增或重写 `SWPXFERPipeline`，把“Swap批量传输优化”落实为 L2 KVConnector层 可调用主路径：本需求要求实现KVCache Block的批量聚合传输能力，将多个非连续Block的批量memcpy，将当前for循环逐Block传输模式替换为单次批量DMA提交，显著提升PCIe带宽利用率并降低CPU launch overhead。 输入必须显式消费 schedule lookahead + block/page spans + stream budget，输出 prefetch/load ticket + per-layer ready，不得用全局单例或隐藏同步 I/O 绕开预算与状态机。</x:v>
      </x:c>
      <x:c r="I534" s="33" t="str">
        <x:v>元数据转换和序列化开销降低至&lt;200ns/次。</x:v>
      </x:c>
      <x:c r="J534" s="33" t="str">
        <x:v>src/runtime/load_pipeline/swp_xfer.{h,cc}</x:v>
      </x:c>
      <x:c r="K534" s="33" t="str">
        <x:v>L2 KVConnector层 / Connector开发</x:v>
      </x:c>
      <x:c r="L534" s="33" t="str">
        <x:v>L2-CONN-SWP-XFER-003</x:v>
      </x:c>
    </x:row>
    <x:row r="535" ht="76" customHeight="1">
      <x:c r="A535" s="33" t="str">
        <x:v>SF-02/IR-02-06/SR-02-06-04/AR-L2-CONN-SWP-XFER-003-02</x:v>
      </x:c>
      <x:c r="B535" s="33" t="n">
        <x:v>4</x:v>
      </x:c>
      <x:c r="C535" s="34" t="str">
        <x:v>AR</x:v>
      </x:c>
      <x:c r="D535" s="34" t="str">
        <x:v>AR-L2-CONN-SWP-XFER-003-02</x:v>
      </x:c>
      <x:c r="E535" s="34" t="str">
        <x:v>SR-02-06-04</x:v>
      </x:c>
      <x:c r="F535" s="34" t="str">
        <x:v>            ├─ AR-L2-CONN-SWP-XFER-003-02 契约配置与降级</x:v>
      </x:c>
      <x:c r="G535" s="34" t="str">
        <x:v>契约配置与降级</x:v>
      </x:c>
      <x:c r="H535" s="33" t="str">
        <x:v>为 `SWPXFEROptions` 增加 `kvcache.swp_xfer.enabled`、deadline/容量/队列预算及版本字段；在调用点接入 typed error、decision_reason、fallback_reason，确保配置热更新、灰度关闭和向后兼容均可审计。</x:v>
      </x:c>
      <x:c r="I535" s="33" t="str">
        <x:v>元数据转换和序列化开销降低至&lt;200ns/次。</x:v>
      </x:c>
      <x:c r="J535" s="33" t="str">
        <x:v>api/kvcache/v1/swp_xfer.proto + config/runtime/swp_xfer.yaml</x:v>
      </x:c>
      <x:c r="K535" s="33" t="str">
        <x:v>L2 KVConnector层 / Connector开发</x:v>
      </x:c>
      <x:c r="L535" s="33" t="str">
        <x:v>L2-CONN-SWP-XFER-003</x:v>
      </x:c>
    </x:row>
    <x:row r="536" ht="76" customHeight="1">
      <x:c r="A536" s="33" t="str">
        <x:v>SF-02/IR-02-06/SR-02-06-04/AR-L2-CONN-SWP-XFER-003-03</x:v>
      </x:c>
      <x:c r="B536" s="33" t="n">
        <x:v>4</x:v>
      </x:c>
      <x:c r="C536" s="34" t="str">
        <x:v>AR</x:v>
      </x:c>
      <x:c r="D536" s="34" t="str">
        <x:v>AR-L2-CONN-SWP-XFER-003-03</x:v>
      </x:c>
      <x:c r="E536" s="34" t="str">
        <x:v>SR-02-06-04</x:v>
      </x:c>
      <x:c r="F536" s="34" t="str">
        <x:v>            └─ AR-L2-CONN-SWP-XFER-003-03 验证与观测</x:v>
      </x:c>
      <x:c r="G536" s="34" t="str">
        <x:v>验证与观测</x:v>
      </x:c>
      <x:c r="H536" s="33" t="str">
        <x:v>新增正常、边界、并发、超时、stale metadata、迁移冲突、路径拥塞/故障与 feature-flag-off 用例；在 benchmark 中固定模型、tokenizer、prompt、并发、拓扑和 baseline，采集 lookup/load/attach、TTFT、TPOT、usable/abandoned hit、带宽/时延及 CPU/NPU 利用率。</x:v>
      </x:c>
      <x:c r="I536" s="33" t="str">
        <x:v>元数据转换和序列化开销降低至&lt;200ns/次。</x:v>
      </x:c>
      <x:c r="J536" s="33" t="str">
        <x:v>tests/runtime/load_pipeline/swp_xfer_test.cc + benchmarks/runtime/load_pipeline/swp_xfer_benchmark.cc</x:v>
      </x:c>
      <x:c r="K536" s="33" t="str">
        <x:v>L2 KVConnector层 / Connector开发</x:v>
      </x:c>
      <x:c r="L536" s="33" t="str">
        <x:v>L2-CONN-SWP-XFER-003</x:v>
      </x:c>
    </x:row>
    <x:row r="537" ht="76" customHeight="1">
      <x:c r="A537" s="29" t="str">
        <x:v>SF-02/IR-02-07</x:v>
      </x:c>
      <x:c r="B537" s="29" t="n">
        <x:v>2</x:v>
      </x:c>
      <x:c r="C537" s="30" t="str">
        <x:v>IR</x:v>
      </x:c>
      <x:c r="D537" s="30" t="str">
        <x:v>IR-02-07</x:v>
      </x:c>
      <x:c r="E537" s="30" t="str">
        <x:v>SF-02</x:v>
      </x:c>
      <x:c r="F537" s="30" t="str">
        <x:v>    ├─ IR-02-07 基于请求趋势和复用概率的KV投机预取及效果反馈</x:v>
      </x:c>
      <x:c r="G537" s="30" t="str">
        <x:v>基于请求趋势和复用概率的KV投机预取及效果反馈</x:v>
      </x:c>
      <x:c r="H537" s="29" t="str">
        <x:v>系统应依据调度 lookahead、同前缀请求聚集、session 连续性、历史复用概率、可用 HBM block 和路径时延，在请求真正需要 KV 之前生成有界预取计划；同时记录命中、等待节省、误预取、取消和内存占用，自动调整预取窗口和预算，使预取带来可证明的 TTFT 收益而不是额外占用与带宽浪费。
技术锚点：PrefetchEngine + EMA/Markov Reuse Predictor + admission feedback</x:v>
      </x:c>
      <x:c r="I537" s="29" t="str">
        <x:v>预取命中率≥70%；命中时等待时延降低≥60%；误预取率&lt;20%；额外HBM≤10%。</x:v>
      </x:c>
      <x:c r="J537" s="29" t="str"/>
      <x:c r="K537" s="29" t="str">
        <x:v>TM1/TM4</x:v>
      </x:c>
      <x:c r="L537" s="29" t="str">
        <x:v>V2.1修订定义</x:v>
      </x:c>
    </x:row>
    <x:row r="538" ht="76" customHeight="1">
      <x:c r="A538" s="31" t="str">
        <x:v>SF-02/IR-02-07/SR-02-07-01</x:v>
      </x:c>
      <x:c r="B538" s="31" t="n">
        <x:v>3</x:v>
      </x:c>
      <x:c r="C538" s="32" t="str">
        <x:v>SR</x:v>
      </x:c>
      <x:c r="D538" s="32" t="str">
        <x:v>SR-02-07-01</x:v>
      </x:c>
      <x:c r="E538" s="32" t="str">
        <x:v>IR-02-07</x:v>
      </x:c>
      <x:c r="F538" s="32" t="str">
        <x:v>        ├─ SR-02-07-01 前缀KV隐藏加载时延</x:v>
      </x:c>
      <x:c r="G538" s="32" t="str">
        <x:v>前缀KV隐藏加载时延｜L2-CONN-PRFCH-ENGINE-007</x:v>
      </x:c>
      <x:c r="H538" s="31" t="str">
        <x:v>系统重构：本需求要求在Request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x:v>
      </x:c>
      <x:c r="I538" s="31" t="str">
        <x:v>Prefix命中判定P99耗时 &lt; 200us；在Share-Prefix业务下，Usable Hit Rate提升≥15%。</x:v>
      </x:c>
      <x:c r="J538" s="31" t="str"/>
      <x:c r="K538" s="31" t="str">
        <x:v>L2 KVConnector层 / 预取触发与命中评估</x:v>
      </x:c>
      <x:c r="L538" s="31" t="str">
        <x:v>L2-CONN-PRFCH-ENGINE-007</x:v>
      </x:c>
    </x:row>
    <x:row r="539" ht="76" customHeight="1">
      <x:c r="A539" s="33" t="str">
        <x:v>SF-02/IR-02-07/SR-02-07-01/AR-L2-CONN-PRFCH-ENGINE-007-01</x:v>
      </x:c>
      <x:c r="B539" s="33" t="n">
        <x:v>4</x:v>
      </x:c>
      <x:c r="C539" s="34" t="str">
        <x:v>AR</x:v>
      </x:c>
      <x:c r="D539" s="34" t="str">
        <x:v>AR-L2-CONN-PRFCH-ENGINE-007-01</x:v>
      </x:c>
      <x:c r="E539" s="34" t="str">
        <x:v>SR-02-07-01</x:v>
      </x:c>
      <x:c r="F539" s="34" t="str">
        <x:v>            ├─ AR-L2-CONN-PRFCH-ENGINE-007-01 核心实现</x:v>
      </x:c>
      <x:c r="G539" s="34" t="str">
        <x:v>核心实现</x:v>
      </x:c>
      <x:c r="H539" s="33" t="str">
        <x:v>在 `src/runtime/prefetch/prfch_engine.{h,cc}` 新增或重写 `PRFCHENGINEPlanner`，把“前缀KV隐藏加载时延”落实为 L2 KVConnector层 可调用主路径：本需求要求在Request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 输入必须显式消费 lookahead + reuse score + free blocks + deadline，输出 bounded prefetch plan + hit/waste feedback，不得用全局单例或隐藏同步 I/O 绕开预算与状态机。</x:v>
      </x:c>
      <x:c r="I539" s="33" t="str">
        <x:v>Prefix命中判定P99耗时 &lt; 200us；在Share-Prefix业务下，Usable Hit Rate提升≥15%。</x:v>
      </x:c>
      <x:c r="J539" s="33" t="str">
        <x:v>src/runtime/prefetch/prfch_engine.{h,cc}</x:v>
      </x:c>
      <x:c r="K539" s="33" t="str">
        <x:v>L2 KVConnector层 / Connector开发</x:v>
      </x:c>
      <x:c r="L539" s="33" t="str">
        <x:v>L2-CONN-PRFCH-ENGINE-007</x:v>
      </x:c>
    </x:row>
    <x:row r="540" ht="76" customHeight="1">
      <x:c r="A540" s="33" t="str">
        <x:v>SF-02/IR-02-07/SR-02-07-01/AR-L2-CONN-PRFCH-ENGINE-007-02</x:v>
      </x:c>
      <x:c r="B540" s="33" t="n">
        <x:v>4</x:v>
      </x:c>
      <x:c r="C540" s="34" t="str">
        <x:v>AR</x:v>
      </x:c>
      <x:c r="D540" s="34" t="str">
        <x:v>AR-L2-CONN-PRFCH-ENGINE-007-02</x:v>
      </x:c>
      <x:c r="E540" s="34" t="str">
        <x:v>SR-02-07-01</x:v>
      </x:c>
      <x:c r="F540" s="34" t="str">
        <x:v>            ├─ AR-L2-CONN-PRFCH-ENGINE-007-02 契约配置与降级</x:v>
      </x:c>
      <x:c r="G540" s="34" t="str">
        <x:v>契约配置与降级</x:v>
      </x:c>
      <x:c r="H540" s="33" t="str">
        <x:v>为 `PRFCHENGINEOptions` 增加 `kvcache.prfch_engine.enabled`、deadline/容量/队列预算及版本字段；在调用点接入 typed error、decision_reason、fallback_reason，确保配置热更新、灰度关闭和向后兼容均可审计。</x:v>
      </x:c>
      <x:c r="I540" s="33" t="str">
        <x:v>Prefix命中判定P99耗时 &lt; 200us；在Share-Prefix业务下，Usable Hit Rate提升≥15%。</x:v>
      </x:c>
      <x:c r="J540" s="33" t="str">
        <x:v>api/kvcache/v1/prfch_engine.proto + config/runtime/prfch_engine.yaml</x:v>
      </x:c>
      <x:c r="K540" s="33" t="str">
        <x:v>L2 KVConnector层 / Connector开发</x:v>
      </x:c>
      <x:c r="L540" s="33" t="str">
        <x:v>L2-CONN-PRFCH-ENGINE-007</x:v>
      </x:c>
    </x:row>
    <x:row r="541" ht="76" customHeight="1">
      <x:c r="A541" s="33" t="str">
        <x:v>SF-02/IR-02-07/SR-02-07-01/AR-L2-CONN-PRFCH-ENGINE-007-03</x:v>
      </x:c>
      <x:c r="B541" s="33" t="n">
        <x:v>4</x:v>
      </x:c>
      <x:c r="C541" s="34" t="str">
        <x:v>AR</x:v>
      </x:c>
      <x:c r="D541" s="34" t="str">
        <x:v>AR-L2-CONN-PRFCH-ENGINE-007-03</x:v>
      </x:c>
      <x:c r="E541" s="34" t="str">
        <x:v>SR-02-07-01</x:v>
      </x:c>
      <x:c r="F541" s="34" t="str">
        <x:v>            └─ AR-L2-CONN-PRFCH-ENGINE-007-03 验证与观测</x:v>
      </x:c>
      <x:c r="G541" s="34" t="str">
        <x:v>验证与观测</x:v>
      </x:c>
      <x:c r="H541" s="33" t="str">
        <x:v>新增正常、边界、并发、超时、stale metadata、迁移冲突、路径拥塞/故障与 feature-flag-off 用例；在 benchmark 中固定模型、tokenizer、prompt、并发、拓扑和 baseline，采集 lookup/load/attach、TTFT、TPOT、usable/abandoned hit、带宽/时延及 CPU/NPU 利用率。</x:v>
      </x:c>
      <x:c r="I541" s="33" t="str">
        <x:v>Prefix命中判定P99耗时 &lt; 200us；在Share-Prefix业务下，Usable Hit Rate提升≥15%。</x:v>
      </x:c>
      <x:c r="J541" s="33" t="str">
        <x:v>tests/runtime/prefetch/prfch_engine_test.cc + benchmarks/runtime/prefetch/prfch_engine_benchmark.cc</x:v>
      </x:c>
      <x:c r="K541" s="33" t="str">
        <x:v>L2 KVConnector层 / Connector开发</x:v>
      </x:c>
      <x:c r="L541" s="33" t="str">
        <x:v>L2-CONN-PRFCH-ENGINE-007</x:v>
      </x:c>
    </x:row>
    <x:row r="542" ht="76" customHeight="1">
      <x:c r="A542" s="29" t="str">
        <x:v>SF-02/IR-02-08</x:v>
      </x:c>
      <x:c r="B542" s="29" t="n">
        <x:v>2</x:v>
      </x:c>
      <x:c r="C542" s="30" t="str">
        <x:v>IR</x:v>
      </x:c>
      <x:c r="D542" s="30" t="str">
        <x:v>IR-02-08</x:v>
      </x:c>
      <x:c r="E542" s="30" t="str">
        <x:v>SF-02</x:v>
      </x:c>
      <x:c r="F542" s="30" t="str">
        <x:v>    ├─ IR-02-08 支持模型级KV容量估算、水位准入及全生命周期状态管理</x:v>
      </x:c>
      <x:c r="G542" s="30" t="str">
        <x:v>支持模型级KV容量估算、水位准入及全生命周期状态管理</x:v>
      </x:c>
      <x:c r="H542" s="29" t="str">
        <x:v>系统应根据模型层数、KV head、head_dim、dtype、并行切分、block/page 大小、上下文长度和并发量计算每请求及全池 KV 容量需求，并结合各 tier 水位执行准入、预留和回收。每个 KV 对象从创建、写入、发布、附加、迁移、淘汰到释放都必须有明确状态和合法转换，防止 OOM、过量预留和悬空引用。
技术锚点：KVBlockSpec + ModelProfile + WatermarkAdmission + KVObjectStateMachine</x:v>
      </x:c>
      <x:c r="I542" s="29" t="str">
        <x:v>估算误差&lt;5%；OOM/preemption降低≥50%；碎片率&lt;5%；节点变化只失效一致性哈希对应比例。</x:v>
      </x:c>
      <x:c r="J542" s="29" t="str"/>
      <x:c r="K542" s="29" t="str">
        <x:v>TM1/TM3</x:v>
      </x:c>
      <x:c r="L542" s="29" t="str">
        <x:v>V2.1修订定义</x:v>
      </x:c>
    </x:row>
    <x:row r="543" ht="76" customHeight="1">
      <x:c r="A543" s="31" t="str">
        <x:v>SF-02/IR-02-08/SR-02-08-01</x:v>
      </x:c>
      <x:c r="B543" s="31" t="n">
        <x:v>3</x:v>
      </x:c>
      <x:c r="C543" s="32" t="str">
        <x:v>SR</x:v>
      </x:c>
      <x:c r="D543" s="32" t="str">
        <x:v>SR-02-08-01</x:v>
      </x:c>
      <x:c r="E543" s="32" t="str">
        <x:v>IR-02-08</x:v>
      </x:c>
      <x:c r="F543" s="32" t="str">
        <x:v>        ├─ SR-02-08-01 KVCache 生命周期一致性管理</x:v>
      </x:c>
      <x:c r="G543" s="32" t="str">
        <x:v>KVCache 生命周期一致性管理｜L3-MM-Lifecycle-009</x:v>
      </x:c>
      <x:c r="H543" s="31" t="str">
        <x:v>系统重构：本需求要求实现分布式 KV 生命周期状态机，将 KV block/page 明确建模为 ALLOCATED → LOADING → READY → ACTIVE → OFFLOADING → EVICTABLE → RELEASED/FAILED；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x:v>
      </x:c>
      <x:c r="I543" s="31" t="str">
        <x:v>节点动态加入/退出时的缓存失效控制在局部范围内（遵循一致性哈希比例）。</x:v>
      </x:c>
      <x:c r="J543" s="31" t="str"/>
      <x:c r="K543" s="31" t="str">
        <x:v>L3 传输管理层 / 容量估算与生命周期</x:v>
      </x:c>
      <x:c r="L543" s="31" t="str">
        <x:v>L3-MM-Lifecycle-009</x:v>
      </x:c>
    </x:row>
    <x:row r="544" ht="76" customHeight="1">
      <x:c r="A544" s="33" t="str">
        <x:v>SF-02/IR-02-08/SR-02-08-01/AR-L3-MM-Lifecycle-009-01</x:v>
      </x:c>
      <x:c r="B544" s="33" t="n">
        <x:v>4</x:v>
      </x:c>
      <x:c r="C544" s="34" t="str">
        <x:v>AR</x:v>
      </x:c>
      <x:c r="D544" s="34" t="str">
        <x:v>AR-L3-MM-Lifecycle-009-01</x:v>
      </x:c>
      <x:c r="E544" s="34" t="str">
        <x:v>SR-02-08-01</x:v>
      </x:c>
      <x:c r="F544" s="34" t="str">
        <x:v>            ├─ AR-L3-MM-Lifecycle-009-01 核心实现</x:v>
      </x:c>
      <x:c r="G544" s="34" t="str">
        <x:v>核心实现</x:v>
      </x:c>
      <x:c r="H544" s="33" t="str">
        <x:v>在 `src/pool/lifecycle/lifecycle.{h,cc}` 新增或重写 `LifecycleManager`，把“KVCache 生命周期一致性管理”落实为 L3 传输管理层 可调用主路径：本需求要求实现分布式 KV 生命周期状态机，将 KV block/page 明确建模为 ALLOCATED → LOADING → READY → ACTIVE → OFFLOADING → EVICTABLE → RELEASED/FAILED； 输入必须显式消费 model config + workload + pool watermarks，输出 capacity budget + lifecycle event + admission，不得用全局单例或隐藏同步 I/O 绕开预算与状态机。</x:v>
      </x:c>
      <x:c r="I544" s="33" t="str">
        <x:v>节点动态加入/退出时的缓存失效控制在局部范围内（遵循一致性哈希比例）。</x:v>
      </x:c>
      <x:c r="J544" s="33" t="str">
        <x:v>src/pool/lifecycle/lifecycle.{h,cc}</x:v>
      </x:c>
      <x:c r="K544" s="33" t="str">
        <x:v>L3 传输管理层 / 存储池/传输管理开发</x:v>
      </x:c>
      <x:c r="L544" s="33" t="str">
        <x:v>L3-MM-Lifecycle-009</x:v>
      </x:c>
    </x:row>
    <x:row r="545" ht="76" customHeight="1">
      <x:c r="A545" s="33" t="str">
        <x:v>SF-02/IR-02-08/SR-02-08-01/AR-L3-MM-Lifecycle-009-02</x:v>
      </x:c>
      <x:c r="B545" s="33" t="n">
        <x:v>4</x:v>
      </x:c>
      <x:c r="C545" s="34" t="str">
        <x:v>AR</x:v>
      </x:c>
      <x:c r="D545" s="34" t="str">
        <x:v>AR-L3-MM-Lifecycle-009-02</x:v>
      </x:c>
      <x:c r="E545" s="34" t="str">
        <x:v>SR-02-08-01</x:v>
      </x:c>
      <x:c r="F545" s="34" t="str">
        <x:v>            ├─ AR-L3-MM-Lifecycle-009-02 契约配置与降级</x:v>
      </x:c>
      <x:c r="G545" s="34" t="str">
        <x:v>契约配置与降级</x:v>
      </x:c>
      <x:c r="H545" s="33" t="str">
        <x:v>为 `LifecycleOptions` 增加 `kvcache.lifecycle.enabled`、deadline/容量/队列预算及版本字段；在调用点接入 typed error、decision_reason、fallback_reason，确保配置热更新、灰度关闭和向后兼容均可审计。</x:v>
      </x:c>
      <x:c r="I545" s="33" t="str">
        <x:v>节点动态加入/退出时的缓存失效控制在局部范围内（遵循一致性哈希比例）。</x:v>
      </x:c>
      <x:c r="J545" s="33" t="str">
        <x:v>api/kvcache/v1/lifecycle.proto + config/runtime/lifecycle.yaml</x:v>
      </x:c>
      <x:c r="K545" s="33" t="str">
        <x:v>L3 传输管理层 / 存储池/传输管理开发</x:v>
      </x:c>
      <x:c r="L545" s="33" t="str">
        <x:v>L3-MM-Lifecycle-009</x:v>
      </x:c>
    </x:row>
    <x:row r="546" ht="76" customHeight="1">
      <x:c r="A546" s="33" t="str">
        <x:v>SF-02/IR-02-08/SR-02-08-01/AR-L3-MM-Lifecycle-009-03</x:v>
      </x:c>
      <x:c r="B546" s="33" t="n">
        <x:v>4</x:v>
      </x:c>
      <x:c r="C546" s="34" t="str">
        <x:v>AR</x:v>
      </x:c>
      <x:c r="D546" s="34" t="str">
        <x:v>AR-L3-MM-Lifecycle-009-03</x:v>
      </x:c>
      <x:c r="E546" s="34" t="str">
        <x:v>SR-02-08-01</x:v>
      </x:c>
      <x:c r="F546" s="34" t="str">
        <x:v>            └─ AR-L3-MM-Lifecycle-009-03 验证与观测</x:v>
      </x:c>
      <x:c r="G546" s="34" t="str">
        <x:v>验证与观测</x:v>
      </x:c>
      <x:c r="H546" s="33" t="str">
        <x:v>新增正常、边界、并发、超时、stale metadata、迁移冲突、路径拥塞/故障与 feature-flag-off 用例；在 benchmark 中固定模型、tokenizer、prompt、并发、拓扑和 baseline，采集 lookup/load/attach、TTFT、TPOT、usable/abandoned hit、带宽/时延及 CPU/NPU 利用率。</x:v>
      </x:c>
      <x:c r="I546" s="33" t="str">
        <x:v>节点动态加入/退出时的缓存失效控制在局部范围内（遵循一致性哈希比例）。</x:v>
      </x:c>
      <x:c r="J546" s="33" t="str">
        <x:v>tests/pool/lifecycle/lifecycle_test.cc + benchmarks/pool/lifecycle/lifecycle_benchmark.cc</x:v>
      </x:c>
      <x:c r="K546" s="33" t="str">
        <x:v>L3 传输管理层 / 存储池/传输管理开发</x:v>
      </x:c>
      <x:c r="L546" s="33" t="str">
        <x:v>L3-MM-Lifecycle-009</x:v>
      </x:c>
    </x:row>
    <x:row r="547" ht="76" customHeight="1">
      <x:c r="A547" s="31" t="str">
        <x:v>SF-02/IR-02-08/SR-02-08-02</x:v>
      </x:c>
      <x:c r="B547" s="31" t="n">
        <x:v>3</x:v>
      </x:c>
      <x:c r="C547" s="32" t="str">
        <x:v>SR</x:v>
      </x:c>
      <x:c r="D547" s="32" t="str">
        <x:v>SR-02-08-02</x:v>
      </x:c>
      <x:c r="E547" s="32" t="str">
        <x:v>IR-02-08</x:v>
      </x:c>
      <x:c r="F547" s="32" t="str">
        <x:v>        ├─ SR-02-08-02 内存高碎片率推理不中断</x:v>
      </x:c>
      <x:c r="G547" s="32" t="str">
        <x:v>内存高碎片率推理不中断｜L1-MM-DefragAware-023</x:v>
      </x:c>
      <x:c r="H547" s="31" t="str">
        <x:v>系统重构：本需求要求 L调度器支持内存紧凑（Compaction）感知：当底层触发碎片整理时，调度器需动态规避正在被迁移的物理 Block，或通过热备 Block 替换机制维持当前推理序列的连续写入，避免碎片整理导致推理线程死锁或停顿。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x:v>
      </x:c>
      <x:c r="I547" s="31" t="str">
        <x:v>内存碎片率控制在&lt;5%，平均并发处理能力（QPS）提升≥10%。</x:v>
      </x:c>
      <x:c r="J547" s="31" t="str"/>
      <x:c r="K547" s="31" t="str">
        <x:v>L1 推理调度层 / 容量估算与生命周期</x:v>
      </x:c>
      <x:c r="L547" s="31" t="str">
        <x:v>L1-MM-DefragAware-023</x:v>
      </x:c>
    </x:row>
    <x:row r="548" ht="76" customHeight="1">
      <x:c r="A548" s="33" t="str">
        <x:v>SF-02/IR-02-08/SR-02-08-02/AR-L1-MM-DefragAware-023-01</x:v>
      </x:c>
      <x:c r="B548" s="33" t="n">
        <x:v>4</x:v>
      </x:c>
      <x:c r="C548" s="34" t="str">
        <x:v>AR</x:v>
      </x:c>
      <x:c r="D548" s="34" t="str">
        <x:v>AR-L1-MM-DefragAware-023-01</x:v>
      </x:c>
      <x:c r="E548" s="34" t="str">
        <x:v>SR-02-08-02</x:v>
      </x:c>
      <x:c r="F548" s="34" t="str">
        <x:v>            ├─ AR-L1-MM-DefragAware-023-01 核心实现</x:v>
      </x:c>
      <x:c r="G548" s="34" t="str">
        <x:v>核心实现</x:v>
      </x:c>
      <x:c r="H548" s="33" t="str">
        <x:v>在 `src/pool/lifecycle/defrag_aware.{h,cc}` 新增或重写 `DefragAwareManager`，把“内存高碎片率推理不中断”落实为 L1 推理调度层 可调用主路径：本需求要求 L调度器支持内存紧凑（Compaction）感知：当底层触发碎片整理时，调度器需动态规避正在被迁移的物理 Block，或通过热备 Block 替换机制维持当前推理序列的连续写入，避免碎片整理导致推理线程死锁或停顿。 输入必须显式消费 model config + workload + pool watermarks，输出 capacity budget + lifecycle event + admission，不得用全局单例或隐藏同步 I/O 绕开预算与状态机。</x:v>
      </x:c>
      <x:c r="I548" s="33" t="str">
        <x:v>内存碎片率控制在&lt;5%，平均并发处理能力（QPS）提升≥10%。</x:v>
      </x:c>
      <x:c r="J548" s="33" t="str">
        <x:v>src/pool/lifecycle/defrag_aware.{h,cc}</x:v>
      </x:c>
      <x:c r="K548" s="33" t="str">
        <x:v>L1 推理调度层 / 推理框架开发</x:v>
      </x:c>
      <x:c r="L548" s="33" t="str">
        <x:v>L1-MM-DefragAware-023</x:v>
      </x:c>
    </x:row>
    <x:row r="549" ht="76" customHeight="1">
      <x:c r="A549" s="33" t="str">
        <x:v>SF-02/IR-02-08/SR-02-08-02/AR-L1-MM-DefragAware-023-02</x:v>
      </x:c>
      <x:c r="B549" s="33" t="n">
        <x:v>4</x:v>
      </x:c>
      <x:c r="C549" s="34" t="str">
        <x:v>AR</x:v>
      </x:c>
      <x:c r="D549" s="34" t="str">
        <x:v>AR-L1-MM-DefragAware-023-02</x:v>
      </x:c>
      <x:c r="E549" s="34" t="str">
        <x:v>SR-02-08-02</x:v>
      </x:c>
      <x:c r="F549" s="34" t="str">
        <x:v>            ├─ AR-L1-MM-DefragAware-023-02 契约配置与降级</x:v>
      </x:c>
      <x:c r="G549" s="34" t="str">
        <x:v>契约配置与降级</x:v>
      </x:c>
      <x:c r="H549" s="33" t="str">
        <x:v>为 `DefragAwareOptions` 增加 `kvcache.defrag_aware.enabled`、deadline/容量/队列预算及版本字段；在调用点接入 typed error、decision_reason、fallback_reason，确保配置热更新、灰度关闭和向后兼容均可审计。</x:v>
      </x:c>
      <x:c r="I549" s="33" t="str">
        <x:v>内存碎片率控制在&lt;5%，平均并发处理能力（QPS）提升≥10%。</x:v>
      </x:c>
      <x:c r="J549" s="33" t="str">
        <x:v>api/kvcache/v1/defrag_aware.proto + config/runtime/defrag_aware.yaml</x:v>
      </x:c>
      <x:c r="K549" s="33" t="str">
        <x:v>L1 推理调度层 / 推理框架开发</x:v>
      </x:c>
      <x:c r="L549" s="33" t="str">
        <x:v>L1-MM-DefragAware-023</x:v>
      </x:c>
    </x:row>
    <x:row r="550" ht="76" customHeight="1">
      <x:c r="A550" s="33" t="str">
        <x:v>SF-02/IR-02-08/SR-02-08-02/AR-L1-MM-DefragAware-023-03</x:v>
      </x:c>
      <x:c r="B550" s="33" t="n">
        <x:v>4</x:v>
      </x:c>
      <x:c r="C550" s="34" t="str">
        <x:v>AR</x:v>
      </x:c>
      <x:c r="D550" s="34" t="str">
        <x:v>AR-L1-MM-DefragAware-023-03</x:v>
      </x:c>
      <x:c r="E550" s="34" t="str">
        <x:v>SR-02-08-02</x:v>
      </x:c>
      <x:c r="F550" s="34" t="str">
        <x:v>            └─ AR-L1-MM-DefragAware-023-03 验证与观测</x:v>
      </x:c>
      <x:c r="G550" s="34" t="str">
        <x:v>验证与观测</x:v>
      </x:c>
      <x:c r="H550" s="33" t="str">
        <x:v>新增正常、边界、并发、超时、stale metadata、迁移冲突、路径拥塞/故障与 feature-flag-off 用例；在 benchmark 中固定模型、tokenizer、prompt、并发、拓扑和 baseline，采集 lookup/load/attach、TTFT、TPOT、usable/abandoned hit、带宽/时延及 CPU/NPU 利用率。</x:v>
      </x:c>
      <x:c r="I550" s="33" t="str">
        <x:v>内存碎片率控制在&lt;5%，平均并发处理能力（QPS）提升≥10%。</x:v>
      </x:c>
      <x:c r="J550" s="33" t="str">
        <x:v>tests/pool/lifecycle/defrag_aware_test.cc + benchmarks/pool/lifecycle/defrag_aware_benchmark.cc</x:v>
      </x:c>
      <x:c r="K550" s="33" t="str">
        <x:v>L1 推理调度层 / 推理框架开发</x:v>
      </x:c>
      <x:c r="L550" s="33" t="str">
        <x:v>L1-MM-DefragAware-023</x:v>
      </x:c>
    </x:row>
    <x:row r="551" ht="76" customHeight="1">
      <x:c r="A551" s="31" t="str">
        <x:v>SF-02/IR-02-08/SR-02-08-03</x:v>
      </x:c>
      <x:c r="B551" s="31" t="n">
        <x:v>3</x:v>
      </x:c>
      <x:c r="C551" s="32" t="str">
        <x:v>SR</x:v>
      </x:c>
      <x:c r="D551" s="32" t="str">
        <x:v>SR-02-08-03</x:v>
      </x:c>
      <x:c r="E551" s="32" t="str">
        <x:v>IR-02-08</x:v>
      </x:c>
      <x:c r="F551" s="32" t="str">
        <x:v>        ├─ SR-02-08-03 模型 KVCache 容量规格化</x:v>
      </x:c>
      <x:c r="G551" s="32" t="str">
        <x:v>模型 KVCache 容量规格化｜L1-MM-KVSizing-008</x:v>
      </x:c>
      <x:c r="H551" s="31" t="str">
        <x:v>系统重构：本需求要求提供模型结构感知的 KV block/page 容量估算 API，覆盖 MHA、GQA、MLA、sliding-window、hybrid/recurrent state、TP rank、dtype、layout version 等因素，确保 HBM/DDR/CXL/SSD 预留容量与实际 KV footprint 误差小于 5%。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x:v>
      </x:c>
      <x:c r="I551" s="31" t="str">
        <x:v>OOM/preemption 次数降低 ≥50%；</x:v>
      </x:c>
      <x:c r="J551" s="31" t="str"/>
      <x:c r="K551" s="31" t="str">
        <x:v>L1 推理调度层 / 容量估算与生命周期</x:v>
      </x:c>
      <x:c r="L551" s="31" t="str">
        <x:v>L1-MM-KVSizing-008</x:v>
      </x:c>
    </x:row>
    <x:row r="552" ht="76" customHeight="1">
      <x:c r="A552" s="33" t="str">
        <x:v>SF-02/IR-02-08/SR-02-08-03/AR-L1-MM-KVSizing-008-01</x:v>
      </x:c>
      <x:c r="B552" s="33" t="n">
        <x:v>4</x:v>
      </x:c>
      <x:c r="C552" s="34" t="str">
        <x:v>AR</x:v>
      </x:c>
      <x:c r="D552" s="34" t="str">
        <x:v>AR-L1-MM-KVSizing-008-01</x:v>
      </x:c>
      <x:c r="E552" s="34" t="str">
        <x:v>SR-02-08-03</x:v>
      </x:c>
      <x:c r="F552" s="34" t="str">
        <x:v>            ├─ AR-L1-MM-KVSizing-008-01 核心实现</x:v>
      </x:c>
      <x:c r="G552" s="34" t="str">
        <x:v>核心实现</x:v>
      </x:c>
      <x:c r="H552" s="33" t="str">
        <x:v>在 `src/pool/lifecycle/kvsizing.{h,cc}` 新增或重写 `KVSizingManager`，把“模型 KVCache 容量规格化”落实为 L1 推理调度层 可调用主路径：本需求要求提供模型结构感知的 KV block/page 容量估算 API，覆盖 MHA、GQA、MLA、sliding-window、hybrid/recurrent state、TP rank、dtype、layout version 等因素，确保 HBM/DDR/CXL/SSD 预留容量与实际 KV footprint 误差小于 5%。 输入必须显式消费 model config + workload + pool watermarks，输出 capacity budget + lifecycle event + admission，不得用全局单例或隐藏同步 I/O 绕开预算与状态机。</x:v>
      </x:c>
      <x:c r="I552" s="33" t="str">
        <x:v>OOM/preemption 次数降低 ≥50%；</x:v>
      </x:c>
      <x:c r="J552" s="33" t="str">
        <x:v>src/pool/lifecycle/kvsizing.{h,cc}</x:v>
      </x:c>
      <x:c r="K552" s="33" t="str">
        <x:v>L1 推理调度层 / 推理框架开发</x:v>
      </x:c>
      <x:c r="L552" s="33" t="str">
        <x:v>L1-MM-KVSizing-008</x:v>
      </x:c>
    </x:row>
    <x:row r="553" ht="76" customHeight="1">
      <x:c r="A553" s="33" t="str">
        <x:v>SF-02/IR-02-08/SR-02-08-03/AR-L1-MM-KVSizing-008-02</x:v>
      </x:c>
      <x:c r="B553" s="33" t="n">
        <x:v>4</x:v>
      </x:c>
      <x:c r="C553" s="34" t="str">
        <x:v>AR</x:v>
      </x:c>
      <x:c r="D553" s="34" t="str">
        <x:v>AR-L1-MM-KVSizing-008-02</x:v>
      </x:c>
      <x:c r="E553" s="34" t="str">
        <x:v>SR-02-08-03</x:v>
      </x:c>
      <x:c r="F553" s="34" t="str">
        <x:v>            ├─ AR-L1-MM-KVSizing-008-02 契约配置与降级</x:v>
      </x:c>
      <x:c r="G553" s="34" t="str">
        <x:v>契约配置与降级</x:v>
      </x:c>
      <x:c r="H553" s="33" t="str">
        <x:v>为 `KVSizingOptions` 增加 `kvcache.kvsizing.enabled`、deadline/容量/队列预算及版本字段；在调用点接入 typed error、decision_reason、fallback_reason，确保配置热更新、灰度关闭和向后兼容均可审计。</x:v>
      </x:c>
      <x:c r="I553" s="33" t="str">
        <x:v>OOM/preemption 次数降低 ≥50%；</x:v>
      </x:c>
      <x:c r="J553" s="33" t="str">
        <x:v>api/kvcache/v1/kvsizing.proto + config/runtime/kvsizing.yaml</x:v>
      </x:c>
      <x:c r="K553" s="33" t="str">
        <x:v>L1 推理调度层 / 推理框架开发</x:v>
      </x:c>
      <x:c r="L553" s="33" t="str">
        <x:v>L1-MM-KVSizing-008</x:v>
      </x:c>
    </x:row>
    <x:row r="554" ht="76" customHeight="1">
      <x:c r="A554" s="33" t="str">
        <x:v>SF-02/IR-02-08/SR-02-08-03/AR-L1-MM-KVSizing-008-03</x:v>
      </x:c>
      <x:c r="B554" s="33" t="n">
        <x:v>4</x:v>
      </x:c>
      <x:c r="C554" s="34" t="str">
        <x:v>AR</x:v>
      </x:c>
      <x:c r="D554" s="34" t="str">
        <x:v>AR-L1-MM-KVSizing-008-03</x:v>
      </x:c>
      <x:c r="E554" s="34" t="str">
        <x:v>SR-02-08-03</x:v>
      </x:c>
      <x:c r="F554" s="34" t="str">
        <x:v>            └─ AR-L1-MM-KVSizing-008-03 验证与观测</x:v>
      </x:c>
      <x:c r="G554" s="34" t="str">
        <x:v>验证与观测</x:v>
      </x:c>
      <x:c r="H554" s="33" t="str">
        <x:v>新增正常、边界、并发、超时、stale metadata、迁移冲突、路径拥塞/故障与 feature-flag-off 用例；在 benchmark 中固定模型、tokenizer、prompt、并发、拓扑和 baseline，采集 lookup/load/attach、TTFT、TPOT、usable/abandoned hit、带宽/时延及 CPU/NPU 利用率。</x:v>
      </x:c>
      <x:c r="I554" s="33" t="str">
        <x:v>OOM/preemption 次数降低 ≥50%；</x:v>
      </x:c>
      <x:c r="J554" s="33" t="str">
        <x:v>tests/pool/lifecycle/kvsizing_test.cc + benchmarks/pool/lifecycle/kvsizing_benchmark.cc</x:v>
      </x:c>
      <x:c r="K554" s="33" t="str">
        <x:v>L1 推理调度层 / 推理框架开发</x:v>
      </x:c>
      <x:c r="L554" s="33" t="str">
        <x:v>L1-MM-KVSizing-008</x:v>
      </x:c>
    </x:row>
    <x:row r="555" ht="76" customHeight="1">
      <x:c r="A555" s="29" t="str">
        <x:v>SF-02/IR-02-09</x:v>
      </x:c>
      <x:c r="B555" s="29" t="n">
        <x:v>2</x:v>
      </x:c>
      <x:c r="C555" s="30" t="str">
        <x:v>IR</x:v>
      </x:c>
      <x:c r="D555" s="30" t="str">
        <x:v>IR-02-09</x:v>
      </x:c>
      <x:c r="E555" s="30" t="str">
        <x:v>SF-02</x:v>
      </x:c>
      <x:c r="F555" s="30" t="str">
        <x:v>    ├─ IR-02-09 面向Decode活跃KV、热前缀和冷KV的分层驻留与淘汰</x:v>
      </x:c>
      <x:c r="G555" s="30" t="str">
        <x:v>面向Decode活跃KV、热前缀和冷KV的分层驻留与淘汰</x:v>
      </x:c>
      <x:c r="H555" s="29" t="str">
        <x:v>系统应区分正在参与 Decode 的活跃 KV、近期可能复用的热前缀和可低成本回源的冷 KV，根据复用价值、重算代价、对象大小、访问模式和介质成本决定保留 HBM、驻留 DDR/C2C、直接 view、回填 HBM、下沉 SSD 或淘汰。策略必须优先保护 Decode 活跃数据，在扩大有效容量的同时控制 TPOT 干扰。
技术锚点：DECODE_ACTIVE/WARM_PREFIX Classifier + View-vs-Copy Planner + CAVE/TinyLFU</x:v>
      </x:c>
      <x:c r="I555" s="29" t="str">
        <x:v>HBM有效容量提升≥20%；TPOT p99回退&lt;3%；prefill FLOPs/request降低≥15%；每GB saved tokens提升≥25%。</x:v>
      </x:c>
      <x:c r="J555" s="29" t="str"/>
      <x:c r="K555" s="29" t="str">
        <x:v>TM1/TM3</x:v>
      </x:c>
      <x:c r="L555" s="29" t="str">
        <x:v>V2.1修订定义</x:v>
      </x:c>
    </x:row>
    <x:row r="556" ht="76" customHeight="1">
      <x:c r="A556" s="31" t="str">
        <x:v>SF-02/IR-02-09/SR-02-09-01</x:v>
      </x:c>
      <x:c r="B556" s="31" t="n">
        <x:v>3</x:v>
      </x:c>
      <x:c r="C556" s="32" t="str">
        <x:v>SR</x:v>
      </x:c>
      <x:c r="D556" s="32" t="str">
        <x:v>SR-02-09-01</x:v>
      </x:c>
      <x:c r="E556" s="32" t="str">
        <x:v>IR-02-09</x:v>
      </x:c>
      <x:c r="F556" s="32" t="str">
        <x:v>        ├─ SR-02-09-01 活跃 KV 与热 KV 分层驻留</x:v>
      </x:c>
      <x:c r="G556" s="32" t="str">
        <x:v>活跃 KV 与热 KV 分层驻留｜L1-OL-ActiveWarmClass-010</x:v>
      </x:c>
      <x:c r="H556" s="31" t="str">
        <x:v>系统重构：本需求要求框架层显式区分 decode-active KV 与 warm prefix KV：decode-active KV 默认必须驻留 HBM，warm prefix KV 可驻留本地 DDR、本地DDR、本地SSD 或远端节点；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x:v>
      </x:c>
      <x:c r="I556" s="31" t="str">
        <x:v>TPOT 不回退；HBM effective capacity 提升 ≥20%；</x:v>
      </x:c>
      <x:c r="J556" s="31" t="str"/>
      <x:c r="K556" s="31" t="str">
        <x:v>L1 推理调度层 / 驻留策略与局部复用</x:v>
      </x:c>
      <x:c r="L556" s="31" t="str">
        <x:v>L1-OL-ActiveWarmClass-010</x:v>
      </x:c>
    </x:row>
    <x:row r="557" ht="76" customHeight="1">
      <x:c r="A557" s="33" t="str">
        <x:v>SF-02/IR-02-09/SR-02-09-01/AR-L1-OL-ActiveWarmClass-010-01</x:v>
      </x:c>
      <x:c r="B557" s="33" t="n">
        <x:v>4</x:v>
      </x:c>
      <x:c r="C557" s="34" t="str">
        <x:v>AR</x:v>
      </x:c>
      <x:c r="D557" s="34" t="str">
        <x:v>AR-L1-OL-ActiveWarmClass-010-01</x:v>
      </x:c>
      <x:c r="E557" s="34" t="str">
        <x:v>SR-02-09-01</x:v>
      </x:c>
      <x:c r="F557" s="34" t="str">
        <x:v>            ├─ AR-L1-OL-ActiveWarmClass-010-01 核心实现</x:v>
      </x:c>
      <x:c r="G557" s="34" t="str">
        <x:v>核心实现</x:v>
      </x:c>
      <x:c r="H557" s="33" t="str">
        <x:v>在 `src/policy/residency/active_warm_class.{h,cc}` 新增或重写 `ActiveWarmClassPolicy`，把“活跃 KV 与热 KV 分层驻留”落实为 L1 推理调度层 可调用主路径：本需求要求框架层显式区分 decode-active KV 与 warm prefix KV：decode-active KV 默认必须驻留 HBM，warm prefix KV 可驻留本地 DDR、本地DDR、本地SSD 或远端节点； 输入必须显式消费 reuse score + access mode + tier cost，输出 residency class + placement action，不得用全局单例或隐藏同步 I/O 绕开预算与状态机。</x:v>
      </x:c>
      <x:c r="I557" s="33" t="str">
        <x:v>TPOT 不回退；HBM effective capacity 提升 ≥20%；</x:v>
      </x:c>
      <x:c r="J557" s="33" t="str">
        <x:v>src/policy/residency/active_warm_class.{h,cc}</x:v>
      </x:c>
      <x:c r="K557" s="33" t="str">
        <x:v>L1 推理调度层 / 推理框架开发</x:v>
      </x:c>
      <x:c r="L557" s="33" t="str">
        <x:v>L1-OL-ActiveWarmClass-010</x:v>
      </x:c>
    </x:row>
    <x:row r="558" ht="76" customHeight="1">
      <x:c r="A558" s="33" t="str">
        <x:v>SF-02/IR-02-09/SR-02-09-01/AR-L1-OL-ActiveWarmClass-010-02</x:v>
      </x:c>
      <x:c r="B558" s="33" t="n">
        <x:v>4</x:v>
      </x:c>
      <x:c r="C558" s="34" t="str">
        <x:v>AR</x:v>
      </x:c>
      <x:c r="D558" s="34" t="str">
        <x:v>AR-L1-OL-ActiveWarmClass-010-02</x:v>
      </x:c>
      <x:c r="E558" s="34" t="str">
        <x:v>SR-02-09-01</x:v>
      </x:c>
      <x:c r="F558" s="34" t="str">
        <x:v>            ├─ AR-L1-OL-ActiveWarmClass-010-02 契约配置与降级</x:v>
      </x:c>
      <x:c r="G558" s="34" t="str">
        <x:v>契约配置与降级</x:v>
      </x:c>
      <x:c r="H558" s="33" t="str">
        <x:v>为 `ActiveWarmClassOptions` 增加 `kvcache.active_warm_class.enabled`、deadline/容量/队列预算及版本字段；在调用点接入 typed error、decision_reason、fallback_reason，确保配置热更新、灰度关闭和向后兼容均可审计。</x:v>
      </x:c>
      <x:c r="I558" s="33" t="str">
        <x:v>TPOT 不回退；HBM effective capacity 提升 ≥20%；</x:v>
      </x:c>
      <x:c r="J558" s="33" t="str">
        <x:v>api/kvcache/v1/active_warm_class.proto + config/runtime/active_warm_class.yaml</x:v>
      </x:c>
      <x:c r="K558" s="33" t="str">
        <x:v>L1 推理调度层 / 推理框架开发</x:v>
      </x:c>
      <x:c r="L558" s="33" t="str">
        <x:v>L1-OL-ActiveWarmClass-010</x:v>
      </x:c>
    </x:row>
    <x:row r="559" ht="76" customHeight="1">
      <x:c r="A559" s="33" t="str">
        <x:v>SF-02/IR-02-09/SR-02-09-01/AR-L1-OL-ActiveWarmClass-010-03</x:v>
      </x:c>
      <x:c r="B559" s="33" t="n">
        <x:v>4</x:v>
      </x:c>
      <x:c r="C559" s="34" t="str">
        <x:v>AR</x:v>
      </x:c>
      <x:c r="D559" s="34" t="str">
        <x:v>AR-L1-OL-ActiveWarmClass-010-03</x:v>
      </x:c>
      <x:c r="E559" s="34" t="str">
        <x:v>SR-02-09-01</x:v>
      </x:c>
      <x:c r="F559" s="34" t="str">
        <x:v>            └─ AR-L1-OL-ActiveWarmClass-010-03 验证与观测</x:v>
      </x:c>
      <x:c r="G559" s="34" t="str">
        <x:v>验证与观测</x:v>
      </x:c>
      <x:c r="H559" s="33" t="str">
        <x:v>新增正常、边界、并发、超时、stale metadata、迁移冲突、路径拥塞/故障与 feature-flag-off 用例；在 benchmark 中固定模型、tokenizer、prompt、并发、拓扑和 baseline，采集 lookup/load/attach、TTFT、TPOT、usable/abandoned hit、带宽/时延及 CPU/NPU 利用率。</x:v>
      </x:c>
      <x:c r="I559" s="33" t="str">
        <x:v>TPOT 不回退；HBM effective capacity 提升 ≥20%；</x:v>
      </x:c>
      <x:c r="J559" s="33" t="str">
        <x:v>tests/policy/residency/active_warm_class_test.cc + benchmarks/policy/residency/active_warm_class_benchmark.cc</x:v>
      </x:c>
      <x:c r="K559" s="33" t="str">
        <x:v>L1 推理调度层 / 推理框架开发</x:v>
      </x:c>
      <x:c r="L559" s="33" t="str">
        <x:v>L1-OL-ActiveWarmClass-010</x:v>
      </x:c>
    </x:row>
    <x:row r="560" ht="76" customHeight="1">
      <x:c r="A560" s="31" t="str">
        <x:v>SF-02/IR-02-09/SR-02-09-02</x:v>
      </x:c>
      <x:c r="B560" s="31" t="n">
        <x:v>3</x:v>
      </x:c>
      <x:c r="C560" s="32" t="str">
        <x:v>SR</x:v>
      </x:c>
      <x:c r="D560" s="32" t="str">
        <x:v>SR-02-09-02</x:v>
      </x:c>
      <x:c r="E560" s="32" t="str">
        <x:v>IR-02-09</x:v>
      </x:c>
      <x:c r="F560" s="32" t="str">
        <x:v>        ├─ SR-02-09-02 部分前缀命中复用</x:v>
      </x:c>
      <x:c r="G560" s="32" t="str">
        <x:v>部分前缀命中复用｜L1-OL-PartialBoundary-012</x:v>
      </x:c>
      <x:c r="H560" s="31" t="str">
        <x:v>系统重构：本需求要求在 partial prefix hit 场景中自动选择最优 recompute boundary：系统应根据 block/page 边界、命中长度、load 时间和 recompute 时间决定 “加载已命中 prefix + recompute suffix” 的切点，而不是在 partial hit 时简单放弃全部命中。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x:v>
      </x:c>
      <x:c r="I560" s="31" t="str">
        <x:v>prefill FLOPs/request 降低 ≥15%；</x:v>
      </x:c>
      <x:c r="J560" s="31" t="str"/>
      <x:c r="K560" s="31" t="str">
        <x:v>L1 推理调度层 / 驻留策略与局部复用</x:v>
      </x:c>
      <x:c r="L560" s="31" t="str">
        <x:v>L1-OL-PartialBoundary-012</x:v>
      </x:c>
    </x:row>
    <x:row r="561" ht="76" customHeight="1">
      <x:c r="A561" s="33" t="str">
        <x:v>SF-02/IR-02-09/SR-02-09-02/AR-L1-OL-PartialBoundary-012-01</x:v>
      </x:c>
      <x:c r="B561" s="33" t="n">
        <x:v>4</x:v>
      </x:c>
      <x:c r="C561" s="34" t="str">
        <x:v>AR</x:v>
      </x:c>
      <x:c r="D561" s="34" t="str">
        <x:v>AR-L1-OL-PartialBoundary-012-01</x:v>
      </x:c>
      <x:c r="E561" s="34" t="str">
        <x:v>SR-02-09-02</x:v>
      </x:c>
      <x:c r="F561" s="34" t="str">
        <x:v>            ├─ AR-L1-OL-PartialBoundary-012-01 核心实现</x:v>
      </x:c>
      <x:c r="G561" s="34" t="str">
        <x:v>核心实现</x:v>
      </x:c>
      <x:c r="H561" s="33" t="str">
        <x:v>在 `src/policy/residency/partial_boundary.{h,cc}` 新增或重写 `PartialBoundaryPolicy`，把“部分前缀命中复用”落实为 L1 推理调度层 可调用主路径：本需求要求在 partial prefix hit 场景中自动选择最优 recompute boundary：系统应根据 block/page 边界、命中长度、load 时间和 recompute 时间决定 “加载已命中 prefix + recompute suffix” 的切点，而不是在 partial hit 时简单放弃全部命中。 输入必须显式消费 reuse score + access mode + tier cost，输出 residency class + placement action，不得用全局单例或隐藏同步 I/O 绕开预算与状态机。</x:v>
      </x:c>
      <x:c r="I561" s="33" t="str">
        <x:v>prefill FLOPs/request 降低 ≥15%；</x:v>
      </x:c>
      <x:c r="J561" s="33" t="str">
        <x:v>src/policy/residency/partial_boundary.{h,cc}</x:v>
      </x:c>
      <x:c r="K561" s="33" t="str">
        <x:v>L1 推理调度层 / 推理框架开发</x:v>
      </x:c>
      <x:c r="L561" s="33" t="str">
        <x:v>L1-OL-PartialBoundary-012</x:v>
      </x:c>
    </x:row>
    <x:row r="562" ht="76" customHeight="1">
      <x:c r="A562" s="33" t="str">
        <x:v>SF-02/IR-02-09/SR-02-09-02/AR-L1-OL-PartialBoundary-012-02</x:v>
      </x:c>
      <x:c r="B562" s="33" t="n">
        <x:v>4</x:v>
      </x:c>
      <x:c r="C562" s="34" t="str">
        <x:v>AR</x:v>
      </x:c>
      <x:c r="D562" s="34" t="str">
        <x:v>AR-L1-OL-PartialBoundary-012-02</x:v>
      </x:c>
      <x:c r="E562" s="34" t="str">
        <x:v>SR-02-09-02</x:v>
      </x:c>
      <x:c r="F562" s="34" t="str">
        <x:v>            ├─ AR-L1-OL-PartialBoundary-012-02 契约配置与降级</x:v>
      </x:c>
      <x:c r="G562" s="34" t="str">
        <x:v>契约配置与降级</x:v>
      </x:c>
      <x:c r="H562" s="33" t="str">
        <x:v>为 `PartialBoundaryOptions` 增加 `kvcache.partial_boundary.enabled`、deadline/容量/队列预算及版本字段；在调用点接入 typed error、decision_reason、fallback_reason，确保配置热更新、灰度关闭和向后兼容均可审计。</x:v>
      </x:c>
      <x:c r="I562" s="33" t="str">
        <x:v>prefill FLOPs/request 降低 ≥15%；</x:v>
      </x:c>
      <x:c r="J562" s="33" t="str">
        <x:v>api/kvcache/v1/partial_boundary.proto + config/runtime/partial_boundary.yaml</x:v>
      </x:c>
      <x:c r="K562" s="33" t="str">
        <x:v>L1 推理调度层 / 推理框架开发</x:v>
      </x:c>
      <x:c r="L562" s="33" t="str">
        <x:v>L1-OL-PartialBoundary-012</x:v>
      </x:c>
    </x:row>
    <x:row r="563" ht="76" customHeight="1">
      <x:c r="A563" s="33" t="str">
        <x:v>SF-02/IR-02-09/SR-02-09-02/AR-L1-OL-PartialBoundary-012-03</x:v>
      </x:c>
      <x:c r="B563" s="33" t="n">
        <x:v>4</x:v>
      </x:c>
      <x:c r="C563" s="34" t="str">
        <x:v>AR</x:v>
      </x:c>
      <x:c r="D563" s="34" t="str">
        <x:v>AR-L1-OL-PartialBoundary-012-03</x:v>
      </x:c>
      <x:c r="E563" s="34" t="str">
        <x:v>SR-02-09-02</x:v>
      </x:c>
      <x:c r="F563" s="34" t="str">
        <x:v>            └─ AR-L1-OL-PartialBoundary-012-03 验证与观测</x:v>
      </x:c>
      <x:c r="G563" s="34" t="str">
        <x:v>验证与观测</x:v>
      </x:c>
      <x:c r="H563" s="33" t="str">
        <x:v>新增正常、边界、并发、超时、stale metadata、迁移冲突、路径拥塞/故障与 feature-flag-off 用例；在 benchmark 中固定模型、tokenizer、prompt、并发、拓扑和 baseline，采集 lookup/load/attach、TTFT、TPOT、usable/abandoned hit、带宽/时延及 CPU/NPU 利用率。</x:v>
      </x:c>
      <x:c r="I563" s="33" t="str">
        <x:v>prefill FLOPs/request 降低 ≥15%；</x:v>
      </x:c>
      <x:c r="J563" s="33" t="str">
        <x:v>tests/policy/residency/partial_boundary_test.cc + benchmarks/policy/residency/partial_boundary_benchmark.cc</x:v>
      </x:c>
      <x:c r="K563" s="33" t="str">
        <x:v>L1 推理调度层 / 推理框架开发</x:v>
      </x:c>
      <x:c r="L563" s="33" t="str">
        <x:v>L1-OL-PartialBoundary-012</x:v>
      </x:c>
    </x:row>
    <x:row r="564" ht="76" customHeight="1">
      <x:c r="A564" s="31" t="str">
        <x:v>SF-02/IR-02-09/SR-02-09-03</x:v>
      </x:c>
      <x:c r="B564" s="31" t="n">
        <x:v>3</x:v>
      </x:c>
      <x:c r="C564" s="32" t="str">
        <x:v>SR</x:v>
      </x:c>
      <x:c r="D564" s="32" t="str">
        <x:v>SR-02-09-03</x:v>
      </x:c>
      <x:c r="E564" s="32" t="str">
        <x:v>IR-02-09</x:v>
      </x:c>
      <x:c r="F564" s="32" t="str">
        <x:v>        ├─ SR-02-09-03 热 KV 近端访问与 HBM 回填选择</x:v>
      </x:c>
      <x:c r="G564" s="32" t="str">
        <x:v>热 KV 近端访问与 HBM 回填选择｜L1-OL-ViewVsCopy-011</x:v>
      </x:c>
      <x:c r="H564" s="31" t="str">
        <x:v>系统重构：本需求要求实现 direct-view eligibility 判断：当 KV 对象为 metadata、短 prefix span 或 warm preview 时允许memory view；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x:v>
      </x:c>
      <x:c r="I564" s="31" t="str">
        <x:v>TTFT 不劣化，TPOT p99 回退 &lt;3%；</x:v>
      </x:c>
      <x:c r="J564" s="31" t="str"/>
      <x:c r="K564" s="31" t="str">
        <x:v>L1 推理调度层 / 驻留策略与局部复用</x:v>
      </x:c>
      <x:c r="L564" s="31" t="str">
        <x:v>L1-OL-ViewVsCopy-011</x:v>
      </x:c>
    </x:row>
    <x:row r="565" ht="76" customHeight="1">
      <x:c r="A565" s="33" t="str">
        <x:v>SF-02/IR-02-09/SR-02-09-03/AR-L1-OL-ViewVsCopy-011-01</x:v>
      </x:c>
      <x:c r="B565" s="33" t="n">
        <x:v>4</x:v>
      </x:c>
      <x:c r="C565" s="34" t="str">
        <x:v>AR</x:v>
      </x:c>
      <x:c r="D565" s="34" t="str">
        <x:v>AR-L1-OL-ViewVsCopy-011-01</x:v>
      </x:c>
      <x:c r="E565" s="34" t="str">
        <x:v>SR-02-09-03</x:v>
      </x:c>
      <x:c r="F565" s="34" t="str">
        <x:v>            ├─ AR-L1-OL-ViewVsCopy-011-01 核心实现</x:v>
      </x:c>
      <x:c r="G565" s="34" t="str">
        <x:v>核心实现</x:v>
      </x:c>
      <x:c r="H565" s="33" t="str">
        <x:v>在 `src/policy/residency/view_vs_copy.{h,cc}` 新增或重写 `ViewVsCopyPolicy`，把“热 KV 近端访问与 HBM 回填选择”落实为 L1 推理调度层 可调用主路径：本需求要求实现 direct-view eligibility 判断：当 KV 对象为 metadata、短 prefix span 或 warm preview 时允许memory view； 输入必须显式消费 reuse score + access mode + tier cost，输出 residency class + placement action，不得用全局单例或隐藏同步 I/O 绕开预算与状态机。</x:v>
      </x:c>
      <x:c r="I565" s="33" t="str">
        <x:v>TTFT 不劣化，TPOT p99 回退 &lt;3%；</x:v>
      </x:c>
      <x:c r="J565" s="33" t="str">
        <x:v>src/policy/residency/view_vs_copy.{h,cc}</x:v>
      </x:c>
      <x:c r="K565" s="33" t="str">
        <x:v>L1 推理调度层 / 推理框架开发</x:v>
      </x:c>
      <x:c r="L565" s="33" t="str">
        <x:v>L1-OL-ViewVsCopy-011</x:v>
      </x:c>
    </x:row>
    <x:row r="566" ht="76" customHeight="1">
      <x:c r="A566" s="33" t="str">
        <x:v>SF-02/IR-02-09/SR-02-09-03/AR-L1-OL-ViewVsCopy-011-02</x:v>
      </x:c>
      <x:c r="B566" s="33" t="n">
        <x:v>4</x:v>
      </x:c>
      <x:c r="C566" s="34" t="str">
        <x:v>AR</x:v>
      </x:c>
      <x:c r="D566" s="34" t="str">
        <x:v>AR-L1-OL-ViewVsCopy-011-02</x:v>
      </x:c>
      <x:c r="E566" s="34" t="str">
        <x:v>SR-02-09-03</x:v>
      </x:c>
      <x:c r="F566" s="34" t="str">
        <x:v>            ├─ AR-L1-OL-ViewVsCopy-011-02 契约配置与降级</x:v>
      </x:c>
      <x:c r="G566" s="34" t="str">
        <x:v>契约配置与降级</x:v>
      </x:c>
      <x:c r="H566" s="33" t="str">
        <x:v>为 `ViewVsCopyOptions` 增加 `kvcache.view_vs_copy.enabled`、deadline/容量/队列预算及版本字段；在调用点接入 typed error、decision_reason、fallback_reason，确保配置热更新、灰度关闭和向后兼容均可审计。</x:v>
      </x:c>
      <x:c r="I566" s="33" t="str">
        <x:v>TTFT 不劣化，TPOT p99 回退 &lt;3%；</x:v>
      </x:c>
      <x:c r="J566" s="33" t="str">
        <x:v>api/kvcache/v1/view_vs_copy.proto + config/runtime/view_vs_copy.yaml</x:v>
      </x:c>
      <x:c r="K566" s="33" t="str">
        <x:v>L1 推理调度层 / 推理框架开发</x:v>
      </x:c>
      <x:c r="L566" s="33" t="str">
        <x:v>L1-OL-ViewVsCopy-011</x:v>
      </x:c>
    </x:row>
    <x:row r="567" ht="76" customHeight="1">
      <x:c r="A567" s="33" t="str">
        <x:v>SF-02/IR-02-09/SR-02-09-03/AR-L1-OL-ViewVsCopy-011-03</x:v>
      </x:c>
      <x:c r="B567" s="33" t="n">
        <x:v>4</x:v>
      </x:c>
      <x:c r="C567" s="34" t="str">
        <x:v>AR</x:v>
      </x:c>
      <x:c r="D567" s="34" t="str">
        <x:v>AR-L1-OL-ViewVsCopy-011-03</x:v>
      </x:c>
      <x:c r="E567" s="34" t="str">
        <x:v>SR-02-09-03</x:v>
      </x:c>
      <x:c r="F567" s="34" t="str">
        <x:v>            └─ AR-L1-OL-ViewVsCopy-011-03 验证与观测</x:v>
      </x:c>
      <x:c r="G567" s="34" t="str">
        <x:v>验证与观测</x:v>
      </x:c>
      <x:c r="H567" s="33" t="str">
        <x:v>新增正常、边界、并发、超时、stale metadata、迁移冲突、路径拥塞/故障与 feature-flag-off 用例；在 benchmark 中固定模型、tokenizer、prompt、并发、拓扑和 baseline，采集 lookup/load/attach、TTFT、TPOT、usable/abandoned hit、带宽/时延及 CPU/NPU 利用率。</x:v>
      </x:c>
      <x:c r="I567" s="33" t="str">
        <x:v>TTFT 不劣化，TPOT p99 回退 &lt;3%；</x:v>
      </x:c>
      <x:c r="J567" s="33" t="str">
        <x:v>tests/policy/residency/view_vs_copy_test.cc + benchmarks/policy/residency/view_vs_copy_benchmark.cc</x:v>
      </x:c>
      <x:c r="K567" s="33" t="str">
        <x:v>L1 推理调度层 / 推理框架开发</x:v>
      </x:c>
      <x:c r="L567" s="33" t="str">
        <x:v>L1-OL-ViewVsCopy-011</x:v>
      </x:c>
    </x:row>
    <x:row r="568" ht="76" customHeight="1">
      <x:c r="A568" s="29" t="str">
        <x:v>SF-02/IR-02-10</x:v>
      </x:c>
      <x:c r="B568" s="29" t="n">
        <x:v>2</x:v>
      </x:c>
      <x:c r="C568" s="30" t="str">
        <x:v>IR</x:v>
      </x:c>
      <x:c r="D568" s="30" t="str">
        <x:v>IR-02-10</x:v>
      </x:c>
      <x:c r="E568" s="30" t="str">
        <x:v>SF-02</x:v>
      </x:c>
      <x:c r="F568" s="30" t="str">
        <x:v>    ├─ IR-02-10 支持张量/流水并行多卡KV一致消费及指标治理</x:v>
      </x:c>
      <x:c r="G568" s="30" t="str">
        <x:v>支持张量/流水并行多卡KV一致消费及指标治理</x:v>
      </x:c>
      <x:c r="H568" s="29" t="str">
        <x:v>系统应在 tensor parallel、pipeline parallel 等多卡推理场景中，让各 rank 对命中长度、对象版本、ready、attach 和错误状态形成一致结论；只有全部必需 rank 均可消费时才进入共享 KV 路径，否则按组执行统一回退。同时输出 raw/usable/abandoned hit、rank wait 和收益指标，支持多卡正确性验证与调度优化。
技术锚点：HCCL/NCCL/torch.distributed Rank Consensus + KV Observability SDK</x:v>
      </x:c>
      <x:c r="I568" s="29" t="str">
        <x:v>correctness fault=0；rank wait p99&lt;100 μs；指标字段覆盖率=100%；观测开销&lt;1%。</x:v>
      </x:c>
      <x:c r="J568" s="29" t="str"/>
      <x:c r="K568" s="29" t="str">
        <x:v>TM1/TM5/TM6</x:v>
      </x:c>
      <x:c r="L568" s="29" t="str">
        <x:v>V2.1修订定义</x:v>
      </x:c>
    </x:row>
    <x:row r="569" ht="76" customHeight="1">
      <x:c r="A569" s="31" t="str">
        <x:v>SF-02/IR-02-10/SR-02-10-01</x:v>
      </x:c>
      <x:c r="B569" s="31" t="n">
        <x:v>3</x:v>
      </x:c>
      <x:c r="C569" s="32" t="str">
        <x:v>SR</x:v>
      </x:c>
      <x:c r="D569" s="32" t="str">
        <x:v>SR-02-10-01</x:v>
      </x:c>
      <x:c r="E569" s="32" t="str">
        <x:v>IR-02-10</x:v>
      </x:c>
      <x:c r="F569" s="32" t="str">
        <x:v>        ├─ SR-02-10-01 统一 KVCache 访问意图编排</x:v>
      </x:c>
      <x:c r="G569" s="32" t="str">
        <x:v>统一 KVCache 访问意图编排｜L1-SE-IntentAPI-014</x:v>
      </x:c>
      <x:c r="H569" s="31" t="str">
        <x:v>系统重构：本需求要求北向接口默认采用 KVAccessIntent 语义：上层只描述操作目的、deadline、KV 大小、reuse value、visibility、fallback policy、isolation domain，不直接绑定 UB.memory、RDMA、TCP 等具体路径，由下层 policy engine 决定执行语义。 技术路径：详细设计应固定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x:v>
      </x:c>
      <x:c r="I569" s="31" t="str">
        <x:v>上层后端无关；新增后端无需改 Scheduler；</x:v>
      </x:c>
      <x:c r="J569" s="31" t="str"/>
      <x:c r="K569" s="31" t="str">
        <x:v>L1 推理调度层 / 多卡协同与观测治理</x:v>
      </x:c>
      <x:c r="L569" s="31" t="str">
        <x:v>L1-SE-IntentAPI-014</x:v>
      </x:c>
    </x:row>
    <x:row r="570" ht="76" customHeight="1">
      <x:c r="A570" s="33" t="str">
        <x:v>SF-02/IR-02-10/SR-02-10-01/AR-L1-SE-IntentAPI-014-01</x:v>
      </x:c>
      <x:c r="B570" s="33" t="n">
        <x:v>4</x:v>
      </x:c>
      <x:c r="C570" s="34" t="str">
        <x:v>AR</x:v>
      </x:c>
      <x:c r="D570" s="34" t="str">
        <x:v>AR-L1-SE-IntentAPI-014-01</x:v>
      </x:c>
      <x:c r="E570" s="34" t="str">
        <x:v>SR-02-10-01</x:v>
      </x:c>
      <x:c r="F570" s="34" t="str">
        <x:v>            ├─ AR-L1-SE-IntentAPI-014-01 核心实现</x:v>
      </x:c>
      <x:c r="G570" s="34" t="str">
        <x:v>核心实现</x:v>
      </x:c>
      <x:c r="H570" s="33" t="str">
        <x:v>在 `src/runtime/rank_consensus/intent_api.{h,cc}` 新增或重写 `IntentAPICoordinator`，把“统一 KVCache 访问意图编排”落实为 L1 推理调度层 可调用主路径：本需求要求北向接口默认采用 KVAccessIntent 语义：上层只描述操作目的、deadline、KV 大小、reuse value、visibility、fallback policy、isolation domain，不直接绑定 UB.memory、RDMA、TCP 等具体路径，由下层 policy engine 决定执行语义。 输入必须显式消费 per-rank hit/ready/error + request context，输出 consensus result + semantic metrics，不得用全局单例或隐藏同步 I/O 绕开预算与状态机。</x:v>
      </x:c>
      <x:c r="I570" s="33" t="str">
        <x:v>上层后端无关；新增后端无需改 Scheduler；</x:v>
      </x:c>
      <x:c r="J570" s="33" t="str">
        <x:v>src/runtime/rank_consensus/intent_api.{h,cc}</x:v>
      </x:c>
      <x:c r="K570" s="33" t="str">
        <x:v>L1 推理调度层 / 推理框架开发</x:v>
      </x:c>
      <x:c r="L570" s="33" t="str">
        <x:v>L1-SE-IntentAPI-014</x:v>
      </x:c>
    </x:row>
    <x:row r="571" ht="76" customHeight="1">
      <x:c r="A571" s="33" t="str">
        <x:v>SF-02/IR-02-10/SR-02-10-01/AR-L1-SE-IntentAPI-014-02</x:v>
      </x:c>
      <x:c r="B571" s="33" t="n">
        <x:v>4</x:v>
      </x:c>
      <x:c r="C571" s="34" t="str">
        <x:v>AR</x:v>
      </x:c>
      <x:c r="D571" s="34" t="str">
        <x:v>AR-L1-SE-IntentAPI-014-02</x:v>
      </x:c>
      <x:c r="E571" s="34" t="str">
        <x:v>SR-02-10-01</x:v>
      </x:c>
      <x:c r="F571" s="34" t="str">
        <x:v>            ├─ AR-L1-SE-IntentAPI-014-02 契约配置与降级</x:v>
      </x:c>
      <x:c r="G571" s="34" t="str">
        <x:v>契约配置与降级</x:v>
      </x:c>
      <x:c r="H571" s="33" t="str">
        <x:v>为 `IntentAPIOptions` 增加 `kvcache.intent_api.enabled`、deadline/容量/队列预算及版本字段；在调用点接入 typed error、decision_reason、fallback_reason，确保配置热更新、灰度关闭和向后兼容均可审计。</x:v>
      </x:c>
      <x:c r="I571" s="33" t="str">
        <x:v>上层后端无关；新增后端无需改 Scheduler；</x:v>
      </x:c>
      <x:c r="J571" s="33" t="str">
        <x:v>api/kvcache/v1/intent_api.proto + config/runtime/intent_api.yaml</x:v>
      </x:c>
      <x:c r="K571" s="33" t="str">
        <x:v>L1 推理调度层 / 推理框架开发</x:v>
      </x:c>
      <x:c r="L571" s="33" t="str">
        <x:v>L1-SE-IntentAPI-014</x:v>
      </x:c>
    </x:row>
    <x:row r="572" ht="76" customHeight="1">
      <x:c r="A572" s="33" t="str">
        <x:v>SF-02/IR-02-10/SR-02-10-01/AR-L1-SE-IntentAPI-014-03</x:v>
      </x:c>
      <x:c r="B572" s="33" t="n">
        <x:v>4</x:v>
      </x:c>
      <x:c r="C572" s="34" t="str">
        <x:v>AR</x:v>
      </x:c>
      <x:c r="D572" s="34" t="str">
        <x:v>AR-L1-SE-IntentAPI-014-03</x:v>
      </x:c>
      <x:c r="E572" s="34" t="str">
        <x:v>SR-02-10-01</x:v>
      </x:c>
      <x:c r="F572" s="34" t="str">
        <x:v>            └─ AR-L1-SE-IntentAPI-014-03 验证与观测</x:v>
      </x:c>
      <x:c r="G572" s="34" t="str">
        <x:v>验证与观测</x:v>
      </x:c>
      <x:c r="H572" s="33" t="str">
        <x:v>新增正常、边界、并发、超时、stale metadata、迁移冲突、路径拥塞/故障与 feature-flag-off 用例；在 benchmark 中固定模型、tokenizer、prompt、并发、拓扑和 baseline，采集 lookup/load/attach、TTFT、TPOT、usable/abandoned hit、带宽/时延及 CPU/NPU 利用率。</x:v>
      </x:c>
      <x:c r="I572" s="33" t="str">
        <x:v>上层后端无关；新增后端无需改 Scheduler；</x:v>
      </x:c>
      <x:c r="J572" s="33" t="str">
        <x:v>tests/runtime/rank_consensus/intent_api_test.cc + benchmarks/runtime/rank_consensus/intent_api_benchmark.cc</x:v>
      </x:c>
      <x:c r="K572" s="33" t="str">
        <x:v>L1 推理调度层 / 推理框架开发</x:v>
      </x:c>
      <x:c r="L572" s="33" t="str">
        <x:v>L1-SE-IntentAPI-014</x:v>
      </x:c>
    </x:row>
    <x:row r="573" ht="76" customHeight="1">
      <x:c r="A573" s="31" t="str">
        <x:v>SF-02/IR-02-10/SR-02-10-02</x:v>
      </x:c>
      <x:c r="B573" s="31" t="n">
        <x:v>3</x:v>
      </x:c>
      <x:c r="C573" s="32" t="str">
        <x:v>SR</x:v>
      </x:c>
      <x:c r="D573" s="32" t="str">
        <x:v>SR-02-10-02</x:v>
      </x:c>
      <x:c r="E573" s="32" t="str">
        <x:v>IR-02-10</x:v>
      </x:c>
      <x:c r="F573" s="32" t="str">
        <x:v>        ├─ SR-02-10-02 KVCache 命中收益可观测</x:v>
      </x:c>
      <x:c r="G573" s="32" t="str">
        <x:v>KVCache 命中收益可观测｜L1-OB-SemanticMetrics-016</x:v>
      </x:c>
      <x:c r="H573" s="31" t="str">
        <x:v>系统重构：本需求要求框架层输出语义化 KV 命中指标，不得只统计 prefix hit rate；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x:v>
      </x:c>
      <x:c r="I573" s="31" t="str">
        <x:v>指标覆盖率 受SLO约束的比例；</x:v>
      </x:c>
      <x:c r="J573" s="31" t="str"/>
      <x:c r="K573" s="31" t="str">
        <x:v>L1 推理调度层 / 多卡协同与观测治理</x:v>
      </x:c>
      <x:c r="L573" s="31" t="str">
        <x:v>L1-OB-SemanticMetrics-016</x:v>
      </x:c>
    </x:row>
    <x:row r="574" ht="76" customHeight="1">
      <x:c r="A574" s="33" t="str">
        <x:v>SF-02/IR-02-10/SR-02-10-02/AR-L1-OB-SemanticMetrics-016-01</x:v>
      </x:c>
      <x:c r="B574" s="33" t="n">
        <x:v>4</x:v>
      </x:c>
      <x:c r="C574" s="34" t="str">
        <x:v>AR</x:v>
      </x:c>
      <x:c r="D574" s="34" t="str">
        <x:v>AR-L1-OB-SemanticMetrics-016-01</x:v>
      </x:c>
      <x:c r="E574" s="34" t="str">
        <x:v>SR-02-10-02</x:v>
      </x:c>
      <x:c r="F574" s="34" t="str">
        <x:v>            ├─ AR-L1-OB-SemanticMetrics-016-01 核心实现</x:v>
      </x:c>
      <x:c r="G574" s="34" t="str">
        <x:v>核心实现</x:v>
      </x:c>
      <x:c r="H574" s="33" t="str">
        <x:v>在 `src/runtime/rank_consensus/semantic_metrics.{h,cc}` 新增或重写 `SemanticMetricsCoordinator`，把“KVCache 命中收益可观测”落实为 L1 推理调度层 可调用主路径：本需求要求框架层输出语义化 KV 命中指标，不得只统计 prefix hit rate； 输入必须显式消费 per-rank hit/ready/error + request context，输出 consensus result + semantic metrics，不得用全局单例或隐藏同步 I/O 绕开预算与状态机。</x:v>
      </x:c>
      <x:c r="I574" s="33" t="str">
        <x:v>指标覆盖率 受SLO约束的比例；</x:v>
      </x:c>
      <x:c r="J574" s="33" t="str">
        <x:v>src/runtime/rank_consensus/semantic_metrics.{h,cc}</x:v>
      </x:c>
      <x:c r="K574" s="33" t="str">
        <x:v>L1 推理调度层 / 推理框架开发</x:v>
      </x:c>
      <x:c r="L574" s="33" t="str">
        <x:v>L1-OB-SemanticMetrics-016</x:v>
      </x:c>
    </x:row>
    <x:row r="575" ht="76" customHeight="1">
      <x:c r="A575" s="33" t="str">
        <x:v>SF-02/IR-02-10/SR-02-10-02/AR-L1-OB-SemanticMetrics-016-02</x:v>
      </x:c>
      <x:c r="B575" s="33" t="n">
        <x:v>4</x:v>
      </x:c>
      <x:c r="C575" s="34" t="str">
        <x:v>AR</x:v>
      </x:c>
      <x:c r="D575" s="34" t="str">
        <x:v>AR-L1-OB-SemanticMetrics-016-02</x:v>
      </x:c>
      <x:c r="E575" s="34" t="str">
        <x:v>SR-02-10-02</x:v>
      </x:c>
      <x:c r="F575" s="34" t="str">
        <x:v>            ├─ AR-L1-OB-SemanticMetrics-016-02 契约配置与降级</x:v>
      </x:c>
      <x:c r="G575" s="34" t="str">
        <x:v>契约配置与降级</x:v>
      </x:c>
      <x:c r="H575" s="33" t="str">
        <x:v>为 `SemanticMetricsOptions` 增加 `kvcache.semantic_metrics.enabled`、deadline/容量/队列预算及版本字段；在调用点接入 typed error、decision_reason、fallback_reason，确保配置热更新、灰度关闭和向后兼容均可审计。</x:v>
      </x:c>
      <x:c r="I575" s="33" t="str">
        <x:v>指标覆盖率 受SLO约束的比例；</x:v>
      </x:c>
      <x:c r="J575" s="33" t="str">
        <x:v>api/kvcache/v1/semantic_metrics.proto + config/runtime/semantic_metrics.yaml</x:v>
      </x:c>
      <x:c r="K575" s="33" t="str">
        <x:v>L1 推理调度层 / 推理框架开发</x:v>
      </x:c>
      <x:c r="L575" s="33" t="str">
        <x:v>L1-OB-SemanticMetrics-016</x:v>
      </x:c>
    </x:row>
    <x:row r="576" ht="76" customHeight="1">
      <x:c r="A576" s="33" t="str">
        <x:v>SF-02/IR-02-10/SR-02-10-02/AR-L1-OB-SemanticMetrics-016-03</x:v>
      </x:c>
      <x:c r="B576" s="33" t="n">
        <x:v>4</x:v>
      </x:c>
      <x:c r="C576" s="34" t="str">
        <x:v>AR</x:v>
      </x:c>
      <x:c r="D576" s="34" t="str">
        <x:v>AR-L1-OB-SemanticMetrics-016-03</x:v>
      </x:c>
      <x:c r="E576" s="34" t="str">
        <x:v>SR-02-10-02</x:v>
      </x:c>
      <x:c r="F576" s="34" t="str">
        <x:v>            └─ AR-L1-OB-SemanticMetrics-016-03 验证与观测</x:v>
      </x:c>
      <x:c r="G576" s="34" t="str">
        <x:v>验证与观测</x:v>
      </x:c>
      <x:c r="H576" s="33" t="str">
        <x:v>新增正常、边界、并发、超时、stale metadata、迁移冲突、路径拥塞/故障与 feature-flag-off 用例；在 benchmark 中固定模型、tokenizer、prompt、并发、拓扑和 baseline，采集 lookup/load/attach、TTFT、TPOT、usable/abandoned hit、带宽/时延及 CPU/NPU 利用率。</x:v>
      </x:c>
      <x:c r="I576" s="33" t="str">
        <x:v>指标覆盖率 受SLO约束的比例；</x:v>
      </x:c>
      <x:c r="J576" s="33" t="str">
        <x:v>tests/runtime/rank_consensus/semantic_metrics_test.cc + benchmarks/runtime/rank_consensus/semantic_metrics_benchmark.cc</x:v>
      </x:c>
      <x:c r="K576" s="33" t="str">
        <x:v>L1 推理调度层 / 推理框架开发</x:v>
      </x:c>
      <x:c r="L576" s="33" t="str">
        <x:v>L1-OB-SemanticMetrics-016</x:v>
      </x:c>
    </x:row>
    <x:row r="577" ht="76" customHeight="1">
      <x:c r="A577" s="31" t="str">
        <x:v>SF-02/IR-02-10/SR-02-10-03</x:v>
      </x:c>
      <x:c r="B577" s="31" t="n">
        <x:v>3</x:v>
      </x:c>
      <x:c r="C577" s="32" t="str">
        <x:v>SR</x:v>
      </x:c>
      <x:c r="D577" s="32" t="str">
        <x:v>SR-02-10-03</x:v>
      </x:c>
      <x:c r="E577" s="32" t="str">
        <x:v>IR-02-10</x:v>
      </x:c>
      <x:c r="F577" s="32" t="str">
        <x:v>        ├─ SR-02-10-03 多卡共享前缀一致复用</x:v>
      </x:c>
      <x:c r="G577" s="32" t="str">
        <x:v>多卡共享前缀一致复用｜L1-PD-RankConsensus-013</x:v>
      </x:c>
      <x:c r="H577" s="31" t="str">
        <x:v>系统重构：本需求要求在 TP/PP/P-D 分离场景中实现 rank-level prefix consensus：所有参与 rank 必须对 usable prefix length、KV version、ready bitmap、layout version 达成一致后才允许 attach；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x:v>
      </x:c>
      <x:c r="I577" s="31" t="str">
        <x:v>correctness fault = 0；rank wait p99 &lt;100us；</x:v>
      </x:c>
      <x:c r="J577" s="31" t="str"/>
      <x:c r="K577" s="31" t="str">
        <x:v>L1 推理调度层 / 多卡协同与观测治理</x:v>
      </x:c>
      <x:c r="L577" s="31" t="str">
        <x:v>L1-PD-RankConsensus-013</x:v>
      </x:c>
    </x:row>
    <x:row r="578" ht="76" customHeight="1">
      <x:c r="A578" s="33" t="str">
        <x:v>SF-02/IR-02-10/SR-02-10-03/AR-L1-PD-RankConsensus-013-01</x:v>
      </x:c>
      <x:c r="B578" s="33" t="n">
        <x:v>4</x:v>
      </x:c>
      <x:c r="C578" s="34" t="str">
        <x:v>AR</x:v>
      </x:c>
      <x:c r="D578" s="34" t="str">
        <x:v>AR-L1-PD-RankConsensus-013-01</x:v>
      </x:c>
      <x:c r="E578" s="34" t="str">
        <x:v>SR-02-10-03</x:v>
      </x:c>
      <x:c r="F578" s="34" t="str">
        <x:v>            ├─ AR-L1-PD-RankConsensus-013-01 核心实现</x:v>
      </x:c>
      <x:c r="G578" s="34" t="str">
        <x:v>核心实现</x:v>
      </x:c>
      <x:c r="H578" s="33" t="str">
        <x:v>在 `src/runtime/rank_consensus/rank_consensus.{h,cc}` 新增或重写 `RankConsensusCoordinator`，把“多卡共享前缀一致复用”落实为 L1 推理调度层 可调用主路径：本需求要求在 TP/PP/P-D 分离场景中实现 rank-level prefix consensus：所有参与 rank 必须对 usable prefix length、KV version、ready bitmap、layout version 达成一致后才允许 attach； 输入必须显式消费 per-rank hit/ready/error + request context，输出 consensus result + semantic metrics，不得用全局单例或隐藏同步 I/O 绕开预算与状态机。</x:v>
      </x:c>
      <x:c r="I578" s="33" t="str">
        <x:v>correctness fault = 0；rank wait p99 &lt;100us；</x:v>
      </x:c>
      <x:c r="J578" s="33" t="str">
        <x:v>src/runtime/rank_consensus/rank_consensus.{h,cc}</x:v>
      </x:c>
      <x:c r="K578" s="33" t="str">
        <x:v>L1 推理调度层 / 推理框架开发</x:v>
      </x:c>
      <x:c r="L578" s="33" t="str">
        <x:v>L1-PD-RankConsensus-013</x:v>
      </x:c>
    </x:row>
    <x:row r="579" ht="76" customHeight="1">
      <x:c r="A579" s="33" t="str">
        <x:v>SF-02/IR-02-10/SR-02-10-03/AR-L1-PD-RankConsensus-013-02</x:v>
      </x:c>
      <x:c r="B579" s="33" t="n">
        <x:v>4</x:v>
      </x:c>
      <x:c r="C579" s="34" t="str">
        <x:v>AR</x:v>
      </x:c>
      <x:c r="D579" s="34" t="str">
        <x:v>AR-L1-PD-RankConsensus-013-02</x:v>
      </x:c>
      <x:c r="E579" s="34" t="str">
        <x:v>SR-02-10-03</x:v>
      </x:c>
      <x:c r="F579" s="34" t="str">
        <x:v>            ├─ AR-L1-PD-RankConsensus-013-02 契约配置与降级</x:v>
      </x:c>
      <x:c r="G579" s="34" t="str">
        <x:v>契约配置与降级</x:v>
      </x:c>
      <x:c r="H579" s="33" t="str">
        <x:v>为 `RankConsensusOptions` 增加 `kvcache.rank_consensus.enabled`、deadline/容量/队列预算及版本字段；在调用点接入 typed error、decision_reason、fallback_reason，确保配置热更新、灰度关闭和向后兼容均可审计。</x:v>
      </x:c>
      <x:c r="I579" s="33" t="str">
        <x:v>correctness fault = 0；rank wait p99 &lt;100us；</x:v>
      </x:c>
      <x:c r="J579" s="33" t="str">
        <x:v>api/kvcache/v1/rank_consensus.proto + config/runtime/rank_consensus.yaml</x:v>
      </x:c>
      <x:c r="K579" s="33" t="str">
        <x:v>L1 推理调度层 / 推理框架开发</x:v>
      </x:c>
      <x:c r="L579" s="33" t="str">
        <x:v>L1-PD-RankConsensus-013</x:v>
      </x:c>
    </x:row>
    <x:row r="580" ht="76" customHeight="1">
      <x:c r="A580" s="33" t="str">
        <x:v>SF-02/IR-02-10/SR-02-10-03/AR-L1-PD-RankConsensus-013-03</x:v>
      </x:c>
      <x:c r="B580" s="33" t="n">
        <x:v>4</x:v>
      </x:c>
      <x:c r="C580" s="34" t="str">
        <x:v>AR</x:v>
      </x:c>
      <x:c r="D580" s="34" t="str">
        <x:v>AR-L1-PD-RankConsensus-013-03</x:v>
      </x:c>
      <x:c r="E580" s="34" t="str">
        <x:v>SR-02-10-03</x:v>
      </x:c>
      <x:c r="F580" s="34" t="str">
        <x:v>            └─ AR-L1-PD-RankConsensus-013-03 验证与观测</x:v>
      </x:c>
      <x:c r="G580" s="34" t="str">
        <x:v>验证与观测</x:v>
      </x:c>
      <x:c r="H580" s="33" t="str">
        <x:v>新增正常、边界、并发、超时、stale metadata、迁移冲突、路径拥塞/故障与 feature-flag-off 用例；在 benchmark 中固定模型、tokenizer、prompt、并发、拓扑和 baseline，采集 lookup/load/attach、TTFT、TPOT、usable/abandoned hit、带宽/时延及 CPU/NPU 利用率。</x:v>
      </x:c>
      <x:c r="I580" s="33" t="str">
        <x:v>correctness fault = 0；rank wait p99 &lt;100us；</x:v>
      </x:c>
      <x:c r="J580" s="33" t="str">
        <x:v>tests/runtime/rank_consensus/rank_consensus_test.cc + benchmarks/runtime/rank_consensus/rank_consensus_benchmark.cc</x:v>
      </x:c>
      <x:c r="K580" s="33" t="str">
        <x:v>L1 推理调度层 / 推理框架开发</x:v>
      </x:c>
      <x:c r="L580" s="33" t="str">
        <x:v>L1-PD-RankConsensus-013</x:v>
      </x:c>
    </x:row>
    <x:row r="581" ht="76" customHeight="1">
      <x:c r="A581" s="31" t="str">
        <x:v>SF-02/IR-02-10/SR-02-10-04</x:v>
      </x:c>
      <x:c r="B581" s="31" t="n">
        <x:v>3</x:v>
      </x:c>
      <x:c r="C581" s="32" t="str">
        <x:v>SR</x:v>
      </x:c>
      <x:c r="D581" s="32" t="str">
        <x:v>SR-02-10-04</x:v>
      </x:c>
      <x:c r="E581" s="32" t="str">
        <x:v>IR-02-10</x:v>
      </x:c>
      <x:c r="F581" s="32" t="str">
        <x:v>        ├─ SR-02-10-04 专家级 KV 传输策略控制</x:v>
      </x:c>
      <x:c r="G581" s="32" t="str">
        <x:v>专家级 KV 传输策略控制｜L1-SE-ExpertOverride-015</x:v>
      </x:c>
      <x:c r="H581" s="31" t="str">
        <x:v>系统重构：本需求要求在默认 intent API 之外提供专家级 override：允许研发和运维在 A/B 实验、故障绕行、极致性能调优中显式指定 preferred semantics、forbidden semantics、force copy-to-HBM、allow direct view、forbid TCP fallback 等策略。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x:v>
      </x:c>
      <x:c r="I581" s="31" t="str">
        <x:v>path selection 可控；</x:v>
      </x:c>
      <x:c r="J581" s="31" t="str"/>
      <x:c r="K581" s="31" t="str">
        <x:v>L1 推理调度层 / 多卡协同与观测治理</x:v>
      </x:c>
      <x:c r="L581" s="31" t="str">
        <x:v>L1-SE-ExpertOverride-015</x:v>
      </x:c>
    </x:row>
    <x:row r="582" ht="76" customHeight="1">
      <x:c r="A582" s="33" t="str">
        <x:v>SF-02/IR-02-10/SR-02-10-04/AR-L1-SE-ExpertOverride-015-01</x:v>
      </x:c>
      <x:c r="B582" s="33" t="n">
        <x:v>4</x:v>
      </x:c>
      <x:c r="C582" s="34" t="str">
        <x:v>AR</x:v>
      </x:c>
      <x:c r="D582" s="34" t="str">
        <x:v>AR-L1-SE-ExpertOverride-015-01</x:v>
      </x:c>
      <x:c r="E582" s="34" t="str">
        <x:v>SR-02-10-04</x:v>
      </x:c>
      <x:c r="F582" s="34" t="str">
        <x:v>            ├─ AR-L1-SE-ExpertOverride-015-01 核心实现</x:v>
      </x:c>
      <x:c r="G582" s="34" t="str">
        <x:v>核心实现</x:v>
      </x:c>
      <x:c r="H582" s="33" t="str">
        <x:v>在 `src/runtime/rank_consensus/expert_override.{h,cc}` 新增或重写 `ExpertOverrideCoordinator`，把“专家级 KV 传输策略控制”落实为 L1 推理调度层 可调用主路径：本需求要求在默认 intent API 之外提供专家级 override：允许研发和运维在 A/B 实验、故障绕行、极致性能调优中显式指定 preferred semantics、forbidden semantics、force copy-to-HBM、allow direct view、forbid TCP fallback 等策略。 输入必须显式消费 per-rank hit/ready/error + request context，输出 consensus result + semantic metrics，不得用全局单例或隐藏同步 I/O 绕开预算与状态机。</x:v>
      </x:c>
      <x:c r="I582" s="33" t="str">
        <x:v>path selection 可控；</x:v>
      </x:c>
      <x:c r="J582" s="33" t="str">
        <x:v>src/runtime/rank_consensus/expert_override.{h,cc}</x:v>
      </x:c>
      <x:c r="K582" s="33" t="str">
        <x:v>L1 推理调度层 / 推理框架开发</x:v>
      </x:c>
      <x:c r="L582" s="33" t="str">
        <x:v>L1-SE-ExpertOverride-015</x:v>
      </x:c>
    </x:row>
    <x:row r="583" ht="76" customHeight="1">
      <x:c r="A583" s="33" t="str">
        <x:v>SF-02/IR-02-10/SR-02-10-04/AR-L1-SE-ExpertOverride-015-02</x:v>
      </x:c>
      <x:c r="B583" s="33" t="n">
        <x:v>4</x:v>
      </x:c>
      <x:c r="C583" s="34" t="str">
        <x:v>AR</x:v>
      </x:c>
      <x:c r="D583" s="34" t="str">
        <x:v>AR-L1-SE-ExpertOverride-015-02</x:v>
      </x:c>
      <x:c r="E583" s="34" t="str">
        <x:v>SR-02-10-04</x:v>
      </x:c>
      <x:c r="F583" s="34" t="str">
        <x:v>            ├─ AR-L1-SE-ExpertOverride-015-02 契约配置与降级</x:v>
      </x:c>
      <x:c r="G583" s="34" t="str">
        <x:v>契约配置与降级</x:v>
      </x:c>
      <x:c r="H583" s="33" t="str">
        <x:v>为 `ExpertOverrideOptions` 增加 `kvcache.expert_override.enabled`、deadline/容量/队列预算及版本字段；在调用点接入 typed error、decision_reason、fallback_reason，确保配置热更新、灰度关闭和向后兼容均可审计。</x:v>
      </x:c>
      <x:c r="I583" s="33" t="str">
        <x:v>path selection 可控；</x:v>
      </x:c>
      <x:c r="J583" s="33" t="str">
        <x:v>api/kvcache/v1/expert_override.proto + config/runtime/expert_override.yaml</x:v>
      </x:c>
      <x:c r="K583" s="33" t="str">
        <x:v>L1 推理调度层 / 推理框架开发</x:v>
      </x:c>
      <x:c r="L583" s="33" t="str">
        <x:v>L1-SE-ExpertOverride-015</x:v>
      </x:c>
    </x:row>
    <x:row r="584" ht="76" customHeight="1">
      <x:c r="A584" s="33" t="str">
        <x:v>SF-02/IR-02-10/SR-02-10-04/AR-L1-SE-ExpertOverride-015-03</x:v>
      </x:c>
      <x:c r="B584" s="33" t="n">
        <x:v>4</x:v>
      </x:c>
      <x:c r="C584" s="34" t="str">
        <x:v>AR</x:v>
      </x:c>
      <x:c r="D584" s="34" t="str">
        <x:v>AR-L1-SE-ExpertOverride-015-03</x:v>
      </x:c>
      <x:c r="E584" s="34" t="str">
        <x:v>SR-02-10-04</x:v>
      </x:c>
      <x:c r="F584" s="34" t="str">
        <x:v>            └─ AR-L1-SE-ExpertOverride-015-03 验证与观测</x:v>
      </x:c>
      <x:c r="G584" s="34" t="str">
        <x:v>验证与观测</x:v>
      </x:c>
      <x:c r="H584" s="33" t="str">
        <x:v>新增正常、边界、并发、超时、stale metadata、迁移冲突、路径拥塞/故障与 feature-flag-off 用例；在 benchmark 中固定模型、tokenizer、prompt、并发、拓扑和 baseline，采集 lookup/load/attach、TTFT、TPOT、usable/abandoned hit、带宽/时延及 CPU/NPU 利用率。</x:v>
      </x:c>
      <x:c r="I584" s="33" t="str">
        <x:v>path selection 可控；</x:v>
      </x:c>
      <x:c r="J584" s="33" t="str">
        <x:v>tests/runtime/rank_consensus/expert_override_test.cc + benchmarks/runtime/rank_consensus/expert_override_benchmark.cc</x:v>
      </x:c>
      <x:c r="K584" s="33" t="str">
        <x:v>L1 推理调度层 / 推理框架开发</x:v>
      </x:c>
      <x:c r="L584" s="33" t="str">
        <x:v>L1-SE-ExpertOverride-015</x:v>
      </x:c>
    </x:row>
    <x:row r="585" ht="76" customHeight="1">
      <x:c r="A585" s="29" t="str">
        <x:v>SF-02/IR-02-11</x:v>
      </x:c>
      <x:c r="B585" s="29" t="n">
        <x:v>2</x:v>
      </x:c>
      <x:c r="C585" s="30" t="str">
        <x:v>IR</x:v>
      </x:c>
      <x:c r="D585" s="30" t="str">
        <x:v>IR-02-11</x:v>
      </x:c>
      <x:c r="E585" s="30" t="str">
        <x:v>SF-02</x:v>
      </x:c>
      <x:c r="F585" s="30" t="str">
        <x:v>    ├─ IR-02-11 支持请求—计划—对象—路径的全链路观测及故障定位</x:v>
      </x:c>
      <x:c r="G585" s="30" t="str">
        <x:v>支持请求—计划—对象—路径的全链路观测及故障定位</x:v>
      </x:c>
      <x:c r="H585" s="29" t="str">
        <x:v>系统应使用统一标识把一次请求从 prefix lookup、QueryPlan 决策、对象/副本选择、路径执行、状态迁移、fallback 到最终 TTFT/TPOT 结果串联起来，提供按请求、对象、tier、路径和原因查询的 metrics、trace、inspect 与告警。其目标是证明命中是否产生真实收益、解释为何变慢或降级，并把故障定位时间缩短到分钟级。
技术锚点：OpenTelemetry + Prometheus/Grafana + eBPF/perf + KVInspect API</x:v>
      </x:c>
      <x:c r="I585" s="29" t="str">
        <x:v>cost预测误差&lt;20%；常态探针开销&lt;1%；fallback reason覆盖率=100%；MTTR降至分钟级。</x:v>
      </x:c>
      <x:c r="J585" s="29" t="str"/>
      <x:c r="K585" s="29" t="str">
        <x:v>TM6</x:v>
      </x:c>
      <x:c r="L585" s="29" t="str">
        <x:v>V2.1修订定义</x:v>
      </x:c>
    </x:row>
    <x:row r="586" ht="76" customHeight="1">
      <x:c r="A586" s="31" t="str">
        <x:v>SF-02/IR-02-11/SR-02-11-01</x:v>
      </x:c>
      <x:c r="B586" s="31" t="n">
        <x:v>3</x:v>
      </x:c>
      <x:c r="C586" s="32" t="str">
        <x:v>SR</x:v>
      </x:c>
      <x:c r="D586" s="32" t="str">
        <x:v>SR-02-11-01</x:v>
      </x:c>
      <x:c r="E586" s="32" t="str">
        <x:v>IR-02-11</x:v>
      </x:c>
      <x:c r="F586" s="32" t="str">
        <x:v>        ├─ SR-02-11-01 KVCache 全路径性能观测</x:v>
      </x:c>
      <x:c r="G586" s="32" t="str">
        <x:v>KVCache 全路径性能观测｜L3-OB-PerPathTelemetry-047</x:v>
      </x:c>
      <x:c r="H586" s="31" t="str">
        <x:v>系统重构：本需求要求 Transfer Manager 按路径持续导出 telemetry：包括 UB/C2C view latency、RDMA bandwidth、RDMA CQ latency、copy engine queue、SSD/GDS latency、TCP p99、retry、throttle、fault 和 fallback count。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x:v>
      </x:c>
      <x:c r="I586" s="31" t="str">
        <x:v>load cost 预测误差 &lt;20%；</x:v>
      </x:c>
      <x:c r="J586" s="31" t="str"/>
      <x:c r="K586" s="31" t="str">
        <x:v>L3 传输管理层 / 全路径观测与故障追踪</x:v>
      </x:c>
      <x:c r="L586" s="31" t="str">
        <x:v>L3-OB-PerPathTelemetry-047</x:v>
      </x:c>
    </x:row>
    <x:row r="587" ht="76" customHeight="1">
      <x:c r="A587" s="33" t="str">
        <x:v>SF-02/IR-02-11/SR-02-11-01/AR-L3-OB-PerPathTelemetry-047-01</x:v>
      </x:c>
      <x:c r="B587" s="33" t="n">
        <x:v>4</x:v>
      </x:c>
      <x:c r="C587" s="34" t="str">
        <x:v>AR</x:v>
      </x:c>
      <x:c r="D587" s="34" t="str">
        <x:v>AR-L3-OB-PerPathTelemetry-047-01</x:v>
      </x:c>
      <x:c r="E587" s="34" t="str">
        <x:v>SR-02-11-01</x:v>
      </x:c>
      <x:c r="F587" s="34" t="str">
        <x:v>            ├─ AR-L3-OB-PerPathTelemetry-047-01 核心实现</x:v>
      </x:c>
      <x:c r="G587" s="34" t="str">
        <x:v>核心实现</x:v>
      </x:c>
      <x:c r="H587" s="33" t="str">
        <x:v>在 `src/observability/per_path_telemetry.{h,cc}` 新增或重写 `PerPathTelemetryCollector`，把“KVCache 全路径性能观测”落实为 L3 传输管理层 可调用主路径：本需求要求 Transfer Manager 按路径持续导出 telemetry：包括 UB/C2C view latency、RDMA bandwidth、RDMA CQ latency、copy engine queue、SSD/GDS latency、TCP p99、retry、throttle、fault 和 fallback count。 输入必须显式消费 cross-layer events + hardware counters + SLO result，输出 trace/metrics/inspect response + alert，不得用全局单例或隐藏同步 I/O 绕开预算与状态机。</x:v>
      </x:c>
      <x:c r="I587" s="33" t="str">
        <x:v>load cost 预测误差 &lt;20%；</x:v>
      </x:c>
      <x:c r="J587" s="33" t="str">
        <x:v>src/observability/per_path_telemetry.{h,cc}</x:v>
      </x:c>
      <x:c r="K587" s="33" t="str">
        <x:v>L3 传输管理层 / 存储池/传输管理开发</x:v>
      </x:c>
      <x:c r="L587" s="33" t="str">
        <x:v>L3-OB-PerPathTelemetry-047</x:v>
      </x:c>
    </x:row>
    <x:row r="588" ht="76" customHeight="1">
      <x:c r="A588" s="33" t="str">
        <x:v>SF-02/IR-02-11/SR-02-11-01/AR-L3-OB-PerPathTelemetry-047-02</x:v>
      </x:c>
      <x:c r="B588" s="33" t="n">
        <x:v>4</x:v>
      </x:c>
      <x:c r="C588" s="34" t="str">
        <x:v>AR</x:v>
      </x:c>
      <x:c r="D588" s="34" t="str">
        <x:v>AR-L3-OB-PerPathTelemetry-047-02</x:v>
      </x:c>
      <x:c r="E588" s="34" t="str">
        <x:v>SR-02-11-01</x:v>
      </x:c>
      <x:c r="F588" s="34" t="str">
        <x:v>            ├─ AR-L3-OB-PerPathTelemetry-047-02 契约配置与降级</x:v>
      </x:c>
      <x:c r="G588" s="34" t="str">
        <x:v>契约配置与降级</x:v>
      </x:c>
      <x:c r="H588" s="33" t="str">
        <x:v>为 `PerPathTelemetryOptions` 增加 `kvcache.per_path_telemetry.enabled`、deadline/容量/队列预算及版本字段；在调用点接入 typed error、decision_reason、fallback_reason，确保配置热更新、灰度关闭和向后兼容均可审计。</x:v>
      </x:c>
      <x:c r="I588" s="33" t="str">
        <x:v>load cost 预测误差 &lt;20%；</x:v>
      </x:c>
      <x:c r="J588" s="33" t="str">
        <x:v>api/kvcache/v1/per_path_telemetry.proto + config/runtime/per_path_telemetry.yaml</x:v>
      </x:c>
      <x:c r="K588" s="33" t="str">
        <x:v>L3 传输管理层 / 存储池/传输管理开发</x:v>
      </x:c>
      <x:c r="L588" s="33" t="str">
        <x:v>L3-OB-PerPathTelemetry-047</x:v>
      </x:c>
    </x:row>
    <x:row r="589" ht="76" customHeight="1">
      <x:c r="A589" s="33" t="str">
        <x:v>SF-02/IR-02-11/SR-02-11-01/AR-L3-OB-PerPathTelemetry-047-03</x:v>
      </x:c>
      <x:c r="B589" s="33" t="n">
        <x:v>4</x:v>
      </x:c>
      <x:c r="C589" s="34" t="str">
        <x:v>AR</x:v>
      </x:c>
      <x:c r="D589" s="34" t="str">
        <x:v>AR-L3-OB-PerPathTelemetry-047-03</x:v>
      </x:c>
      <x:c r="E589" s="34" t="str">
        <x:v>SR-02-11-01</x:v>
      </x:c>
      <x:c r="F589" s="34" t="str">
        <x:v>            └─ AR-L3-OB-PerPathTelemetry-047-03 验证与观测</x:v>
      </x:c>
      <x:c r="G589" s="34" t="str">
        <x:v>验证与观测</x:v>
      </x:c>
      <x:c r="H589" s="33" t="str">
        <x:v>新增正常、边界、并发、超时、stale metadata、迁移冲突、路径拥塞/故障与 feature-flag-off 用例；在 benchmark 中固定模型、tokenizer、prompt、并发、拓扑和 baseline，采集 lookup/load/attach、TTFT、TPOT、usable/abandoned hit、带宽/时延及 CPU/NPU 利用率。</x:v>
      </x:c>
      <x:c r="I589" s="33" t="str">
        <x:v>load cost 预测误差 &lt;20%；</x:v>
      </x:c>
      <x:c r="J589" s="33" t="str">
        <x:v>tests/observability/per_path_telemetry_test.cc + benchmarks/observability/per_path_telemetry_benchmark.cc</x:v>
      </x:c>
      <x:c r="K589" s="33" t="str">
        <x:v>L3 传输管理层 / 存储池/传输管理开发</x:v>
      </x:c>
      <x:c r="L589" s="33" t="str">
        <x:v>L3-OB-PerPathTelemetry-047</x:v>
      </x:c>
    </x:row>
    <x:row r="590" ht="76" customHeight="1">
      <x:c r="A590" s="31" t="str">
        <x:v>SF-02/IR-02-11/SR-02-11-02</x:v>
      </x:c>
      <x:c r="B590" s="31" t="n">
        <x:v>3</x:v>
      </x:c>
      <x:c r="C590" s="32" t="str">
        <x:v>SR</x:v>
      </x:c>
      <x:c r="D590" s="32" t="str">
        <x:v>SR-02-11-02</x:v>
      </x:c>
      <x:c r="E590" s="32" t="str">
        <x:v>IR-02-11</x:v>
      </x:c>
      <x:c r="F590" s="32" t="str">
        <x:v>        ├─ SR-02-11-02 KVCache 降级链路故障追踪</x:v>
      </x:c>
      <x:c r="G590" s="32" t="str">
        <x:v>KVCache 降级链路故障追踪｜L3-FT-FallbackTrace-046</x:v>
      </x:c>
      <x:c r="H590" s="31" t="str">
        <x:v>系统重构：本需求要求为每次路径降级生成 fallback causality trace：记录 view→bulk、bulk→stream、bulk→recompute 或 RDMA→TCP 的触发原因、耗时、丢失收益、影响请求和关联硬件 telemetry。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x:v>
      </x:c>
      <x:c r="I590" s="31" t="str">
        <x:v>建立统一降级追踪根因体系，MTTR降低至分钟级；同时要求探针常态开销不超过总体 P99 TPOT 的 1%。</x:v>
      </x:c>
      <x:c r="J590" s="31" t="str"/>
      <x:c r="K590" s="31" t="str">
        <x:v>L3 传输管理层 / 全路径观测与故障追踪</x:v>
      </x:c>
      <x:c r="L590" s="31" t="str">
        <x:v>L3-FT-FallbackTrace-046</x:v>
      </x:c>
    </x:row>
    <x:row r="591" ht="76" customHeight="1">
      <x:c r="A591" s="33" t="str">
        <x:v>SF-02/IR-02-11/SR-02-11-02/AR-L3-FT-FallbackTrace-046-01</x:v>
      </x:c>
      <x:c r="B591" s="33" t="n">
        <x:v>4</x:v>
      </x:c>
      <x:c r="C591" s="34" t="str">
        <x:v>AR</x:v>
      </x:c>
      <x:c r="D591" s="34" t="str">
        <x:v>AR-L3-FT-FallbackTrace-046-01</x:v>
      </x:c>
      <x:c r="E591" s="34" t="str">
        <x:v>SR-02-11-02</x:v>
      </x:c>
      <x:c r="F591" s="34" t="str">
        <x:v>            ├─ AR-L3-FT-FallbackTrace-046-01 核心实现</x:v>
      </x:c>
      <x:c r="G591" s="34" t="str">
        <x:v>核心实现</x:v>
      </x:c>
      <x:c r="H591" s="33" t="str">
        <x:v>在 `src/observability/fallback_trace.{h,cc}` 新增或重写 `FallbackTraceCollector`，把“KVCache 降级链路故障追踪”落实为 L3 传输管理层 可调用主路径：本需求要求为每次路径降级生成 fallback causality trace：记录 view→bulk、bulk→stream、bulk→recompute 或 RDMA→TCP 的触发原因、耗时、丢失收益、影响请求和关联硬件 telemetry。 输入必须显式消费 cross-layer events + hardware counters + SLO result，输出 trace/metrics/inspect response + alert，不得用全局单例或隐藏同步 I/O 绕开预算与状态机。</x:v>
      </x:c>
      <x:c r="I591" s="33" t="str">
        <x:v>建立统一降级追踪根因体系，MTTR降低至分钟级；同时要求探针常态开销不超过总体 P99 TPOT 的 1%。</x:v>
      </x:c>
      <x:c r="J591" s="33" t="str">
        <x:v>src/observability/fallback_trace.{h,cc}</x:v>
      </x:c>
      <x:c r="K591" s="33" t="str">
        <x:v>L3 传输管理层 / 存储池/传输管理开发</x:v>
      </x:c>
      <x:c r="L591" s="33" t="str">
        <x:v>L3-FT-FallbackTrace-046</x:v>
      </x:c>
    </x:row>
    <x:row r="592" ht="76" customHeight="1">
      <x:c r="A592" s="33" t="str">
        <x:v>SF-02/IR-02-11/SR-02-11-02/AR-L3-FT-FallbackTrace-046-02</x:v>
      </x:c>
      <x:c r="B592" s="33" t="n">
        <x:v>4</x:v>
      </x:c>
      <x:c r="C592" s="34" t="str">
        <x:v>AR</x:v>
      </x:c>
      <x:c r="D592" s="34" t="str">
        <x:v>AR-L3-FT-FallbackTrace-046-02</x:v>
      </x:c>
      <x:c r="E592" s="34" t="str">
        <x:v>SR-02-11-02</x:v>
      </x:c>
      <x:c r="F592" s="34" t="str">
        <x:v>            ├─ AR-L3-FT-FallbackTrace-046-02 契约配置与降级</x:v>
      </x:c>
      <x:c r="G592" s="34" t="str">
        <x:v>契约配置与降级</x:v>
      </x:c>
      <x:c r="H592" s="33" t="str">
        <x:v>为 `FallbackTraceOptions` 增加 `kvcache.fallback_trace.enabled`、deadline/容量/队列预算及版本字段；在调用点接入 typed error、decision_reason、fallback_reason，确保配置热更新、灰度关闭和向后兼容均可审计。</x:v>
      </x:c>
      <x:c r="I592" s="33" t="str">
        <x:v>建立统一降级追踪根因体系，MTTR降低至分钟级；同时要求探针常态开销不超过总体 P99 TPOT 的 1%。</x:v>
      </x:c>
      <x:c r="J592" s="33" t="str">
        <x:v>api/kvcache/v1/fallback_trace.proto + config/runtime/fallback_trace.yaml</x:v>
      </x:c>
      <x:c r="K592" s="33" t="str">
        <x:v>L3 传输管理层 / 存储池/传输管理开发</x:v>
      </x:c>
      <x:c r="L592" s="33" t="str">
        <x:v>L3-FT-FallbackTrace-046</x:v>
      </x:c>
    </x:row>
    <x:row r="593" ht="76" customHeight="1">
      <x:c r="A593" s="33" t="str">
        <x:v>SF-02/IR-02-11/SR-02-11-02/AR-L3-FT-FallbackTrace-046-03</x:v>
      </x:c>
      <x:c r="B593" s="33" t="n">
        <x:v>4</x:v>
      </x:c>
      <x:c r="C593" s="34" t="str">
        <x:v>AR</x:v>
      </x:c>
      <x:c r="D593" s="34" t="str">
        <x:v>AR-L3-FT-FallbackTrace-046-03</x:v>
      </x:c>
      <x:c r="E593" s="34" t="str">
        <x:v>SR-02-11-02</x:v>
      </x:c>
      <x:c r="F593" s="34" t="str">
        <x:v>            └─ AR-L3-FT-FallbackTrace-046-03 验证与观测</x:v>
      </x:c>
      <x:c r="G593" s="34" t="str">
        <x:v>验证与观测</x:v>
      </x:c>
      <x:c r="H593" s="33" t="str">
        <x:v>新增正常、边界、并发、超时、stale metadata、迁移冲突、路径拥塞/故障与 feature-flag-off 用例；在 benchmark 中固定模型、tokenizer、prompt、并发、拓扑和 baseline，采集 lookup/load/attach、TTFT、TPOT、usable/abandoned hit、带宽/时延及 CPU/NPU 利用率。</x:v>
      </x:c>
      <x:c r="I593" s="33" t="str">
        <x:v>建立统一降级追踪根因体系，MTTR降低至分钟级；同时要求探针常态开销不超过总体 P99 TPOT 的 1%。</x:v>
      </x:c>
      <x:c r="J593" s="33" t="str">
        <x:v>tests/observability/fallback_trace_test.cc + benchmarks/observability/fallback_trace_benchmark.cc</x:v>
      </x:c>
      <x:c r="K593" s="33" t="str">
        <x:v>L3 传输管理层 / 存储池/传输管理开发</x:v>
      </x:c>
      <x:c r="L593" s="33" t="str">
        <x:v>L3-FT-FallbackTrace-046</x:v>
      </x:c>
    </x:row>
    <x:row r="594" ht="76" customHeight="1">
      <x:c r="A594" s="31" t="str">
        <x:v>SF-02/IR-02-11/SR-02-11-03</x:v>
      </x:c>
      <x:c r="B594" s="31" t="n">
        <x:v>3</x:v>
      </x:c>
      <x:c r="C594" s="32" t="str">
        <x:v>SR</x:v>
      </x:c>
      <x:c r="D594" s="32" t="str">
        <x:v>SR-02-11-03</x:v>
      </x:c>
      <x:c r="E594" s="32" t="str">
        <x:v>IR-02-11</x:v>
      </x:c>
      <x:c r="F594" s="32" t="str">
        <x:v>        ├─ SR-02-11-03 UBlink-C2C 近端热 KV 存储扩展</x:v>
      </x:c>
      <x:c r="G594" s="32" t="str">
        <x:v>UBlink-C2C 近端热 KV 存储扩展｜L3-MS-UBC2CTier-055</x:v>
      </x:c>
      <x:c r="H594" s="31" t="str">
        <x:v>系统重构：本需求要求 UB/C2C memory tier 首先承载KVCache相关的元数据，譬如 prefix metadata、directory mirror、manifest、ready bitmap、warm KV staging，而不是直接承载大规模 decode-active KV；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x:v>
      </x:c>
      <x:c r="I594" s="31" t="str">
        <x:v>Prefix命中判定P99耗时 &lt; 200us；在Share-Prefix业务下，Usable Hit Rate提升≥15%。</x:v>
      </x:c>
      <x:c r="J594" s="31" t="str"/>
      <x:c r="K594" s="31" t="str">
        <x:v>L3 传输管理层 / 全路径观测与故障追踪</x:v>
      </x:c>
      <x:c r="L594" s="31" t="str">
        <x:v>L3-MS-UBC2CTier-055</x:v>
      </x:c>
    </x:row>
    <x:row r="595" ht="76" customHeight="1">
      <x:c r="A595" s="33" t="str">
        <x:v>SF-02/IR-02-11/SR-02-11-03/AR-L3-MS-UBC2CTier-055-01</x:v>
      </x:c>
      <x:c r="B595" s="33" t="n">
        <x:v>4</x:v>
      </x:c>
      <x:c r="C595" s="34" t="str">
        <x:v>AR</x:v>
      </x:c>
      <x:c r="D595" s="34" t="str">
        <x:v>AR-L3-MS-UBC2CTier-055-01</x:v>
      </x:c>
      <x:c r="E595" s="34" t="str">
        <x:v>SR-02-11-03</x:v>
      </x:c>
      <x:c r="F595" s="34" t="str">
        <x:v>            ├─ AR-L3-MS-UBC2CTier-055-01 核心实现</x:v>
      </x:c>
      <x:c r="G595" s="34" t="str">
        <x:v>核心实现</x:v>
      </x:c>
      <x:c r="H595" s="33" t="str">
        <x:v>在 `src/observability/ubc2_ctier.{h,cc}` 新增或重写 `UBC2CTierCollector`，把“UBlink-C2C 近端热 KV 存储扩展”落实为 L3 传输管理层 可调用主路径：本需求要求 UB/C2C memory tier 首先承载KVCache相关的元数据，譬如 prefix metadata、directory mirror、manifest、ready bitmap、warm KV staging，而不是直接承载大规模 decode-active KV； 输入必须显式消费 cross-layer events + hardware counters + SLO result，输出 trace/metrics/inspect response + alert，不得用全局单例或隐藏同步 I/O 绕开预算与状态机。</x:v>
      </x:c>
      <x:c r="I595" s="33" t="str">
        <x:v>Prefix命中判定P99耗时 &lt; 200us；在Share-Prefix业务下，Usable Hit Rate提升≥15%。</x:v>
      </x:c>
      <x:c r="J595" s="33" t="str">
        <x:v>src/observability/ubc2_ctier.{h,cc}</x:v>
      </x:c>
      <x:c r="K595" s="33" t="str">
        <x:v>L3 传输管理层 / 存储池/传输管理开发</x:v>
      </x:c>
      <x:c r="L595" s="33" t="str">
        <x:v>L3-MS-UBC2CTier-055</x:v>
      </x:c>
    </x:row>
    <x:row r="596" ht="76" customHeight="1">
      <x:c r="A596" s="33" t="str">
        <x:v>SF-02/IR-02-11/SR-02-11-03/AR-L3-MS-UBC2CTier-055-02</x:v>
      </x:c>
      <x:c r="B596" s="33" t="n">
        <x:v>4</x:v>
      </x:c>
      <x:c r="C596" s="34" t="str">
        <x:v>AR</x:v>
      </x:c>
      <x:c r="D596" s="34" t="str">
        <x:v>AR-L3-MS-UBC2CTier-055-02</x:v>
      </x:c>
      <x:c r="E596" s="34" t="str">
        <x:v>SR-02-11-03</x:v>
      </x:c>
      <x:c r="F596" s="34" t="str">
        <x:v>            ├─ AR-L3-MS-UBC2CTier-055-02 契约配置与降级</x:v>
      </x:c>
      <x:c r="G596" s="34" t="str">
        <x:v>契约配置与降级</x:v>
      </x:c>
      <x:c r="H596" s="33" t="str">
        <x:v>为 `UBC2CTierOptions` 增加 `kvcache.ubc2_ctier.enabled`、deadline/容量/队列预算及版本字段；在调用点接入 typed error、decision_reason、fallback_reason，确保配置热更新、灰度关闭和向后兼容均可审计。</x:v>
      </x:c>
      <x:c r="I596" s="33" t="str">
        <x:v>Prefix命中判定P99耗时 &lt; 200us；在Share-Prefix业务下，Usable Hit Rate提升≥15%。</x:v>
      </x:c>
      <x:c r="J596" s="33" t="str">
        <x:v>api/kvcache/v1/ubc2_ctier.proto + config/runtime/ubc2_ctier.yaml</x:v>
      </x:c>
      <x:c r="K596" s="33" t="str">
        <x:v>L3 传输管理层 / 存储池/传输管理开发</x:v>
      </x:c>
      <x:c r="L596" s="33" t="str">
        <x:v>L3-MS-UBC2CTier-055</x:v>
      </x:c>
    </x:row>
    <x:row r="597" ht="76" customHeight="1">
      <x:c r="A597" s="33" t="str">
        <x:v>SF-02/IR-02-11/SR-02-11-03/AR-L3-MS-UBC2CTier-055-03</x:v>
      </x:c>
      <x:c r="B597" s="33" t="n">
        <x:v>4</x:v>
      </x:c>
      <x:c r="C597" s="34" t="str">
        <x:v>AR</x:v>
      </x:c>
      <x:c r="D597" s="34" t="str">
        <x:v>AR-L3-MS-UBC2CTier-055-03</x:v>
      </x:c>
      <x:c r="E597" s="34" t="str">
        <x:v>SR-02-11-03</x:v>
      </x:c>
      <x:c r="F597" s="34" t="str">
        <x:v>            └─ AR-L3-MS-UBC2CTier-055-03 验证与观测</x:v>
      </x:c>
      <x:c r="G597" s="34" t="str">
        <x:v>验证与观测</x:v>
      </x:c>
      <x:c r="H597" s="33" t="str">
        <x:v>新增正常、边界、并发、超时、stale metadata、迁移冲突、路径拥塞/故障与 feature-flag-off 用例；在 benchmark 中固定模型、tokenizer、prompt、并发、拓扑和 baseline，采集 lookup/load/attach、TTFT、TPOT、usable/abandoned hit、带宽/时延及 CPU/NPU 利用率。</x:v>
      </x:c>
      <x:c r="I597" s="33" t="str">
        <x:v>Prefix命中判定P99耗时 &lt; 200us；在Share-Prefix业务下，Usable Hit Rate提升≥15%。</x:v>
      </x:c>
      <x:c r="J597" s="33" t="str">
        <x:v>tests/observability/ubc2_ctier_test.cc + benchmarks/observability/ubc2_ctier_benchmark.cc</x:v>
      </x:c>
      <x:c r="K597" s="33" t="str">
        <x:v>L3 传输管理层 / 存储池/传输管理开发</x:v>
      </x:c>
      <x:c r="L597" s="33" t="str">
        <x:v>L3-MS-UBC2CTier-055</x:v>
      </x:c>
    </x:row>
    <x:row r="598" ht="76" customHeight="1">
      <x:c r="A598" s="31" t="str">
        <x:v>SF-02/IR-02-11/SR-02-11-04</x:v>
      </x:c>
      <x:c r="B598" s="31" t="n">
        <x:v>3</x:v>
      </x:c>
      <x:c r="C598" s="32" t="str">
        <x:v>SR</x:v>
      </x:c>
      <x:c r="D598" s="32" t="str">
        <x:v>SR-02-11-04</x:v>
      </x:c>
      <x:c r="E598" s="32" t="str">
        <x:v>IR-02-11</x:v>
      </x:c>
      <x:c r="F598" s="32" t="str">
        <x:v>        ├─ SR-02-11-04 KV 状态迁移可追踪</x:v>
      </x:c>
      <x:c r="G598" s="32" t="str">
        <x:v>KV 状态迁移可追踪｜L3-OB-KVStateTrace-083</x:v>
      </x:c>
      <x:c r="H598" s="31" t="str">
        <x:v>系统重构：本需求要求为每个 KV object 记录状态迁移 trace，至少包含 publish、commit、lookup、load、attach、detach、migrate、evict、invalidate、quarantine 的时间、触发方、旧状态、新状态和失败原因，支撑“命中了但无法消费”的根因定位。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x:v>
      </x:c>
      <x:c r="I598" s="31" t="str">
        <x:v>节点动态加入/退出时的缓存失效控制在局部范围内（遵循一致性哈希比例）。</x:v>
      </x:c>
      <x:c r="J598" s="31" t="str"/>
      <x:c r="K598" s="31" t="str">
        <x:v>L3 传输管理层 / 全路径观测与故障追踪</x:v>
      </x:c>
      <x:c r="L598" s="31" t="str">
        <x:v>L3-OB-KVStateTrace-083</x:v>
      </x:c>
    </x:row>
    <x:row r="599" ht="76" customHeight="1">
      <x:c r="A599" s="33" t="str">
        <x:v>SF-02/IR-02-11/SR-02-11-04/AR-L3-OB-KVStateTrace-083-01</x:v>
      </x:c>
      <x:c r="B599" s="33" t="n">
        <x:v>4</x:v>
      </x:c>
      <x:c r="C599" s="34" t="str">
        <x:v>AR</x:v>
      </x:c>
      <x:c r="D599" s="34" t="str">
        <x:v>AR-L3-OB-KVStateTrace-083-01</x:v>
      </x:c>
      <x:c r="E599" s="34" t="str">
        <x:v>SR-02-11-04</x:v>
      </x:c>
      <x:c r="F599" s="34" t="str">
        <x:v>            ├─ AR-L3-OB-KVStateTrace-083-01 核心实现</x:v>
      </x:c>
      <x:c r="G599" s="34" t="str">
        <x:v>核心实现</x:v>
      </x:c>
      <x:c r="H599" s="33" t="str">
        <x:v>在 `src/observability/kvstate_trace.{h,cc}` 新增或重写 `KVStateTraceCollector`，把“KV 状态迁移可追踪”落实为 L3 传输管理层 可调用主路径：本需求要求为每个 KV object 记录状态迁移 trace，至少包含 publish、commit、lookup、load、attach、detach、migrate、evict、invalidate、quarantine 的时间、触发方、旧状态、新状态和失败原因，支撑“命中了但无法消费”的根因定位。 输入必须显式消费 cross-layer events + hardware counters + SLO result，输出 trace/metrics/inspect response + alert，不得用全局单例或隐藏同步 I/O 绕开预算与状态机。</x:v>
      </x:c>
      <x:c r="I599" s="33" t="str">
        <x:v>节点动态加入/退出时的缓存失效控制在局部范围内（遵循一致性哈希比例）。</x:v>
      </x:c>
      <x:c r="J599" s="33" t="str">
        <x:v>src/observability/kvstate_trace.{h,cc}</x:v>
      </x:c>
      <x:c r="K599" s="33" t="str">
        <x:v>L3 传输管理层 / 存储池/传输管理开发</x:v>
      </x:c>
      <x:c r="L599" s="33" t="str">
        <x:v>L3-OB-KVStateTrace-083</x:v>
      </x:c>
    </x:row>
    <x:row r="600" ht="76" customHeight="1">
      <x:c r="A600" s="33" t="str">
        <x:v>SF-02/IR-02-11/SR-02-11-04/AR-L3-OB-KVStateTrace-083-02</x:v>
      </x:c>
      <x:c r="B600" s="33" t="n">
        <x:v>4</x:v>
      </x:c>
      <x:c r="C600" s="34" t="str">
        <x:v>AR</x:v>
      </x:c>
      <x:c r="D600" s="34" t="str">
        <x:v>AR-L3-OB-KVStateTrace-083-02</x:v>
      </x:c>
      <x:c r="E600" s="34" t="str">
        <x:v>SR-02-11-04</x:v>
      </x:c>
      <x:c r="F600" s="34" t="str">
        <x:v>            ├─ AR-L3-OB-KVStateTrace-083-02 契约配置与降级</x:v>
      </x:c>
      <x:c r="G600" s="34" t="str">
        <x:v>契约配置与降级</x:v>
      </x:c>
      <x:c r="H600" s="33" t="str">
        <x:v>为 `KVStateTraceOptions` 增加 `kvcache.kvstate_trace.enabled`、deadline/容量/队列预算及版本字段；在调用点接入 typed error、decision_reason、fallback_reason，确保配置热更新、灰度关闭和向后兼容均可审计。</x:v>
      </x:c>
      <x:c r="I600" s="33" t="str">
        <x:v>节点动态加入/退出时的缓存失效控制在局部范围内（遵循一致性哈希比例）。</x:v>
      </x:c>
      <x:c r="J600" s="33" t="str">
        <x:v>api/kvcache/v1/kvstate_trace.proto + config/runtime/kvstate_trace.yaml</x:v>
      </x:c>
      <x:c r="K600" s="33" t="str">
        <x:v>L3 传输管理层 / 存储池/传输管理开发</x:v>
      </x:c>
      <x:c r="L600" s="33" t="str">
        <x:v>L3-OB-KVStateTrace-083</x:v>
      </x:c>
    </x:row>
    <x:row r="601" ht="76" customHeight="1">
      <x:c r="A601" s="33" t="str">
        <x:v>SF-02/IR-02-11/SR-02-11-04/AR-L3-OB-KVStateTrace-083-03</x:v>
      </x:c>
      <x:c r="B601" s="33" t="n">
        <x:v>4</x:v>
      </x:c>
      <x:c r="C601" s="34" t="str">
        <x:v>AR</x:v>
      </x:c>
      <x:c r="D601" s="34" t="str">
        <x:v>AR-L3-OB-KVStateTrace-083-03</x:v>
      </x:c>
      <x:c r="E601" s="34" t="str">
        <x:v>SR-02-11-04</x:v>
      </x:c>
      <x:c r="F601" s="34" t="str">
        <x:v>            └─ AR-L3-OB-KVStateTrace-083-03 验证与观测</x:v>
      </x:c>
      <x:c r="G601" s="34" t="str">
        <x:v>验证与观测</x:v>
      </x:c>
      <x:c r="H601" s="33" t="str">
        <x:v>新增正常、边界、并发、超时、stale metadata、迁移冲突、路径拥塞/故障与 feature-flag-off 用例；在 benchmark 中固定模型、tokenizer、prompt、并发、拓扑和 baseline，采集 lookup/load/attach、TTFT、TPOT、usable/abandoned hit、带宽/时延及 CPU/NPU 利用率。</x:v>
      </x:c>
      <x:c r="I601" s="33" t="str">
        <x:v>节点动态加入/退出时的缓存失效控制在局部范围内（遵循一致性哈希比例）。</x:v>
      </x:c>
      <x:c r="J601" s="33" t="str">
        <x:v>tests/observability/kvstate_trace_test.cc + benchmarks/observability/kvstate_trace_benchmark.cc</x:v>
      </x:c>
      <x:c r="K601" s="33" t="str">
        <x:v>L3 传输管理层 / 存储池/传输管理开发</x:v>
      </x:c>
      <x:c r="L601" s="33" t="str">
        <x:v>L3-OB-KVStateTrace-083</x:v>
      </x:c>
    </x:row>
    <x:row r="602" ht="76" customHeight="1">
      <x:c r="A602" s="31" t="str">
        <x:v>SF-02/IR-02-11/SR-02-11-05</x:v>
      </x:c>
      <x:c r="B602" s="31" t="n">
        <x:v>3</x:v>
      </x:c>
      <x:c r="C602" s="32" t="str">
        <x:v>SR</x:v>
      </x:c>
      <x:c r="D602" s="32" t="str">
        <x:v>SR-02-11-05</x:v>
      </x:c>
      <x:c r="E602" s="32" t="str">
        <x:v>IR-02-11</x:v>
      </x:c>
      <x:c r="F602" s="32" t="str">
        <x:v>        ├─ SR-02-11-05 统一 KV 内存池运维排障</x:v>
      </x:c>
      <x:c r="G602" s="32" t="str">
        <x:v>统一 KV 内存池运维排障｜L3-CTRL-KVInspectAPI-084</x:v>
      </x:c>
      <x:c r="H602" s="31" t="str">
        <x:v>系统重构：本需求要求提供 KV object inspect 管理接口，可查询 object_id/prefix_hash 对应的 semantic identity、状态机状态、placement 列表、manifest、lease/refcount、version、ready bitmap、last access 和当前推荐消费路径。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x:v>
      </x:c>
      <x:c r="I602" s="31" t="str">
        <x:v>Prefix命中判定P99耗时 &lt; 200us；在Share-Prefix业务下，Usable Hit Rate提升≥15%。</x:v>
      </x:c>
      <x:c r="J602" s="31" t="str"/>
      <x:c r="K602" s="31" t="str">
        <x:v>L3 传输管理层 / 全路径观测与故障追踪</x:v>
      </x:c>
      <x:c r="L602" s="31" t="str">
        <x:v>L3-CTRL-KVInspectAPI-084</x:v>
      </x:c>
    </x:row>
    <x:row r="603" ht="76" customHeight="1">
      <x:c r="A603" s="33" t="str">
        <x:v>SF-02/IR-02-11/SR-02-11-05/AR-L3-CTRL-KVInspectAPI-084-01</x:v>
      </x:c>
      <x:c r="B603" s="33" t="n">
        <x:v>4</x:v>
      </x:c>
      <x:c r="C603" s="34" t="str">
        <x:v>AR</x:v>
      </x:c>
      <x:c r="D603" s="34" t="str">
        <x:v>AR-L3-CTRL-KVInspectAPI-084-01</x:v>
      </x:c>
      <x:c r="E603" s="34" t="str">
        <x:v>SR-02-11-05</x:v>
      </x:c>
      <x:c r="F603" s="34" t="str">
        <x:v>            ├─ AR-L3-CTRL-KVInspectAPI-084-01 核心实现</x:v>
      </x:c>
      <x:c r="G603" s="34" t="str">
        <x:v>核心实现</x:v>
      </x:c>
      <x:c r="H603" s="33" t="str">
        <x:v>在 `src/observability/kvinspect_api.{h,cc}` 新增或重写 `KVInspectAPICollector`，把“统一 KV 内存池运维排障”落实为 L3 传输管理层 可调用主路径：本需求要求提供 KV object inspect 管理接口，可查询 object_id/prefix_hash 对应的 semantic identity、状态机状态、placement 列表、manifest、lease/refcount、version、ready bitmap、last access 和当前推荐消费路径。 输入必须显式消费 cross-layer events + hardware counters + SLO result，输出 trace/metrics/inspect response + alert，不得用全局单例或隐藏同步 I/O 绕开预算与状态机。</x:v>
      </x:c>
      <x:c r="I603" s="33" t="str">
        <x:v>Prefix命中判定P99耗时 &lt; 200us；在Share-Prefix业务下，Usable Hit Rate提升≥15%。</x:v>
      </x:c>
      <x:c r="J603" s="33" t="str">
        <x:v>src/observability/kvinspect_api.{h,cc}</x:v>
      </x:c>
      <x:c r="K603" s="33" t="str">
        <x:v>L3 传输管理层 / 存储池/传输管理开发</x:v>
      </x:c>
      <x:c r="L603" s="33" t="str">
        <x:v>L3-CTRL-KVInspectAPI-084</x:v>
      </x:c>
    </x:row>
    <x:row r="604" ht="76" customHeight="1">
      <x:c r="A604" s="33" t="str">
        <x:v>SF-02/IR-02-11/SR-02-11-05/AR-L3-CTRL-KVInspectAPI-084-02</x:v>
      </x:c>
      <x:c r="B604" s="33" t="n">
        <x:v>4</x:v>
      </x:c>
      <x:c r="C604" s="34" t="str">
        <x:v>AR</x:v>
      </x:c>
      <x:c r="D604" s="34" t="str">
        <x:v>AR-L3-CTRL-KVInspectAPI-084-02</x:v>
      </x:c>
      <x:c r="E604" s="34" t="str">
        <x:v>SR-02-11-05</x:v>
      </x:c>
      <x:c r="F604" s="34" t="str">
        <x:v>            ├─ AR-L3-CTRL-KVInspectAPI-084-02 契约配置与降级</x:v>
      </x:c>
      <x:c r="G604" s="34" t="str">
        <x:v>契约配置与降级</x:v>
      </x:c>
      <x:c r="H604" s="33" t="str">
        <x:v>为 `KVInspectAPIOptions` 增加 `kvcache.kvinspect_api.enabled`、deadline/容量/队列预算及版本字段；在调用点接入 typed error、decision_reason、fallback_reason，确保配置热更新、灰度关闭和向后兼容均可审计。</x:v>
      </x:c>
      <x:c r="I604" s="33" t="str">
        <x:v>Prefix命中判定P99耗时 &lt; 200us；在Share-Prefix业务下，Usable Hit Rate提升≥15%。</x:v>
      </x:c>
      <x:c r="J604" s="33" t="str">
        <x:v>api/kvcache/v1/kvinspect_api.proto + config/runtime/kvinspect_api.yaml</x:v>
      </x:c>
      <x:c r="K604" s="33" t="str">
        <x:v>L3 传输管理层 / 存储池/传输管理开发</x:v>
      </x:c>
      <x:c r="L604" s="33" t="str">
        <x:v>L3-CTRL-KVInspectAPI-084</x:v>
      </x:c>
    </x:row>
    <x:row r="605" ht="76" customHeight="1">
      <x:c r="A605" s="33" t="str">
        <x:v>SF-02/IR-02-11/SR-02-11-05/AR-L3-CTRL-KVInspectAPI-084-03</x:v>
      </x:c>
      <x:c r="B605" s="33" t="n">
        <x:v>4</x:v>
      </x:c>
      <x:c r="C605" s="34" t="str">
        <x:v>AR</x:v>
      </x:c>
      <x:c r="D605" s="34" t="str">
        <x:v>AR-L3-CTRL-KVInspectAPI-084-03</x:v>
      </x:c>
      <x:c r="E605" s="34" t="str">
        <x:v>SR-02-11-05</x:v>
      </x:c>
      <x:c r="F605" s="34" t="str">
        <x:v>            └─ AR-L3-CTRL-KVInspectAPI-084-03 验证与观测</x:v>
      </x:c>
      <x:c r="G605" s="34" t="str">
        <x:v>验证与观测</x:v>
      </x:c>
      <x:c r="H605" s="33" t="str">
        <x:v>新增正常、边界、并发、超时、stale metadata、迁移冲突、路径拥塞/故障与 feature-flag-off 用例；在 benchmark 中固定模型、tokenizer、prompt、并发、拓扑和 baseline，采集 lookup/load/attach、TTFT、TPOT、usable/abandoned hit、带宽/时延及 CPU/NPU 利用率。</x:v>
      </x:c>
      <x:c r="I605" s="33" t="str">
        <x:v>Prefix命中判定P99耗时 &lt; 200us；在Share-Prefix业务下，Usable Hit Rate提升≥15%。</x:v>
      </x:c>
      <x:c r="J605" s="33" t="str">
        <x:v>tests/observability/kvinspect_api_test.cc + benchmarks/observability/kvinspect_api_benchmark.cc</x:v>
      </x:c>
      <x:c r="K605" s="33" t="str">
        <x:v>L3 传输管理层 / 存储池/传输管理开发</x:v>
      </x:c>
      <x:c r="L605" s="33" t="str">
        <x:v>L3-CTRL-KVInspectAPI-084</x:v>
      </x:c>
    </x:row>
    <x:row r="606" ht="76" customHeight="1">
      <x:c r="A606" s="29" t="str">
        <x:v>SF-02/IR-02-12</x:v>
      </x:c>
      <x:c r="B606" s="29" t="n">
        <x:v>2</x:v>
      </x:c>
      <x:c r="C606" s="30" t="str">
        <x:v>IR</x:v>
      </x:c>
      <x:c r="D606" s="30" t="str">
        <x:v>IR-02-12</x:v>
      </x:c>
      <x:c r="E606" s="30" t="str">
        <x:v>SF-02</x:v>
      </x:c>
      <x:c r="F606" s="30" t="str">
        <x:v>    ├─ IR-02-12 支持跨平台构建、自动化测试、性能基线及灰度发布的工程交付体系</x:v>
      </x:c>
      <x:c r="G606" s="30" t="str">
        <x:v>支持跨平台构建、自动化测试、性能基线及灰度发布的工程交付体系</x:v>
      </x:c>
      <x:c r="H606" s="29" t="str">
        <x:v>系统应提供覆盖 CPU/NPU、vLLM/SGLang 和不同传输后端的标准构建、静态检查、单元/集成/性能/故障注入/长稳测试、制品发布、灰度放量和自动回滚流程；每次变更必须能够与冻结 baseline 做可复现对比，并以覆盖率、性能退化、泄漏、错误率和 SLO 门槛自动决定是否允许合并或发布。
技术锚点：CMake/ccache + clang-tidy + ASAN/TSAN/LSAN + Chaos Mesh + GitLab CI + Benchmark</x:v>
      </x:c>
      <x:c r="I606" s="29" t="str">
        <x:v>核心覆盖率&gt;85%；MR反馈&lt;15min；72h长稳零泄漏；故障fallback&lt;500ms且0错误；回滚&lt;1min。</x:v>
      </x:c>
      <x:c r="J606" s="29" t="str"/>
      <x:c r="K606" s="29" t="str">
        <x:v>TM6</x:v>
      </x:c>
      <x:c r="L606" s="29" t="str">
        <x:v>V2.1修订定义</x:v>
      </x:c>
    </x:row>
    <x:row r="607" ht="76" customHeight="1">
      <x:c r="A607" s="31" t="str">
        <x:v>SF-02/IR-02-12/SR-02-12-01</x:v>
      </x:c>
      <x:c r="B607" s="31" t="n">
        <x:v>3</x:v>
      </x:c>
      <x:c r="C607" s="32" t="str">
        <x:v>SR</x:v>
      </x:c>
      <x:c r="D607" s="32" t="str">
        <x:v>SR-02-12-01</x:v>
      </x:c>
      <x:c r="E607" s="32" t="str">
        <x:v>IR-02-12</x:v>
      </x:c>
      <x:c r="F607" s="32" t="str">
        <x:v>        ├─ SR-02-12-01 线上业务巡检，性能瓶颈快速排查，智能调度决策的数据支撑。</x:v>
      </x:c>
      <x:c r="G607" s="32" t="str">
        <x:v>线上业务巡检，性能瓶颈快速排查，智能调度决策的数据支撑。｜SE-MONITOR-001</x:v>
      </x:c>
      <x:c r="H607" s="31" t="str">
        <x:v>系统重构：建立KVCache专用的细粒度性能监控大盘，采集命中率(Hit Rate)、各介质I/O读写延迟分位、带宽利用率、TTFT/TPOT等核心业务指标。 技术路径：基于 Prometheus+Grafana 栈。核心路径使用 bvar (bRPC内置)或 Thread-Local 无锁计数器打点。可考虑引入 eBPF 技术在内核态辅助追踪底层 I/O 时延。对接企业级告警通道。</x:v>
      </x:c>
      <x:c r="I607" s="31" t="str">
        <x:v>大盘指标采集刷新延迟 &lt; 5s，对主业务端到端性能损耗影响 &lt; 1%。</x:v>
      </x:c>
      <x:c r="J607" s="31" t="str"/>
      <x:c r="K607" s="31" t="str">
        <x:v>SE 工程保障 / 工程质量与交付工具链</x:v>
      </x:c>
      <x:c r="L607" s="31" t="str">
        <x:v>SE-MONITOR-001</x:v>
      </x:c>
    </x:row>
    <x:row r="608" ht="76" customHeight="1">
      <x:c r="A608" s="33" t="str">
        <x:v>SF-02/IR-02-12/SR-02-12-01/AR-SE-MONITOR-001-01</x:v>
      </x:c>
      <x:c r="B608" s="33" t="n">
        <x:v>4</x:v>
      </x:c>
      <x:c r="C608" s="34" t="str">
        <x:v>AR</x:v>
      </x:c>
      <x:c r="D608" s="34" t="str">
        <x:v>AR-SE-MONITOR-001-01</x:v>
      </x:c>
      <x:c r="E608" s="34" t="str">
        <x:v>SR-02-12-01</x:v>
      </x:c>
      <x:c r="F608" s="34" t="str">
        <x:v>            ├─ AR-SE-MONITOR-001-01 核心实现</x:v>
      </x:c>
      <x:c r="G608" s="34" t="str">
        <x:v>核心实现</x:v>
      </x:c>
      <x:c r="H608" s="33" t="str">
        <x:v>实现 实现 thread-local 无锁计数器和 Prometheus exporter，发布 TTFT/TPOT/usable hit/per-tier I/O/path/fallback 指标，并交付 Grafana 大盘与分级告警。提交必须包含可复现入口、结构化报告和失败退出码，禁止依赖人工补步骤。</x:v>
      </x:c>
      <x:c r="I608" s="33" t="str">
        <x:v>大盘指标采集刷新延迟 &lt; 5s，对主业务端到端性能损耗影响 &lt; 1%。</x:v>
      </x:c>
      <x:c r="J608" s="33" t="str">
        <x:v>src/observability/kv_metrics_exporter.{h,cc}</x:v>
      </x:c>
      <x:c r="K608" s="33" t="str">
        <x:v>SE 工程保障 / 测试效能/DevOps</x:v>
      </x:c>
      <x:c r="L608" s="33" t="str">
        <x:v>SE-MONITOR-001</x:v>
      </x:c>
    </x:row>
    <x:row r="609" ht="76" customHeight="1">
      <x:c r="A609" s="33" t="str">
        <x:v>SF-02/IR-02-12/SR-02-12-01/AR-SE-MONITOR-001-02</x:v>
      </x:c>
      <x:c r="B609" s="33" t="n">
        <x:v>4</x:v>
      </x:c>
      <x:c r="C609" s="34" t="str">
        <x:v>AR</x:v>
      </x:c>
      <x:c r="D609" s="34" t="str">
        <x:v>AR-SE-MONITOR-001-02</x:v>
      </x:c>
      <x:c r="E609" s="34" t="str">
        <x:v>SR-02-12-01</x:v>
      </x:c>
      <x:c r="F609" s="34" t="str">
        <x:v>            ├─ AR-SE-MONITOR-001-02 契约配置与降级</x:v>
      </x:c>
      <x:c r="G609" s="34" t="str">
        <x:v>契约配置与降级</x:v>
      </x:c>
      <x:c r="H609" s="33" t="str">
        <x:v>在 `observability/grafana/kvcache-overview.json + observability/prometheus/kvcache-alerts.yaml` 固化矩阵、阈值、超时、制品保留和失败策略；为 SE-MONITOR-001 增加可审计配置键“metrics_flush_interval_ms / alert thresholds”，并把 大盘指标采集刷新延迟 &lt; 5s，对主业务端到端性能损耗影响 &lt; 1%。 写入自动门禁。</x:v>
      </x:c>
      <x:c r="I609" s="33" t="str">
        <x:v>大盘指标采集刷新延迟 &lt; 5s，对主业务端到端性能损耗影响 &lt; 1%。</x:v>
      </x:c>
      <x:c r="J609" s="33" t="str">
        <x:v>observability/grafana/kvcache-overview.json + observability/prometheus/kvcache-alerts.yaml</x:v>
      </x:c>
      <x:c r="K609" s="33" t="str">
        <x:v>SE 工程保障 / 测试效能/DevOps</x:v>
      </x:c>
      <x:c r="L609" s="33" t="str">
        <x:v>SE-MONITOR-001</x:v>
      </x:c>
    </x:row>
    <x:row r="610" ht="76" customHeight="1">
      <x:c r="A610" s="33" t="str">
        <x:v>SF-02/IR-02-12/SR-02-12-01/AR-SE-MONITOR-001-03</x:v>
      </x:c>
      <x:c r="B610" s="33" t="n">
        <x:v>4</x:v>
      </x:c>
      <x:c r="C610" s="34" t="str">
        <x:v>AR</x:v>
      </x:c>
      <x:c r="D610" s="34" t="str">
        <x:v>AR-SE-MONITOR-001-03</x:v>
      </x:c>
      <x:c r="E610" s="34" t="str">
        <x:v>SR-02-12-01</x:v>
      </x:c>
      <x:c r="F610" s="34" t="str">
        <x:v>            └─ AR-SE-MONITOR-001-03 验证与观测</x:v>
      </x:c>
      <x:c r="G610" s="34" t="str">
        <x:v>验证与观测</x:v>
      </x:c>
      <x:c r="H610" s="33" t="str">
        <x:v>新增 SE-MONITOR-001 的自验收套件，覆盖正常、阈值边界、工具自身故障、超时与回滚；自动生成包含环境指纹、P50/P95/P99、覆盖率/泄漏/错误率及 baseline diff 的报告。</x:v>
      </x:c>
      <x:c r="I610" s="33" t="str">
        <x:v>大盘指标采集刷新延迟 &lt; 5s，对主业务端到端性能损耗影响 &lt; 1%。</x:v>
      </x:c>
      <x:c r="J610" s="33" t="str">
        <x:v>tests/engineering/se_monitor_001_acceptance.md + reports/schema/se_monitor_001_report.schema.json</x:v>
      </x:c>
      <x:c r="K610" s="33" t="str">
        <x:v>SE 工程保障 / 测试效能/DevOps</x:v>
      </x:c>
      <x:c r="L610" s="33" t="str">
        <x:v>SE-MONITOR-001</x:v>
      </x:c>
    </x:row>
    <x:row r="611" ht="76" customHeight="1">
      <x:c r="A611" s="31" t="str">
        <x:v>SF-02/IR-02-12/SR-02-12-02</x:v>
      </x:c>
      <x:c r="B611" s="31" t="n">
        <x:v>3</x:v>
      </x:c>
      <x:c r="C611" s="32" t="str">
        <x:v>SR</x:v>
      </x:c>
      <x:c r="D611" s="32" t="str">
        <x:v>SR-02-12-02</x:v>
      </x:c>
      <x:c r="E611" s="32" t="str">
        <x:v>IR-02-12</x:v>
      </x:c>
      <x:c r="F611" s="32" t="str">
        <x:v>        ├─ SR-02-12-02 快速迭代中的逻辑回归验证，接口兼容性验证。</x:v>
      </x:c>
      <x:c r="G611" s="32" t="str">
        <x:v>快速迭代中的逻辑回归验证，接口兼容性验证。｜SE-TEST-001</x:v>
      </x:c>
      <x:c r="H611" s="31" t="str">
        <x:v>系统重构：构建覆盖核心模块的单元测试(Unit Test)、接口测试(API Test)及Mock系统，确保KVCache调度逻辑、路由决策及内存分配算法的正确性。 技术路径：引入 gtest/gmock 测试框架，利用依赖注入(Dependency Injection)解耦底层硬件依赖。开发基于内存映射(mmap)的软仿分配器来模拟硬件行为。在CI中配置lcov/gcov覆盖率工具。</x:v>
      </x:c>
      <x:c r="I611" s="31" t="str">
        <x:v>核心模块(L1-L4)单元测试覆盖率 &gt; 85%，核心接口自动化通过率 100%。</x:v>
      </x:c>
      <x:c r="J611" s="31" t="str"/>
      <x:c r="K611" s="31" t="str">
        <x:v>SE 工程保障 / 工程质量与交付工具链</x:v>
      </x:c>
      <x:c r="L611" s="31" t="str">
        <x:v>SE-TEST-001</x:v>
      </x:c>
    </x:row>
    <x:row r="612" ht="76" customHeight="1">
      <x:c r="A612" s="33" t="str">
        <x:v>SF-02/IR-02-12/SR-02-12-02/AR-SE-TEST-001-01</x:v>
      </x:c>
      <x:c r="B612" s="33" t="n">
        <x:v>4</x:v>
      </x:c>
      <x:c r="C612" s="34" t="str">
        <x:v>AR</x:v>
      </x:c>
      <x:c r="D612" s="34" t="str">
        <x:v>AR-SE-TEST-001-01</x:v>
      </x:c>
      <x:c r="E612" s="34" t="str">
        <x:v>SR-02-12-02</x:v>
      </x:c>
      <x:c r="F612" s="34" t="str">
        <x:v>            ├─ AR-SE-TEST-001-01 核心实现</x:v>
      </x:c>
      <x:c r="G612" s="34" t="str">
        <x:v>核心实现</x:v>
      </x:c>
      <x:c r="H612" s="33" t="str">
        <x:v>实现 建立 mmap 软仿分配器、依赖注入测试夹具和 L1-L4 单测目标；lcov/gcov 生成分支覆盖率并在低于85%时阻断合并。提交必须包含可复现入口、结构化报告和失败退出码，禁止依赖人工补步骤。</x:v>
      </x:c>
      <x:c r="I612" s="33" t="str">
        <x:v>核心模块(L1-L4)单元测试覆盖率 &gt; 85%，核心接口自动化通过率 100%。</x:v>
      </x:c>
      <x:c r="J612" s="33" t="str">
        <x:v>tests/fakes/fake_memory_backend.{h,cc} + tests/unit/CMakeLists.txt</x:v>
      </x:c>
      <x:c r="K612" s="33" t="str">
        <x:v>SE 工程保障 / 测试效能/DevOps</x:v>
      </x:c>
      <x:c r="L612" s="33" t="str">
        <x:v>SE-TEST-001</x:v>
      </x:c>
    </x:row>
    <x:row r="613" ht="76" customHeight="1">
      <x:c r="A613" s="33" t="str">
        <x:v>SF-02/IR-02-12/SR-02-12-02/AR-SE-TEST-001-02</x:v>
      </x:c>
      <x:c r="B613" s="33" t="n">
        <x:v>4</x:v>
      </x:c>
      <x:c r="C613" s="34" t="str">
        <x:v>AR</x:v>
      </x:c>
      <x:c r="D613" s="34" t="str">
        <x:v>AR-SE-TEST-001-02</x:v>
      </x:c>
      <x:c r="E613" s="34" t="str">
        <x:v>SR-02-12-02</x:v>
      </x:c>
      <x:c r="F613" s="34" t="str">
        <x:v>            ├─ AR-SE-TEST-001-02 契约配置与降级</x:v>
      </x:c>
      <x:c r="G613" s="34" t="str">
        <x:v>契约配置与降级</x:v>
      </x:c>
      <x:c r="H613" s="33" t="str">
        <x:v>在 `cmake/CodeCoverage.cmake + .gitlab/ci/unit-test.yml` 固化矩阵、阈值、超时、制品保留和失败策略；为 SE-TEST-001 增加可审计配置键“KVCACHE_ENABLE_COVERAGE / min_line_coverage=85”，并把 核心模块(L1-L4)单元测试覆盖率 &gt; 85%，核心接口自动化通过率 100%。 写入自动门禁。</x:v>
      </x:c>
      <x:c r="I613" s="33" t="str">
        <x:v>核心模块(L1-L4)单元测试覆盖率 &gt; 85%，核心接口自动化通过率 100%。</x:v>
      </x:c>
      <x:c r="J613" s="33" t="str">
        <x:v>cmake/CodeCoverage.cmake + .gitlab/ci/unit-test.yml</x:v>
      </x:c>
      <x:c r="K613" s="33" t="str">
        <x:v>SE 工程保障 / 测试效能/DevOps</x:v>
      </x:c>
      <x:c r="L613" s="33" t="str">
        <x:v>SE-TEST-001</x:v>
      </x:c>
    </x:row>
    <x:row r="614" ht="76" customHeight="1">
      <x:c r="A614" s="33" t="str">
        <x:v>SF-02/IR-02-12/SR-02-12-02/AR-SE-TEST-001-03</x:v>
      </x:c>
      <x:c r="B614" s="33" t="n">
        <x:v>4</x:v>
      </x:c>
      <x:c r="C614" s="34" t="str">
        <x:v>AR</x:v>
      </x:c>
      <x:c r="D614" s="34" t="str">
        <x:v>AR-SE-TEST-001-03</x:v>
      </x:c>
      <x:c r="E614" s="34" t="str">
        <x:v>SR-02-12-02</x:v>
      </x:c>
      <x:c r="F614" s="34" t="str">
        <x:v>            └─ AR-SE-TEST-001-03 验证与观测</x:v>
      </x:c>
      <x:c r="G614" s="34" t="str">
        <x:v>验证与观测</x:v>
      </x:c>
      <x:c r="H614" s="33" t="str">
        <x:v>新增 SE-TEST-001 的自验收套件，覆盖正常、阈值边界、工具自身故障、超时与回滚；自动生成包含环境指纹、P50/P95/P99、覆盖率/泄漏/错误率及 baseline diff 的报告。</x:v>
      </x:c>
      <x:c r="I614" s="33" t="str">
        <x:v>核心模块(L1-L4)单元测试覆盖率 &gt; 85%，核心接口自动化通过率 100%。</x:v>
      </x:c>
      <x:c r="J614" s="33" t="str">
        <x:v>tests/engineering/se_test_001_acceptance.md + reports/schema/se_test_001_report.schema.json</x:v>
      </x:c>
      <x:c r="K614" s="33" t="str">
        <x:v>SE 工程保障 / 测试效能/DevOps</x:v>
      </x:c>
      <x:c r="L614" s="33" t="str">
        <x:v>SE-TEST-001</x:v>
      </x:c>
    </x:row>
    <x:row r="615" ht="76" customHeight="1">
      <x:c r="A615" s="31" t="str">
        <x:v>SF-02/IR-02-12/SR-02-12-03</x:v>
      </x:c>
      <x:c r="B615" s="31" t="n">
        <x:v>3</x:v>
      </x:c>
      <x:c r="C615" s="32" t="str">
        <x:v>SR</x:v>
      </x:c>
      <x:c r="D615" s="32" t="str">
        <x:v>SR-02-12-03</x:v>
      </x:c>
      <x:c r="E615" s="32" t="str">
        <x:v>IR-02-12</x:v>
      </x:c>
      <x:c r="F615" s="32" t="str">
        <x:v>        ├─ SR-02-12-03 发版前的系统级验证，多设备协同场景以及高可用容灾演练。</x:v>
      </x:c>
      <x:c r="G615" s="32" t="str">
        <x:v>发版前的系统级验证，多设备协同场景以及高可用容灾演练。｜SE-TEST-002</x:v>
      </x:c>
      <x:c r="H615" s="31" t="str">
        <x:v>系统重构：搭建包含真实多级异构介质（HBM、DDR、NVMe SSD）以及RDMA远端节点的端到端(E2E)测试环境，验证跨介质调度、分布式拉取功能与回退机制。 技术路径：基于 Kubernetes 与 Docker 容器化部署测试集群。引入 Chaos Mesh 等混沌工程平台注入网络断连、SSD阻塞等故障。使用 ASAN/LSAN 动态监测内存溢出与泄漏。</x:v>
      </x:c>
      <x:c r="I615" s="31" t="str">
        <x:v>能够在一键脚本下完成所有硬件介质连通性验证。具备长稳运行(Soak Test)和故障容灾能力。</x:v>
      </x:c>
      <x:c r="J615" s="31" t="str"/>
      <x:c r="K615" s="31" t="str">
        <x:v>SE 工程保障 / 工程质量与交付工具链</x:v>
      </x:c>
      <x:c r="L615" s="31" t="str">
        <x:v>SE-TEST-002</x:v>
      </x:c>
    </x:row>
    <x:row r="616" ht="76" customHeight="1">
      <x:c r="A616" s="33" t="str">
        <x:v>SF-02/IR-02-12/SR-02-12-03/AR-SE-TEST-002-01</x:v>
      </x:c>
      <x:c r="B616" s="33" t="n">
        <x:v>4</x:v>
      </x:c>
      <x:c r="C616" s="34" t="str">
        <x:v>AR</x:v>
      </x:c>
      <x:c r="D616" s="34" t="str">
        <x:v>AR-SE-TEST-002-01</x:v>
      </x:c>
      <x:c r="E616" s="34" t="str">
        <x:v>SR-02-12-03</x:v>
      </x:c>
      <x:c r="F616" s="34" t="str">
        <x:v>            ├─ AR-SE-TEST-002-01 核心实现</x:v>
      </x:c>
      <x:c r="G616" s="34" t="str">
        <x:v>核心实现</x:v>
      </x:c>
      <x:c r="H616" s="33" t="str">
        <x:v>实现 编排 HBM/DDR/NVMe/RDMA 多节点环境，注入断链、SSD阻塞、节点重启与元数据stale，验证&lt;500ms fallback、0业务错误和72h零泄漏。提交必须包含可复现入口、结构化报告和失败退出码，禁止依赖人工补步骤。</x:v>
      </x:c>
      <x:c r="I616" s="33" t="str">
        <x:v>能够在一键脚本下完成所有硬件介质连通性验证。具备长稳运行(Soak Test)和故障容灾能力。</x:v>
      </x:c>
      <x:c r="J616" s="33" t="str">
        <x:v>tests/e2e/run_e2e.py + tests/e2e/topology/heterogeneous_pool.yaml</x:v>
      </x:c>
      <x:c r="K616" s="33" t="str">
        <x:v>SE 工程保障 / 测试效能/DevOps</x:v>
      </x:c>
      <x:c r="L616" s="33" t="str">
        <x:v>SE-TEST-002</x:v>
      </x:c>
    </x:row>
    <x:row r="617" ht="76" customHeight="1">
      <x:c r="A617" s="33" t="str">
        <x:v>SF-02/IR-02-12/SR-02-12-03/AR-SE-TEST-002-02</x:v>
      </x:c>
      <x:c r="B617" s="33" t="n">
        <x:v>4</x:v>
      </x:c>
      <x:c r="C617" s="34" t="str">
        <x:v>AR</x:v>
      </x:c>
      <x:c r="D617" s="34" t="str">
        <x:v>AR-SE-TEST-002-02</x:v>
      </x:c>
      <x:c r="E617" s="34" t="str">
        <x:v>SR-02-12-03</x:v>
      </x:c>
      <x:c r="F617" s="34" t="str">
        <x:v>            ├─ AR-SE-TEST-002-02 契约配置与降级</x:v>
      </x:c>
      <x:c r="G617" s="34" t="str">
        <x:v>契约配置与降级</x:v>
      </x:c>
      <x:c r="H617" s="33" t="str">
        <x:v>在 `deploy/chaos/kv-path-faults.yaml + .gitlab/ci/e2e-soak.yml` 固化矩阵、阈值、超时、制品保留和失败策略；为 SE-TEST-002 增加可审计配置键“soak_hours=72 / fallback_deadline_ms=500”，并把 能够在一键脚本下完成所有硬件介质连通性验证。具备长稳运行(Soak Test)和故障容灾能力。 写入自动门禁。</x:v>
      </x:c>
      <x:c r="I617" s="33" t="str">
        <x:v>能够在一键脚本下完成所有硬件介质连通性验证。具备长稳运行(Soak Test)和故障容灾能力。</x:v>
      </x:c>
      <x:c r="J617" s="33" t="str">
        <x:v>deploy/chaos/kv-path-faults.yaml + .gitlab/ci/e2e-soak.yml</x:v>
      </x:c>
      <x:c r="K617" s="33" t="str">
        <x:v>SE 工程保障 / 测试效能/DevOps</x:v>
      </x:c>
      <x:c r="L617" s="33" t="str">
        <x:v>SE-TEST-002</x:v>
      </x:c>
    </x:row>
    <x:row r="618" ht="76" customHeight="1">
      <x:c r="A618" s="33" t="str">
        <x:v>SF-02/IR-02-12/SR-02-12-03/AR-SE-TEST-002-03</x:v>
      </x:c>
      <x:c r="B618" s="33" t="n">
        <x:v>4</x:v>
      </x:c>
      <x:c r="C618" s="34" t="str">
        <x:v>AR</x:v>
      </x:c>
      <x:c r="D618" s="34" t="str">
        <x:v>AR-SE-TEST-002-03</x:v>
      </x:c>
      <x:c r="E618" s="34" t="str">
        <x:v>SR-02-12-03</x:v>
      </x:c>
      <x:c r="F618" s="34" t="str">
        <x:v>            └─ AR-SE-TEST-002-03 验证与观测</x:v>
      </x:c>
      <x:c r="G618" s="34" t="str">
        <x:v>验证与观测</x:v>
      </x:c>
      <x:c r="H618" s="33" t="str">
        <x:v>新增 SE-TEST-002 的自验收套件，覆盖正常、阈值边界、工具自身故障、超时与回滚；自动生成包含环境指纹、P50/P95/P99、覆盖率/泄漏/错误率及 baseline diff 的报告。</x:v>
      </x:c>
      <x:c r="I618" s="33" t="str">
        <x:v>能够在一键脚本下完成所有硬件介质连通性验证。具备长稳运行(Soak Test)和故障容灾能力。</x:v>
      </x:c>
      <x:c r="J618" s="33" t="str">
        <x:v>tests/engineering/se_test_002_acceptance.md + reports/schema/se_test_002_report.schema.json</x:v>
      </x:c>
      <x:c r="K618" s="33" t="str">
        <x:v>SE 工程保障 / 测试效能/DevOps</x:v>
      </x:c>
      <x:c r="L618" s="33" t="str">
        <x:v>SE-TEST-002</x:v>
      </x:c>
    </x:row>
    <x:row r="619" ht="76" customHeight="1">
      <x:c r="A619" s="31" t="str">
        <x:v>SF-02/IR-02-12/SR-02-12-04</x:v>
      </x:c>
      <x:c r="B619" s="31" t="n">
        <x:v>3</x:v>
      </x:c>
      <x:c r="C619" s="32" t="str">
        <x:v>SR</x:v>
      </x:c>
      <x:c r="D619" s="32" t="str">
        <x:v>SR-02-12-04</x:v>
      </x:c>
      <x:c r="E619" s="32" t="str">
        <x:v>IR-02-12</x:v>
      </x:c>
      <x:c r="F619" s="32" t="str">
        <x:v>        ├─ SR-02-12-04 多人协同敏捷开发，高质量拦截代码坏味道，线上业务平滑且无感知的版本迭代。</x:v>
      </x:c>
      <x:c r="G619" s="32" t="str">
        <x:v>多人协同敏捷开发，高质量拦截代码坏味道，线上业务平滑且无感知的版本迭代。｜SE-CICD-001</x:v>
      </x:c>
      <x:c r="H619" s="31" t="str">
        <x:v>系统重构：构建统一且全自动化的代码构建、静态代码分析(Static Analysis)、规范检查、自动打包产物与线上灰度部署(Canary Release)流水线。 技术路径：利用 ccache 与分布式编译集群极速提升编译效率。集成 Clang-Tidy、cpplint、SonarQube 进行代码规范与坏味道强卡点。使用 Helm 配置容器镜像管理实现平滑更新。</x:v>
      </x:c>
      <x:c r="I619" s="31" t="str">
        <x:v>代码合并前拦截100%规范类与基础逻辑报错；灰度发布过程支持随时熔断与分钟级回滚。</x:v>
      </x:c>
      <x:c r="J619" s="31" t="str"/>
      <x:c r="K619" s="31" t="str">
        <x:v>SE 工程保障 / 工程质量与交付工具链</x:v>
      </x:c>
      <x:c r="L619" s="31" t="str">
        <x:v>SE-CICD-001</x:v>
      </x:c>
    </x:row>
    <x:row r="620" ht="76" customHeight="1">
      <x:c r="A620" s="33" t="str">
        <x:v>SF-02/IR-02-12/SR-02-12-04/AR-SE-CICD-001-01</x:v>
      </x:c>
      <x:c r="B620" s="33" t="n">
        <x:v>4</x:v>
      </x:c>
      <x:c r="C620" s="34" t="str">
        <x:v>AR</x:v>
      </x:c>
      <x:c r="D620" s="34" t="str">
        <x:v>AR-SE-CICD-001-01</x:v>
      </x:c>
      <x:c r="E620" s="34" t="str">
        <x:v>SR-02-12-04</x:v>
      </x:c>
      <x:c r="F620" s="34" t="str">
        <x:v>            ├─ AR-SE-CICD-001-01 核心实现</x:v>
      </x:c>
      <x:c r="G620" s="34" t="str">
        <x:v>核心实现</x:v>
      </x:c>
      <x:c r="H620" s="33" t="str">
        <x:v>实现 建立 ccache 增量构建、clang-tidy/Sonar、跨CPU/NPU矩阵、制品签名、1%→10%→50%→100%灰度和SLO异常&lt;1min自动回滚。提交必须包含可复现入口、结构化报告和失败退出码，禁止依赖人工补步骤。</x:v>
      </x:c>
      <x:c r="I620" s="33" t="str">
        <x:v>代码合并前拦截100%规范类与基础逻辑报错；灰度发布过程支持随时熔断与分钟级回滚。</x:v>
      </x:c>
      <x:c r="J620" s="33" t="str">
        <x:v>.gitlab-ci.yml + cmake/presets/CMakePresets.json</x:v>
      </x:c>
      <x:c r="K620" s="33" t="str">
        <x:v>SE 工程保障 / 测试效能/DevOps</x:v>
      </x:c>
      <x:c r="L620" s="33" t="str">
        <x:v>SE-CICD-001</x:v>
      </x:c>
    </x:row>
    <x:row r="621" ht="76" customHeight="1">
      <x:c r="A621" s="33" t="str">
        <x:v>SF-02/IR-02-12/SR-02-12-04/AR-SE-CICD-001-02</x:v>
      </x:c>
      <x:c r="B621" s="33" t="n">
        <x:v>4</x:v>
      </x:c>
      <x:c r="C621" s="34" t="str">
        <x:v>AR</x:v>
      </x:c>
      <x:c r="D621" s="34" t="str">
        <x:v>AR-SE-CICD-001-02</x:v>
      </x:c>
      <x:c r="E621" s="34" t="str">
        <x:v>SR-02-12-04</x:v>
      </x:c>
      <x:c r="F621" s="34" t="str">
        <x:v>            ├─ AR-SE-CICD-001-02 契约配置与降级</x:v>
      </x:c>
      <x:c r="G621" s="34" t="str">
        <x:v>契约配置与降级</x:v>
      </x:c>
      <x:c r="H621" s="33" t="str">
        <x:v>在 `deploy/helm/kvcache/values.yaml + deploy/canary/rollback-policy.yaml` 固化矩阵、阈值、超时、制品保留和失败策略；为 SE-CICD-001 增加可审计配置键“1/10/50/100% canary / rollback_slo”，并把 代码合并前拦截100%规范类与基础逻辑报错；灰度发布过程支持随时熔断与分钟级回滚。 写入自动门禁。</x:v>
      </x:c>
      <x:c r="I621" s="33" t="str">
        <x:v>代码合并前拦截100%规范类与基础逻辑报错；灰度发布过程支持随时熔断与分钟级回滚。</x:v>
      </x:c>
      <x:c r="J621" s="33" t="str">
        <x:v>deploy/helm/kvcache/values.yaml + deploy/canary/rollback-policy.yaml</x:v>
      </x:c>
      <x:c r="K621" s="33" t="str">
        <x:v>SE 工程保障 / 测试效能/DevOps</x:v>
      </x:c>
      <x:c r="L621" s="33" t="str">
        <x:v>SE-CICD-001</x:v>
      </x:c>
    </x:row>
    <x:row r="622" ht="76" customHeight="1">
      <x:c r="A622" s="33" t="str">
        <x:v>SF-02/IR-02-12/SR-02-12-04/AR-SE-CICD-001-03</x:v>
      </x:c>
      <x:c r="B622" s="33" t="n">
        <x:v>4</x:v>
      </x:c>
      <x:c r="C622" s="34" t="str">
        <x:v>AR</x:v>
      </x:c>
      <x:c r="D622" s="34" t="str">
        <x:v>AR-SE-CICD-001-03</x:v>
      </x:c>
      <x:c r="E622" s="34" t="str">
        <x:v>SR-02-12-04</x:v>
      </x:c>
      <x:c r="F622" s="34" t="str">
        <x:v>            └─ AR-SE-CICD-001-03 验证与观测</x:v>
      </x:c>
      <x:c r="G622" s="34" t="str">
        <x:v>验证与观测</x:v>
      </x:c>
      <x:c r="H622" s="33" t="str">
        <x:v>新增 SE-CICD-001 的自验收套件，覆盖正常、阈值边界、工具自身故障、超时与回滚；自动生成包含环境指纹、P50/P95/P99、覆盖率/泄漏/错误率及 baseline diff 的报告。</x:v>
      </x:c>
      <x:c r="I622" s="33" t="str">
        <x:v>代码合并前拦截100%规范类与基础逻辑报错；灰度发布过程支持随时熔断与分钟级回滚。</x:v>
      </x:c>
      <x:c r="J622" s="33" t="str">
        <x:v>tests/engineering/se_cicd_001_acceptance.md + reports/schema/se_cicd_001_report.schema.json</x:v>
      </x:c>
      <x:c r="K622" s="33" t="str">
        <x:v>SE 工程保障 / 测试效能/DevOps</x:v>
      </x:c>
      <x:c r="L622" s="33" t="str">
        <x:v>SE-CICD-001</x:v>
      </x:c>
    </x:row>
    <x:row r="623" ht="76" customHeight="1">
      <x:c r="A623" s="31" t="str">
        <x:v>SF-02/IR-02-12/SR-02-12-05</x:v>
      </x:c>
      <x:c r="B623" s="31" t="n">
        <x:v>3</x:v>
      </x:c>
      <x:c r="C623" s="32" t="str">
        <x:v>SR</x:v>
      </x:c>
      <x:c r="D623" s="32" t="str">
        <x:v>SR-02-12-05</x:v>
      </x:c>
      <x:c r="E623" s="32" t="str">
        <x:v>IR-02-12</x:v>
      </x:c>
      <x:c r="F623" s="32" t="str">
        <x:v>        ├─ SR-02-12-05 技术架构选型验证、大版本发布前的性能压测、线上环境极限容量评估。</x:v>
      </x:c>
      <x:c r="G623" s="32" t="str">
        <x:v>技术架构选型验证、大版本发布前的性能压测、线上环境极限容量评估。｜SE-PERF-001</x:v>
      </x:c>
      <x:c r="H623" s="31" t="str">
        <x:v>系统重构：开发专用的 KVCache 负载生成器与压测脚本，能够精准模拟多并发下的大模型长短文本请求特征，进行吞吐极限与延迟探测。 技术路径：基于 C++ 开发高性能异步压测客户端，支持泊松分布、Zipfian长尾分布等流量模型。集成 Perf、FlameGraph (火焰图) 进行 CPU/Mem/网络 热点下钻分析。</x:v>
      </x:c>
      <x:c r="I623" s="31" t="str">
        <x:v>能模拟 10W+ QPS 请求量，并精准重放(Replay)线上真实的业务流量长度与到达率分布。</x:v>
      </x:c>
      <x:c r="J623" s="31" t="str"/>
      <x:c r="K623" s="31" t="str">
        <x:v>SE 工程保障 / 工程质量与交付工具链</x:v>
      </x:c>
      <x:c r="L623" s="31" t="str">
        <x:v>SE-PERF-001</x:v>
      </x:c>
    </x:row>
    <x:row r="624" ht="76" customHeight="1">
      <x:c r="A624" s="33" t="str">
        <x:v>SF-02/IR-02-12/SR-02-12-05/AR-SE-PERF-001-01</x:v>
      </x:c>
      <x:c r="B624" s="33" t="n">
        <x:v>4</x:v>
      </x:c>
      <x:c r="C624" s="34" t="str">
        <x:v>AR</x:v>
      </x:c>
      <x:c r="D624" s="34" t="str">
        <x:v>AR-SE-PERF-001-01</x:v>
      </x:c>
      <x:c r="E624" s="34" t="str">
        <x:v>SR-02-12-05</x:v>
      </x:c>
      <x:c r="F624" s="34" t="str">
        <x:v>            ├─ AR-SE-PERF-001-01 核心实现</x:v>
      </x:c>
      <x:c r="G624" s="34" t="str">
        <x:v>核心实现</x:v>
      </x:c>
      <x:c r="H624" s="33" t="str">
        <x:v>实现 实现 Poisson/Zipf/真实流量 replay、长短上下文和前缀复用分布的10W+ QPS负载生成器，自动对比原生 vLLM/SGLang baseline。提交必须包含可复现入口、结构化报告和失败退出码，禁止依赖人工补步骤。</x:v>
      </x:c>
      <x:c r="I624" s="33" t="str">
        <x:v>能模拟 10W+ QPS 请求量，并精准重放(Replay)线上真实的业务流量长度与到达率分布。</x:v>
      </x:c>
      <x:c r="J624" s="33" t="str">
        <x:v>benchmarks/loadgen/kvcache_loadgen.{h,cc} + benchmarks/workloads/*.yaml</x:v>
      </x:c>
      <x:c r="K624" s="33" t="str">
        <x:v>SE 工程保障 / 测试效能/DevOps</x:v>
      </x:c>
      <x:c r="L624" s="33" t="str">
        <x:v>SE-PERF-001</x:v>
      </x:c>
    </x:row>
    <x:row r="625" ht="76" customHeight="1">
      <x:c r="A625" s="33" t="str">
        <x:v>SF-02/IR-02-12/SR-02-12-05/AR-SE-PERF-001-02</x:v>
      </x:c>
      <x:c r="B625" s="33" t="n">
        <x:v>4</x:v>
      </x:c>
      <x:c r="C625" s="34" t="str">
        <x:v>AR</x:v>
      </x:c>
      <x:c r="D625" s="34" t="str">
        <x:v>AR-SE-PERF-001-02</x:v>
      </x:c>
      <x:c r="E625" s="34" t="str">
        <x:v>SR-02-12-05</x:v>
      </x:c>
      <x:c r="F625" s="34" t="str">
        <x:v>            ├─ AR-SE-PERF-001-02 契约配置与降级</x:v>
      </x:c>
      <x:c r="G625" s="34" t="str">
        <x:v>契约配置与降级</x:v>
      </x:c>
      <x:c r="H625" s="33" t="str">
        <x:v>在 `benchmarks/baselines/native_vllm_sglang.yaml + .gitlab/ci/performance.yml` 固化矩阵、阈值、超时、制品保留和失败策略；为 SE-PERF-001 增加可审计配置键“arrival_model / prefix_reuse / context_distribution / qps”，并把 能模拟 10W+ QPS 请求量，并精准重放(Replay)线上真实的业务流量长度与到达率分布。 写入自动门禁。</x:v>
      </x:c>
      <x:c r="I625" s="33" t="str">
        <x:v>能模拟 10W+ QPS 请求量，并精准重放(Replay)线上真实的业务流量长度与到达率分布。</x:v>
      </x:c>
      <x:c r="J625" s="33" t="str">
        <x:v>benchmarks/baselines/native_vllm_sglang.yaml + .gitlab/ci/performance.yml</x:v>
      </x:c>
      <x:c r="K625" s="33" t="str">
        <x:v>SE 工程保障 / 测试效能/DevOps</x:v>
      </x:c>
      <x:c r="L625" s="33" t="str">
        <x:v>SE-PERF-001</x:v>
      </x:c>
    </x:row>
    <x:row r="626" ht="76" customHeight="1">
      <x:c r="A626" s="37" t="str">
        <x:v>SF-02/IR-02-12/SR-02-12-05/AR-SE-PERF-001-03</x:v>
      </x:c>
      <x:c r="B626" s="37" t="n">
        <x:v>4</x:v>
      </x:c>
      <x:c r="C626" s="38" t="str">
        <x:v>AR</x:v>
      </x:c>
      <x:c r="D626" s="38" t="str">
        <x:v>AR-SE-PERF-001-03</x:v>
      </x:c>
      <x:c r="E626" s="38" t="str">
        <x:v>SR-02-12-05</x:v>
      </x:c>
      <x:c r="F626" s="38" t="str">
        <x:v>            └─ AR-SE-PERF-001-03 验证与观测</x:v>
      </x:c>
      <x:c r="G626" s="38" t="str">
        <x:v>验证与观测</x:v>
      </x:c>
      <x:c r="H626" s="37" t="str">
        <x:v>新增 SE-PERF-001 的自验收套件，覆盖正常、阈值边界、工具自身故障、超时与回滚；自动生成包含环境指纹、P50/P95/P99、覆盖率/泄漏/错误率及 baseline diff 的报告。</x:v>
      </x:c>
      <x:c r="I626" s="37" t="str">
        <x:v>能模拟 10W+ QPS 请求量，并精准重放(Replay)线上真实的业务流量长度与到达率分布。</x:v>
      </x:c>
      <x:c r="J626" s="37" t="str">
        <x:v>tests/engineering/se_perf_001_acceptance.md + reports/schema/se_perf_001_report.schema.json</x:v>
      </x:c>
      <x:c r="K626" s="37" t="str">
        <x:v>SE 工程保障 / 测试效能/DevOps</x:v>
      </x:c>
      <x:c r="L626" s="37" t="str">
        <x:v>SE-PERF-001</x:v>
      </x:c>
    </x:row>
  </x:sheetData>
  <x:mergeCells>
    <x:mergeCell ref="A1:L1"/>
    <x:mergeCell ref="A2:L2"/>
  </x:mergeCells>
  <x:pageMargins left="0.7" right="0.7" top="0.75" bottom="0.75" header="0.3" footer="0.3"/>
  <x:tableParts count="1">
    <x:tablePart xmlns:r="http://schemas.openxmlformats.org/officeDocument/2006/relationships" r:id="R65ba1bc9e2a3487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0" hidden="0" customWidth="1"/>
    <x:col min="4" max="4" width="24" hidden="0" customWidth="1"/>
    <x:col min="5" max="5" width="18" hidden="0" customWidth="1"/>
    <x:col min="6" max="6" width="18" hidden="0" customWidth="1"/>
    <x:col min="7" max="7" width="12" hidden="0" customWidth="1"/>
    <x:col min="8" max="8" width="22" hidden="0" customWidth="1"/>
    <x:col min="9" max="9" width="9" hidden="0" customWidth="1"/>
    <x:col min="10" max="10" width="15" hidden="0" customWidth="1"/>
    <x:col min="11" max="11" width="34" hidden="0" customWidth="1"/>
    <x:col min="12" max="12" width="55" hidden="0" customWidth="1"/>
    <x:col min="13" max="13" width="60" hidden="0" customWidth="1"/>
    <x:col min="14" max="14" width="30" hidden="0" customWidth="1"/>
    <x:col min="15" max="15" width="30" hidden="0" customWidth="1"/>
    <x:col min="16" max="16" width="48" hidden="0" customWidth="1"/>
    <x:col min="17" max="17" width="34" hidden="0" customWidth="1"/>
    <x:col min="18" max="18" width="55" hidden="0" customWidth="1"/>
    <x:col min="19" max="19" width="42" hidden="0" customWidth="1"/>
    <x:col min="20" max="20" width="48" hidden="0" customWidth="1"/>
  </x:cols>
  <x:sheetData>
    <x:row r="1" ht="34" customHeight="1">
      <x:c r="A1" s="3" t="str">
        <x:v>SR 系统级设计（来源需求逐条落位）</x:v>
      </x:c>
      <x:c r="B1" s="3"/>
      <x:c r="C1" s="3"/>
      <x:c r="D1" s="3"/>
      <x:c r="E1" s="3"/>
      <x:c r="F1" s="3"/>
      <x:c r="G1" s="3"/>
      <x:c r="H1" s="3"/>
      <x:c r="I1" s="3"/>
      <x:c r="J1" s="3"/>
      <x:c r="K1" s="3"/>
      <x:c r="L1" s="3"/>
      <x:c r="M1" s="3"/>
      <x:c r="N1" s="3"/>
      <x:c r="O1" s="3"/>
      <x:c r="P1" s="3"/>
      <x:c r="Q1" s="3"/>
      <x:c r="R1" s="3"/>
      <x:c r="S1" s="3"/>
      <x:c r="T1" s="3"/>
    </x:row>
    <x:row r="2" ht="30" customHeight="1">
      <x:c r="A2" s="7" t="str">
        <x:v>每条来源需求形成一个可验证 SR，说明为了达成 IR KPI 所需的内部重构、算法、状态机、接口与降级路径。</x:v>
      </x:c>
      <x:c r="B2" s="7"/>
      <x:c r="C2" s="7"/>
      <x:c r="D2" s="7"/>
      <x:c r="E2" s="7"/>
      <x:c r="F2" s="7"/>
      <x:c r="G2" s="7"/>
      <x:c r="H2" s="7"/>
      <x:c r="I2" s="7"/>
      <x:c r="J2" s="7"/>
      <x:c r="K2" s="7"/>
      <x:c r="L2" s="7"/>
      <x:c r="M2" s="7"/>
      <x:c r="N2" s="7"/>
      <x:c r="O2" s="7"/>
      <x:c r="P2" s="7"/>
      <x:c r="Q2" s="7"/>
      <x:c r="R2" s="7"/>
      <x:c r="S2" s="7"/>
      <x:c r="T2" s="7"/>
    </x:row>
    <x:row r="4" ht="42" customHeight="1">
      <x:c r="A4" s="13" t="str">
        <x:v>SR ID</x:v>
      </x:c>
      <x:c r="B4" s="13" t="str">
        <x:v>父 IR</x:v>
      </x:c>
      <x:c r="C4" s="13" t="str">
        <x:v>SF ID</x:v>
      </x:c>
      <x:c r="D4" s="13" t="str">
        <x:v>来源需求 ID</x:v>
      </x:c>
      <x:c r="E4" s="13" t="str">
        <x:v>来源类型</x:v>
      </x:c>
      <x:c r="F4" s="13" t="str">
        <x:v>分配层级</x:v>
      </x:c>
      <x:c r="G4" s="13" t="str">
        <x:v>技术模块</x:v>
      </x:c>
      <x:c r="H4" s="13" t="str">
        <x:v>核心模块</x:v>
      </x:c>
      <x:c r="I4" s="13" t="str">
        <x:v>优先级</x:v>
      </x:c>
      <x:c r="J4" s="13" t="str">
        <x:v>阶段</x:v>
      </x:c>
      <x:c r="K4" s="13" t="str">
        <x:v>SR 名称</x:v>
      </x:c>
      <x:c r="L4" s="13" t="str">
        <x:v>系统级需求/重构目标</x:v>
      </x:c>
      <x:c r="M4" s="13" t="str">
        <x:v>研发实施技术路径</x:v>
      </x:c>
      <x:c r="N4" s="13" t="str">
        <x:v>关键输入</x:v>
      </x:c>
      <x:c r="O4" s="13" t="str">
        <x:v>关键输出</x:v>
      </x:c>
      <x:c r="P4" s="13" t="str">
        <x:v>失败/降级语义</x:v>
      </x:c>
      <x:c r="Q4" s="13" t="str">
        <x:v>直接 KPI</x:v>
      </x:c>
      <x:c r="R4" s="13" t="str">
        <x:v>验收方法与指标</x:v>
      </x:c>
      <x:c r="S4" s="13" t="str">
        <x:v>上下游依赖</x:v>
      </x:c>
      <x:c r="T4" s="13" t="str">
        <x:v>详细设计风险</x:v>
      </x:c>
    </x:row>
    <x:row r="5" ht="78" customHeight="1">
      <x:c r="A5" s="24" t="str">
        <x:v>SR-01-01-01</x:v>
      </x:c>
      <x:c r="B5" s="24" t="str">
        <x:v>IR-01-01</x:v>
      </x:c>
      <x:c r="C5" s="24" t="str">
        <x:v>SF-01</x:v>
      </x:c>
      <x:c r="D5" s="24" t="str">
        <x:v>L3-MC-ExtentManifest-076</x:v>
      </x:c>
      <x:c r="E5" s="21" t="str">
        <x:v>V2.1基线</x:v>
      </x:c>
      <x:c r="F5" s="21" t="str">
        <x:v>L3 传输管理层</x:v>
      </x:c>
      <x:c r="G5" s="21" t="str">
        <x:v>TM3</x:v>
      </x:c>
      <x:c r="H5" s="21" t="str">
        <x:v>统一存储池与分层管理</x:v>
      </x:c>
      <x:c r="I5" s="21" t="str">
        <x:v>P0</x:v>
      </x:c>
      <x:c r="J5" s="21" t="str">
        <x:v>P0</x:v>
      </x:c>
      <x:c r="K5" s="21" t="str">
        <x:v>非连续 KV 块存储与批量传输｜L3-MC-ExtentManifest-076</x:v>
      </x:c>
      <x:c r="L5" s="21" t="str">
        <x:v>为了达到 IR-01-01 的“碎片率&lt;5%；HBM有效容量提升≥30%；OOM/preemption降低≥50%；池分配P99≤XXX μs（P0实测冻结）。”，系统内部必须完成：本需求要求为每个 KV object 维护 extent manifest，将逻辑 KV page/block 映射到物理 HBM/DDR/SSD/RDMA/UB extent；manifest 必须支持非连续物理块、连续逻辑区间、cross-layer block、page-first layout 和分层副本记录。</x:v>
      </x:c>
      <x:c r="M5" s="21"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 详细设计必须给出接口、数据结构、并发前置条件、主路径开关、fallback 与 metrics。</x:v>
      </x:c>
      <x:c r="N5" s="21" t="str">
        <x:v>KVAccessIntent + KVBlockSpec + tier telemetry</x:v>
      </x:c>
      <x:c r="O5" s="21" t="str">
        <x:v>KVObjectHandle + Placement + state transition</x:v>
      </x:c>
      <x:c r="P5" s="21" t="str">
        <x:v>OOM/碎片/路径不可用时拒绝、降级下沉或重算；活动对象禁止迁移</x:v>
      </x:c>
      <x:c r="Q5" s="21" t="str">
        <x:v>全局内存利用率提升至≥85%，跨级冷热数据迁移过程中的TPOT抖动 &lt; 5%。</x:v>
      </x:c>
      <x:c r="R5" s="21" t="str">
        <x:v>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 s="21" t="str">
        <x:v>依赖L2语义契约与L4 capability/driver</x:v>
      </x:c>
      <x:c r="T5" s="21" t="str">
        <x:v>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x:v>
      </x:c>
    </x:row>
    <x:row r="6" ht="78" customHeight="1">
      <x:c r="A6" s="25" t="str">
        <x:v>SR-01-01-02</x:v>
      </x:c>
      <x:c r="B6" s="25" t="str">
        <x:v>IR-01-01</x:v>
      </x:c>
      <x:c r="C6" s="25" t="str">
        <x:v>SF-01</x:v>
      </x:c>
      <x:c r="D6" s="25" t="str">
        <x:v>L3-MC-KVBlockStorageSchema-075</x:v>
      </x:c>
      <x:c r="E6" s="22" t="str">
        <x:v>V2.1基线</x:v>
      </x:c>
      <x:c r="F6" s="22" t="str">
        <x:v>L3 传输管理层</x:v>
      </x:c>
      <x:c r="G6" s="22" t="str">
        <x:v>TM3</x:v>
      </x:c>
      <x:c r="H6" s="22" t="str">
        <x:v>统一存储池与分层管理</x:v>
      </x:c>
      <x:c r="I6" s="22" t="str">
        <x:v>P0</x:v>
      </x:c>
      <x:c r="J6" s="22" t="str">
        <x:v>P0</x:v>
      </x:c>
      <x:c r="K6" s="22" t="str">
        <x:v>KV 块跨介质统一存储结构｜L3-MC-KVBlockStorageSchema-075</x:v>
      </x:c>
      <x:c r="L6" s="22" t="str">
        <x:v>为了达到 IR-01-01 的“碎片率&lt;5%；HBM有效容量提升≥30%；OOM/preemption降低≥50%；池分配P99≤XXX μs（P0实测冻结）。”，系统内部必须完成：本需求要求统一 KV 内存池定义 KV block/page 存储 schema，至少包含 model layout、layer range、head range、token range、rank slice、dtype、scale metadata、physical extent list、alignment、checksum 和 compression flag，使 HBM/DDR/SSD/远端节点中的 KV 具备统一可解释结构。</x:v>
      </x:c>
      <x:c r="M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 详细设计必须给出接口、数据结构、并发前置条件、主路径开关、fallback 与 metrics。</x:v>
      </x:c>
      <x:c r="N6" s="22" t="str">
        <x:v>KVAccessIntent + KVBlockSpec + tier telemetry</x:v>
      </x:c>
      <x:c r="O6" s="22" t="str">
        <x:v>KVObjectHandle + Placement + state transition</x:v>
      </x:c>
      <x:c r="P6" s="22" t="str">
        <x:v>OOM/碎片/路径不可用时拒绝、降级下沉或重算；活动对象禁止迁移</x:v>
      </x:c>
      <x:c r="Q6" s="22" t="str">
        <x:v>节点动态加入/退出时的缓存失效控制在局部范围内（遵循一致性哈希比例）。</x:v>
      </x:c>
      <x:c r="R6" s="22" t="str">
        <x:v>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 s="22" t="str">
        <x:v>依赖L2语义契约与L4 capability/driver</x:v>
      </x:c>
      <x:c r="T6" s="22" t="str">
        <x:v>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x:v>
      </x:c>
    </x:row>
    <x:row r="7" ht="78" customHeight="1">
      <x:c r="A7" s="25" t="str">
        <x:v>SR-01-01-03</x:v>
      </x:c>
      <x:c r="B7" s="25" t="str">
        <x:v>IR-01-01</x:v>
      </x:c>
      <x:c r="C7" s="25" t="str">
        <x:v>SF-01</x:v>
      </x:c>
      <x:c r="D7" s="25" t="str">
        <x:v>L3-MC-POOL-GLOBAL-001</x:v>
      </x:c>
      <x:c r="E7" s="22" t="str">
        <x:v>V2.1基线</x:v>
      </x:c>
      <x:c r="F7" s="22" t="str">
        <x:v>L3 传输管理层</x:v>
      </x:c>
      <x:c r="G7" s="22" t="str">
        <x:v>TM3</x:v>
      </x:c>
      <x:c r="H7" s="22" t="str">
        <x:v>统一存储池与分层管理</x:v>
      </x:c>
      <x:c r="I7" s="22" t="str">
        <x:v>P0</x:v>
      </x:c>
      <x:c r="J7" s="22" t="str">
        <x:v>P0</x:v>
      </x:c>
      <x:c r="K7" s="22" t="str">
        <x:v>集群KVCache统一管理｜L3-MC-POOL-GLOBAL-001</x:v>
      </x:c>
      <x:c r="L7" s="22" t="str">
        <x:v>为了达到 IR-01-01 的“碎片率&lt;5%；HBM有效容量提升≥30%；OOM/preemption降低≥50%；池分配P99≤XXX μs（P0实测冻结）。”，系统内部必须完成：本需求要求实现Mooncake集群级统一KVCache内存池，维护全集群内存注册表，支持节点动态加入/退出，提供基于RDMA的跨节点KVCache直接读取路由，以及两级索引（本地 + 全局），将集群KVCache内存利用率提升至≥90%。</x:v>
      </x:c>
      <x:c r="M7"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 详细设计必须给出接口、数据结构、并发前置条件、主路径开关、fallback 与 metrics。</x:v>
      </x:c>
      <x:c r="N7" s="22" t="str">
        <x:v>KVAccessIntent + KVBlockSpec + tier telemetry</x:v>
      </x:c>
      <x:c r="O7" s="22" t="str">
        <x:v>KVObjectHandle + Placement + state transition</x:v>
      </x:c>
      <x:c r="P7" s="22" t="str">
        <x:v>OOM/碎片/路径不可用时拒绝、降级下沉或重算；活动对象禁止迁移</x:v>
      </x:c>
      <x:c r="Q7" s="22" t="str">
        <x:v>同机架内本地及远端DDR命中率（Local Usable Hit Rate）提升≥30%。</x:v>
      </x:c>
      <x:c r="R7" s="22" t="str">
        <x:v>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 s="22" t="str">
        <x:v>依赖L2语义契约与L4 capability/driver</x:v>
      </x:c>
      <x:c r="T7" s="22" t="str">
        <x:v>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x:v>
      </x:c>
    </x:row>
    <x:row r="8" ht="78" customHeight="1">
      <x:c r="A8" s="25" t="str">
        <x:v>SR-01-01-04</x:v>
      </x:c>
      <x:c r="B8" s="25" t="str">
        <x:v>IR-01-01</x:v>
      </x:c>
      <x:c r="C8" s="25" t="str">
        <x:v>SF-01</x:v>
      </x:c>
      <x:c r="D8" s="25" t="str">
        <x:v>L3-MS-KVObjectStateMachine-058</x:v>
      </x:c>
      <x:c r="E8" s="22" t="str">
        <x:v>V2.1基线</x:v>
      </x:c>
      <x:c r="F8" s="22" t="str">
        <x:v>L3 传输管理层</x:v>
      </x:c>
      <x:c r="G8" s="22" t="str">
        <x:v>TM3</x:v>
      </x:c>
      <x:c r="H8" s="22" t="str">
        <x:v>统一存储池与分层管理</x:v>
      </x:c>
      <x:c r="I8" s="22" t="str">
        <x:v>P0</x:v>
      </x:c>
      <x:c r="J8" s="22" t="str">
        <x:v>P0</x:v>
      </x:c>
      <x:c r="K8" s="22" t="str">
        <x:v>KV 全生命周期状态一致性管理｜L3-MS-KVObjectStateMachine-058</x:v>
      </x:c>
      <x:c r="L8" s="22" t="str">
        <x:v>为了达到 IR-01-01 的“碎片率&lt;5%；HBM有效容量提升≥30%；OOM/preemption降低≥50%；池分配P99≤XXX μs（P0实测冻结）。”，系统内部必须完成：本需求要求统一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x:v>
      </x:c>
      <x:c r="M8"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 详细设计必须给出接口、数据结构、并发前置条件、主路径开关、fallback 与 metrics。</x:v>
      </x:c>
      <x:c r="N8" s="22" t="str">
        <x:v>KVAccessIntent + KVBlockSpec + tier telemetry</x:v>
      </x:c>
      <x:c r="O8" s="22" t="str">
        <x:v>KVObjectHandle + Placement + state transition</x:v>
      </x:c>
      <x:c r="P8" s="22" t="str">
        <x:v>OOM/碎片/路径不可用时拒绝、降级下沉或重算；活动对象禁止迁移</x:v>
      </x:c>
      <x:c r="Q8" s="22" t="str">
        <x:v>KV 对象状态机能准确防范半写入或悬空内存泄漏，状态机流转清晰，覆盖所有关键物理介质迁移状态。</x:v>
      </x:c>
      <x:c r="R8" s="22" t="str">
        <x:v>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 s="22" t="str">
        <x:v>依赖L2语义契约与L4 capability/driver</x:v>
      </x:c>
      <x:c r="T8" s="22" t="str">
        <x:v>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x:v>
      </x:c>
    </x:row>
    <x:row r="9" ht="78" customHeight="1">
      <x:c r="A9" s="25" t="str">
        <x:v>SR-01-01-05</x:v>
      </x:c>
      <x:c r="B9" s="25" t="str">
        <x:v>IR-01-01</x:v>
      </x:c>
      <x:c r="C9" s="25" t="str">
        <x:v>SF-01</x:v>
      </x:c>
      <x:c r="D9" s="25" t="str">
        <x:v>L3-MS-MigrationInterlock-062</x:v>
      </x:c>
      <x:c r="E9" s="22" t="str">
        <x:v>V2.1基线</x:v>
      </x:c>
      <x:c r="F9" s="22" t="str">
        <x:v>L3 传输管理层</x:v>
      </x:c>
      <x:c r="G9" s="22" t="str">
        <x:v>TM3</x:v>
      </x:c>
      <x:c r="H9" s="22" t="str">
        <x:v>统一存储池与分层管理</x:v>
      </x:c>
      <x:c r="I9" s="22" t="str">
        <x:v>P0</x:v>
      </x:c>
      <x:c r="J9" s="22" t="str">
        <x:v>P0</x:v>
      </x:c>
      <x:c r="K9" s="22" t="str">
        <x:v>KV 升降级/碎片整理期间的安全消费｜L3-MS-MigrationInterlock-062</x:v>
      </x:c>
      <x:c r="L9" s="22" t="str">
        <x:v>为了达到 IR-01-01 的“碎片率&lt;5%；HBM有效容量提升≥30%；OOM/preemption降低≥50%；池分配P99≤XXX μs（P0实测冻结）。”，系统内部必须完成：本需求要求在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M9"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 详细设计必须给出接口、数据结构、并发前置条件、主路径开关、fallback 与 metrics。</x:v>
      </x:c>
      <x:c r="N9" s="22" t="str">
        <x:v>KVAccessIntent + KVBlockSpec + tier telemetry</x:v>
      </x:c>
      <x:c r="O9" s="22" t="str">
        <x:v>KVObjectHandle + Placement + state transition</x:v>
      </x:c>
      <x:c r="P9" s="22" t="str">
        <x:v>OOM/碎片/路径不可用时拒绝、降级下沉或重算；活动对象禁止迁移</x:v>
      </x:c>
      <x:c r="Q9" s="22" t="str">
        <x:v>节点动态加入/退出时的缓存失效控制在局部范围内（遵循一致性哈希比例）。</x:v>
      </x:c>
      <x:c r="R9" s="22" t="str">
        <x:v>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 s="22" t="str">
        <x:v>依赖L2语义契约与L4 capability/driver</x:v>
      </x:c>
      <x:c r="T9" s="22" t="str">
        <x:v>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x:v>
      </x:c>
    </x:row>
    <x:row r="10" ht="78" customHeight="1">
      <x:c r="A10" s="25" t="str">
        <x:v>SR-01-01-06</x:v>
      </x:c>
      <x:c r="B10" s="25" t="str">
        <x:v>IR-01-01</x:v>
      </x:c>
      <x:c r="C10" s="25" t="str">
        <x:v>SF-01</x:v>
      </x:c>
      <x:c r="D10" s="25" t="str">
        <x:v>L3-MS-StateAwareEviction-082</x:v>
      </x:c>
      <x:c r="E10" s="22" t="str">
        <x:v>V2.1基线</x:v>
      </x:c>
      <x:c r="F10" s="22" t="str">
        <x:v>L3 传输管理层</x:v>
      </x:c>
      <x:c r="G10" s="22" t="str">
        <x:v>TM3</x:v>
      </x:c>
      <x:c r="H10" s="22" t="str">
        <x:v>统一存储池与分层管理</x:v>
      </x:c>
      <x:c r="I10" s="22" t="str">
        <x:v>P0</x:v>
      </x:c>
      <x:c r="J10" s="22" t="str">
        <x:v>P0</x:v>
      </x:c>
      <x:c r="K10" s="22" t="str">
        <x:v>防止活跃 KV 被误淘汰｜L3-MS-StateAwareEviction-082</x:v>
      </x:c>
      <x:c r="L10" s="22" t="str">
        <x:v>为了达到 IR-01-01 的“碎片率&lt;5%；HBM有效容量提升≥30%；OOM/preemption降低≥50%；池分配P99≤XXX μs（P0实测冻结）。”，系统内部必须完成：本需求要求淘汰/降级决策必须检查 active lease、refcount、ready bitmap、replica count 和 tombstone 状态；ACTIVE_ATTACHED 或唯一可用 READY 副本不得被直接释放，必须先完成副本创建、lease 结束或降级保护。</x:v>
      </x:c>
      <x:c r="M10"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 详细设计必须给出接口、数据结构、并发前置条件、主路径开关、fallback 与 metrics。</x:v>
      </x:c>
      <x:c r="N10" s="22" t="str">
        <x:v>KVAccessIntent + KVBlockSpec + tier telemetry</x:v>
      </x:c>
      <x:c r="O10" s="22" t="str">
        <x:v>KVObjectHandle + Placement + state transition</x:v>
      </x:c>
      <x:c r="P10" s="22" t="str">
        <x:v>OOM/碎片/路径不可用时拒绝、降级下沉或重算；活动对象禁止迁移</x:v>
      </x:c>
      <x:c r="Q10" s="22" t="str">
        <x:v>节点动态加入/退出时的缓存失效控制在局部范围内（遵循一致性哈希比例）。</x:v>
      </x:c>
      <x:c r="R10" s="22" t="str">
        <x:v>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 s="22" t="str">
        <x:v>依赖L2语义契约与L4 capability/driver</x:v>
      </x:c>
      <x:c r="T10" s="22" t="str">
        <x:v>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x:v>
      </x:c>
    </x:row>
    <x:row r="11" ht="78" customHeight="1">
      <x:c r="A11" s="25" t="str">
        <x:v>SR-01-01-07</x:v>
      </x:c>
      <x:c r="B11" s="25" t="str">
        <x:v>IR-01-01</x:v>
      </x:c>
      <x:c r="C11" s="25" t="str">
        <x:v>SF-01</x:v>
      </x:c>
      <x:c r="D11" s="25" t="str">
        <x:v>L3-MS-Tiering-038</x:v>
      </x:c>
      <x:c r="E11" s="22" t="str">
        <x:v>V2.1基线</x:v>
      </x:c>
      <x:c r="F11" s="22" t="str">
        <x:v>L3 传输管理层</x:v>
      </x:c>
      <x:c r="G11" s="22" t="str">
        <x:v>TM3</x:v>
      </x:c>
      <x:c r="H11" s="22" t="str">
        <x:v>统一存储池与分层管理</x:v>
      </x:c>
      <x:c r="I11" s="22" t="str">
        <x:v>P0</x:v>
      </x:c>
      <x:c r="J11" s="22" t="str">
        <x:v>P0</x:v>
      </x:c>
      <x:c r="K11" s="22" t="str">
        <x:v>KV 热存储容量扩展｜L3-MS-Tiering-038</x:v>
      </x:c>
      <x:c r="L11" s="22" t="str">
        <x:v>为了达到 IR-01-01 的“碎片率&lt;5%；HBM有效容量提升≥30%；OOM/preemption降低≥50%；池分配P99≤XXX μs（P0实测冻结）。”，系统内部必须完成：本需求要求实现多级 KV tiering manager：根据 active/warm/cold 状态、reuse probability、load cost、memory rent 和 SLO，将 KV 在 HBM、本地 DDR、远端 DDR、本地 SSD、远端 SSD/object 之间 提级或降级。</x:v>
      </x:c>
      <x:c r="M11"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 详细设计必须给出接口、数据结构、并发前置条件、主路径开关、fallback 与 metrics。</x:v>
      </x:c>
      <x:c r="N11" s="22" t="str">
        <x:v>KVAccessIntent + KVBlockSpec + tier telemetry</x:v>
      </x:c>
      <x:c r="O11" s="22" t="str">
        <x:v>KVObjectHandle + Placement + state transition</x:v>
      </x:c>
      <x:c r="P11" s="22" t="str">
        <x:v>OOM/碎片/路径不可用时拒绝、降级下沉或重算；活动对象禁止迁移</x:v>
      </x:c>
      <x:c r="Q11" s="22" t="str">
        <x:v>HBM effective capacity 提升 ≥30%；GPU OOM/preemption 降低 ≥50%；</x:v>
      </x:c>
      <x:c r="R11" s="22" t="str">
        <x:v>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 s="22" t="str">
        <x:v>依赖L2语义契约与L4 capability/driver</x:v>
      </x:c>
      <x:c r="T11" s="22" t="str">
        <x:v>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x:v>
      </x:c>
    </x:row>
    <x:row r="12" ht="78" customHeight="1">
      <x:c r="A12" s="25" t="str">
        <x:v>SR-01-01-08</x:v>
      </x:c>
      <x:c r="B12" s="25" t="str">
        <x:v>IR-01-01</x:v>
      </x:c>
      <x:c r="C12" s="25" t="str">
        <x:v>SF-01</x:v>
      </x:c>
      <x:c r="D12" s="25" t="str">
        <x:v>L3-MC-CompactionEngine-056</x:v>
      </x:c>
      <x:c r="E12" s="22" t="str">
        <x:v>V2.1基线</x:v>
      </x:c>
      <x:c r="F12" s="22" t="str">
        <x:v>L3 传输管理层</x:v>
      </x:c>
      <x:c r="G12" s="22" t="str">
        <x:v>TM3</x:v>
      </x:c>
      <x:c r="H12" s="22" t="str">
        <x:v>统一存储池与分层管理</x:v>
      </x:c>
      <x:c r="I12" s="22" t="str">
        <x:v>P1</x:v>
      </x:c>
      <x:c r="J12" s="22" t="str">
        <x:v>P1</x:v>
      </x:c>
      <x:c r="K12" s="22" t="str">
        <x:v>长周期运行内存紧凑整理｜L3-MC-CompactionEngine-056</x:v>
      </x:c>
      <x:c r="L12" s="22" t="str">
        <x:v>为了达到 IR-01-01 的“碎片率&lt;5%；HBM有效容量提升≥30%；OOM/preemption降低≥50%；池分配P99≤XXX μs（P0实测冻结）。”，系统内部必须完成：本需求要求实现集群/节点双级 KVCache 内存紧凑引擎（Compaction Engine）。当 HBM/DDR 外部碎片率超过 30% 时自动触发，采用内存屏障（Memory Barrier）技术异步聚合非连续空闲 Block，将碎片率平抑至 10% 以内。</x:v>
      </x:c>
      <x:c r="M12"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 详细设计必须给出接口、数据结构、并发前置条件、主路径开关、fallback 与 metrics。</x:v>
      </x:c>
      <x:c r="N12" s="22" t="str">
        <x:v>KVAccessIntent + KVBlockSpec + tier telemetry</x:v>
      </x:c>
      <x:c r="O12" s="22" t="str">
        <x:v>KVObjectHandle + Placement + state transition</x:v>
      </x:c>
      <x:c r="P12" s="22" t="str">
        <x:v>OOM/碎片/路径不可用时拒绝、降级下沉或重算；活动对象禁止迁移</x:v>
      </x:c>
      <x:c r="Q12" s="22" t="str">
        <x:v>节点动态加入/退出时的缓存失效控制在局部范围内（遵循一致性哈希比例）。</x:v>
      </x:c>
      <x:c r="R12" s="22" t="str">
        <x:v>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 s="22" t="str">
        <x:v>依赖L2语义契约与L4 capability/driver</x:v>
      </x:c>
      <x:c r="T12" s="22" t="str">
        <x:v>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x:v>
      </x:c>
    </x:row>
    <x:row r="13" ht="78" customHeight="1">
      <x:c r="A13" s="25" t="str">
        <x:v>SR-01-01-09</x:v>
      </x:c>
      <x:c r="B13" s="25" t="str">
        <x:v>IR-01-01</x:v>
      </x:c>
      <x:c r="C13" s="25" t="str">
        <x:v>SF-01</x:v>
      </x:c>
      <x:c r="D13" s="25" t="str">
        <x:v>L3-MC-HIER-STORE-002</x:v>
      </x:c>
      <x:c r="E13" s="22" t="str">
        <x:v>V2.1基线</x:v>
      </x:c>
      <x:c r="F13" s="22" t="str">
        <x:v>L3 传输管理层</x:v>
      </x:c>
      <x:c r="G13" s="22" t="str">
        <x:v>TM3</x:v>
      </x:c>
      <x:c r="H13" s="22" t="str">
        <x:v>统一存储池与分层管理</x:v>
      </x:c>
      <x:c r="I13" s="22" t="str">
        <x:v>P1</x:v>
      </x:c>
      <x:c r="J13" s="22" t="str">
        <x:v>P1</x:v>
      </x:c>
      <x:c r="K13" s="22" t="str">
        <x:v>KVCache三层冷热分级｜L3-MC-HIER-STORE-002</x:v>
      </x:c>
      <x:c r="L13" s="22" t="str">
        <x:v>为了达到 IR-01-01 的“碎片率&lt;5%；HBM有效容量提升≥30%；OOM/preemption降低≥50%；池分配P99≤XXX μs（P0实测冻结）。”，系统内部必须完成：本需求要求实现KVCache三层分级调度器，按访问时间将KVCache分配到DDR（热，&lt;1min）/本地SSD（温，1-60min）/远端SSD（冷，&gt;1hr）三层存储，支持后台异步下沉（目标≥2GB/s）和异步预热，以及NPUDirect Storage（File）实现SSD到NPU HBM的零CPU拷贝直读路径。</x:v>
      </x:c>
      <x:c r="M13"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 详细设计必须给出接口、数据结构、并发前置条件、主路径开关、fallback 与 metrics。</x:v>
      </x:c>
      <x:c r="N13" s="22" t="str">
        <x:v>KVAccessIntent + KVBlockSpec + tier telemetry</x:v>
      </x:c>
      <x:c r="O13" s="22" t="str">
        <x:v>KVObjectHandle + Placement + state transition</x:v>
      </x:c>
      <x:c r="P13" s="22" t="str">
        <x:v>OOM/碎片/路径不可用时拒绝、降级下沉或重算；活动对象禁止迁移</x:v>
      </x:c>
      <x:c r="Q13" s="22" t="str">
        <x:v>节点动态加入/退出时的缓存失效控制在局部范围内（遵循一致性哈希比例）。</x:v>
      </x:c>
      <x:c r="R13" s="22" t="str">
        <x:v>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 s="22" t="str">
        <x:v>依赖L2语义契约与L4 capability/driver</x:v>
      </x:c>
      <x:c r="T13" s="22" t="str">
        <x:v>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x:v>
      </x:c>
    </x:row>
    <x:row r="14" ht="78" customHeight="1">
      <x:c r="A14" s="25" t="str">
        <x:v>SR-01-01-10</x:v>
      </x:c>
      <x:c r="B14" s="25" t="str">
        <x:v>IR-01-01</x:v>
      </x:c>
      <x:c r="C14" s="25" t="str">
        <x:v>SF-01</x:v>
      </x:c>
      <x:c r="D14" s="25" t="str">
        <x:v>L3-MC-IntelligentMigration-057</x:v>
      </x:c>
      <x:c r="E14" s="22" t="str">
        <x:v>V2.1基线</x:v>
      </x:c>
      <x:c r="F14" s="22" t="str">
        <x:v>L3 传输管理层</x:v>
      </x:c>
      <x:c r="G14" s="22" t="str">
        <x:v>TM3</x:v>
      </x:c>
      <x:c r="H14" s="22" t="str">
        <x:v>统一存储池与分层管理</x:v>
      </x:c>
      <x:c r="I14" s="22" t="str">
        <x:v>P1</x:v>
      </x:c>
      <x:c r="J14" s="22" t="str">
        <x:v>P1</x:v>
      </x:c>
      <x:c r="K14" s="22" t="str">
        <x:v>跨异构介质智能主动搬移｜L3-MC-IntelligentMigration-057</x:v>
      </x:c>
      <x:c r="L14" s="22" t="str">
        <x:v>为了达到 IR-01-01 的“碎片率&lt;5%；HBM有效容量提升≥30%；OOM/preemption降低≥50%；池分配P99≤XXX μs（P0实测冻结）。”，系统内部必须完成：本需求要求设计三级水位（Low-70%,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x:v>
      </x:c>
      <x:c r="M14"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 详细设计必须给出接口、数据结构、并发前置条件、主路径开关、fallback 与 metrics。</x:v>
      </x:c>
      <x:c r="N14" s="22" t="str">
        <x:v>KVAccessIntent + KVBlockSpec + tier telemetry</x:v>
      </x:c>
      <x:c r="O14" s="22" t="str">
        <x:v>KVObjectHandle + Placement + state transition</x:v>
      </x:c>
      <x:c r="P14" s="22" t="str">
        <x:v>OOM/碎片/路径不可用时拒绝、降级下沉或重算；活动对象禁止迁移</x:v>
      </x:c>
      <x:c r="Q14" s="22" t="str">
        <x:v>节点动态加入/退出时的缓存失效控制在局部范围内（遵循一致性哈希比例）。</x:v>
      </x:c>
      <x:c r="R14" s="22" t="str">
        <x:v>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 s="22" t="str">
        <x:v>依赖L2语义契约与L4 capability/driver</x:v>
      </x:c>
      <x:c r="T14" s="22" t="str">
        <x:v>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x:v>
      </x:c>
    </x:row>
    <x:row r="15" ht="78" customHeight="1">
      <x:c r="A15" s="25" t="str">
        <x:v>SR-01-01-11</x:v>
      </x:c>
      <x:c r="B15" s="25" t="str">
        <x:v>IR-01-01</x:v>
      </x:c>
      <x:c r="C15" s="25" t="str">
        <x:v>SF-01</x:v>
      </x:c>
      <x:c r="D15" s="25" t="str">
        <x:v>L3-MC-LayoutTransformPlan-078</x:v>
      </x:c>
      <x:c r="E15" s="22" t="str">
        <x:v>V2.1基线</x:v>
      </x:c>
      <x:c r="F15" s="22" t="str">
        <x:v>L3 传输管理层</x:v>
      </x:c>
      <x:c r="G15" s="22" t="str">
        <x:v>TM3</x:v>
      </x:c>
      <x:c r="H15" s="22" t="str">
        <x:v>统一存储池与分层管理</x:v>
      </x:c>
      <x:c r="I15" s="22" t="str">
        <x:v>P1</x:v>
      </x:c>
      <x:c r="J15" s="22" t="str">
        <x:v>P1</x:v>
      </x:c>
      <x:c r="K15" s="22" t="str">
        <x:v>HND/NHD/page-first/cross-layer 布局兼容｜L3-MC-LayoutTransformPlan-078</x:v>
      </x:c>
      <x:c r="L15" s="22" t="str">
        <x:v>为了达到 IR-01-01 的“碎片率&lt;5%；HBM有效容量提升≥30%；OOM/preemption降低≥50%；池分配P99≤XXX μs（P0实测冻结）。”，系统内部必须完成：本需求要求当源 KV layout 与目标 attention runtime layout 不一致时，统一 KV 内存池必须生成 layout transform plan，明确是否需要 permute、copy-to-HBM、cross-layer regroup、dtype/scale 转换或直接拒绝复用。</x:v>
      </x:c>
      <x:c r="M15"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 详细设计必须给出接口、数据结构、并发前置条件、主路径开关、fallback 与 metrics。</x:v>
      </x:c>
      <x:c r="N15" s="22" t="str">
        <x:v>KVAccessIntent + KVBlockSpec + tier telemetry</x:v>
      </x:c>
      <x:c r="O15" s="22" t="str">
        <x:v>KVObjectHandle + Placement + state transition</x:v>
      </x:c>
      <x:c r="P15" s="22" t="str">
        <x:v>OOM/碎片/路径不可用时拒绝、降级下沉或重算；活动对象禁止迁移</x:v>
      </x:c>
      <x:c r="Q15" s="22" t="str">
        <x:v>节点动态加入/退出时的缓存失效控制在局部范围内（遵循一致性哈希比例）。</x:v>
      </x:c>
      <x:c r="R15" s="22" t="str">
        <x:v>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5" s="22" t="str">
        <x:v>依赖L2语义契约与L4 capability/driver</x:v>
      </x:c>
      <x:c r="T15" s="22" t="str">
        <x:v>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x:v>
      </x:c>
    </x:row>
    <x:row r="16" ht="78" customHeight="1">
      <x:c r="A16" s="25" t="str">
        <x:v>SR-01-01-12</x:v>
      </x:c>
      <x:c r="B16" s="25" t="str">
        <x:v>IR-01-01</x:v>
      </x:c>
      <x:c r="C16" s="25" t="str">
        <x:v>SF-01</x:v>
      </x:c>
      <x:c r="D16" s="25" t="str">
        <x:v>L3-MC-PageExtentAllocator-077</x:v>
      </x:c>
      <x:c r="E16" s="22" t="str">
        <x:v>V2.1基线</x:v>
      </x:c>
      <x:c r="F16" s="22" t="str">
        <x:v>L3 传输管理层</x:v>
      </x:c>
      <x:c r="G16" s="22" t="str">
        <x:v>TM3</x:v>
      </x:c>
      <x:c r="H16" s="22" t="str">
        <x:v>统一存储池与分层管理</x:v>
      </x:c>
      <x:c r="I16" s="22" t="str">
        <x:v>P1</x:v>
      </x:c>
      <x:c r="J16" s="22" t="str">
        <x:v>P1</x:v>
      </x:c>
      <x:c r="K16" s="22" t="str">
        <x:v>长周期运行下 KV 存储碎片控制｜L3-MC-PageExtentAllocator-077</x:v>
      </x:c>
      <x:c r="L16" s="22" t="str">
        <x:v>为了达到 IR-01-01 的“碎片率&lt;5%；HBM有效容量提升≥30%；OOM/preemption降低≥50%；池分配P99≤XXX μs（P0实测冻结）。”，系统内部必须完成：本需求要求统一 KV 内存池实现 page/extent allocator，支持按 layer、page、rank、tier 分配物理空间，并支持 split、merge、coalesce、relocate 和 defrag hint，避免长期运行后小块碎片破坏 bulk descriptor 合并效率。</x:v>
      </x:c>
      <x:c r="M16"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 详细设计必须给出接口、数据结构、并发前置条件、主路径开关、fallback 与 metrics。</x:v>
      </x:c>
      <x:c r="N16" s="22" t="str">
        <x:v>KVAccessIntent + KVBlockSpec + tier telemetry</x:v>
      </x:c>
      <x:c r="O16" s="22" t="str">
        <x:v>KVObjectHandle + Placement + state transition</x:v>
      </x:c>
      <x:c r="P16" s="22" t="str">
        <x:v>OOM/碎片/路径不可用时拒绝、降级下沉或重算；活动对象禁止迁移</x:v>
      </x:c>
      <x:c r="Q16" s="22" t="str">
        <x:v>节点动态加入/退出时的缓存失效控制在局部范围内（遵循一致性哈希比例）。</x:v>
      </x:c>
      <x:c r="R16" s="22" t="str">
        <x:v>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6" s="22" t="str">
        <x:v>依赖L2语义契约与L4 capability/driver</x:v>
      </x:c>
      <x:c r="T16" s="22" t="str">
        <x:v>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x:v>
      </x:c>
    </x:row>
    <x:row r="17" ht="78" customHeight="1">
      <x:c r="A17" s="25" t="str">
        <x:v>SR-01-01-13</x:v>
      </x:c>
      <x:c r="B17" s="25" t="str">
        <x:v>IR-01-01</x:v>
      </x:c>
      <x:c r="C17" s="25" t="str">
        <x:v>SF-01</x:v>
      </x:c>
      <x:c r="D17" s="25" t="str">
        <x:v>L3-MS-CostEviction-039</x:v>
      </x:c>
      <x:c r="E17" s="22" t="str">
        <x:v>V2.1基线</x:v>
      </x:c>
      <x:c r="F17" s="22" t="str">
        <x:v>L3 传输管理层</x:v>
      </x:c>
      <x:c r="G17" s="22" t="str">
        <x:v>TM3</x:v>
      </x:c>
      <x:c r="H17" s="22" t="str">
        <x:v>统一存储池与分层管理</x:v>
      </x:c>
      <x:c r="I17" s="22" t="str">
        <x:v>P1</x:v>
      </x:c>
      <x:c r="J17" s="22" t="str">
        <x:v>P1</x:v>
      </x:c>
      <x:c r="K17" s="22" t="str">
        <x:v>KVCache 成本感知淘汰与降级｜L3-MS-CostEviction-039</x:v>
      </x:c>
      <x:c r="L17" s="22" t="str">
        <x:v>为了达到 IR-01-01 的“碎片率&lt;5%；HBM有效容量提升≥30%；OOM/preemption降低≥50%；池分配P99≤XXX μs（P0实测冻结）。”，系统内部必须完成：本需求要求实现KV提级/降级算法，使用多维因素决定保留、降级或驱逐 KV：score 至少包含 saved prefill time、future reuse probability、transfer cost、interference cost、memory rent 和 tenant priority。</x:v>
      </x:c>
      <x:c r="M17"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 详细设计必须给出接口、数据结构、并发前置条件、主路径开关、fallback 与 metrics。</x:v>
      </x:c>
      <x:c r="N17" s="22" t="str">
        <x:v>KVAccessIntent + KVBlockSpec + tier telemetry</x:v>
      </x:c>
      <x:c r="O17" s="22" t="str">
        <x:v>KVObjectHandle + Placement + state transition</x:v>
      </x:c>
      <x:c r="P17" s="22" t="str">
        <x:v>OOM/碎片/路径不可用时拒绝、降级下沉或重算；活动对象禁止迁移</x:v>
      </x:c>
      <x:c r="Q17" s="22" t="str">
        <x:v>每 GB KV 带来的 saved prefill tokens 提升 ≥25%；</x:v>
      </x:c>
      <x:c r="R17" s="22" t="str">
        <x:v>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7" s="22" t="str">
        <x:v>依赖L2语义契约与L4 capability/driver</x:v>
      </x:c>
      <x:c r="T17" s="22" t="str">
        <x:v>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x:v>
      </x:c>
    </x:row>
    <x:row r="18" ht="78" customHeight="1">
      <x:c r="A18" s="25" t="str">
        <x:v>SR-01-01-14</x:v>
      </x:c>
      <x:c r="B18" s="25" t="str">
        <x:v>IR-01-01</x:v>
      </x:c>
      <x:c r="C18" s="25" t="str">
        <x:v>SF-01</x:v>
      </x:c>
      <x:c r="D18" s="25" t="str">
        <x:v>L3-MS-DDRRolePolicy-092</x:v>
      </x:c>
      <x:c r="E18" s="22" t="str">
        <x:v>V1.0增量（V2.2视角）</x:v>
      </x:c>
      <x:c r="F18" s="22" t="str">
        <x:v>L3 传输管理层</x:v>
      </x:c>
      <x:c r="G18" s="22" t="str">
        <x:v>TM3</x:v>
      </x:c>
      <x:c r="H18" s="22" t="str">
        <x:v>统一存储池与分层管理</x:v>
      </x:c>
      <x:c r="I18" s="22" t="str">
        <x:v>P1</x:v>
      </x:c>
      <x:c r="J18" s="22" t="str">
        <x:v>P1</x:v>
      </x:c>
      <x:c r="K18" s="22" t="str">
        <x:v>热点 KV、远端低时延容量、预取与SSD尾时延屏蔽｜L3-MS-DDRRolePolicy-092</x:v>
      </x:c>
      <x:c r="L18" s="22" t="str">
        <x:v>为了达到 IR-01-01 的“碎片率&lt;5%；HBM有效容量提升≥30%；OOM/preemption降低≥50%；池分配P99≤XXX μs（P0实测冻结）。”，系统内部必须完成：本需求要求为 DDR 建立角色化准入策略，至少区分 metadata/control、local warm KV、remote DDR tier、prefetch/burst buffer、registered pool 和 fallback staging。系统只有在 reuse、SSD tail shielding、transfer overlap 或故障恢复产生净收益时才把 KV Payload 驻留 DDR；不得以固定时间阈值或层级惯性占用 DDR。</x:v>
      </x:c>
      <x:c r="M18" s="22" t="str">
        <x:v>P1 建立 role tag、admission 与 telemetry；P2 在selected workload灰度。 详细设计必须给出接口、数据结构、并发前置条件、主路径开关、fallback 与 metrics。</x:v>
      </x:c>
      <x:c r="N18" s="22" t="str">
        <x:v>KVAccessIntent + KVBlockSpec + tier telemetry</x:v>
      </x:c>
      <x:c r="O18" s="22" t="str">
        <x:v>KVObjectHandle + Placement + state transition</x:v>
      </x:c>
      <x:c r="P18" s="22" t="str">
        <x:v>OOM/碎片/路径不可用时拒绝、降级下沉或重算；活动对象禁止迁移</x:v>
      </x:c>
      <x:c r="Q18" s="22" t="str">
        <x:v>输出各 DDR 角色的容量、带宽和净收益曲线，明确主用、条件启用和禁用边界。</x:v>
      </x:c>
      <x:c r="R18" s="22" t="str">
        <x:v>对 SSD-only、local DDR、remote DDR、DDR prefetch 四类配置做同 workload A/B；指标包括 DDR GB、读写BW、usable hit、TTFT、TPOT、SSD P99、单位有效容量成本。</x:v>
      </x:c>
      <x:c r="S18" s="22" t="str">
        <x:v>依赖L2语义契约与L4 capability/driver</x:v>
      </x:c>
      <x:c r="T18" s="22" t="str">
        <x:v>DDR价值取决于 workload 与介质差距，不能用元数据带宽或容量总量替代业务收益。</x:v>
      </x:c>
    </x:row>
    <x:row r="19" ht="78" customHeight="1">
      <x:c r="A19" s="25" t="str">
        <x:v>SR-01-01-15</x:v>
      </x:c>
      <x:c r="B19" s="25" t="str">
        <x:v>IR-01-01</x:v>
      </x:c>
      <x:c r="C19" s="25" t="str">
        <x:v>SF-01</x:v>
      </x:c>
      <x:c r="D19" s="25" t="str">
        <x:v>L3-MC-POOL-ALLOC-005</x:v>
      </x:c>
      <x:c r="E19" s="22" t="str">
        <x:v>V2.1基线</x:v>
      </x:c>
      <x:c r="F19" s="22" t="str">
        <x:v>L3 传输管理层</x:v>
      </x:c>
      <x:c r="G19" s="22" t="str">
        <x:v>TM3</x:v>
      </x:c>
      <x:c r="H19" s="22" t="str">
        <x:v>统一存储池与分层管理</x:v>
      </x:c>
      <x:c r="I19" s="22" t="str">
        <x:v>P2</x:v>
      </x:c>
      <x:c r="J19" s="22" t="str">
        <x:v>P2</x:v>
      </x:c>
      <x:c r="K19" s="22" t="str">
        <x:v>NUMA亲和性KV分配｜L3-MC-POOL-ALLOC-005</x:v>
      </x:c>
      <x:c r="L19" s="22" t="str">
        <x:v>为了达到 IR-01-01 的“碎片率&lt;5%；HBM有效容量提升≥30%；OOM/preemption降低≥50%；池分配P99≤XXX μs（P0实测冻结）。”，系统内部必须完成：本需求要求为Mooncake统一内存池实现NUMA感知的KVCache Block分配器，通过查询NPU与CPU NUMA节点的亲和关系，优先将KVCache Block分配到最近NUMA节点的DDR内存（numa_alloc_onnode），将Cross-NUMA KVCache访问比例从当前&gt;50%降至&lt;10%。</x:v>
      </x:c>
      <x:c r="M19"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 详细设计必须给出接口、数据结构、并发前置条件、主路径开关、fallback 与 metrics。</x:v>
      </x:c>
      <x:c r="N19" s="22" t="str">
        <x:v>KVAccessIntent + KVBlockSpec + tier telemetry</x:v>
      </x:c>
      <x:c r="O19" s="22" t="str">
        <x:v>KVObjectHandle + Placement + state transition</x:v>
      </x:c>
      <x:c r="P19" s="22" t="str">
        <x:v>OOM/碎片/路径不可用时拒绝、降级下沉或重算；活动对象禁止迁移</x:v>
      </x:c>
      <x:c r="Q19" s="22" t="str">
        <x:v>节点动态加入/退出时的缓存失效控制在局部范围内（遵循一致性哈希比例）。</x:v>
      </x:c>
      <x:c r="R19" s="22" t="str">
        <x:v>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9" s="22" t="str">
        <x:v>依赖L2语义契约与L4 capability/driver</x:v>
      </x:c>
      <x:c r="T19" s="22" t="str">
        <x:v>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x:v>
      </x:c>
    </x:row>
    <x:row r="20" ht="78" customHeight="1">
      <x:c r="A20" s="25" t="str">
        <x:v>SR-01-01-16</x:v>
      </x:c>
      <x:c r="B20" s="25" t="str">
        <x:v>IR-01-01</x:v>
      </x:c>
      <x:c r="C20" s="25" t="str">
        <x:v>SF-01</x:v>
      </x:c>
      <x:c r="D20" s="25" t="str">
        <x:v>L3-MC-UBAllocator-049</x:v>
      </x:c>
      <x:c r="E20" s="22" t="str">
        <x:v>V2.1基线</x:v>
      </x:c>
      <x:c r="F20" s="22" t="str">
        <x:v>L3 传输管理层</x:v>
      </x:c>
      <x:c r="G20" s="22" t="str">
        <x:v>TM3</x:v>
      </x:c>
      <x:c r="H20" s="22" t="str">
        <x:v>统一存储池与分层管理</x:v>
      </x:c>
      <x:c r="I20" s="22" t="str">
        <x:v>P2</x:v>
      </x:c>
      <x:c r="J20" s="22" t="str">
        <x:v>P2</x:v>
      </x:c>
      <x:c r="K20" s="22" t="str">
        <x:v>UB 共享 KV 热存储池管理｜L3-MC-UBAllocator-049</x:v>
      </x:c>
      <x:c r="L20" s="22" t="str">
        <x:v>为了达到 IR-01-01 的“碎片率&lt;5%；HBM有效容量提升≥30%；OOM/preemption降低≥50%；池分配P99≤XXX μs（P0实测冻结）。”，系统内部必须完成：本需求要求实现 UB pooled memory 专用 KV allocator：采用 offset-based addressing、hugepage/page coloring、NUMA/fabric locality、free-list、defrag 与 quota 控制，将 UB pool 从裸内存资源变成可管理 KV tier。</x:v>
      </x:c>
      <x:c r="M20"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 详细设计必须给出接口、数据结构、并发前置条件、主路径开关、fallback 与 metrics。</x:v>
      </x:c>
      <x:c r="N20" s="22" t="str">
        <x:v>KVAccessIntent + KVBlockSpec + tier telemetry</x:v>
      </x:c>
      <x:c r="O20" s="22" t="str">
        <x:v>KVObjectHandle + Placement + state transition</x:v>
      </x:c>
      <x:c r="P20" s="22" t="str">
        <x:v>OOM/碎片/路径不可用时拒绝、降级下沉或重算；活动对象禁止迁移</x:v>
      </x:c>
      <x:c r="Q20" s="22" t="str">
        <x:v>全局内存利用率提升至≥85%，跨级冷热数据迁移过程中的TPOT抖动 &lt; 5%。</x:v>
      </x:c>
      <x:c r="R20" s="22" t="str">
        <x:v>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0" s="22" t="str">
        <x:v>依赖L2语义契约与L4 capability/driver</x:v>
      </x:c>
      <x:c r="T20" s="22" t="str">
        <x:v>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x:v>
      </x:c>
    </x:row>
    <x:row r="21" ht="78" customHeight="1">
      <x:c r="A21" s="25" t="str">
        <x:v>SR-01-02-01</x:v>
      </x:c>
      <x:c r="B21" s="25" t="str">
        <x:v>IR-01-02</x:v>
      </x:c>
      <x:c r="C21" s="25" t="str">
        <x:v>SF-01</x:v>
      </x:c>
      <x:c r="D21" s="25" t="str">
        <x:v>L2-KV-PartialAttachPlan-038</x:v>
      </x:c>
      <x:c r="E21" s="22" t="str">
        <x:v>V2.1基线</x:v>
      </x:c>
      <x:c r="F21" s="22" t="str">
        <x:v>L2 KVConnector层</x:v>
      </x:c>
      <x:c r="G21" s="22" t="str">
        <x:v>TM4</x:v>
      </x:c>
      <x:c r="H21" s="22" t="str">
        <x:v>传输描述与布局协商</x:v>
      </x:c>
      <x:c r="I21" s="22" t="str">
        <x:v>P1</x:v>
      </x:c>
      <x:c r="J21" s="22" t="str">
        <x:v>P1</x:v>
      </x:c>
      <x:c r="K21" s="22" t="str">
        <x:v>部分前缀命中复用｜L2-KV-PartialAttachPlan-038</x:v>
      </x:c>
      <x:c r="L21" s="22" t="str">
        <x:v>为了达到 IR-01-02 的“descriptor 数降低≥50%；effective BW提升≥30%；CPU submit time降低≥40%；布局协商错误=0。”，系统内部必须完成：本需求要求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M21"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 详细设计必须给出接口、数据结构、并发前置条件、主路径开关、fallback 与 metrics。</x:v>
      </x:c>
      <x:c r="N21" s="22" t="str">
        <x:v>KV layout + logical spans + target capability</x:v>
      </x:c>
      <x:c r="O21" s="22" t="str">
        <x:v>BulkDescriptor + LayoutTransformPlan</x:v>
      </x:c>
      <x:c r="P21" s="22" t="str">
        <x:v>布局不兼容时换副本、执行显式 transform 或重算；禁止隐式错误 attach</x:v>
      </x:c>
      <x:c r="Q21" s="22" t="str">
        <x:v>Prefix命中判定P99耗时 &lt; 200us；在Share-Prefix业务下，Usable Hit Rate提升≥15%。</x:v>
      </x:c>
      <x:c r="R21" s="22" t="str">
        <x:v>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1" s="22" t="str">
        <x:v>依赖L3对象/目录和L4后端能力</x:v>
      </x:c>
      <x:c r="T21" s="22" t="str">
        <x:v>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x:v>
      </x:c>
    </x:row>
    <x:row r="22" ht="78" customHeight="1">
      <x:c r="A22" s="25" t="str">
        <x:v>SR-01-02-02</x:v>
      </x:c>
      <x:c r="B22" s="25" t="str">
        <x:v>IR-01-02</x:v>
      </x:c>
      <x:c r="C22" s="25" t="str">
        <x:v>SF-01</x:v>
      </x:c>
      <x:c r="D22" s="25" t="str">
        <x:v>L2-OL-BulkDescriptor-025</x:v>
      </x:c>
      <x:c r="E22" s="22" t="str">
        <x:v>V2.1基线</x:v>
      </x:c>
      <x:c r="F22" s="22" t="str">
        <x:v>L2 KVConnector层</x:v>
      </x:c>
      <x:c r="G22" s="22" t="str">
        <x:v>TM4</x:v>
      </x:c>
      <x:c r="H22" s="22" t="str">
        <x:v>传输描述与布局协商</x:v>
      </x:c>
      <x:c r="I22" s="22" t="str">
        <x:v>P1</x:v>
      </x:c>
      <x:c r="J22" s="22" t="str">
        <x:v>P1</x:v>
      </x:c>
      <x:c r="K22" s="22" t="str">
        <x:v>KVCache 批量卸载与批量加载｜L2-OL-BulkDescriptor-025</x:v>
      </x:c>
      <x:c r="L22" s="22" t="str">
        <x:v>为了达到 IR-01-02 的“descriptor 数降低≥50%；effective BW提升≥30%；CPU submit time降低≥40%；布局协商错误=0。”，系统内部必须完成：本需求要求 Connector 将多个不连续 KV block/page 合并为 scatter-gather bulk descriptor，支持 coalescing、max descriptor count、min transfer granularity、batch submit，避免 for-loop 式小块传输放大 CPU submit 与 DMA/RDMA setup 开销。</x:v>
      </x:c>
      <x:c r="M22"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 详细设计必须给出接口、数据结构、并发前置条件、主路径开关、fallback 与 metrics。</x:v>
      </x:c>
      <x:c r="N22" s="22" t="str">
        <x:v>KV layout + logical spans + target capability</x:v>
      </x:c>
      <x:c r="O22" s="22" t="str">
        <x:v>BulkDescriptor + LayoutTransformPlan</x:v>
      </x:c>
      <x:c r="P22" s="22" t="str">
        <x:v>布局不兼容时换副本、执行显式 transform 或重算；禁止隐式错误 attach</x:v>
      </x:c>
      <x:c r="Q22" s="22" t="str">
        <x:v>CPU submit time 降低 ≥40%；</x:v>
      </x:c>
      <x:c r="R22" s="22" t="str">
        <x:v>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2" s="22" t="str">
        <x:v>依赖L3对象/目录和L4后端能力</x:v>
      </x:c>
      <x:c r="T22" s="22" t="str">
        <x:v>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x:v>
      </x:c>
    </x:row>
    <x:row r="23" ht="78" customHeight="1">
      <x:c r="A23" s="25" t="str">
        <x:v>SR-01-02-03</x:v>
      </x:c>
      <x:c r="B23" s="25" t="str">
        <x:v>IR-01-02</x:v>
      </x:c>
      <x:c r="C23" s="25" t="str">
        <x:v>SF-01</x:v>
      </x:c>
      <x:c r="D23" s="25" t="str">
        <x:v>L2-OL-LayoutNegotiation-024</x:v>
      </x:c>
      <x:c r="E23" s="22" t="str">
        <x:v>V2.1基线</x:v>
      </x:c>
      <x:c r="F23" s="22" t="str">
        <x:v>L2 KVConnector层</x:v>
      </x:c>
      <x:c r="G23" s="22" t="str">
        <x:v>TM4</x:v>
      </x:c>
      <x:c r="H23" s="22" t="str">
        <x:v>传输描述与布局协商</x:v>
      </x:c>
      <x:c r="I23" s="22" t="str">
        <x:v>P1</x:v>
      </x:c>
      <x:c r="J23" s="22" t="str">
        <x:v>P1</x:v>
      </x:c>
      <x:c r="K23" s="22" t="str">
        <x:v>KVCache 高效传输布局协商｜L2-OL-LayoutNegotiation-024</x:v>
      </x:c>
      <x:c r="L23" s="22" t="str">
        <x:v>为了达到 IR-01-02 的“descriptor 数降低≥50%；effective BW提升≥30%；CPU submit time降低≥40%；布局协商错误=0。”，系统内部必须完成：本需求要求 Connector 与后端协商 KV layout：对 RDMA优先选择 MB 级连续 cross-layer block，对 SGLang HiCache/L存储支持 page-first/page-first-direct，对 SSD/object 支持 segment layout，减少 relayout 和小 descriptor 传输。</x:v>
      </x:c>
      <x:c r="M23"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 详细设计必须给出接口、数据结构、并发前置条件、主路径开关、fallback 与 metrics。</x:v>
      </x:c>
      <x:c r="N23" s="22" t="str">
        <x:v>KV layout + logical spans + target capability</x:v>
      </x:c>
      <x:c r="O23" s="22" t="str">
        <x:v>BulkDescriptor + LayoutTransformPlan</x:v>
      </x:c>
      <x:c r="P23" s="22" t="str">
        <x:v>布局不兼容时换副本、执行显式 transform 或重算；禁止隐式错误 attach</x:v>
      </x:c>
      <x:c r="Q23" s="22" t="str">
        <x:v>descriptor 数降低 ≥50%；effective BW 提升 ≥30%；</x:v>
      </x:c>
      <x:c r="R23" s="22" t="str">
        <x:v>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3" s="22" t="str">
        <x:v>依赖L3对象/目录和L4后端能力</x:v>
      </x:c>
      <x:c r="T23" s="22" t="str">
        <x:v>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x:v>
      </x:c>
    </x:row>
    <x:row r="24" ht="78" customHeight="1">
      <x:c r="A24" s="25" t="str">
        <x:v>SR-01-03-01</x:v>
      </x:c>
      <x:c r="B24" s="25" t="str">
        <x:v>IR-01-03</x:v>
      </x:c>
      <x:c r="C24" s="25" t="str">
        <x:v>SF-01</x:v>
      </x:c>
      <x:c r="D24" s="25" t="str">
        <x:v>L3-SE-DescriptorFromManifest-079</x:v>
      </x:c>
      <x:c r="E24" s="22" t="str">
        <x:v>V2.1基线</x:v>
      </x:c>
      <x:c r="F24" s="22" t="str">
        <x:v>L3 传输管理层</x:v>
      </x:c>
      <x:c r="G24" s="22" t="str">
        <x:v>TM1</x:v>
      </x:c>
      <x:c r="H24" s="22" t="str">
        <x:v>语义策略与路径管理</x:v>
      </x:c>
      <x:c r="I24" s="22" t="str">
        <x:v>P0</x:v>
      </x:c>
      <x:c r="J24" s="22" t="str">
        <x:v>P0</x:v>
      </x:c>
      <x:c r="K24" s="22" t="str">
        <x:v>从 KV 存储结构自动生成高效传输描述符｜L3-SE-DescriptorFromManifest-079</x:v>
      </x:c>
      <x:c r="L24" s="22" t="str">
        <x:v>为了达到 IR-01-03 的“Usable Hit Rate提升≥20%；路径成本预测误差&lt;20%；单次策略调用&lt;5 μs；负收益命中强制放弃。”，系统内部必须完成：本需求要求 Transfer Manager 能根据 extent manifest 自动生成 scatter-gather bulk descriptor，并按 max descriptor count、alignment、min transfer granularity、target tier 和 backend capability 进行 coalescing，减少逐 block 传输提交开销。</x:v>
      </x:c>
      <x:c r="M24"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 详细设计必须给出接口、数据结构、并发前置条件、主路径开关、fallback 与 metrics。</x:v>
      </x:c>
      <x:c r="N24" s="22" t="str">
        <x:v>candidate placements + deadline + telemetry</x:v>
      </x:c>
      <x:c r="O24" s="22" t="str">
        <x:v>ranked QueryPlan + fallback chain + decision reason</x:v>
      </x:c>
      <x:c r="P24" s="22" t="str">
        <x:v>估计不可信、超预算或路径退化时回到本地 cache/备用副本/partial recompute/recompute</x:v>
      </x:c>
      <x:c r="Q24" s="22" t="str">
        <x:v>节点动态加入/退出时的缓存失效控制在局部范围内（遵循一致性哈希比例）。</x:v>
      </x:c>
      <x:c r="R24" s="22" t="str">
        <x:v>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4" s="22" t="str">
        <x:v>依赖L2语义契约与L4 capability/driver</x:v>
      </x:c>
      <x:c r="T24" s="22" t="str">
        <x:v>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x:v>
      </x:c>
    </x:row>
    <x:row r="25" ht="78" customHeight="1">
      <x:c r="A25" s="25" t="str">
        <x:v>SR-01-03-02</x:v>
      </x:c>
      <x:c r="B25" s="25" t="str">
        <x:v>IR-01-03</x:v>
      </x:c>
      <x:c r="C25" s="25" t="str">
        <x:v>SF-01</x:v>
      </x:c>
      <x:c r="D25" s="25" t="str">
        <x:v>L3-SE-PlacementResolver-061</x:v>
      </x:c>
      <x:c r="E25" s="22" t="str">
        <x:v>V2.1基线</x:v>
      </x:c>
      <x:c r="F25" s="22" t="str">
        <x:v>L3 传输管理层</x:v>
      </x:c>
      <x:c r="G25" s="22" t="str">
        <x:v>TM1</x:v>
      </x:c>
      <x:c r="H25" s="22" t="str">
        <x:v>语义策略与路径管理</x:v>
      </x:c>
      <x:c r="I25" s="22" t="str">
        <x:v>P0</x:v>
      </x:c>
      <x:c r="J25" s="22" t="str">
        <x:v>P0</x:v>
      </x:c>
      <x:c r="K25" s="22" t="str">
        <x:v>多位置 KV 副本的最优读取源选择｜L3-SE-PlacementResolver-061</x:v>
      </x:c>
      <x:c r="L25" s="22" t="str">
        <x:v>为了达到 IR-01-03 的“Usable Hit Rate提升≥20%；路径成本预测误差&lt;20%；单次策略调用&lt;5 μs；负收益命中强制放弃。”，系统内部必须完成：本需求要求实现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M25"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 详细设计必须给出接口、数据结构、并发前置条件、主路径开关、fallback 与 metrics。</x:v>
      </x:c>
      <x:c r="N25" s="22" t="str">
        <x:v>candidate placements + deadline + telemetry</x:v>
      </x:c>
      <x:c r="O25" s="22" t="str">
        <x:v>ranked QueryPlan + fallback chain + decision reason</x:v>
      </x:c>
      <x:c r="P25" s="22" t="str">
        <x:v>估计不可信、超预算或路径退化时回到本地 cache/备用副本/partial recompute/recompute</x:v>
      </x:c>
      <x:c r="Q25" s="22" t="str">
        <x:v>节点动态加入/退出时的缓存失效控制在局部范围内（遵循一致性哈希比例）。</x:v>
      </x:c>
      <x:c r="R25" s="22" t="str">
        <x:v>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5" s="22" t="str">
        <x:v>依赖L2语义契约与L4 capability/driver</x:v>
      </x:c>
      <x:c r="T25" s="22" t="str">
        <x:v>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x:v>
      </x:c>
    </x:row>
    <x:row r="26" ht="78" customHeight="1">
      <x:c r="A26" s="25" t="str">
        <x:v>SR-01-03-03</x:v>
      </x:c>
      <x:c r="B26" s="25" t="str">
        <x:v>IR-01-03</x:v>
      </x:c>
      <x:c r="C26" s="25" t="str">
        <x:v>SF-01</x:v>
      </x:c>
      <x:c r="D26" s="25" t="str">
        <x:v>L3-SE-PolicyEngine-032</x:v>
      </x:c>
      <x:c r="E26" s="22" t="str">
        <x:v>V2.1基线</x:v>
      </x:c>
      <x:c r="F26" s="22" t="str">
        <x:v>L3 传输管理层</x:v>
      </x:c>
      <x:c r="G26" s="22" t="str">
        <x:v>TM1</x:v>
      </x:c>
      <x:c r="H26" s="22" t="str">
        <x:v>语义策略与路径管理</x:v>
      </x:c>
      <x:c r="I26" s="22" t="str">
        <x:v>P0</x:v>
      </x:c>
      <x:c r="J26" s="22" t="str">
        <x:v>P0</x:v>
      </x:c>
      <x:c r="K26" s="22" t="str">
        <x:v>统一 KVCache 存储池智能路径选择｜L3-SE-PolicyEngine-032</x:v>
      </x:c>
      <x:c r="L26" s="22" t="str">
        <x:v>为了达到 IR-01-03 的“Usable Hit Rate提升≥20%；路径成本预测误差&lt;20%；单次策略调用&lt;5 μs；负收益命中强制放弃。”，系统内部必须完成：本需求要求 Transfer Manager 实现 semantic policy engine：根据 KVAccessIntent、KV size、deadline、reuse value、topology、telemetry、tier state 自动选择 memory view、bulk transfer、stream object 或 recompute 路径。</x:v>
      </x:c>
      <x:c r="M26"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 详细设计必须给出接口、数据结构、并发前置条件、主路径开关、fallback 与 metrics。</x:v>
      </x:c>
      <x:c r="N26" s="22" t="str">
        <x:v>candidate placements + deadline + telemetry</x:v>
      </x:c>
      <x:c r="O26" s="22" t="str">
        <x:v>ranked QueryPlan + fallback chain + decision reason</x:v>
      </x:c>
      <x:c r="P26" s="22" t="str">
        <x:v>估计不可信、超预算或路径退化时回到本地 cache/备用副本/partial recompute/recompute</x:v>
      </x:c>
      <x:c r="Q26" s="22" t="str">
        <x:v>usable hit rate 提升 ≥20%；</x:v>
      </x:c>
      <x:c r="R26" s="22" t="str">
        <x:v>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6" s="22" t="str">
        <x:v>依赖L2语义契约与L4 capability/driver</x:v>
      </x:c>
      <x:c r="T26" s="22" t="str">
        <x:v>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x:v>
      </x:c>
    </x:row>
    <x:row r="27" ht="78" customHeight="1">
      <x:c r="A27" s="25" t="str">
        <x:v>SR-01-03-04</x:v>
      </x:c>
      <x:c r="B27" s="25" t="str">
        <x:v>IR-01-03</x:v>
      </x:c>
      <x:c r="C27" s="25" t="str">
        <x:v>SF-01</x:v>
      </x:c>
      <x:c r="D27" s="25" t="str">
        <x:v>L3-SE-QueryPlanFastPath-072</x:v>
      </x:c>
      <x:c r="E27" s="22" t="str">
        <x:v>V2.1基线</x:v>
      </x:c>
      <x:c r="F27" s="22" t="str">
        <x:v>L3 传输管理层</x:v>
      </x:c>
      <x:c r="G27" s="22" t="str">
        <x:v>TM1</x:v>
      </x:c>
      <x:c r="H27" s="22" t="str">
        <x:v>语义策略与路径管理</x:v>
      </x:c>
      <x:c r="I27" s="22" t="str">
        <x:v>P0</x:v>
      </x:c>
      <x:c r="J27" s="22" t="str">
        <x:v>P0</x:v>
      </x:c>
      <x:c r="K27" s="22" t="str">
        <x:v>TTFT 关键路径上的单次查询决策｜L3-SE-QueryPlanFastPath-072</x:v>
      </x:c>
      <x:c r="L27" s="22" t="str">
        <x:v>为了达到 IR-01-03 的“Usable Hit Rate提升≥20%；路径成本预测误差&lt;20%；单次策略调用&lt;5 μs；负收益命中强制放弃。”，系统内部必须完成：本需求要求 L3 查询接口返回 QueryPlan，而不是原始元数据；QueryPlan 必须包含 match_span、consume_action、source_placement、transfer_descriptor、attach_requirement、fallback_action 和 expected_interference，使 L1/L2 不需要多轮查询即可做调度决策。</x:v>
      </x:c>
      <x:c r="M27"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 详细设计必须给出接口、数据结构、并发前置条件、主路径开关、fallback 与 metrics。</x:v>
      </x:c>
      <x:c r="N27" s="22" t="str">
        <x:v>candidate placements + deadline + telemetry</x:v>
      </x:c>
      <x:c r="O27" s="22" t="str">
        <x:v>ranked QueryPlan + fallback chain + decision reason</x:v>
      </x:c>
      <x:c r="P27" s="22" t="str">
        <x:v>估计不可信、超预算或路径退化时回到本地 cache/备用副本/partial recompute/recompute</x:v>
      </x:c>
      <x:c r="Q27" s="22" t="str">
        <x:v>确保底层物理存储直接向外暴露“可执行查询计划(QueryPlan)”，而非裸机物理地址(Raw Address)。</x:v>
      </x:c>
      <x:c r="R27" s="22" t="str">
        <x:v>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7" s="22" t="str">
        <x:v>依赖L2语义契约与L4 capability/driver</x:v>
      </x:c>
      <x:c r="T27" s="22" t="str">
        <x:v>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x:v>
      </x:c>
    </x:row>
    <x:row r="28" ht="78" customHeight="1">
      <x:c r="A28" s="25" t="str">
        <x:v>SR-01-03-05</x:v>
      </x:c>
      <x:c r="B28" s="25" t="str">
        <x:v>IR-01-03</x:v>
      </x:c>
      <x:c r="C28" s="25" t="str">
        <x:v>SF-01</x:v>
      </x:c>
      <x:c r="D28" s="25" t="str">
        <x:v>L3-SE-TierBypassPolicy-091</x:v>
      </x:c>
      <x:c r="E28" s="22" t="str">
        <x:v>V1.0增量（V2.2视角）</x:v>
      </x:c>
      <x:c r="F28" s="22" t="str">
        <x:v>L3 传输管理层</x:v>
      </x:c>
      <x:c r="G28" s="22" t="str">
        <x:v>TM4</x:v>
      </x:c>
      <x:c r="H28" s="22" t="str">
        <x:v>语义策略与路径管理</x:v>
      </x:c>
      <x:c r="I28" s="22" t="str">
        <x:v>P0</x:v>
      </x:c>
      <x:c r="J28" s="22" t="str">
        <x:v>P0</x:v>
      </x:c>
      <x:c r="K28" s="22" t="str">
        <x:v>DDR成本约束、SSD容量主路径、异构路径动态选择｜L3-SE-TierBypassPolicy-091</x:v>
      </x:c>
      <x:c r="L28" s="22" t="str">
        <x:v>为了达到 IR-01-03 的“Usable Hit Rate提升≥20%；路径成本预测误差&lt;20%；单次策略调用&lt;5 μs；负收益命中强制放弃。”，系统内部必须完成：本需求要求 QueryPlan 与路径规划器采用图式路径模型，显式支持 HBM↔SSD direct/低Host参与、HBM↔DDR、DDR↔SSD、remote DDR 和 remote SSD 等路径；DDR 不得被编码为 HBM 与 SSD 之间的必要中转层。路径选择必须基于 capability、deadline、cost 和 fallback policy，并记录是否发生 tier bypass。</x:v>
      </x:c>
      <x:c r="M28" s="22" t="str">
        <x:v>P0 冻结 path graph、capability 和 trace 字段；P1 接入至少一条 HBM↔SSD 真实路径。 详细设计必须给出接口、数据结构、并发前置条件、主路径开关、fallback 与 metrics。</x:v>
      </x:c>
      <x:c r="N28" s="22" t="str">
        <x:v>candidate placements + deadline + telemetry</x:v>
      </x:c>
      <x:c r="O28" s="22" t="str">
        <x:v>ranked QueryPlan + fallback chain + decision reason</x:v>
      </x:c>
      <x:c r="P28" s="22" t="str">
        <x:v>估计不可信、超预算或路径退化时回到本地 cache/备用副本/partial recompute/recompute</x:v>
      </x:c>
      <x:c r="Q28" s="22" t="str">
        <x:v>禁用 DDR Payload tier 后，Prefix Hit、Load/Attach、Publish/Lifecycle 仍可通过 SSD 或重算形成闭环；不得出现隐式 CPU staging。</x:v>
      </x:c>
      <x:c r="R28" s="22" t="str">
        <x:v>建立六类代表性路径 capability matrix；故障注入和禁用 DDR 后验证路径正确选择、Host touch、完成可见性和回退，错误路由为0。</x:v>
      </x:c>
      <x:c r="S28" s="22" t="str">
        <x:v>依赖L2语义契约与L4 capability/driver</x:v>
      </x:c>
      <x:c r="T28" s="22" t="str">
        <x:v>路径图的能力与成本可能动态变化；固定层级会产生额外拷贝和负收益。</x:v>
      </x:c>
    </x:row>
    <x:row r="29" ht="78" customHeight="1">
      <x:c r="A29" s="25" t="str">
        <x:v>SR-01-03-06</x:v>
      </x:c>
      <x:c r="B29" s="25" t="str">
        <x:v>IR-01-03</x:v>
      </x:c>
      <x:c r="C29" s="25" t="str">
        <x:v>SF-01</x:v>
      </x:c>
      <x:c r="D29" s="25" t="str">
        <x:v>L3-SE-UnifiedDescriptor-018</x:v>
      </x:c>
      <x:c r="E29" s="22" t="str">
        <x:v>V2.1基线</x:v>
      </x:c>
      <x:c r="F29" s="22" t="str">
        <x:v>L3 传输管理层</x:v>
      </x:c>
      <x:c r="G29" s="22" t="str">
        <x:v>TM1</x:v>
      </x:c>
      <x:c r="H29" s="22" t="str">
        <x:v>语义策略与路径管理</x:v>
      </x:c>
      <x:c r="I29" s="22" t="str">
        <x:v>P0</x:v>
      </x:c>
      <x:c r="J29" s="22" t="str">
        <x:v>P0</x:v>
      </x:c>
      <x:c r="K29" s="22" t="str">
        <x:v>跨框架 KVCache 传输任务统一编排｜L3-SE-UnifiedDescriptor-018</x:v>
      </x:c>
      <x:c r="L29" s="22" t="str">
        <x:v>为了达到 IR-01-03 的“Usable Hit Rate提升≥20%；路径成本预测误差&lt;20%；单次策略调用&lt;5 μs；负收益命中强制放弃。”，系统内部必须完成：本需求要求定义统一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x:v>
      </x:c>
      <x:c r="M29"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 详细设计必须给出接口、数据结构、并发前置条件、主路径开关、fallback 与 metrics。</x:v>
      </x:c>
      <x:c r="N29" s="22" t="str">
        <x:v>candidate placements + deadline + telemetry</x:v>
      </x:c>
      <x:c r="O29" s="22" t="str">
        <x:v>ranked QueryPlan + fallback chain + decision reason</x:v>
      </x:c>
      <x:c r="P29" s="22" t="str">
        <x:v>估计不可信、超预算或路径退化时回到本地 cache/备用副本/partial recompute/recompute</x:v>
      </x:c>
      <x:c r="Q29" s="22" t="str">
        <x:v>节点动态加入/退出时的缓存失效控制在局部范围内（遵循一致性哈希比例）。</x:v>
      </x:c>
      <x:c r="R29" s="22" t="str">
        <x:v>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9" s="22" t="str">
        <x:v>依赖L2语义契约与L4 capability/driver</x:v>
      </x:c>
      <x:c r="T29" s="22" t="str">
        <x:v>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x:v>
      </x:c>
    </x:row>
    <x:row r="30" ht="78" customHeight="1">
      <x:c r="A30" s="25" t="str">
        <x:v>SR-01-03-07</x:v>
      </x:c>
      <x:c r="B30" s="25" t="str">
        <x:v>IR-01-03</x:v>
      </x:c>
      <x:c r="C30" s="25" t="str">
        <x:v>SF-01</x:v>
      </x:c>
      <x:c r="D30" s="25" t="str">
        <x:v>L3-TRANS-CAP-API-002</x:v>
      </x:c>
      <x:c r="E30" s="22" t="str">
        <x:v>V2.1基线</x:v>
      </x:c>
      <x:c r="F30" s="22" t="str">
        <x:v>L3 传输管理层</x:v>
      </x:c>
      <x:c r="G30" s="22" t="str">
        <x:v>TM1</x:v>
      </x:c>
      <x:c r="H30" s="22" t="str">
        <x:v>语义策略与路径管理</x:v>
      </x:c>
      <x:c r="I30" s="22" t="str">
        <x:v>P0</x:v>
      </x:c>
      <x:c r="J30" s="22" t="str">
        <x:v>P0</x:v>
      </x:c>
      <x:c r="K30" s="22" t="str">
        <x:v>平台无关能力感知｜L3-TRANS-CAP-API-002</x:v>
      </x:c>
      <x:c r="L30" s="22" t="str">
        <x:v>为了达到 IR-01-03 的“Usable Hit Rate提升≥20%；路径成本预测误差&lt;20%；单次策略调用&lt;5 μs；负收益命中强制放弃。”，系统内部必须完成：本需求要求实现标准化的硬件传输能力查询API（HardwareCapabilityAPI），暴露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M30"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 详细设计必须给出接口、数据结构、并发前置条件、主路径开关、fallback 与 metrics。</x:v>
      </x:c>
      <x:c r="N30" s="22" t="str">
        <x:v>candidate placements + deadline + telemetry</x:v>
      </x:c>
      <x:c r="O30" s="22" t="str">
        <x:v>ranked QueryPlan + fallback chain + decision reason</x:v>
      </x:c>
      <x:c r="P30" s="22" t="str">
        <x:v>估计不可信、超预算或路径退化时回到本地 cache/备用副本/partial recompute/recompute</x:v>
      </x:c>
      <x:c r="Q30" s="22" t="str">
        <x:v>新推理后端接入适配代码量减少80%，单一接口调用开销(Overhead) &lt; 5us。</x:v>
      </x:c>
      <x:c r="R30" s="22" t="str">
        <x:v>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0" s="22" t="str">
        <x:v>依赖L2语义契约与L4 capability/driver</x:v>
      </x:c>
      <x:c r="T30" s="22" t="str">
        <x:v>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x:v>
      </x:c>
    </x:row>
    <x:row r="31" ht="78" customHeight="1">
      <x:c r="A31" s="25" t="str">
        <x:v>SR-01-03-08</x:v>
      </x:c>
      <x:c r="B31" s="25" t="str">
        <x:v>IR-01-03</x:v>
      </x:c>
      <x:c r="C31" s="25" t="str">
        <x:v>SF-01</x:v>
      </x:c>
      <x:c r="D31" s="25" t="str">
        <x:v>L3-TRANS-SEM-ENGINE-001</x:v>
      </x:c>
      <x:c r="E31" s="22" t="str">
        <x:v>V2.1基线</x:v>
      </x:c>
      <x:c r="F31" s="22" t="str">
        <x:v>L3 传输管理层</x:v>
      </x:c>
      <x:c r="G31" s="22" t="str">
        <x:v>TM1</x:v>
      </x:c>
      <x:c r="H31" s="22" t="str">
        <x:v>语义策略与路径管理</x:v>
      </x:c>
      <x:c r="I31" s="22" t="str">
        <x:v>P0</x:v>
      </x:c>
      <x:c r="J31" s="22" t="str">
        <x:v>P0</x:v>
      </x:c>
      <x:c r="K31" s="22" t="str">
        <x:v>多平台统一传输管理｜L3-TRANS-SEM-ENGINE-001</x:v>
      </x:c>
      <x:c r="L31" s="22" t="str">
        <x:v>为了达到 IR-01-03 的“Usable Hit Rate提升≥20%；路径成本预测误差&lt;20%；单次策略调用&lt;5 μs；负收益命中强制放弃。”，系统内部必须完成：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x:v>
      </x:c>
      <x:c r="M31"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 详细设计必须给出接口、数据结构、并发前置条件、主路径开关、fallback 与 metrics。</x:v>
      </x:c>
      <x:c r="N31" s="22" t="str">
        <x:v>candidate placements + deadline + telemetry</x:v>
      </x:c>
      <x:c r="O31" s="22" t="str">
        <x:v>ranked QueryPlan + fallback chain + decision reason</x:v>
      </x:c>
      <x:c r="P31" s="22" t="str">
        <x:v>估计不可信、超预算或路径退化时回到本地 cache/备用副本/partial recompute/recompute</x:v>
      </x:c>
      <x:c r="Q31" s="22" t="str">
        <x:v>同机架内本地及远端DDR命中率（Local Usable Hit Rate）提升≥30%。</x:v>
      </x:c>
      <x:c r="R31" s="22" t="str">
        <x:v>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1" s="22" t="str">
        <x:v>依赖L2语义契约与L4 capability/driver</x:v>
      </x:c>
      <x:c r="T31" s="22" t="str">
        <x:v>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x:v>
      </x:c>
    </x:row>
    <x:row r="32" ht="78" customHeight="1">
      <x:c r="A32" s="25" t="str">
        <x:v>SR-01-03-09</x:v>
      </x:c>
      <x:c r="B32" s="25" t="str">
        <x:v>IR-01-03</x:v>
      </x:c>
      <x:c r="C32" s="25" t="str">
        <x:v>SF-01</x:v>
      </x:c>
      <x:c r="D32" s="25" t="str">
        <x:v>L3-SE-GranularityDispatch-033</x:v>
      </x:c>
      <x:c r="E32" s="22" t="str">
        <x:v>V2.1基线</x:v>
      </x:c>
      <x:c r="F32" s="22" t="str">
        <x:v>L3 传输管理层</x:v>
      </x:c>
      <x:c r="G32" s="22" t="str">
        <x:v>TM1</x:v>
      </x:c>
      <x:c r="H32" s="22" t="str">
        <x:v>语义策略与路径管理</x:v>
      </x:c>
      <x:c r="I32" s="22" t="str">
        <x:v>P1</x:v>
      </x:c>
      <x:c r="J32" s="22" t="str">
        <x:v>P1</x:v>
      </x:c>
      <x:c r="K32" s="22" t="str">
        <x:v>KV 元数据与 KV 数据分流传输｜L3-SE-GranularityDispatch-033</x:v>
      </x:c>
      <x:c r="L32" s="22" t="str">
        <x:v>为了达到 IR-01-03 的“Usable Hit Rate提升≥20%；路径成本预测误差&lt;20%；单次策略调用&lt;5 μs；负收益命中强制放弃。”，系统内部必须完成：本需求要求 Transfer Manager 按数据粒度自动分发访问语义：64B–4KB metadata 优先 memory-view，0.5–8MB KV block/page 优先 bulk transfer，冷 segment/object 优先 stream/object，避免协议与数据粒度错配。</x:v>
      </x:c>
      <x:c r="M3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 详细设计必须给出接口、数据结构、并发前置条件、主路径开关、fallback 与 metrics。</x:v>
      </x:c>
      <x:c r="N32" s="22" t="str">
        <x:v>candidate placements + deadline + telemetry</x:v>
      </x:c>
      <x:c r="O32" s="22" t="str">
        <x:v>ranked QueryPlan + fallback chain + decision reason</x:v>
      </x:c>
      <x:c r="P32" s="22" t="str">
        <x:v>估计不可信、超预算或路径退化时回到本地 cache/备用副本/partial recompute/recompute</x:v>
      </x:c>
      <x:c r="Q32" s="22" t="str">
        <x:v>lookup p99 降低 ≥30%，bulk BW 提升 ≥20%；</x:v>
      </x:c>
      <x:c r="R32" s="22" t="str">
        <x:v>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2" s="22" t="str">
        <x:v>依赖L2语义契约与L4 capability/driver</x:v>
      </x:c>
      <x:c r="T32" s="22" t="str">
        <x:v>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x:v>
      </x:c>
    </x:row>
    <x:row r="33" ht="78" customHeight="1">
      <x:c r="A33" s="25" t="str">
        <x:v>SR-01-03-10</x:v>
      </x:c>
      <x:c r="B33" s="25" t="str">
        <x:v>IR-01-03</x:v>
      </x:c>
      <x:c r="C33" s="25" t="str">
        <x:v>SF-01</x:v>
      </x:c>
      <x:c r="D33" s="25" t="str">
        <x:v>L3-SE-MultiReplicaResolver-089</x:v>
      </x:c>
      <x:c r="E33" s="22" t="str">
        <x:v>V2.1基线</x:v>
      </x:c>
      <x:c r="F33" s="22" t="str">
        <x:v>L3 传输管理层</x:v>
      </x:c>
      <x:c r="G33" s="22" t="str">
        <x:v>TM1</x:v>
      </x:c>
      <x:c r="H33" s="22" t="str">
        <x:v>语义策略与路径管理</x:v>
      </x:c>
      <x:c r="I33" s="22" t="str">
        <x:v>P1</x:v>
      </x:c>
      <x:c r="J33" s="22" t="str">
        <x:v>P1</x:v>
      </x:c>
      <x:c r="K33" s="22" t="str">
        <x:v>异构分布式多副本的最优路径路由决策｜L3-SE-MultiReplicaResolver-089</x:v>
      </x:c>
      <x:c r="L33" s="22" t="str">
        <x:v>为了达到 IR-01-03 的“Usable Hit Rate提升≥20%；路径成本预测误差&lt;20%；单次策略调用&lt;5 μs；负收益命中强制放弃。”，系统内部必须完成：本需求要求实现多副本位置自适应感知与最优路由路径解析算法（Multi-Replica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M33"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 详细设计必须给出接口、数据结构、并发前置条件、主路径开关、fallback 与 metrics。</x:v>
      </x:c>
      <x:c r="N33" s="22" t="str">
        <x:v>candidate placements + deadline + telemetry</x:v>
      </x:c>
      <x:c r="O33" s="22" t="str">
        <x:v>ranked QueryPlan + fallback chain + decision reason</x:v>
      </x:c>
      <x:c r="P33" s="22" t="str">
        <x:v>估计不可信、超预算或路径退化时回到本地 cache/备用副本/partial recompute/recompute</x:v>
      </x:c>
      <x:c r="Q33" s="22" t="str">
        <x:v>同机架内本地及远端DDR命中率（Local Usable Hit Rate）提升≥30%。</x:v>
      </x:c>
      <x:c r="R33" s="22" t="str">
        <x:v>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3" s="22" t="str">
        <x:v>依赖L2语义契约与L4 capability/driver</x:v>
      </x:c>
      <x:c r="T33" s="22" t="str">
        <x:v>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x:v>
      </x:c>
    </x:row>
    <x:row r="34" ht="78" customHeight="1">
      <x:c r="A34" s="25" t="str">
        <x:v>SR-01-03-11</x:v>
      </x:c>
      <x:c r="B34" s="25" t="str">
        <x:v>IR-01-03</x:v>
      </x:c>
      <x:c r="C34" s="25" t="str">
        <x:v>SF-01</x:v>
      </x:c>
      <x:c r="D34" s="25" t="str">
        <x:v>L3-SE-ViewCopyCostModel-034</x:v>
      </x:c>
      <x:c r="E34" s="22" t="str">
        <x:v>V2.1基线</x:v>
      </x:c>
      <x:c r="F34" s="22" t="str">
        <x:v>L3 传输管理层</x:v>
      </x:c>
      <x:c r="G34" s="22" t="str">
        <x:v>TM1</x:v>
      </x:c>
      <x:c r="H34" s="22" t="str">
        <x:v>语义策略与路径管理</x:v>
      </x:c>
      <x:c r="I34" s="22" t="str">
        <x:v>P1</x:v>
      </x:c>
      <x:c r="J34" s="22" t="str">
        <x:v>P1</x:v>
      </x:c>
      <x:c r="K34" s="22" t="str">
        <x:v>近端热 KV 直访与回填优化｜L3-SE-ViewCopyCostModel-034</x:v>
      </x:c>
      <x:c r="L34" s="22" t="str">
        <x:v>为了达到 IR-01-03 的“Usable Hit Rate提升≥20%；路径成本预测误差&lt;20%；单次策略调用&lt;5 μs；负收益命中强制放弃。”，系统内部必须完成：本需求要求实现 view-vs-copy cost model：综合 direct view stall cycles、copy-to-HBM cost、expected reuse count、deadline 和 TPOT 敏感性，判断 UB/C2C warm KV 应直接访问还是先 copy 到 HBM。</x:v>
      </x:c>
      <x:c r="M34"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 详细设计必须给出接口、数据结构、并发前置条件、主路径开关、fallback 与 metrics。</x:v>
      </x:c>
      <x:c r="N34" s="22" t="str">
        <x:v>candidate placements + deadline + telemetry</x:v>
      </x:c>
      <x:c r="O34" s="22" t="str">
        <x:v>ranked QueryPlan + fallback chain + decision reason</x:v>
      </x:c>
      <x:c r="P34" s="22" t="str">
        <x:v>估计不可信、超预算或路径退化时回到本地 cache/备用副本/partial recompute/recompute</x:v>
      </x:c>
      <x:c r="Q34" s="22" t="str">
        <x:v>TPOT 回退 &lt;3%，TTFT 降低 ≥10%；</x:v>
      </x:c>
      <x:c r="R34" s="22" t="str">
        <x:v>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4" s="22" t="str">
        <x:v>依赖L2语义契约与L4 capability/driver</x:v>
      </x:c>
      <x:c r="T34" s="22" t="str">
        <x:v>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x:v>
      </x:c>
    </x:row>
    <x:row r="35" ht="78" customHeight="1">
      <x:c r="A35" s="25" t="str">
        <x:v>SR-01-03-12</x:v>
      </x:c>
      <x:c r="B35" s="25" t="str">
        <x:v>IR-01-03</x:v>
      </x:c>
      <x:c r="C35" s="25" t="str">
        <x:v>SF-01</x:v>
      </x:c>
      <x:c r="D35" s="25" t="str">
        <x:v>L3-TRANS-TOPO-SENSE-004</x:v>
      </x:c>
      <x:c r="E35" s="22" t="str">
        <x:v>V2.1基线</x:v>
      </x:c>
      <x:c r="F35" s="22" t="str">
        <x:v>L3 传输管理层</x:v>
      </x:c>
      <x:c r="G35" s="22" t="str">
        <x:v>TM1</x:v>
      </x:c>
      <x:c r="H35" s="22" t="str">
        <x:v>语义策略与路径管理</x:v>
      </x:c>
      <x:c r="I35" s="22" t="str">
        <x:v>P1</x:v>
      </x:c>
      <x:c r="J35" s="22" t="str">
        <x:v>P1</x:v>
      </x:c>
      <x:c r="K35" s="22" t="str">
        <x:v>动态传输质量适应｜L3-TRANS-TOPO-SENSE-004</x:v>
      </x:c>
      <x:c r="L35" s="22" t="str">
        <x:v>为了达到 IR-01-03 的“Usable Hit Rate提升≥20%；路径成本预测误差&lt;20%；单次策略调用&lt;5 μs；负收益命中强制放弃。”，系统内部必须完成：本需求要求实现传输路径质量实时感知机制，以100ms为周期采样各路径P50/P99时延（RDMA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x:v>
      </x:c>
      <x:c r="M35"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 详细设计必须给出接口、数据结构、并发前置条件、主路径开关、fallback 与 metrics。</x:v>
      </x:c>
      <x:c r="N35" s="22" t="str">
        <x:v>candidate placements + deadline + telemetry</x:v>
      </x:c>
      <x:c r="O35" s="22" t="str">
        <x:v>ranked QueryPlan + fallback chain + decision reason</x:v>
      </x:c>
      <x:c r="P35" s="22" t="str">
        <x:v>估计不可信、超预算或路径退化时回到本地 cache/备用副本/partial recompute/recompute</x:v>
      </x:c>
      <x:c r="Q35" s="22" t="str">
        <x:v>传输端到端延迟降低≥40%，CPU占用率(System Load)下降。</x:v>
      </x:c>
      <x:c r="R35" s="22" t="str">
        <x:v>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5" s="22" t="str">
        <x:v>依赖L2语义契约与L4 capability/driver</x:v>
      </x:c>
      <x:c r="T35" s="22" t="str">
        <x:v>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x:v>
      </x:c>
    </x:row>
    <x:row r="36" ht="78" customHeight="1">
      <x:c r="A36" s="25" t="str">
        <x:v>SR-01-04-01</x:v>
      </x:c>
      <x:c r="B36" s="25" t="str">
        <x:v>IR-01-04</x:v>
      </x:c>
      <x:c r="C36" s="25" t="str">
        <x:v>SF-01</x:v>
      </x:c>
      <x:c r="D36" s="25" t="str">
        <x:v>L3-MS-HotReplication-040</x:v>
      </x:c>
      <x:c r="E36" s="22" t="str">
        <x:v>V2.1基线</x:v>
      </x:c>
      <x:c r="F36" s="22" t="str">
        <x:v>L3 传输管理层</x:v>
      </x:c>
      <x:c r="G36" s="22" t="str">
        <x:v>TM4</x:v>
      </x:c>
      <x:c r="H36" s="22" t="str">
        <x:v>传输编排与广播</x:v>
      </x:c>
      <x:c r="I36" s="22" t="str">
        <x:v>P1</x:v>
      </x:c>
      <x:c r="J36" s="22" t="str">
        <x:v>P1</x:v>
      </x:c>
      <x:c r="K36" s="22" t="str">
        <x:v>热点前缀 KVCache 多副本扩散｜L3-MS-HotReplication-040</x:v>
      </x:c>
      <x:c r="L36" s="22" t="str">
        <x:v>为了达到 IR-01-04 的“P/D handoff p99降低≥20%；热点分发p99降低≥40%；广播完成率≥99.99%；计算/传输重叠≥60%。”，系统内部必须完成：本需求要求对公共 system prompt、agent tool schema、RAG 热模板等 hot prefix 自动复制到多个本地 DDR、UB pool 或远端 DDR shard，复制决策由 QPS、p99 latency、queue depth 和 cross-node bytes 触发。</x:v>
      </x:c>
      <x:c r="M3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 详细设计必须给出接口、数据结构、并发前置条件、主路径开关、fallback 与 metrics。</x:v>
      </x:c>
      <x:c r="N36" s="22" t="str">
        <x:v>QueryPlan + BulkDescriptor + traffic class</x:v>
      </x:c>
      <x:c r="O36" s="22" t="str">
        <x:v>TransferTicket + completion/fence + per-target result</x:v>
      </x:c>
      <x:c r="P36" s="22" t="str">
        <x:v>部分目标失败时隔离重试；deadline到期取消未提交任务并按目标粒度回退</x:v>
      </x:c>
      <x:c r="Q36" s="22" t="str">
        <x:v>hot shard p99 降低 ≥40%；</x:v>
      </x:c>
      <x:c r="R36" s="22" t="str">
        <x:v>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6" s="22" t="str">
        <x:v>依赖L2语义契约与L4 capability/driver</x:v>
      </x:c>
      <x:c r="T36" s="22" t="str">
        <x:v>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x:v>
      </x:c>
    </x:row>
    <x:row r="37" ht="78" customHeight="1">
      <x:c r="A37" s="25" t="str">
        <x:v>SR-01-04-02</x:v>
      </x:c>
      <x:c r="B37" s="25" t="str">
        <x:v>IR-01-04</x:v>
      </x:c>
      <x:c r="C37" s="25" t="str">
        <x:v>SF-01</x:v>
      </x:c>
      <x:c r="D37" s="25" t="str">
        <x:v>L3-MS-StateAwarePrefetch-081</x:v>
      </x:c>
      <x:c r="E37" s="22" t="str">
        <x:v>V2.1基线</x:v>
      </x:c>
      <x:c r="F37" s="22" t="str">
        <x:v>L3 传输管理层</x:v>
      </x:c>
      <x:c r="G37" s="22" t="str">
        <x:v>TM4</x:v>
      </x:c>
      <x:c r="H37" s="22" t="str">
        <x:v>传输编排与广播</x:v>
      </x:c>
      <x:c r="I37" s="22" t="str">
        <x:v>P1</x:v>
      </x:c>
      <x:c r="J37" s="22" t="str">
        <x:v>P1</x:v>
      </x:c>
      <x:c r="K37" s="22" t="str">
        <x:v>状态感知的 KV 预取｜L3-MS-StateAwarePrefetch-081</x:v>
      </x:c>
      <x:c r="L37" s="22" t="str">
        <x:v>为了达到 IR-01-04 的“P/D handoff p99降低≥20%；热点分发p99降低≥40%；广播完成率≥99.99%；计算/传输重叠≥60%。”，系统内部必须完成：本需求要求预取引擎必须感知 KV object state 和 placement state：对 READY 远端副本可预取，对 MIGRATING 副本延迟或改选源，对 EVICTING 副本禁止预取，对 TOMBSTONE/FAILED 副本直接返回 miss。</x:v>
      </x:c>
      <x:c r="M37"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 详细设计必须给出接口、数据结构、并发前置条件、主路径开关、fallback 与 metrics。</x:v>
      </x:c>
      <x:c r="N37" s="22" t="str">
        <x:v>QueryPlan + BulkDescriptor + traffic class</x:v>
      </x:c>
      <x:c r="O37" s="22" t="str">
        <x:v>TransferTicket + completion/fence + per-target result</x:v>
      </x:c>
      <x:c r="P37" s="22" t="str">
        <x:v>部分目标失败时隔离重试；deadline到期取消未提交任务并按目标粒度回退</x:v>
      </x:c>
      <x:c r="Q37" s="22" t="str">
        <x:v>节点动态加入/退出时的缓存失效控制在局部范围内（遵循一致性哈希比例）。</x:v>
      </x:c>
      <x:c r="R37" s="22" t="str">
        <x:v>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7" s="22" t="str">
        <x:v>依赖L2语义契约与L4 capability/driver</x:v>
      </x:c>
      <x:c r="T37" s="22" t="str">
        <x:v>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x:v>
      </x:c>
    </x:row>
    <x:row r="38" ht="78" customHeight="1">
      <x:c r="A38" s="25" t="str">
        <x:v>SR-01-04-03</x:v>
      </x:c>
      <x:c r="B38" s="25" t="str">
        <x:v>IR-01-04</x:v>
      </x:c>
      <x:c r="C38" s="25" t="str">
        <x:v>SF-01</x:v>
      </x:c>
      <x:c r="D38" s="25" t="str">
        <x:v>L3-C2C-POOL-SCHED-002</x:v>
      </x:c>
      <x:c r="E38" s="22" t="str">
        <x:v>V2.1基线</x:v>
      </x:c>
      <x:c r="F38" s="22" t="str">
        <x:v>L3 传输管理层</x:v>
      </x:c>
      <x:c r="G38" s="22" t="str">
        <x:v>TM4</x:v>
      </x:c>
      <x:c r="H38" s="22" t="str">
        <x:v>传输编排与广播</x:v>
      </x:c>
      <x:c r="I38" s="22" t="str">
        <x:v>P2</x:v>
      </x:c>
      <x:c r="J38" s="22" t="str">
        <x:v>P2</x:v>
      </x:c>
      <x:c r="K38" s="22" t="str">
        <x:v>C2C统一内存热度调度｜L3-C2C-POOL-SCHED-002</x:v>
      </x:c>
      <x:c r="L38" s="22" t="str">
        <x:v>为了达到 IR-01-04 的“P/D handoff p99降低≥20%；热点分发p99降低≥40%；广播完成率≥99.99%；计算/传输重叠≥60%。”，系统内部必须完成：本需求要求基于NPU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x:v>
      </x:c>
      <x:c r="M38"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 详细设计必须给出接口、数据结构、并发前置条件、主路径开关、fallback 与 metrics。</x:v>
      </x:c>
      <x:c r="N38" s="22" t="str">
        <x:v>QueryPlan + BulkDescriptor + traffic class</x:v>
      </x:c>
      <x:c r="O38" s="22" t="str">
        <x:v>TransferTicket + completion/fence + per-target result</x:v>
      </x:c>
      <x:c r="P38" s="22" t="str">
        <x:v>部分目标失败时隔离重试；deadline到期取消未提交任务并按目标粒度回退</x:v>
      </x:c>
      <x:c r="Q38" s="22" t="str">
        <x:v>节点动态加入/退出时的缓存失效控制在局部范围内（遵循一致性哈希比例）。</x:v>
      </x:c>
      <x:c r="R38" s="22" t="str">
        <x:v>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8" s="22" t="str">
        <x:v>依赖L2语义契约与L4 capability/driver</x:v>
      </x:c>
      <x:c r="T38" s="22" t="str">
        <x:v>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x:v>
      </x:c>
    </x:row>
    <x:row r="39" ht="78" customHeight="1">
      <x:c r="A39" s="25" t="str">
        <x:v>SR-01-04-04</x:v>
      </x:c>
      <x:c r="B39" s="25" t="str">
        <x:v>IR-01-04</x:v>
      </x:c>
      <x:c r="C39" s="25" t="str">
        <x:v>SF-01</x:v>
      </x:c>
      <x:c r="D39" s="25" t="str">
        <x:v>L3-LMC-PRFCH-ENGINE-001</x:v>
      </x:c>
      <x:c r="E39" s="22" t="str">
        <x:v>V2.1基线</x:v>
      </x:c>
      <x:c r="F39" s="22" t="str">
        <x:v>L3 传输管理层</x:v>
      </x:c>
      <x:c r="G39" s="22" t="str">
        <x:v>TM4</x:v>
      </x:c>
      <x:c r="H39" s="22" t="str">
        <x:v>传输编排与广播</x:v>
      </x:c>
      <x:c r="I39" s="22" t="str">
        <x:v>P2</x:v>
      </x:c>
      <x:c r="J39" s="22" t="str">
        <x:v>P2</x:v>
      </x:c>
      <x:c r="K39" s="22" t="str">
        <x:v>冷KVCache预取加热｜L3-LMC-PRFCH-ENGINE-001</x:v>
      </x:c>
      <x:c r="L39" s="22" t="str">
        <x:v>为了达到 IR-01-04 的“P/D handoff p99降低≥20%；热点分发p99降低≥40%；广播完成率≥99.99%；计算/传输重叠≥60%。”，系统内部必须完成：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x:v>
      </x:c>
      <x:c r="M39"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 详细设计必须给出接口、数据结构、并发前置条件、主路径开关、fallback 与 metrics。</x:v>
      </x:c>
      <x:c r="N39" s="22" t="str">
        <x:v>QueryPlan + BulkDescriptor + traffic class</x:v>
      </x:c>
      <x:c r="O39" s="22" t="str">
        <x:v>TransferTicket + completion/fence + per-target result</x:v>
      </x:c>
      <x:c r="P39" s="22" t="str">
        <x:v>部分目标失败时隔离重试；deadline到期取消未提交任务并按目标粒度回退</x:v>
      </x:c>
      <x:c r="Q39" s="22" t="str">
        <x:v>Prefix命中判定P99耗时 &lt; 200us；在Share-Prefix业务下，Usable Hit Rate提升≥15%。</x:v>
      </x:c>
      <x:c r="R39" s="22" t="str">
        <x:v>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9" s="22" t="str">
        <x:v>依赖L2语义契约与L4 capability/driver</x:v>
      </x:c>
      <x:c r="T39" s="22" t="str">
        <x:v>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x:v>
      </x:c>
    </x:row>
    <x:row r="40" ht="78" customHeight="1">
      <x:c r="A40" s="25" t="str">
        <x:v>SR-01-04-05</x:v>
      </x:c>
      <x:c r="B40" s="25" t="str">
        <x:v>IR-01-04</x:v>
      </x:c>
      <x:c r="C40" s="25" t="str">
        <x:v>SF-01</x:v>
      </x:c>
      <x:c r="D40" s="25" t="str">
        <x:v>L3-UB-TOPO-ROUTE-001</x:v>
      </x:c>
      <x:c r="E40" s="22" t="str">
        <x:v>V2.1基线</x:v>
      </x:c>
      <x:c r="F40" s="22" t="str">
        <x:v>L3 传输管理层</x:v>
      </x:c>
      <x:c r="G40" s="22" t="str">
        <x:v>TM4</x:v>
      </x:c>
      <x:c r="H40" s="22" t="str">
        <x:v>传输编排与广播</x:v>
      </x:c>
      <x:c r="I40" s="22" t="str">
        <x:v>P2</x:v>
      </x:c>
      <x:c r="J40" s="22" t="str">
        <x:v>P2</x:v>
      </x:c>
      <x:c r="K40" s="22" t="str">
        <x:v>机内NPU KVCache P2P高速传输｜L3-UB-TOPO-ROUTE-001</x:v>
      </x:c>
      <x:c r="L40" s="22" t="str">
        <x:v>为了达到 IR-01-04 的“P/D handoff p99降低≥20%；热点分发p99降低≥40%；广播完成率≥99.99%；计算/传输重叠≥60%。”，系统内部必须完成：本需求要求集成拓扑发现，构建完整的UBLINK连通矩阵，在KVCache P2P传输决策时优先选择UBLINK路径（bandwidth优先），实现跨NPU直接内存映射和P2P ，在同节点8卡环境下实现KVCache P2P传输带宽≥700GB/s。</x:v>
      </x:c>
      <x:c r="M40"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 详细设计必须给出接口、数据结构、并发前置条件、主路径开关、fallback 与 metrics。</x:v>
      </x:c>
      <x:c r="N40" s="22" t="str">
        <x:v>QueryPlan + BulkDescriptor + traffic class</x:v>
      </x:c>
      <x:c r="O40" s="22" t="str">
        <x:v>TransferTicket + completion/fence + per-target result</x:v>
      </x:c>
      <x:c r="P40" s="22" t="str">
        <x:v>部分目标失败时隔离重试；deadline到期取消未提交任务并按目标粒度回退</x:v>
      </x:c>
      <x:c r="Q40" s="22" t="str">
        <x:v>节点动态加入/退出时的缓存失效控制在局部范围内（遵循一致性哈希比例）。</x:v>
      </x:c>
      <x:c r="R40" s="22" t="str">
        <x:v>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0" s="22" t="str">
        <x:v>依赖L2语义契约与L4 capability/driver</x:v>
      </x:c>
      <x:c r="T40" s="22" t="str">
        <x:v>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x:v>
      </x:c>
    </x:row>
    <x:row r="41" ht="78" customHeight="1">
      <x:c r="A41" s="25" t="str">
        <x:v>SR-01-04-06</x:v>
      </x:c>
      <x:c r="B41" s="25" t="str">
        <x:v>IR-01-04</x:v>
      </x:c>
      <x:c r="C41" s="25" t="str">
        <x:v>SF-01</x:v>
      </x:c>
      <x:c r="D41" s="25" t="str">
        <x:v>L3-TRANS-MUL-ENGINE-003</x:v>
      </x:c>
      <x:c r="E41" s="22" t="str">
        <x:v>V2.1基线</x:v>
      </x:c>
      <x:c r="F41" s="22" t="str">
        <x:v>L3 传输管理层</x:v>
      </x:c>
      <x:c r="G41" s="22" t="str">
        <x:v>TM4</x:v>
      </x:c>
      <x:c r="H41" s="22" t="str">
        <x:v>传输编排与广播</x:v>
      </x:c>
      <x:c r="I41" s="22" t="str">
        <x:v>P3</x:v>
      </x:c>
      <x:c r="J41" s="22" t="str">
        <x:v>P3</x:v>
      </x:c>
      <x:c r="K41" s="22" t="str">
        <x:v>一对多KVCache高效分发｜L3-TRANS-MUL-ENGINE-003</x:v>
      </x:c>
      <x:c r="L41" s="22" t="str">
        <x:v>为了达到 IR-01-04 的“P/D handoff p99降低≥20%；热点分发p99降低≥40%；广播完成率≥99.99%；计算/传输重叠≥60%。”，系统内部必须完成：本需求要求实现1→N KVCache多播传输优化引擎，通过路由树构建（最大化局部性最小化跳数）和硬件UD组播+软件P2P relay混合模式，使Disaggregated Prefill场景下同一前缀KVCache多节点分发时发送端BW消耗为O(1)。</x:v>
      </x:c>
      <x:c r="M41"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 详细设计必须给出接口、数据结构、并发前置条件、主路径开关、fallback 与 metrics。</x:v>
      </x:c>
      <x:c r="N41" s="22" t="str">
        <x:v>QueryPlan + BulkDescriptor + traffic class</x:v>
      </x:c>
      <x:c r="O41" s="22" t="str">
        <x:v>TransferTicket + completion/fence + per-target result</x:v>
      </x:c>
      <x:c r="P41" s="22" t="str">
        <x:v>部分目标失败时隔离重试；deadline到期取消未提交任务并按目标粒度回退</x:v>
      </x:c>
      <x:c r="Q41" s="22" t="str">
        <x:v>探索直接视图(direct view)、硬件多播及硬件原子页迁移等远期能力，避免 TPOT 被直接视图意外拖慢，不强求 &lt;500ns 等极端指标。</x:v>
      </x:c>
      <x:c r="R41" s="22" t="str">
        <x:v>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1" s="22" t="str">
        <x:v>依赖L2语义契约与L4 capability/driver</x:v>
      </x:c>
      <x:c r="T41" s="22" t="str">
        <x:v>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x:v>
      </x:c>
    </x:row>
    <x:row r="42" ht="78" customHeight="1">
      <x:c r="A42" s="25" t="str">
        <x:v>SR-01-05-01</x:v>
      </x:c>
      <x:c r="B42" s="25" t="str">
        <x:v>IR-01-05</x:v>
      </x:c>
      <x:c r="C42" s="25" t="str">
        <x:v>SF-01</x:v>
      </x:c>
      <x:c r="D42" s="25" t="str">
        <x:v>L2-CONN-TOPO-ROUTE-002</x:v>
      </x:c>
      <x:c r="E42" s="22" t="str">
        <x:v>V2.1基线</x:v>
      </x:c>
      <x:c r="F42" s="22" t="str">
        <x:v>L2 KVConnector层</x:v>
      </x:c>
      <x:c r="G42" s="22" t="str">
        <x:v>TM1</x:v>
      </x:c>
      <x:c r="H42" s="22" t="str">
        <x:v>路径路由与能力探测</x:v>
      </x:c>
      <x:c r="I42" s="22" t="str">
        <x:v>P1</x:v>
      </x:c>
      <x:c r="J42" s="22" t="str">
        <x:v>P1</x:v>
      </x:c>
      <x:c r="K42" s="22" t="str">
        <x:v>动态传输路径路由｜L2-CONN-TOPO-ROUTE-002</x:v>
      </x:c>
      <x:c r="L42" s="22" t="str">
        <x:v>为了达到 IR-01-05 的“路径选择准确率≥90%；同机架 Local Usable Hit提升≥30%；故障切换&lt;200ms；探测开销&lt;0.5% BW。”，系统内部必须完成：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M42"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 详细设计必须给出接口、数据结构、并发前置条件、主路径开关、fallback 与 metrics。</x:v>
      </x:c>
      <x:c r="N42" s="22" t="str">
        <x:v>topology + device capability + queue telemetry</x:v>
      </x:c>
      <x:c r="O42" s="22" t="str">
        <x:v>ranked path set + health state + cost</x:v>
      </x:c>
      <x:c r="P42" s="22" t="str">
        <x:v>连续3次探测失败降权/摘除；无合格路径时返回明确不可达而非隐式慢路径</x:v>
      </x:c>
      <x:c r="Q42" s="22" t="str">
        <x:v>同机架内本地及远端DDR命中率（Local Usable Hit Rate）提升≥30%。</x:v>
      </x:c>
      <x:c r="R42" s="22" t="str">
        <x:v>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2" s="22" t="str">
        <x:v>依赖L3对象/目录和L4后端能力</x:v>
      </x:c>
      <x:c r="T42" s="22" t="str">
        <x:v>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x:v>
      </x:c>
    </x:row>
    <x:row r="43" ht="78" customHeight="1">
      <x:c r="A43" s="25" t="str">
        <x:v>SR-01-05-02</x:v>
      </x:c>
      <x:c r="B43" s="25" t="str">
        <x:v>IR-01-05</x:v>
      </x:c>
      <x:c r="C43" s="25" t="str">
        <x:v>SF-01</x:v>
      </x:c>
      <x:c r="D43" s="25" t="str">
        <x:v>L2-CONN-WatermarkQuery-032</x:v>
      </x:c>
      <x:c r="E43" s="22" t="str">
        <x:v>V2.1基线</x:v>
      </x:c>
      <x:c r="F43" s="22" t="str">
        <x:v>L2 KVConnector层</x:v>
      </x:c>
      <x:c r="G43" s="22" t="str">
        <x:v>TM1</x:v>
      </x:c>
      <x:c r="H43" s="22" t="str">
        <x:v>路径路由与能力探测</x:v>
      </x:c>
      <x:c r="I43" s="22" t="str">
        <x:v>P1</x:v>
      </x:c>
      <x:c r="J43" s="22" t="str">
        <x:v>P1</x:v>
      </x:c>
      <x:c r="K43" s="22" t="str">
        <x:v>动态拓扑水位路径规避｜L2-CONN-WatermarkQuery-032</x:v>
      </x:c>
      <x:c r="L43" s="22" t="str">
        <x:v>为了达到 IR-01-05 的“路径选择准确率≥90%；同机架 Local Usable Hit提升≥30%；故障切换&lt;200ms；探测开销&lt;0.5% BW。”，系统内部必须完成：本需求要求 Connector 将节点内的容量水位提示（Watermark Hints）整合进路径质量探测流中。当目标节点处于 High 水位时，自动拉高该路径的 Cost 评分，触发路由自适应引流，规避过载节点。</x:v>
      </x:c>
      <x:c r="M43"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 详细设计必须给出接口、数据结构、并发前置条件、主路径开关、fallback 与 metrics。</x:v>
      </x:c>
      <x:c r="N43" s="22" t="str">
        <x:v>topology + device capability + queue telemetry</x:v>
      </x:c>
      <x:c r="O43" s="22" t="str">
        <x:v>ranked path set + health state + cost</x:v>
      </x:c>
      <x:c r="P43" s="22" t="str">
        <x:v>连续3次探测失败降权/摘除；无合格路径时返回明确不可达而非隐式慢路径</x:v>
      </x:c>
      <x:c r="Q43" s="22" t="str">
        <x:v>同机架内本地及远端DDR命中率（Local Usable Hit Rate）提升≥30%。</x:v>
      </x:c>
      <x:c r="R43" s="22" t="str">
        <x:v>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3" s="22" t="str">
        <x:v>依赖L3对象/目录和L4后端能力</x:v>
      </x:c>
      <x:c r="T43" s="22" t="str">
        <x:v>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x:v>
      </x:c>
    </x:row>
    <x:row r="44" ht="78" customHeight="1">
      <x:c r="A44" s="25" t="str">
        <x:v>SR-01-06-01</x:v>
      </x:c>
      <x:c r="B44" s="25" t="str">
        <x:v>IR-01-06</x:v>
      </x:c>
      <x:c r="C44" s="25" t="str">
        <x:v>SF-01</x:v>
      </x:c>
      <x:c r="D44" s="25" t="str">
        <x:v>L4-OL-RegisteredPool-053</x:v>
      </x:c>
      <x:c r="E44" s="22" t="str">
        <x:v>V2.1基线</x:v>
      </x:c>
      <x:c r="F44" s="22" t="str">
        <x:v>L4 底层传输层</x:v>
      </x:c>
      <x:c r="G44" s="22" t="str">
        <x:v>TM4</x:v>
      </x:c>
      <x:c r="H44" s="22" t="str">
        <x:v>RDMA与零拷贝传输</x:v>
      </x:c>
      <x:c r="I44" s="22" t="str">
        <x:v>P0</x:v>
      </x:c>
      <x:c r="J44" s="22" t="str">
        <x:v>P0</x:v>
      </x:c>
      <x:c r="K44" s="22" t="str">
        <x:v>高频 KV 传输注册内存池化｜L4-OL-RegisteredPool-053</x:v>
      </x:c>
      <x:c r="L44" s="22" t="str">
        <x:v>为了达到 IR-01-06 的“端到端传输时延降低≥40%；有效带宽≥链路线速80%；CPU payload copy=0；CPU提交开销&lt;50 μs。”，系统内部必须完成：本需求要求底层传输层建立长生命周期 registered memory pool：HBM、DDR、UB region 应预注册为大块可复用区域，通过 offset suballocation 供 RDMA/GDR/NIXL/Mooncake 使用，避免每次 KV block 传输临时注册。</x:v>
      </x:c>
      <x:c r="M44"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 详细设计必须给出接口、数据结构、并发前置条件、主路径开关、fallback 与 metrics。</x:v>
      </x:c>
      <x:c r="N44" s="22" t="str">
        <x:v>registered extent + remote handle + descriptor</x:v>
      </x:c>
      <x:c r="O44" s="22" t="str">
        <x:v>RDMA ticket + CQ completion + hardware error</x:v>
      </x:c>
      <x:c r="P44" s="22" t="str">
        <x:v>注册失败、CQ超时或链路错误按策略切备用副本/URMA/TCP冷路径/重算</x:v>
      </x:c>
      <x:c r="Q44" s="22" t="str">
        <x:v>建立前置硬件能力矩阵和注册内存池机制，确保 KV block layout 不被碎片化，并能进行有效的硬件边界隔离。</x:v>
      </x:c>
      <x:c r="R44" s="22" t="str">
        <x:v>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4" s="22" t="str">
        <x:v>向L3提供capability、descriptor、completion与错误语义</x:v>
      </x:c>
      <x:c r="T44" s="22" t="str">
        <x:v>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x:v>
      </x:c>
    </x:row>
    <x:row r="45" ht="78" customHeight="1">
      <x:c r="A45" s="25" t="str">
        <x:v>SR-01-06-02</x:v>
      </x:c>
      <x:c r="B45" s="25" t="str">
        <x:v>IR-01-06</x:v>
      </x:c>
      <x:c r="C45" s="25" t="str">
        <x:v>SF-01</x:v>
      </x:c>
      <x:c r="D45" s="25" t="str">
        <x:v>L4-RDMA-RemoteExtentHandle-071</x:v>
      </x:c>
      <x:c r="E45" s="22" t="str">
        <x:v>V2.1基线</x:v>
      </x:c>
      <x:c r="F45" s="22" t="str">
        <x:v>L4 底层传输层</x:v>
      </x:c>
      <x:c r="G45" s="22" t="str">
        <x:v>TM4</x:v>
      </x:c>
      <x:c r="H45" s="22" t="str">
        <x:v>RDMA与零拷贝传输</x:v>
      </x:c>
      <x:c r="I45" s="22" t="str">
        <x:v>P0</x:v>
      </x:c>
      <x:c r="J45" s="22" t="str">
        <x:v>P0</x:v>
      </x:c>
      <x:c r="K45" s="22" t="str">
        <x:v>远端 KV 副本安全寻址｜L4-RDMA-RemoteExtentHandle-071</x:v>
      </x:c>
      <x:c r="L45" s="22" t="str">
        <x:v>为了达到 IR-01-06 的“端到端传输时延降低≥40%；有效带宽≥链路线速80%；CPU payload copy=0；CPU提交开销&lt;50 μs。”，系统内部必须完成：本需求要求 RDMA/accelerator-direct RDMA 路径暴露 RemoteExtentHandle，包含 rkey、remote_addr、length、node_id、device_id、registration_epoch、visibility_epoch 和 access permission；当 registered pool 重新注册或迁移时，旧 handle 必须失效。</x:v>
      </x:c>
      <x:c r="M45"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 详细设计必须给出接口、数据结构、并发前置条件、主路径开关、fallback 与 metrics。</x:v>
      </x:c>
      <x:c r="N45" s="22" t="str">
        <x:v>registered extent + remote handle + descriptor</x:v>
      </x:c>
      <x:c r="O45" s="22" t="str">
        <x:v>RDMA ticket + CQ completion + hardware error</x:v>
      </x:c>
      <x:c r="P45" s="22" t="str">
        <x:v>注册失败、CQ超时或链路错误按策略切备用副本/URMA/TCP冷路径/重算</x:v>
      </x:c>
      <x:c r="Q45" s="22" t="str">
        <x:v>全局内存利用率提升至≥85%，跨级冷热数据迁移过程中的TPOT抖动 &lt; 5%。</x:v>
      </x:c>
      <x:c r="R45" s="22" t="str">
        <x:v>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5" s="22" t="str">
        <x:v>向L3提供capability、descriptor、completion与错误语义</x:v>
      </x:c>
      <x:c r="T45" s="22" t="str">
        <x:v>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x:v>
      </x:c>
    </x:row>
    <x:row r="46" ht="78" customHeight="1">
      <x:c r="A46" s="25" t="str">
        <x:v>SR-01-06-03</x:v>
      </x:c>
      <x:c r="B46" s="25" t="str">
        <x:v>IR-01-06</x:v>
      </x:c>
      <x:c r="C46" s="25" t="str">
        <x:v>SF-01</x:v>
      </x:c>
      <x:c r="D46" s="25" t="str">
        <x:v>L4-RDMA-P2P-NPU-001</x:v>
      </x:c>
      <x:c r="E46" s="22" t="str">
        <x:v>V2.1基线</x:v>
      </x:c>
      <x:c r="F46" s="22" t="str">
        <x:v>L4 底层传输层</x:v>
      </x:c>
      <x:c r="G46" s="22" t="str">
        <x:v>TM4</x:v>
      </x:c>
      <x:c r="H46" s="22" t="str">
        <x:v>RDMA与零拷贝传输</x:v>
      </x:c>
      <x:c r="I46" s="22" t="str">
        <x:v>P1</x:v>
      </x:c>
      <x:c r="J46" s="22" t="str">
        <x:v>P1</x:v>
      </x:c>
      <x:c r="K46" s="22" t="str">
        <x:v>跨节点KVCache零拷贝传输｜L4-RDMA-P2P-NPU-001</x:v>
      </x:c>
      <x:c r="L46" s="22" t="str">
        <x:v>为了达到 IR-01-06 的“端到端传输时延降低≥40%；有效带宽≥链路线速80%；CPU payload copy=0；CPU提交开销&lt;50 μs。”，系统内部必须完成：本需求要求集成NVIDIA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M46"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 详细设计必须给出接口、数据结构、并发前置条件、主路径开关、fallback 与 metrics。</x:v>
      </x:c>
      <x:c r="N46" s="22" t="str">
        <x:v>registered extent + remote handle + descriptor</x:v>
      </x:c>
      <x:c r="O46" s="22" t="str">
        <x:v>RDMA ticket + CQ completion + hardware error</x:v>
      </x:c>
      <x:c r="P46" s="22" t="str">
        <x:v>注册失败、CQ超时或链路错误按策略切备用副本/URMA/TCP冷路径/重算</x:v>
      </x:c>
      <x:c r="Q46" s="22" t="str">
        <x:v>传输端到端延迟降低≥40%，CPU占用率(System Load)下降。</x:v>
      </x:c>
      <x:c r="R46" s="22" t="str">
        <x:v>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6" s="22" t="str">
        <x:v>向L3提供capability、descriptor、completion与错误语义</x:v>
      </x:c>
      <x:c r="T46" s="22" t="str">
        <x:v>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x:v>
      </x:c>
    </x:row>
    <x:row r="47" ht="78" customHeight="1">
      <x:c r="A47" s="25" t="str">
        <x:v>SR-01-06-04</x:v>
      </x:c>
      <x:c r="B47" s="25" t="str">
        <x:v>IR-01-06</x:v>
      </x:c>
      <x:c r="C47" s="25" t="str">
        <x:v>SF-01</x:v>
      </x:c>
      <x:c r="D47" s="25" t="str">
        <x:v>L4-RDMA-MUL-FABRIC-002</x:v>
      </x:c>
      <x:c r="E47" s="22" t="str">
        <x:v>V2.1基线</x:v>
      </x:c>
      <x:c r="F47" s="22" t="str">
        <x:v>L4 底层传输层</x:v>
      </x:c>
      <x:c r="G47" s="22" t="str">
        <x:v>TM4</x:v>
      </x:c>
      <x:c r="H47" s="22" t="str">
        <x:v>RDMA与零拷贝传输</x:v>
      </x:c>
      <x:c r="I47" s="22" t="str">
        <x:v>P3</x:v>
      </x:c>
      <x:c r="J47" s="22" t="str">
        <x:v>P3</x:v>
      </x:c>
      <x:c r="K47" s="22" t="str">
        <x:v>共享前缀KVCache批量广播｜L4-RDMA-MUL-FABRIC-002</x:v>
      </x:c>
      <x:c r="L47" s="22" t="str">
        <x:v>为了达到 IR-01-06 的“端到端传输时延降低≥40%；有效带宽≥链路线速80%；CPU payload copy=0；CPU提交开销&lt;50 μs。”，系统内部必须完成：本需求要求实现KVCache的RDMA层1→N广播传输封装，使发送端带宽消耗O(1)（与接收方数量无关）。</x:v>
      </x:c>
      <x:c r="M47" s="22"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 详细设计必须给出接口、数据结构、并发前置条件、主路径开关、fallback 与 metrics。</x:v>
      </x:c>
      <x:c r="N47" s="22" t="str">
        <x:v>registered extent + remote handle + descriptor</x:v>
      </x:c>
      <x:c r="O47" s="22" t="str">
        <x:v>RDMA ticket + CQ completion + hardware error</x:v>
      </x:c>
      <x:c r="P47" s="22" t="str">
        <x:v>注册失败、CQ超时或链路错误按策略切备用副本/URMA/TCP冷路径/重算</x:v>
      </x:c>
      <x:c r="Q47" s="22" t="str">
        <x:v>探索直接视图(direct view)、硬件多播及硬件原子页迁移等远期能力，避免 TPOT 被直接视图意外拖慢，不强求 &lt;500ns 等极端指标。</x:v>
      </x:c>
      <x:c r="R47" s="22" t="str">
        <x:v>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7" s="22" t="str">
        <x:v>向L3提供capability、descriptor、completion与错误语义</x:v>
      </x:c>
      <x:c r="T47" s="22" t="str">
        <x:v>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x:v>
      </x:c>
    </x:row>
    <x:row r="48" ht="78" customHeight="1">
      <x:c r="A48" s="25" t="str">
        <x:v>SR-01-07-01</x:v>
      </x:c>
      <x:c r="B48" s="25" t="str">
        <x:v>IR-01-07</x:v>
      </x:c>
      <x:c r="C48" s="25" t="str">
        <x:v>SF-01</x:v>
      </x:c>
      <x:c r="D48" s="25" t="str">
        <x:v>L4-UB-DirectViewGuard-072</x:v>
      </x:c>
      <x:c r="E48" s="22" t="str">
        <x:v>V2.1基线</x:v>
      </x:c>
      <x:c r="F48" s="22" t="str">
        <x:v>L4 底层传输层</x:v>
      </x:c>
      <x:c r="G48" s="22" t="str">
        <x:v>TM3</x:v>
      </x:c>
      <x:c r="H48" s="22" t="str">
        <x:v>统一内存与内存语义访问</x:v>
      </x:c>
      <x:c r="I48" s="22" t="str">
        <x:v>P0</x:v>
      </x:c>
      <x:c r="J48" s="22" t="str">
        <x:v>P0</x:v>
      </x:c>
      <x:c r="K48" s="22" t="str">
        <x:v>近端/远端 memory view 安全消费｜L4-UB-DirectViewGuard-072</x:v>
      </x:c>
      <x:c r="L48" s="22" t="str">
        <x:v>为了达到 IR-01-07 的“direct-view TPOT p99回退&lt;3%；Host Payload touch=0；stale view fault=0；HBM+C2C有效容量提升≥20%。”，系统内部必须完成：本需求要求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M48"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 详细设计必须给出接口、数据结构、并发前置条件、主路径开关、fallback 与 metrics。</x:v>
      </x:c>
      <x:c r="N48" s="22" t="str">
        <x:v>memory region + access mode hint + lease</x:v>
      </x:c>
      <x:c r="O48" s="22" t="str">
        <x:v>ViewHandle/CopyPlan + visibility evidence</x:v>
      </x:c>
      <x:c r="P48" s="22" t="str">
        <x:v>能力不满足、租约失效或远端 stall 超阈值时撤销 view 并 copy-to-HBM/recompute</x:v>
      </x:c>
      <x:c r="Q48" s="22" t="str">
        <x:v>高拥塞背景下，KVCache关键小包的P99延迟不随大流数据量线性增加。</x:v>
      </x:c>
      <x:c r="R48" s="22" t="str">
        <x:v>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8" s="22" t="str">
        <x:v>向L3提供capability、descriptor、completion与错误语义</x:v>
      </x:c>
      <x:c r="T48" s="22" t="str">
        <x:v>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x:v>
      </x:c>
    </x:row>
    <x:row r="49" ht="78" customHeight="1">
      <x:c r="A49" s="25" t="str">
        <x:v>SR-01-07-02</x:v>
      </x:c>
      <x:c r="B49" s="25" t="str">
        <x:v>IR-01-07</x:v>
      </x:c>
      <x:c r="C49" s="25" t="str">
        <x:v>SF-01</x:v>
      </x:c>
      <x:c r="D49" s="25" t="str">
        <x:v>L4-C2C-UNIFY-POOL-001</x:v>
      </x:c>
      <x:c r="E49" s="22" t="str">
        <x:v>V2.1基线</x:v>
      </x:c>
      <x:c r="F49" s="22" t="str">
        <x:v>L4 底层传输层</x:v>
      </x:c>
      <x:c r="G49" s="22" t="str">
        <x:v>TM3</x:v>
      </x:c>
      <x:c r="H49" s="22" t="str">
        <x:v>统一内存与内存语义访问</x:v>
      </x:c>
      <x:c r="I49" s="22" t="str">
        <x:v>P1</x:v>
      </x:c>
      <x:c r="J49" s="22" t="str">
        <x:v>P1</x:v>
      </x:c>
      <x:c r="K49" s="22" t="str">
        <x:v>CPU/NPU统一内存池｜L4-C2C-UNIFY-POOL-001</x:v>
      </x:c>
      <x:c r="L49" s="22" t="str">
        <x:v>为了达到 IR-01-07 的“direct-view TPOT p99回退&lt;3%；Host Payload touch=0；stale view fault=0；HBM+C2C有效容量提升≥20%。”，系统内部必须完成：本需求要求在Kunpeng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x:v>
      </x:c>
      <x:c r="M49"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 详细设计必须给出接口、数据结构、并发前置条件、主路径开关、fallback 与 metrics。</x:v>
      </x:c>
      <x:c r="N49" s="22" t="str">
        <x:v>memory region + access mode hint + lease</x:v>
      </x:c>
      <x:c r="O49" s="22" t="str">
        <x:v>ViewHandle/CopyPlan + visibility evidence</x:v>
      </x:c>
      <x:c r="P49" s="22" t="str">
        <x:v>能力不满足、租约失效或远端 stall 超阈值时撤销 view 并 copy-to-HBM/recompute</x:v>
      </x:c>
      <x:c r="Q49" s="22" t="str">
        <x:v>高拥塞背景下，KVCache关键小包的P99延迟不随大流数据量线性增加。</x:v>
      </x:c>
      <x:c r="R49" s="22" t="str">
        <x:v>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9" s="22" t="str">
        <x:v>向L3提供capability、descriptor、completion与错误语义</x:v>
      </x:c>
      <x:c r="T49" s="22" t="str">
        <x:v>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x:v>
      </x:c>
    </x:row>
    <x:row r="50" ht="78" customHeight="1">
      <x:c r="A50" s="25" t="str">
        <x:v>SR-01-07-03</x:v>
      </x:c>
      <x:c r="B50" s="25" t="str">
        <x:v>IR-01-07</x:v>
      </x:c>
      <x:c r="C50" s="25" t="str">
        <x:v>SF-01</x:v>
      </x:c>
      <x:c r="D50" s="25" t="str">
        <x:v>L4-UB-C2C-UNIFY-002</x:v>
      </x:c>
      <x:c r="E50" s="22" t="str">
        <x:v>V2.1基线</x:v>
      </x:c>
      <x:c r="F50" s="22" t="str">
        <x:v>L4 底层传输层</x:v>
      </x:c>
      <x:c r="G50" s="22" t="str">
        <x:v>TM3</x:v>
      </x:c>
      <x:c r="H50" s="22" t="str">
        <x:v>统一内存与内存语义访问</x:v>
      </x:c>
      <x:c r="I50" s="22" t="str">
        <x:v>P3</x:v>
      </x:c>
      <x:c r="J50" s="22" t="str">
        <x:v>P3</x:v>
      </x:c>
      <x:c r="K50" s="22" t="str">
        <x:v>内存语义零拷贝KV访问｜L4-UB-C2C-UNIFY-002</x:v>
      </x:c>
      <x:c r="L50" s="22" t="str">
        <x:v>为了达到 IR-01-07 的“direct-view TPOT p99回退&lt;3%；Host Payload touch=0；stale view fault=0；HBM+C2C有效容量提升≥20%。”，系统内部必须完成：本需求要求在支持UBLink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x:v>
      </x:c>
      <x:c r="M50"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 详细设计必须给出接口、数据结构、并发前置条件、主路径开关、fallback 与 metrics。</x:v>
      </x:c>
      <x:c r="N50" s="22" t="str">
        <x:v>memory region + access mode hint + lease</x:v>
      </x:c>
      <x:c r="O50" s="22" t="str">
        <x:v>ViewHandle/CopyPlan + visibility evidence</x:v>
      </x:c>
      <x:c r="P50" s="22" t="str">
        <x:v>能力不满足、租约失效或远端 stall 超阈值时撤销 view 并 copy-to-HBM/recompute</x:v>
      </x:c>
      <x:c r="Q50" s="22" t="str">
        <x:v>探索直接视图(direct view)、硬件多播及硬件原子页迁移等远期能力，避免 TPOT 被直接视图意外拖慢，不强求 &lt;500ns 等极端指标。</x:v>
      </x:c>
      <x:c r="R50" s="22" t="str">
        <x:v>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0" s="22" t="str">
        <x:v>向L3提供capability、descriptor、completion与错误语义</x:v>
      </x:c>
      <x:c r="T50" s="22" t="str">
        <x:v>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x:v>
      </x:c>
    </x:row>
    <x:row r="51" ht="78" customHeight="1">
      <x:c r="A51" s="25" t="str">
        <x:v>SR-01-07-04</x:v>
      </x:c>
      <x:c r="B51" s="25" t="str">
        <x:v>IR-01-07</x:v>
      </x:c>
      <x:c r="C51" s="25" t="str">
        <x:v>SF-01</x:v>
      </x:c>
      <x:c r="D51" s="25" t="str">
        <x:v>L4-UB-P2P-FABRIC-003</x:v>
      </x:c>
      <x:c r="E51" s="22" t="str">
        <x:v>V2.1基线</x:v>
      </x:c>
      <x:c r="F51" s="22" t="str">
        <x:v>L4 底层传输层</x:v>
      </x:c>
      <x:c r="G51" s="22" t="str">
        <x:v>TM3</x:v>
      </x:c>
      <x:c r="H51" s="22" t="str">
        <x:v>统一内存与内存语义访问</x:v>
      </x:c>
      <x:c r="I51" s="22" t="str">
        <x:v>P3</x:v>
      </x:c>
      <x:c r="J51" s="22" t="str">
        <x:v>P3</x:v>
      </x:c>
      <x:c r="K51" s="22" t="str">
        <x:v>跨节点内存语义KV访问｜L4-UB-P2P-FABRIC-003</x:v>
      </x:c>
      <x:c r="L51" s="22" t="str">
        <x:v>为了达到 IR-01-07 的“direct-view TPOT p99回退&lt;3%；Host Payload touch=0；stale view fault=0；HBM+C2C有效容量提升≥20%。”，系统内部必须完成：本需求要求对接UBFabric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x:v>
      </x:c>
      <x:c r="M51"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 详细设计必须给出接口、数据结构、并发前置条件、主路径开关、fallback 与 metrics。</x:v>
      </x:c>
      <x:c r="N51" s="22" t="str">
        <x:v>memory region + access mode hint + lease</x:v>
      </x:c>
      <x:c r="O51" s="22" t="str">
        <x:v>ViewHandle/CopyPlan + visibility evidence</x:v>
      </x:c>
      <x:c r="P51" s="22" t="str">
        <x:v>能力不满足、租约失效或远端 stall 超阈值时撤销 view 并 copy-to-HBM/recompute</x:v>
      </x:c>
      <x:c r="Q51" s="22" t="str">
        <x:v>探索直接视图(direct view)、硬件多播及硬件原子页迁移等远期能力，避免 TPOT 被直接视图意外拖慢，不强求 &lt;500ns 等极端指标。</x:v>
      </x:c>
      <x:c r="R51" s="22" t="str">
        <x:v>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1" s="22" t="str">
        <x:v>向L3提供capability、descriptor、completion与错误语义</x:v>
      </x:c>
      <x:c r="T51" s="22" t="str">
        <x:v>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x:v>
      </x:c>
    </x:row>
    <x:row r="52" ht="78" customHeight="1">
      <x:c r="A52" s="25" t="str">
        <x:v>SR-01-08-01</x:v>
      </x:c>
      <x:c r="B52" s="25" t="str">
        <x:v>IR-01-08</x:v>
      </x:c>
      <x:c r="C52" s="25" t="str">
        <x:v>SF-01</x:v>
      </x:c>
      <x:c r="D52" s="25" t="str">
        <x:v>L4-MC-PersistentExtentHandle-070</x:v>
      </x:c>
      <x:c r="E52" s="22" t="str">
        <x:v>V2.1基线</x:v>
      </x:c>
      <x:c r="F52" s="22" t="str">
        <x:v>L4 底层传输层</x:v>
      </x:c>
      <x:c r="G52" s="22" t="str">
        <x:v>TM4</x:v>
      </x:c>
      <x:c r="H52" s="22" t="str">
        <x:v>DPU卸载与分层存储I/O</x:v>
      </x:c>
      <x:c r="I52" s="22" t="str">
        <x:v>P1</x:v>
      </x:c>
      <x:c r="J52" s="22" t="str">
        <x:v>P1</x:v>
      </x:c>
      <x:c r="K52" s="22" t="str">
        <x:v>SSD/object KV 副本统一寻址｜L4-MC-PersistentExtentHandle-070</x:v>
      </x:c>
      <x:c r="L52" s="22" t="str">
        <x:v>为了达到 IR-01-08 的“SSD restore TTFT降低≥30%；GPU/NPU stall降低≥50%；CPU占用降低≥50%；顺序带宽达到设备峰值≥80%。”，系统内部必须完成：本需求要求 SSD/GDS/object tier 中的 KV segment 暴露 PersistentExtentHandle，记录 file/object key、offset、length、alignment、checksum、layout 和 durability state，使 L3 manifest 可以统一描述内存副本与持久化副本。</x:v>
      </x:c>
      <x:c r="M52"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 详细设计必须给出接口、数据结构、并发前置条件、主路径开关、fallback 与 metrics。</x:v>
      </x:c>
      <x:c r="N52" s="22" t="str">
        <x:v>persistent extent + object key + slack budget</x:v>
      </x:c>
      <x:c r="O52" s="22" t="str">
        <x:v>I/O ticket + durability/checksum evidence</x:v>
      </x:c>
      <x:c r="P52" s="22" t="str">
        <x:v>tiny I/O合并失败或Direct能力不可用时显式 staged path；冷路径限流且不抢占TTFT队列</x:v>
      </x:c>
      <x:c r="Q52" s="22" t="str">
        <x:v>高拥塞背景下，KVCache关键小包的P99延迟不随大流数据量线性增加。</x:v>
      </x:c>
      <x:c r="R52" s="22" t="str">
        <x:v>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2" s="22" t="str">
        <x:v>向L3提供capability、descriptor、completion与错误语义</x:v>
      </x:c>
      <x:c r="T52" s="22" t="str">
        <x:v>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x:v>
      </x:c>
    </x:row>
    <x:row r="53" ht="78" customHeight="1">
      <x:c r="A53" s="25" t="str">
        <x:v>SR-01-08-02</x:v>
      </x:c>
      <x:c r="B53" s="25" t="str">
        <x:v>IR-01-08</x:v>
      </x:c>
      <x:c r="C53" s="25" t="str">
        <x:v>SF-01</x:v>
      </x:c>
      <x:c r="D53" s="25" t="str">
        <x:v>L4-MC-HIER-STORE-001</x:v>
      </x:c>
      <x:c r="E53" s="22" t="str">
        <x:v>V2.1基线</x:v>
      </x:c>
      <x:c r="F53" s="22" t="str">
        <x:v>L4 底层传输层</x:v>
      </x:c>
      <x:c r="G53" s="22" t="str">
        <x:v>TM4</x:v>
      </x:c>
      <x:c r="H53" s="22" t="str">
        <x:v>DPU卸载与分层存储I/O</x:v>
      </x:c>
      <x:c r="I53" s="22" t="str">
        <x:v>P2</x:v>
      </x:c>
      <x:c r="J53" s="22" t="str">
        <x:v>P2</x:v>
      </x:c>
      <x:c r="K53" s="22" t="str">
        <x:v>KVCache多层异构架构｜L4-MC-HIER-STORE-001</x:v>
      </x:c>
      <x:c r="L53" s="22" t="str">
        <x:v>为了达到 IR-01-08 的“SSD restore TTFT降低≥30%；GPU/NPU stall降低≥50%；CPU占用降低≥50%；顺序带宽达到设备峰值≥80%。”，系统内部必须完成：本需求要求实现KVCache三层分级直出，实现NPU直接访问本地SSD（NPUDirectSSD）、NPU直接出网卡（NPUDirectNIC），提升KVCache在不同介质、不同节点之间的流动效率。</x:v>
      </x:c>
      <x:c r="M53"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 详细设计必须给出接口、数据结构、并发前置条件、主路径开关、fallback 与 metrics。</x:v>
      </x:c>
      <x:c r="N53" s="22" t="str">
        <x:v>persistent extent + object key + slack budget</x:v>
      </x:c>
      <x:c r="O53" s="22" t="str">
        <x:v>I/O ticket + durability/checksum evidence</x:v>
      </x:c>
      <x:c r="P53" s="22" t="str">
        <x:v>tiny I/O合并失败或Direct能力不可用时显式 staged path；冷路径限流且不抢占TTFT队列</x:v>
      </x:c>
      <x:c r="Q53" s="22" t="str">
        <x:v>高拥塞背景下，KVCache关键小包的P99延迟不随大流数据量线性增加。</x:v>
      </x:c>
      <x:c r="R53" s="22" t="str">
        <x:v>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3" s="22" t="str">
        <x:v>向L3提供capability、descriptor、completion与错误语义</x:v>
      </x:c>
      <x:c r="T53" s="22" t="str">
        <x:v>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x:v>
      </x:c>
    </x:row>
    <x:row r="54" ht="78" customHeight="1">
      <x:c r="A54" s="25" t="str">
        <x:v>SR-01-08-03</x:v>
      </x:c>
      <x:c r="B54" s="25" t="str">
        <x:v>IR-01-08</x:v>
      </x:c>
      <x:c r="C54" s="25" t="str">
        <x:v>SF-01</x:v>
      </x:c>
      <x:c r="D54" s="25" t="str">
        <x:v>L4-MC-HIER-STORE-002</x:v>
      </x:c>
      <x:c r="E54" s="22" t="str">
        <x:v>V2.1基线</x:v>
      </x:c>
      <x:c r="F54" s="22" t="str">
        <x:v>L4 底层传输层</x:v>
      </x:c>
      <x:c r="G54" s="22" t="str">
        <x:v>TM4</x:v>
      </x:c>
      <x:c r="H54" s="22" t="str">
        <x:v>DPU卸载与分层存储I/O</x:v>
      </x:c>
      <x:c r="I54" s="22" t="str">
        <x:v>P3</x:v>
      </x:c>
      <x:c r="J54" s="22" t="str">
        <x:v>P3</x:v>
      </x:c>
      <x:c r="K54" s="22" t="str">
        <x:v>KVCache多层异构架构｜L4-MC-HIER-STORE-002</x:v>
      </x:c>
      <x:c r="L54" s="22" t="str">
        <x:v>为了达到 IR-01-08 的“SSD restore TTFT降低≥30%；GPU/NPU stall降低≥50%；CPU占用降低≥50%；顺序带宽达到设备峰值≥80%。”，系统内部必须完成：本需求要求实现KVCache on-the-fly 压缩功能，在从NPU卸载到DDR或SSD时，提供on-the-fly无刷压缩功能。</x:v>
      </x:c>
      <x:c r="M54"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 详细设计必须给出接口、数据结构、并发前置条件、主路径开关、fallback 与 metrics。</x:v>
      </x:c>
      <x:c r="N54" s="22" t="str">
        <x:v>persistent extent + object key + slack budget</x:v>
      </x:c>
      <x:c r="O54" s="22" t="str">
        <x:v>I/O ticket + durability/checksum evidence</x:v>
      </x:c>
      <x:c r="P54" s="22" t="str">
        <x:v>tiny I/O合并失败或Direct能力不可用时显式 staged path；冷路径限流且不抢占TTFT队列</x:v>
      </x:c>
      <x:c r="Q54" s="22" t="str">
        <x:v>高拥塞背景下，KVCache关键小包的P99延迟不随大流数据量线性增加。</x:v>
      </x:c>
      <x:c r="R54" s="22" t="str">
        <x:v>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4" s="22" t="str">
        <x:v>向L3提供capability、descriptor、completion与错误语义</x:v>
      </x:c>
      <x:c r="T54" s="22" t="str">
        <x:v>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x:v>
      </x:c>
    </x:row>
    <x:row r="55" ht="78" customHeight="1">
      <x:c r="A55" s="25" t="str">
        <x:v>SR-01-08-04</x:v>
      </x:c>
      <x:c r="B55" s="25" t="str">
        <x:v>IR-01-08</x:v>
      </x:c>
      <x:c r="C55" s="25" t="str">
        <x:v>SF-01</x:v>
      </x:c>
      <x:c r="D55" s="25" t="str">
        <x:v>L4-MC-HIER-STORE-003</x:v>
      </x:c>
      <x:c r="E55" s="22" t="str">
        <x:v>V2.1基线</x:v>
      </x:c>
      <x:c r="F55" s="22" t="str">
        <x:v>L4 底层传输层</x:v>
      </x:c>
      <x:c r="G55" s="22" t="str">
        <x:v>TM4</x:v>
      </x:c>
      <x:c r="H55" s="22" t="str">
        <x:v>DPU卸载与分层存储I/O</x:v>
      </x:c>
      <x:c r="I55" s="22" t="str">
        <x:v>P3</x:v>
      </x:c>
      <x:c r="J55" s="22" t="str">
        <x:v>P3</x:v>
      </x:c>
      <x:c r="K55" s="22" t="str">
        <x:v>KVCache多层异构架构｜L4-MC-HIER-STORE-003</x:v>
      </x:c>
      <x:c r="L55" s="22" t="str">
        <x:v>为了达到 IR-01-08 的“SSD restore TTFT降低≥30%；GPU/NPU stall降低≥50%；CPU占用降低≥50%；顺序带宽达到设备峰值≥80%。”，系统内部必须完成：本需求要求实现KVCache on-the-fly 解压缩功能，在从DDR或SSD加载到NPU时，提供on-the-fly的解压缩功能。</x:v>
      </x:c>
      <x:c r="M55"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 详细设计必须给出接口、数据结构、并发前置条件、主路径开关、fallback 与 metrics。</x:v>
      </x:c>
      <x:c r="N55" s="22" t="str">
        <x:v>persistent extent + object key + slack budget</x:v>
      </x:c>
      <x:c r="O55" s="22" t="str">
        <x:v>I/O ticket + durability/checksum evidence</x:v>
      </x:c>
      <x:c r="P55" s="22" t="str">
        <x:v>tiny I/O合并失败或Direct能力不可用时显式 staged path；冷路径限流且不抢占TTFT队列</x:v>
      </x:c>
      <x:c r="Q55" s="22" t="str">
        <x:v>高拥塞背景下，KVCache关键小包的P99延迟不随大流数据量线性增加。</x:v>
      </x:c>
      <x:c r="R55" s="22" t="str">
        <x:v>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5" s="22" t="str">
        <x:v>向L3提供capability、descriptor、completion与错误语义</x:v>
      </x:c>
      <x:c r="T55" s="22" t="str">
        <x:v>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x:v>
      </x:c>
    </x:row>
    <x:row r="56" ht="78" customHeight="1">
      <x:c r="A56" s="25" t="str">
        <x:v>SR-01-08-05</x:v>
      </x:c>
      <x:c r="B56" s="25" t="str">
        <x:v>IR-01-08</x:v>
      </x:c>
      <x:c r="C56" s="25" t="str">
        <x:v>SF-01</x:v>
      </x:c>
      <x:c r="D56" s="25" t="str">
        <x:v>L4-NET-OFFLOAD-DPU-001</x:v>
      </x:c>
      <x:c r="E56" s="22" t="str">
        <x:v>V2.1基线</x:v>
      </x:c>
      <x:c r="F56" s="22" t="str">
        <x:v>L4 底层传输层</x:v>
      </x:c>
      <x:c r="G56" s="22" t="str">
        <x:v>TM4</x:v>
      </x:c>
      <x:c r="H56" s="22" t="str">
        <x:v>DPU卸载与分层存储I/O</x:v>
      </x:c>
      <x:c r="I56" s="22" t="str">
        <x:v>P3</x:v>
      </x:c>
      <x:c r="J56" s="22" t="str">
        <x:v>P3</x:v>
      </x:c>
      <x:c r="K56" s="22" t="str">
        <x:v>传输数据路径CPU卸载｜L4-NET-OFFLOAD-DPU-001</x:v>
      </x:c>
      <x:c r="L56" s="22" t="str">
        <x:v>为了达到 IR-01-08 的“SSD restore TTFT降低≥30%；GPU/NPU stall降低≥50%；CPU占用降低≥50%；顺序带宽达到设备峰值≥80%。”，系统内部必须完成：本需求要求将KVCache RDMA传输的控制路径（CQ轮询与完成中断通知Host）、数据路径（INT8量化卸载到DPU FPGA）和路由决策（Mooncake路由表本地化到DPU）卸载至 DPU，使Host CPU的KVCache传输相关开销降低≥70%。</x:v>
      </x:c>
      <x:c r="M56"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 详细设计必须给出接口、数据结构、并发前置条件、主路径开关、fallback 与 metrics。</x:v>
      </x:c>
      <x:c r="N56" s="22" t="str">
        <x:v>persistent extent + object key + slack budget</x:v>
      </x:c>
      <x:c r="O56" s="22" t="str">
        <x:v>I/O ticket + durability/checksum evidence</x:v>
      </x:c>
      <x:c r="P56" s="22" t="str">
        <x:v>tiny I/O合并失败或Direct能力不可用时显式 staged path；冷路径限流且不抢占TTFT队列</x:v>
      </x:c>
      <x:c r="Q56" s="22" t="str">
        <x:v>作为平台补充能力，在支持 DPU 卸载的硬件上验证数据面/控制面卸载效果，P99 延迟不显著恶化。</x:v>
      </x:c>
      <x:c r="R56" s="22" t="str">
        <x:v>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6" s="22" t="str">
        <x:v>向L3提供capability、descriptor、completion与错误语义</x:v>
      </x:c>
      <x:c r="T56" s="22" t="str">
        <x:v>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x:v>
      </x:c>
    </x:row>
    <x:row r="57" ht="78" customHeight="1">
      <x:c r="A57" s="25" t="str">
        <x:v>SR-01-09-01</x:v>
      </x:c>
      <x:c r="B57" s="25" t="str">
        <x:v>IR-01-09</x:v>
      </x:c>
      <x:c r="C57" s="25" t="str">
        <x:v>SF-01</x:v>
      </x:c>
      <x:c r="D57" s="25" t="str">
        <x:v>L4-FABRIC-ROUTER-001</x:v>
      </x:c>
      <x:c r="E57" s="22" t="str">
        <x:v>V2.1基线</x:v>
      </x:c>
      <x:c r="F57" s="22" t="str">
        <x:v>L4 底层传输层</x:v>
      </x:c>
      <x:c r="G57" s="22" t="str">
        <x:v>TM1</x:v>
      </x:c>
      <x:c r="H57" s="22" t="str">
        <x:v>Fabric能力与统一路由</x:v>
      </x:c>
      <x:c r="I57" s="22" t="str">
        <x:v>P0</x:v>
      </x:c>
      <x:c r="J57" s="22" t="str">
        <x:v>P0</x:v>
      </x:c>
      <x:c r="K57" s="22" t="str">
        <x:v>多语义底层传输统一路由｜L4-FABRIC-ROUTER-001</x:v>
      </x:c>
      <x:c r="L57" s="22" t="str">
        <x:v>为了达到 IR-01-09 的“能力表覆盖率=100%；错误路由=0；路由决策&lt;5 μs；任何 staged 例外可见且可禁用。”，系统内部必须完成：本需求要求实现混合传输Fabric路由引擎（Fabric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M57"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 详细设计必须给出接口、数据结构、并发前置条件、主路径开关、fallback 与 metrics。</x:v>
      </x:c>
      <x:c r="N57" s="22" t="str">
        <x:v>device inventory + backend probe + layout constraint</x:v>
      </x:c>
      <x:c r="O57" s="22" t="str">
        <x:v>PathCapability + feature flags + telemetry schema</x:v>
      </x:c>
      <x:c r="P57" s="22" t="str">
        <x:v>能力缺失即关闭对应 feature flag；不得静默降级为不可审计路径</x:v>
      </x:c>
      <x:c r="Q57" s="22" t="str">
        <x:v>同机架内本地及远端DDR命中率（Local Usable Hit Rate）提升≥30%。</x:v>
      </x:c>
      <x:c r="R57" s="22" t="str">
        <x:v>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7" s="22" t="str">
        <x:v>向L3提供capability、descriptor、completion与错误语义</x:v>
      </x:c>
      <x:c r="T57" s="22" t="str">
        <x:v>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x:v>
      </x:c>
    </x:row>
    <x:row r="58" ht="78" customHeight="1">
      <x:c r="A58" s="25" t="str">
        <x:v>SR-01-09-02</x:v>
      </x:c>
      <x:c r="B58" s="25" t="str">
        <x:v>IR-01-09</x:v>
      </x:c>
      <x:c r="C58" s="25" t="str">
        <x:v>SF-01</x:v>
      </x:c>
      <x:c r="D58" s="25" t="str">
        <x:v>L4-HW-HostPayloadTouchBudget-076</x:v>
      </x:c>
      <x:c r="E58" s="22" t="str">
        <x:v>V1.0增量（V2.2视角）</x:v>
      </x:c>
      <x:c r="F58" s="22" t="str">
        <x:v>L4 底层传输层</x:v>
      </x:c>
      <x:c r="G58" s="22" t="str">
        <x:v>TM4</x:v>
      </x:c>
      <x:c r="H58" s="22" t="str">
        <x:v>Fabric能力与统一路由</x:v>
      </x:c>
      <x:c r="I58" s="22" t="str">
        <x:v>P0</x:v>
      </x:c>
      <x:c r="J58" s="22" t="str">
        <x:v>P0</x:v>
      </x:c>
      <x:c r="K58" s="22" t="str">
        <x:v>识别 direct 路径真实性，防止名义 direct 实际绕行 CPU/DDR｜L4-HW-HostPayloadTouchBudget-076</x:v>
      </x:c>
      <x:c r="L58" s="22" t="str">
        <x:v>为了达到 IR-01-09 的“能力表覆盖率=100%；错误路由=0；路由决策&lt;5 μs；任何 staged 例外可见且可禁用。”，系统内部必须完成：本需求要求底层 capability 与 telemetry 对每条 KV 数据路径声明 Host Payload touch 次数、CPU copy 次数、CPU cycles/GB、是否执行 CPU codec/CRC、DMA/存储引擎和队列。HBM↔SSD 容量主路径的默认目标为 CPU 不读取 KV Payload；若平台只能 staging，必须作为显式能力降级并计入 cost model。</x:v>
      </x:c>
      <x:c r="M58" s="22" t="str">
        <x:v>P0 建立字段和microbenchmark；P1纳入QueryPlan实际成本。 详细设计必须给出接口、数据结构、并发前置条件、主路径开关、fallback 与 metrics。</x:v>
      </x:c>
      <x:c r="N58" s="22" t="str">
        <x:v>device inventory + backend probe + layout constraint</x:v>
      </x:c>
      <x:c r="O58" s="22" t="str">
        <x:v>PathCapability + feature flags + telemetry schema</x:v>
      </x:c>
      <x:c r="P58" s="22" t="str">
        <x:v>能力缺失即关闭对应 feature flag；不得静默降级为不可审计路径</x:v>
      </x:c>
      <x:c r="Q58" s="22" t="str">
        <x:v>路径报告可审计；默认主路径 CPU Payload touch=0，任何例外均可见、可禁用并进入成本模型。</x:v>
      </x:c>
      <x:c r="R58" s="22" t="str">
        <x:v>用硬件计数器、CPU profile 和 trace 对账 bytes/copy/cycles；比较 direct、staged、fallback 三类路径，验证统计误差和禁用行为。</x:v>
      </x:c>
      <x:c r="S58" s="22" t="str">
        <x:v>向L3提供capability、descriptor、completion与错误语义</x:v>
      </x:c>
      <x:c r="T58" s="22" t="str">
        <x:v>驱动与设备可能隐藏中转；仅看端到端带宽无法识别 CPU/DDR放大。</x:v>
      </x:c>
    </x:row>
    <x:row r="59" ht="78" customHeight="1">
      <x:c r="A59" s="25" t="str">
        <x:v>SR-01-09-03</x:v>
      </x:c>
      <x:c r="B59" s="25" t="str">
        <x:v>IR-01-09</x:v>
      </x:c>
      <x:c r="C59" s="25" t="str">
        <x:v>SF-01</x:v>
      </x:c>
      <x:c r="D59" s="25" t="str">
        <x:v>L4-HW-SemCapTable-050</x:v>
      </x:c>
      <x:c r="E59" s="22" t="str">
        <x:v>V2.1基线</x:v>
      </x:c>
      <x:c r="F59" s="22" t="str">
        <x:v>L4 底层传输层</x:v>
      </x:c>
      <x:c r="G59" s="22" t="str">
        <x:v>TM1</x:v>
      </x:c>
      <x:c r="H59" s="22" t="str">
        <x:v>Fabric能力与统一路由</x:v>
      </x:c>
      <x:c r="I59" s="22" t="str">
        <x:v>P0</x:v>
      </x:c>
      <x:c r="J59" s="22" t="str">
        <x:v>P0</x:v>
      </x:c>
      <x:c r="K59" s="22" t="str">
        <x:v>异构 KV 传输硬件能力建模｜L4-HW-SemCapTable-050</x:v>
      </x:c>
      <x:c r="L59" s="22" t="str">
        <x:v>为了达到 IR-01-09 的“能力表覆盖率=100%；错误路由=0；路由决策&lt;5 μs；任何 staged 例外可见且可禁用。”，系统内部必须完成：本需求要求硬件抽象层输出 semantic capability table：对每条路径声明可支持的链路类型，支持 coherent memory view、atomic、DMA、RDMA、GDS、TCP stream、QoS、fence、persistent visibility、NPU DMA，使上层不会误把所有路径当作普通 read/write。</x:v>
      </x:c>
      <x:c r="M59"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 详细设计必须给出接口、数据结构、并发前置条件、主路径开关、fallback 与 metrics。</x:v>
      </x:c>
      <x:c r="N59" s="22" t="str">
        <x:v>device inventory + backend probe + layout constraint</x:v>
      </x:c>
      <x:c r="O59" s="22" t="str">
        <x:v>PathCapability + feature flags + telemetry schema</x:v>
      </x:c>
      <x:c r="P59" s="22" t="str">
        <x:v>能力缺失即关闭对应 feature flag；不得静默降级为不可审计路径</x:v>
      </x:c>
      <x:c r="Q59" s="22" t="str">
        <x:v>建立前置硬件能力矩阵和注册内存池机制，确保 KV block layout 不被碎片化，并能进行有效的硬件边界隔离。</x:v>
      </x:c>
      <x:c r="R59" s="22" t="str">
        <x:v>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9" s="22" t="str">
        <x:v>向L3提供capability、descriptor、completion与错误语义</x:v>
      </x:c>
      <x:c r="T59" s="22" t="str">
        <x:v>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x:v>
      </x:c>
    </x:row>
    <x:row r="60" ht="78" customHeight="1">
      <x:c r="A60" s="25" t="str">
        <x:v>SR-01-09-04</x:v>
      </x:c>
      <x:c r="B60" s="25" t="str">
        <x:v>IR-01-09</x:v>
      </x:c>
      <x:c r="C60" s="25" t="str">
        <x:v>SF-01</x:v>
      </x:c>
      <x:c r="D60" s="25" t="str">
        <x:v>L4-HW-StorageLayoutCapability-067</x:v>
      </x:c>
      <x:c r="E60" s="22" t="str">
        <x:v>V2.1基线</x:v>
      </x:c>
      <x:c r="F60" s="22" t="str">
        <x:v>L4 底层传输层</x:v>
      </x:c>
      <x:c r="G60" s="22" t="str">
        <x:v>TM1</x:v>
      </x:c>
      <x:c r="H60" s="22" t="str">
        <x:v>Fabric能力与统一路由</x:v>
      </x:c>
      <x:c r="I60" s="22" t="str">
        <x:v>P0</x:v>
      </x:c>
      <x:c r="J60" s="22" t="str">
        <x:v>P0</x:v>
      </x:c>
      <x:c r="K60" s="22" t="str">
        <x:v>KV 存储布局与底层能力匹配｜L4-HW-StorageLayoutCapability-067</x:v>
      </x:c>
      <x:c r="L60" s="22" t="str">
        <x:v>为了达到 IR-01-09 的“能力表覆盖率=100%；错误路由=0；路由决策&lt;5 μs；任何 staged 例外可见且可禁用。”，系统内部必须完成：本需求要求底层能力表声明各后端对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M60"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 详细设计必须给出接口、数据结构、并发前置条件、主路径开关、fallback 与 metrics。</x:v>
      </x:c>
      <x:c r="N60" s="22" t="str">
        <x:v>device inventory + backend probe + layout constraint</x:v>
      </x:c>
      <x:c r="O60" s="22" t="str">
        <x:v>PathCapability + feature flags + telemetry schema</x:v>
      </x:c>
      <x:c r="P60" s="22" t="str">
        <x:v>能力缺失即关闭对应 feature flag；不得静默降级为不可审计路径</x:v>
      </x:c>
      <x:c r="Q60" s="22" t="str">
        <x:v>建立前置硬件能力矩阵和注册内存池机制，确保 KV block layout 不被碎片化，并能进行有效的硬件边界隔离。</x:v>
      </x:c>
      <x:c r="R60" s="22" t="str">
        <x:v>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0" s="22" t="str">
        <x:v>向L3提供capability、descriptor、completion与错误语义</x:v>
      </x:c>
      <x:c r="T60" s="22" t="str">
        <x:v>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x:v>
      </x:c>
    </x:row>
    <x:row r="61" ht="78" customHeight="1">
      <x:c r="A61" s="25" t="str">
        <x:v>SR-01-09-05</x:v>
      </x:c>
      <x:c r="B61" s="25" t="str">
        <x:v>IR-01-09</x:v>
      </x:c>
      <x:c r="C61" s="25" t="str">
        <x:v>SF-01</x:v>
      </x:c>
      <x:c r="D61" s="25" t="str">
        <x:v>L4-HW-AddrTrans-051</x:v>
      </x:c>
      <x:c r="E61" s="22" t="str">
        <x:v>V2.1基线</x:v>
      </x:c>
      <x:c r="F61" s="22" t="str">
        <x:v>L4 底层传输层</x:v>
      </x:c>
      <x:c r="G61" s="22" t="str">
        <x:v>TM1</x:v>
      </x:c>
      <x:c r="H61" s="22" t="str">
        <x:v>Fabric能力与统一路由</x:v>
      </x:c>
      <x:c r="I61" s="22" t="str">
        <x:v>P1</x:v>
      </x:c>
      <x:c r="J61" s="22" t="str">
        <x:v>P1</x:v>
      </x:c>
      <x:c r="K61" s="22" t="str">
        <x:v>共享内存 KV 访问地址转换优化｜L4-HW-AddrTrans-051</x:v>
      </x:c>
      <x:c r="L61" s="22" t="str">
        <x:v>为了达到 IR-01-09 的“能力表覆盖率=100%；错误路由=0；路由决策&lt;5 μs；任何 staged 例外可见且可禁用。”，系统内部必须完成：本需求要求硬件层为 UB/C2C/NPU/NPU memory view 暴露地址翻译 telemetry，包括 IOMMU/ATS/SMMU/TLB miss、page fault、shootdown、page size 和 first-touch 代价，使 direct view 的尾延迟可观测、可优化。</x:v>
      </x:c>
      <x:c r="M61"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 详细设计必须给出接口、数据结构、并发前置条件、主路径开关、fallback 与 metrics。</x:v>
      </x:c>
      <x:c r="N61" s="22" t="str">
        <x:v>device inventory + backend probe + layout constraint</x:v>
      </x:c>
      <x:c r="O61" s="22" t="str">
        <x:v>PathCapability + feature flags + telemetry schema</x:v>
      </x:c>
      <x:c r="P61" s="22" t="str">
        <x:v>能力缺失即关闭对应 feature flag；不得静默降级为不可审计路径</x:v>
      </x:c>
      <x:c r="Q61" s="22" t="str">
        <x:v>direct view p99 可解释；</x:v>
      </x:c>
      <x:c r="R61" s="22" t="str">
        <x:v>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1" s="22" t="str">
        <x:v>向L3提供capability、descriptor、completion与错误语义</x:v>
      </x:c>
      <x:c r="T61" s="22" t="str">
        <x:v>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x:v>
      </x:c>
    </x:row>
    <x:row r="62" ht="78" customHeight="1">
      <x:c r="A62" s="25" t="str">
        <x:v>SR-01-09-06</x:v>
      </x:c>
      <x:c r="B62" s="25" t="str">
        <x:v>IR-01-09</x:v>
      </x:c>
      <x:c r="C62" s="25" t="str">
        <x:v>SF-01</x:v>
      </x:c>
      <x:c r="D62" s="25" t="str">
        <x:v>L4-HW-NICSpecConstraint-075</x:v>
      </x:c>
      <x:c r="E62" s="22" t="str">
        <x:v>V2.1基线</x:v>
      </x:c>
      <x:c r="F62" s="22" t="str">
        <x:v>L4 底层传输层</x:v>
      </x:c>
      <x:c r="G62" s="22" t="str">
        <x:v>TM1</x:v>
      </x:c>
      <x:c r="H62" s="22" t="str">
        <x:v>Fabric能力与统一路由</x:v>
      </x:c>
      <x:c r="I62" s="22" t="str">
        <x:v>P3</x:v>
      </x:c>
      <x:c r="J62" s="22" t="str">
        <x:v>P3</x:v>
      </x:c>
      <x:c r="K62" s="22" t="str">
        <x:v>大规模集群网络软硬件协同性能兜底｜L4-HW-NICSpecConstraint-075</x:v>
      </x:c>
      <x:c r="L62" s="22" t="str">
        <x:v>为了达到 IR-01-09 的“能力表覆盖率=100%；错误路由=0；路由决策&lt;5 μs；任何 staged 例外可见且可禁用。”，系统内部必须完成：本需求要求针对底层传输层所依赖的高性能网卡（RNIC）和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x:v>
      </x:c>
      <x:c r="M62"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 详细设计必须给出接口、数据结构、并发前置条件、主路径开关、fallback 与 metrics。</x:v>
      </x:c>
      <x:c r="N62" s="22" t="str">
        <x:v>device inventory + backend probe + layout constraint</x:v>
      </x:c>
      <x:c r="O62" s="22" t="str">
        <x:v>PathCapability + feature flags + telemetry schema</x:v>
      </x:c>
      <x:c r="P62" s="22" t="str">
        <x:v>能力缺失即关闭对应 feature flag；不得静默降级为不可审计路径</x:v>
      </x:c>
      <x:c r="Q62" s="22" t="str">
        <x:v>在极高并发下OOM、非法内存访问(Segfault)、租户数据串模率为0。</x:v>
      </x:c>
      <x:c r="R62" s="22" t="str">
        <x:v>验收口径：阶段覆盖为 P3（平台约束归档）。1.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2" s="22" t="str">
        <x:v>向L3提供capability、descriptor、completion与错误语义</x:v>
      </x:c>
      <x:c r="T62" s="22" t="str">
        <x:v>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x:v>
      </x:c>
    </x:row>
    <x:row r="63" ht="78" customHeight="1">
      <x:c r="A63" s="25" t="str">
        <x:v>SR-01-10-01</x:v>
      </x:c>
      <x:c r="B63" s="25" t="str">
        <x:v>IR-01-10</x:v>
      </x:c>
      <x:c r="C63" s="25" t="str">
        <x:v>SF-01</x:v>
      </x:c>
      <x:c r="D63" s="25" t="str">
        <x:v>L2-FT-FallbackContract-029</x:v>
      </x:c>
      <x:c r="E63" s="22" t="str">
        <x:v>V2.1基线</x:v>
      </x:c>
      <x:c r="F63" s="22" t="str">
        <x:v>L2 KVConnector层</x:v>
      </x:c>
      <x:c r="G63" s="22" t="str">
        <x:v>TM6</x:v>
      </x:c>
      <x:c r="H63" s="22" t="str">
        <x:v>共享访问与故障控制</x:v>
      </x:c>
      <x:c r="I63" s="22" t="str">
        <x:v>P0</x:v>
      </x:c>
      <x:c r="J63" s="22" t="str">
        <x:v>P0</x:v>
      </x:c>
      <x:c r="K63" s="22" t="str">
        <x:v>KV 加载失败快速降级恢复｜L2-FT-FallbackContract-029</x:v>
      </x:c>
      <x:c r="L63" s="22" t="str">
        <x:v>为了达到 IR-01-10 的“stale view fault=0；重复远端拉取降低≥50%；fallback成功率=100%；fallback触发到恢复&lt;500ms。”，系统内部必须完成：本需求要求 Connector 严格执行 fallback contract：若上层 intent 禁止 TCP、SSD 或 object fallback，则 Connector 不得内部静默降级；若 deadline 到期仍未 ready，必须返回 partial hit、miss 或 recompute signal。</x:v>
      </x:c>
      <x:c r="M63"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 详细设计必须给出接口、数据结构、并发前置条件、主路径开关、fallback 与 metrics。</x:v>
      </x:c>
      <x:c r="N63" s="22" t="str">
        <x:v>AttachHandle + object version + consumer set</x:v>
      </x:c>
      <x:c r="O63" s="22" t="str">
        <x:v>lease/refcount transition + fallback result</x:v>
      </x:c>
      <x:c r="P63" s="22" t="str">
        <x:v>租约冲突或状态异常时阻断消费、quarantine 并按原因码执行备用副本或重算</x:v>
      </x:c>
      <x:c r="Q63" s="22" t="str">
        <x:v>TTFT p99 outlier 降低 ≥30%；</x:v>
      </x:c>
      <x:c r="R63" s="22" t="str">
        <x:v>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3" s="22" t="str">
        <x:v>依赖L3对象/目录和L4后端能力</x:v>
      </x:c>
      <x:c r="T63" s="22" t="str">
        <x:v>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x:v>
      </x:c>
    </x:row>
    <x:row r="64" ht="78" customHeight="1">
      <x:c r="A64" s="25" t="str">
        <x:v>SR-01-10-02</x:v>
      </x:c>
      <x:c r="B64" s="25" t="str">
        <x:v>IR-01-10</x:v>
      </x:c>
      <x:c r="C64" s="25" t="str">
        <x:v>SF-01</x:v>
      </x:c>
      <x:c r="D64" s="25" t="str">
        <x:v>L2-KV-AttachHandle-034</x:v>
      </x:c>
      <x:c r="E64" s="22" t="str">
        <x:v>V2.1基线</x:v>
      </x:c>
      <x:c r="F64" s="22" t="str">
        <x:v>L2 KVConnector层</x:v>
      </x:c>
      <x:c r="G64" s="22" t="str">
        <x:v>TM5</x:v>
      </x:c>
      <x:c r="H64" s="22" t="str">
        <x:v>共享访问与故障控制</x:v>
      </x:c>
      <x:c r="I64" s="22" t="str">
        <x:v>P0</x:v>
      </x:c>
      <x:c r="J64" s="22" t="str">
        <x:v>P0</x:v>
      </x:c>
      <x:c r="K64" s="22" t="str">
        <x:v>前缀命中后 KV 安全消费｜L2-KV-AttachHandle-034</x:v>
      </x:c>
      <x:c r="L64" s="22" t="str">
        <x:v>为了达到 IR-01-10 的“stale view fault=0；重复远端拉取降低≥50%；fallback成功率=100%；fallback触发到恢复&lt;500ms。”，系统内部必须完成：本需求要求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M64"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 详细设计必须给出接口、数据结构、并发前置条件、主路径开关、fallback 与 metrics。</x:v>
      </x:c>
      <x:c r="N64" s="22" t="str">
        <x:v>AttachHandle + object version + consumer set</x:v>
      </x:c>
      <x:c r="O64" s="22" t="str">
        <x:v>lease/refcount transition + fallback result</x:v>
      </x:c>
      <x:c r="P64" s="22" t="str">
        <x:v>租约冲突或状态异常时阻断消费、quarantine 并按原因码执行备用副本或重算</x:v>
      </x:c>
      <x:c r="Q64" s="22" t="str">
        <x:v>Prefix命中判定P99耗时 &lt; 200us；在Share-Prefix业务下，Usable Hit Rate提升≥15%。</x:v>
      </x:c>
      <x:c r="R64" s="22" t="str">
        <x:v>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4" s="22" t="str">
        <x:v>依赖L3对象/目录和L4后端能力</x:v>
      </x:c>
      <x:c r="T64" s="22" t="str">
        <x:v>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x:v>
      </x:c>
    </x:row>
    <x:row r="65" ht="78" customHeight="1">
      <x:c r="A65" s="25" t="str">
        <x:v>SR-01-10-03</x:v>
      </x:c>
      <x:c r="B65" s="25" t="str">
        <x:v>IR-01-10</x:v>
      </x:c>
      <x:c r="C65" s="25" t="str">
        <x:v>SF-01</x:v>
      </x:c>
      <x:c r="D65" s="25" t="str">
        <x:v>L2-KV-StateErrorCode-037</x:v>
      </x:c>
      <x:c r="E65" s="22" t="str">
        <x:v>V2.1基线</x:v>
      </x:c>
      <x:c r="F65" s="22" t="str">
        <x:v>L2 KVConnector层</x:v>
      </x:c>
      <x:c r="G65" s="22" t="str">
        <x:v>TM6</x:v>
      </x:c>
      <x:c r="H65" s="22" t="str">
        <x:v>共享访问与故障控制</x:v>
      </x:c>
      <x:c r="I65" s="22" t="str">
        <x:v>P0</x:v>
      </x:c>
      <x:c r="J65" s="22" t="str">
        <x:v>P0</x:v>
      </x:c>
      <x:c r="K65" s="22" t="str">
        <x:v>KV 状态复杂场景下的快速降级与恢复｜L2-KV-StateErrorCode-037</x:v>
      </x:c>
      <x:c r="L65" s="22" t="str">
        <x:v>为了达到 IR-01-10 的“stale view fault=0；重复远端拉取降低≥50%；fallback成功率=100%；fallback触发到恢复&lt;500ms。”，系统内部必须完成：本需求要求 Connector 层定义统一状态错误码，将 L3/L4 返回的 MIGRATING、LEASE_CONFLICT、STALE_VERSION、VISIBILITY_TIMEOUT、REPLICA_DEGRADED、CHECKSUM_FAILED、QUOTA_BLOCKED、BACKEND_BUSY 等状态转换为上层可执行的 retry、wait、load、copy、recompute、partial hit 或 miss 信号。</x:v>
      </x:c>
      <x:c r="M65" s="22" t="str">
        <x:v>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 详细设计必须给出接口、数据结构、并发前置条件、主路径开关、fallback 与 metrics。</x:v>
      </x:c>
      <x:c r="N65" s="22" t="str">
        <x:v>AttachHandle + object version + consumer set</x:v>
      </x:c>
      <x:c r="O65" s="22" t="str">
        <x:v>lease/refcount transition + fallback result</x:v>
      </x:c>
      <x:c r="P65" s="22" t="str">
        <x:v>租约冲突或状态异常时阻断消费、quarantine 并按原因码执行备用副本或重算</x:v>
      </x:c>
      <x:c r="Q65" s="22" t="str">
        <x:v>元数据转换和序列化开销降低至&lt;200ns/次。</x:v>
      </x:c>
      <x:c r="R65" s="22" t="str">
        <x:v>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5" s="22" t="str">
        <x:v>依赖L3对象/目录和L4后端能力</x:v>
      </x:c>
      <x:c r="T65" s="22" t="str">
        <x:v>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x:v>
      </x:c>
    </x:row>
    <x:row r="66" ht="78" customHeight="1">
      <x:c r="A66" s="25" t="str">
        <x:v>SR-01-10-04</x:v>
      </x:c>
      <x:c r="B66" s="25" t="str">
        <x:v>IR-01-10</x:v>
      </x:c>
      <x:c r="C66" s="25" t="str">
        <x:v>SF-01</x:v>
      </x:c>
      <x:c r="D66" s="25" t="str">
        <x:v>L2-MM-ViewLease-028</x:v>
      </x:c>
      <x:c r="E66" s="22" t="str">
        <x:v>V2.1基线</x:v>
      </x:c>
      <x:c r="F66" s="22" t="str">
        <x:v>L2 KVConnector层</x:v>
      </x:c>
      <x:c r="G66" s="22" t="str">
        <x:v>TM5</x:v>
      </x:c>
      <x:c r="H66" s="22" t="str">
        <x:v>共享访问与故障控制</x:v>
      </x:c>
      <x:c r="I66" s="22" t="str">
        <x:v>P0</x:v>
      </x:c>
      <x:c r="J66" s="22" t="str">
        <x:v>P0</x:v>
      </x:c>
      <x:c r="K66" s="22" t="str">
        <x:v>共享内存 KVCache 安全租约访问｜L2-MM-ViewLease-028</x:v>
      </x:c>
      <x:c r="L66" s="22" t="str">
        <x:v>为了达到 IR-01-10 的“stale view fault=0；重复远端拉取降低≥50%；fallback成功率=100%；fallback触发到恢复&lt;500ms。”，系统内部必须完成：本需求要求 memory-view 访问必须以 lease handle 形式暴露，handle 必须携带 epoch、version、refcount、expiry、revocation callback；lease 过期、被撤销或 version 不匹配时，memory view 不得继续 attach 或被 GPU/NPU 访问。</x:v>
      </x:c>
      <x:c r="M66" s="22" t="str">
        <x:v>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 详细设计必须给出接口、数据结构、并发前置条件、主路径开关、fallback 与 metrics。</x:v>
      </x:c>
      <x:c r="N66" s="22" t="str">
        <x:v>AttachHandle + object version + consumer set</x:v>
      </x:c>
      <x:c r="O66" s="22" t="str">
        <x:v>lease/refcount transition + fallback result</x:v>
      </x:c>
      <x:c r="P66" s="22" t="str">
        <x:v>租约冲突或状态异常时阻断消费、quarantine 并按原因码执行备用副本或重算</x:v>
      </x:c>
      <x:c r="Q66" s="22" t="str">
        <x:v>stale view fault = 0；</x:v>
      </x:c>
      <x:c r="R66" s="22" t="str">
        <x:v>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6" s="22" t="str">
        <x:v>依赖L3对象/目录和L4后端能力</x:v>
      </x:c>
      <x:c r="T66" s="22" t="str">
        <x:v>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x:v>
      </x:c>
    </x:row>
    <x:row r="67" ht="78" customHeight="1">
      <x:c r="A67" s="25" t="str">
        <x:v>SR-01-10-05</x:v>
      </x:c>
      <x:c r="B67" s="25" t="str">
        <x:v>IR-01-10</x:v>
      </x:c>
      <x:c r="C67" s="25" t="str">
        <x:v>SF-01</x:v>
      </x:c>
      <x:c r="D67" s="25" t="str">
        <x:v>L2-CONN-DefragPause-031</x:v>
      </x:c>
      <x:c r="E67" s="22" t="str">
        <x:v>V2.1基线</x:v>
      </x:c>
      <x:c r="F67" s="22" t="str">
        <x:v>L2 KVConnector层</x:v>
      </x:c>
      <x:c r="G67" s="22" t="str">
        <x:v>TM5</x:v>
      </x:c>
      <x:c r="H67" s="22" t="str">
        <x:v>共享访问与故障控制</x:v>
      </x:c>
      <x:c r="I67" s="22" t="str">
        <x:v>P1</x:v>
      </x:c>
      <x:c r="J67" s="22" t="str">
        <x:v>P1</x:v>
      </x:c>
      <x:c r="K67" s="22" t="str">
        <x:v>活跃租约下内存无感整理｜L2-CONN-DefragPause-031</x:v>
      </x:c>
      <x:c r="L67" s="22" t="str">
        <x:v>为了达到 IR-01-10 的“stale view fault=0；重复远端拉取降低≥50%；fallback成功率=100%；fallback触发到恢复&lt;500ms。”，系统内部必须完成：本需求要求 Connector 层实现租约感知的碎片整理暂停与无感原子更替：当底层执行内存块迁移时，若涉及活跃的 Lease 句柄，必须通过 RCU（Read-Copy-Update）无锁机制延迟迁移，或在 50μs 内原子更替虚拟到物理的指针映射。</x:v>
      </x:c>
      <x:c r="M67"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 详细设计必须给出接口、数据结构、并发前置条件、主路径开关、fallback 与 metrics。</x:v>
      </x:c>
      <x:c r="N67" s="22" t="str">
        <x:v>AttachHandle + object version + consumer set</x:v>
      </x:c>
      <x:c r="O67" s="22" t="str">
        <x:v>lease/refcount transition + fallback result</x:v>
      </x:c>
      <x:c r="P67" s="22" t="str">
        <x:v>租约冲突或状态异常时阻断消费、quarantine 并按原因码执行备用副本或重算</x:v>
      </x:c>
      <x:c r="Q67" s="22" t="str">
        <x:v>元数据转换和序列化开销降低至&lt;200ns/次。</x:v>
      </x:c>
      <x:c r="R67" s="22" t="str">
        <x:v>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7" s="22" t="str">
        <x:v>依赖L3对象/目录和L4后端能力</x:v>
      </x:c>
      <x:c r="T67" s="22" t="str">
        <x:v>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x:v>
      </x:c>
    </x:row>
    <x:row r="68" ht="78" customHeight="1">
      <x:c r="A68" s="25" t="str">
        <x:v>SR-01-10-06</x:v>
      </x:c>
      <x:c r="B68" s="25" t="str">
        <x:v>IR-01-10</x:v>
      </x:c>
      <x:c r="C68" s="25" t="str">
        <x:v>SF-01</x:v>
      </x:c>
      <x:c r="D68" s="25" t="str">
        <x:v>L2-OB-PathTrace-030</x:v>
      </x:c>
      <x:c r="E68" s="22" t="str">
        <x:v>V2.1基线</x:v>
      </x:c>
      <x:c r="F68" s="22" t="str">
        <x:v>L2 KVConnector层</x:v>
      </x:c>
      <x:c r="G68" s="22" t="str">
        <x:v>TM6</x:v>
      </x:c>
      <x:c r="H68" s="22" t="str">
        <x:v>共享访问与故障控制</x:v>
      </x:c>
      <x:c r="I68" s="22" t="str">
        <x:v>P1</x:v>
      </x:c>
      <x:c r="J68" s="22" t="str">
        <x:v>P1</x:v>
      </x:c>
      <x:c r="K68" s="22" t="str">
        <x:v>KVCache 传输路径可追踪运维｜L2-OB-PathTrace-030</x:v>
      </x:c>
      <x:c r="L68" s="22" t="str">
        <x:v>为了达到 IR-01-10 的“stale view fault=0；重复远端拉取降低≥50%；fallback成功率=100%；fallback触发到恢复&lt;500ms。”，系统内部必须完成：本需求要求 Connector 为每次 KV access 生成 path decision trace，记录 selected semantic、selected backend、source/destination tier、reason、fallback reason、latency breakdown、bytes 和 descriptor count，支持运维定位“命中了但变慢”的根因。</x:v>
      </x:c>
      <x:c r="M68"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 详细设计必须给出接口、数据结构、并发前置条件、主路径开关、fallback 与 metrics。</x:v>
      </x:c>
      <x:c r="N68" s="22" t="str">
        <x:v>AttachHandle + object version + consumer set</x:v>
      </x:c>
      <x:c r="O68" s="22" t="str">
        <x:v>lease/refcount transition + fallback result</x:v>
      </x:c>
      <x:c r="P68" s="22" t="str">
        <x:v>租约冲突或状态异常时阻断消费、quarantine 并按原因码执行备用副本或重算</x:v>
      </x:c>
      <x:c r="Q68" s="22" t="str">
        <x:v>线上问题定位时间降低；</x:v>
      </x:c>
      <x:c r="R68" s="22" t="str">
        <x:v>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8" s="22" t="str">
        <x:v>依赖L3对象/目录和L4后端能力</x:v>
      </x:c>
      <x:c r="T68" s="22" t="str">
        <x:v>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x:v>
      </x:c>
    </x:row>
    <x:row r="69" ht="78" customHeight="1">
      <x:c r="A69" s="25" t="str">
        <x:v>SR-01-10-07</x:v>
      </x:c>
      <x:c r="B69" s="25" t="str">
        <x:v>IR-01-10</x:v>
      </x:c>
      <x:c r="C69" s="25" t="str">
        <x:v>SF-01</x:v>
      </x:c>
      <x:c r="D69" s="25" t="str">
        <x:v>L2-MM-MultiConsumer-027</x:v>
      </x:c>
      <x:c r="E69" s="22" t="str">
        <x:v>V2.1基线</x:v>
      </x:c>
      <x:c r="F69" s="22" t="str">
        <x:v>L2 KVConnector层</x:v>
      </x:c>
      <x:c r="G69" s="22" t="str">
        <x:v>TM5</x:v>
      </x:c>
      <x:c r="H69" s="22" t="str">
        <x:v>共享访问与故障控制</x:v>
      </x:c>
      <x:c r="I69" s="22" t="str">
        <x:v>P2</x:v>
      </x:c>
      <x:c r="J69" s="22" t="str">
        <x:v>P2</x:v>
      </x:c>
      <x:c r="K69" s="22" t="str">
        <x:v>共享前缀 KVCache 批量广播｜L2-MM-MultiConsumer-027</x:v>
      </x:c>
      <x:c r="L69" s="22" t="str">
        <x:v>为了达到 IR-01-10 的“stale view fault=0；重复远端拉取降低≥50%；fallback成功率=100%；fallback触发到恢复&lt;500ms。”，系统内部必须完成：本需求要求 Connector 支持 multi-consumer KV handle：同一 KV object 被多个 decode replica、TP rank 或请求消费时，应通过 refcount、consumer bitmap 和 shared visibility fence 共享一次加载结果，避免多消费者重复远端拉取。</x:v>
      </x:c>
      <x:c r="M69"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 详细设计必须给出接口、数据结构、并发前置条件、主路径开关、fallback 与 metrics。</x:v>
      </x:c>
      <x:c r="N69" s="22" t="str">
        <x:v>AttachHandle + object version + consumer set</x:v>
      </x:c>
      <x:c r="O69" s="22" t="str">
        <x:v>lease/refcount transition + fallback result</x:v>
      </x:c>
      <x:c r="P69" s="22" t="str">
        <x:v>租约冲突或状态异常时阻断消费、quarantine 并按原因码执行备用副本或重算</x:v>
      </x:c>
      <x:c r="Q69" s="22" t="str">
        <x:v>重复远端拉取次数降低 ≥50%；</x:v>
      </x:c>
      <x:c r="R69" s="22" t="str">
        <x:v>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9" s="22" t="str">
        <x:v>依赖L3对象/目录和L4后端能力</x:v>
      </x:c>
      <x:c r="T69" s="22" t="str">
        <x:v>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x:v>
      </x:c>
    </x:row>
    <x:row r="70" ht="78" customHeight="1">
      <x:c r="A70" s="25" t="str">
        <x:v>SR-01-11-01</x:v>
      </x:c>
      <x:c r="B70" s="25" t="str">
        <x:v>IR-01-11</x:v>
      </x:c>
      <x:c r="C70" s="25" t="str">
        <x:v>SF-01</x:v>
      </x:c>
      <x:c r="D70" s="25" t="str">
        <x:v>L3-CO-AttachDetachLease-063</x:v>
      </x:c>
      <x:c r="E70" s="22" t="str">
        <x:v>V2.1基线</x:v>
      </x:c>
      <x:c r="F70" s="22" t="str">
        <x:v>L3 传输管理层</x:v>
      </x:c>
      <x:c r="G70" s="22" t="str">
        <x:v>TM5</x:v>
      </x:c>
      <x:c r="H70" s="22" t="str">
        <x:v>一致性、隔离与QoS</x:v>
      </x:c>
      <x:c r="I70" s="22" t="str">
        <x:v>P0</x:v>
      </x:c>
      <x:c r="J70" s="22" t="str">
        <x:v>P0</x:v>
      </x:c>
      <x:c r="K70" s="22" t="str">
        <x:v>Decode 使用 KV 期间防止被迁移或释放｜L3-CO-AttachDetachLease-063</x:v>
      </x:c>
      <x:c r="L70" s="22" t="str">
        <x:v>为了达到 IR-01-11 的“data corruption=0；后台干扰降低≥50%；TPOT p99回退&lt;3%；租户间干扰&lt;5%；越权访问=0。”，系统内部必须完成：本需求要求统一 KV 内存池实现 attach/detach lease：KV 被消费前必须获取 read lease 或 attach lease，lease 期间禁止物理释放、非法覆盖或不可见迁移；detach/release 后递减 refcount，并允许后台 evict、compact 或降级。</x:v>
      </x:c>
      <x:c r="M70"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 详细设计必须给出接口、数据结构、并发前置条件、主路径开关、fallback 与 metrics。</x:v>
      </x:c>
      <x:c r="N70" s="22" t="str">
        <x:v>object state + traffic class + tenant quota</x:v>
      </x:c>
      <x:c r="O70" s="22" t="str">
        <x:v>atomic visibility + scheduled transfer budget</x:v>
      </x:c>
      <x:c r="P70" s="22" t="str">
        <x:v>冲突对象进入等待/隔离；后台队列可暂停、drain 或限速；前台超预算直接重算</x:v>
      </x:c>
      <x:c r="Q70" s="22" t="str">
        <x:v>节点动态加入/退出时的缓存失效控制在局部范围内（遵循一致性哈希比例）。</x:v>
      </x:c>
      <x:c r="R70" s="22" t="str">
        <x:v>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0" s="22" t="str">
        <x:v>依赖L2语义契约与L4 capability/driver</x:v>
      </x:c>
      <x:c r="T70" s="22" t="str">
        <x:v>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x:v>
      </x:c>
    </x:row>
    <x:row r="71" ht="78" customHeight="1">
      <x:c r="A71" s="25" t="str">
        <x:v>SR-01-11-02</x:v>
      </x:c>
      <x:c r="B71" s="25" t="str">
        <x:v>IR-01-11</x:v>
      </x:c>
      <x:c r="C71" s="25" t="str">
        <x:v>SF-01</x:v>
      </x:c>
      <x:c r="D71" s="25" t="str">
        <x:v>L3-CO-KVOwnershipGC-080</x:v>
      </x:c>
      <x:c r="E71" s="22" t="str">
        <x:v>V2.1基线</x:v>
      </x:c>
      <x:c r="F71" s="22" t="str">
        <x:v>L3 传输管理层</x:v>
      </x:c>
      <x:c r="G71" s="22" t="str">
        <x:v>TM5</x:v>
      </x:c>
      <x:c r="H71" s="22" t="str">
        <x:v>一致性、隔离与QoS</x:v>
      </x:c>
      <x:c r="I71" s="22" t="str">
        <x:v>P0</x:v>
      </x:c>
      <x:c r="J71" s="22" t="str">
        <x:v>P0</x:v>
      </x:c>
      <x:c r="K71" s="22" t="str">
        <x:v>KV 对象所有权与异常回收｜L3-CO-KVOwnershipGC-080</x:v>
      </x:c>
      <x:c r="L71" s="22" t="str">
        <x:v>为了达到 IR-01-11 的“data corruption=0；后台干扰降低≥50%；TPOT p99回退&lt;3%；租户间干扰&lt;5%；越权访问=0。”，系统内部必须完成：本需求要求统一 KV 内存池维护 KV object owner、producer、consumer、lease holder、replica owner 和 GC owner；当 producer 崩溃、consumer 超时、request abort、节点下线或 lease 过期时，系统必须能识别 orphan KV 并执行回收、降级、重建或 quarantine。</x:v>
      </x:c>
      <x:c r="M71" s="22"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 详细设计必须给出接口、数据结构、并发前置条件、主路径开关、fallback 与 metrics。</x:v>
      </x:c>
      <x:c r="N71" s="22" t="str">
        <x:v>object state + traffic class + tenant quota</x:v>
      </x:c>
      <x:c r="O71" s="22" t="str">
        <x:v>atomic visibility + scheduled transfer budget</x:v>
      </x:c>
      <x:c r="P71" s="22" t="str">
        <x:v>冲突对象进入等待/隔离；后台队列可暂停、drain 或限速；前台超预算直接重算</x:v>
      </x:c>
      <x:c r="Q71" s="22" t="str">
        <x:v>节点动态加入/退出时的缓存失效控制在局部范围内（遵循一致性哈希比例）。</x:v>
      </x:c>
      <x:c r="R71" s="22" t="str">
        <x:v>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1" s="22" t="str">
        <x:v>依赖L2语义契约与L4 capability/driver</x:v>
      </x:c>
      <x:c r="T71" s="22" t="str">
        <x:v>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x:v>
      </x:c>
    </x:row>
    <x:row r="72" ht="78" customHeight="1">
      <x:c r="A72" s="25" t="str">
        <x:v>SR-01-11-03</x:v>
      </x:c>
      <x:c r="B72" s="25" t="str">
        <x:v>IR-01-11</x:v>
      </x:c>
      <x:c r="C72" s="25" t="str">
        <x:v>SF-01</x:v>
      </x:c>
      <x:c r="D72" s="25" t="str">
        <x:v>L3-CO-PublishCommitLog-065</x:v>
      </x:c>
      <x:c r="E72" s="22" t="str">
        <x:v>V2.1基线</x:v>
      </x:c>
      <x:c r="F72" s="22" t="str">
        <x:v>L3 传输管理层</x:v>
      </x:c>
      <x:c r="G72" s="22" t="str">
        <x:v>TM5</x:v>
      </x:c>
      <x:c r="H72" s="22" t="str">
        <x:v>一致性、隔离与QoS</x:v>
      </x:c>
      <x:c r="I72" s="22" t="str">
        <x:v>P0</x:v>
      </x:c>
      <x:c r="J72" s="22" t="str">
        <x:v>P0</x:v>
      </x:c>
      <x:c r="K72" s="22" t="str">
        <x:v>KV 发布过程异常恢复｜L3-CO-PublishCommitLog-065</x:v>
      </x:c>
      <x:c r="L72" s="22" t="str">
        <x:v>为了达到 IR-01-11 的“data corruption=0；后台干扰降低≥50%；TPOT p99回退&lt;3%；租户间干扰&lt;5%；越权访问=0。”，系统内部必须完成：本需求要求统一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M7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 详细设计必须给出接口、数据结构、并发前置条件、主路径开关、fallback 与 metrics。</x:v>
      </x:c>
      <x:c r="N72" s="22" t="str">
        <x:v>object state + traffic class + tenant quota</x:v>
      </x:c>
      <x:c r="O72" s="22" t="str">
        <x:v>atomic visibility + scheduled transfer budget</x:v>
      </x:c>
      <x:c r="P72" s="22" t="str">
        <x:v>冲突对象进入等待/隔离；后台队列可暂停、drain 或限速；前台超预算直接重算</x:v>
      </x:c>
      <x:c r="Q72" s="22" t="str">
        <x:v>节点动态加入/退出时的缓存失效控制在局部范围内（遵循一致性哈希比例）。</x:v>
      </x:c>
      <x:c r="R72" s="22" t="str">
        <x:v>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2" s="22" t="str">
        <x:v>依赖L2语义契约与L4 capability/driver</x:v>
      </x:c>
      <x:c r="T72" s="22" t="str">
        <x:v>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x:v>
      </x:c>
    </x:row>
    <x:row r="73" ht="78" customHeight="1">
      <x:c r="A73" s="25" t="str">
        <x:v>SR-01-11-04</x:v>
      </x:c>
      <x:c r="B73" s="25" t="str">
        <x:v>IR-01-11</x:v>
      </x:c>
      <x:c r="C73" s="25" t="str">
        <x:v>SF-01</x:v>
      </x:c>
      <x:c r="D73" s="25" t="str">
        <x:v>L3-CO-RefCountLifecycle-086</x:v>
      </x:c>
      <x:c r="E73" s="22" t="str">
        <x:v>V2.1基线</x:v>
      </x:c>
      <x:c r="F73" s="22" t="str">
        <x:v>L3 传输管理层</x:v>
      </x:c>
      <x:c r="G73" s="22" t="str">
        <x:v>TM5</x:v>
      </x:c>
      <x:c r="H73" s="22" t="str">
        <x:v>一致性、隔离与QoS</x:v>
      </x:c>
      <x:c r="I73" s="22" t="str">
        <x:v>P0</x:v>
      </x:c>
      <x:c r="J73" s="22" t="str">
        <x:v>P0</x:v>
      </x:c>
      <x:c r="K73" s="22" t="str">
        <x:v>活动计算流中 KVCache 块的驱逐保护｜L3-CO-RefCountLifecycle-086</x:v>
      </x:c>
      <x:c r="L73" s="22" t="str">
        <x:v>为了达到 IR-01-11 的“data corruption=0；后台干扰降低≥50%；TPOT p99回退&lt;3%；租户间干扰&lt;5%；越权访问=0。”，系统内部必须完成：本需求要求统一存储池的分层流转与驱逐引擎必须复用或集成上层推理框架的活跃引用计数（Active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M73"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 详细设计必须给出接口、数据结构、并发前置条件、主路径开关、fallback 与 metrics。</x:v>
      </x:c>
      <x:c r="N73" s="22" t="str">
        <x:v>object state + traffic class + tenant quota</x:v>
      </x:c>
      <x:c r="O73" s="22" t="str">
        <x:v>atomic visibility + scheduled transfer budget</x:v>
      </x:c>
      <x:c r="P73" s="22" t="str">
        <x:v>冲突对象进入等待/隔离；后台队列可暂停、drain 或限速；前台超预算直接重算</x:v>
      </x:c>
      <x:c r="Q73" s="22" t="str">
        <x:v>全局内存利用率提升至≥85%，跨级冷热数据迁移过程中的TPOT抖动 &lt; 5%。</x:v>
      </x:c>
      <x:c r="R73" s="22" t="str">
        <x:v>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3" s="22" t="str">
        <x:v>依赖L2语义契约与L4 capability/driver</x:v>
      </x:c>
      <x:c r="T73" s="22" t="str">
        <x:v>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x:v>
      </x:c>
    </x:row>
    <x:row r="74" ht="78" customHeight="1">
      <x:c r="A74" s="25" t="str">
        <x:v>SR-01-11-05</x:v>
      </x:c>
      <x:c r="B74" s="25" t="str">
        <x:v>IR-01-11</x:v>
      </x:c>
      <x:c r="C74" s="25" t="str">
        <x:v>SF-01</x:v>
      </x:c>
      <x:c r="D74" s="25" t="str">
        <x:v>L3-CO-VersionPublish-043</x:v>
      </x:c>
      <x:c r="E74" s="22" t="str">
        <x:v>V2.1基线</x:v>
      </x:c>
      <x:c r="F74" s="22" t="str">
        <x:v>L3 传输管理层</x:v>
      </x:c>
      <x:c r="G74" s="22" t="str">
        <x:v>TM5</x:v>
      </x:c>
      <x:c r="H74" s="22" t="str">
        <x:v>一致性、隔离与QoS</x:v>
      </x:c>
      <x:c r="I74" s="22" t="str">
        <x:v>P0</x:v>
      </x:c>
      <x:c r="J74" s="22" t="str">
        <x:v>P0</x:v>
      </x:c>
      <x:c r="K74" s="22" t="str">
        <x:v>KVCache 对象一致发布｜L3-CO-VersionPublish-043</x:v>
      </x:c>
      <x:c r="L74" s="22" t="str">
        <x:v>为了达到 IR-01-11 的“data corruption=0；后台干扰降低≥50%；TPOT p99回退&lt;3%；租户间干扰&lt;5%；越权访问=0。”，系统内部必须完成：本需求要求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x:v>
      </x:c>
      <x:c r="M74"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 详细设计必须给出接口、数据结构、并发前置条件、主路径开关、fallback 与 metrics。</x:v>
      </x:c>
      <x:c r="N74" s="22" t="str">
        <x:v>object state + traffic class + tenant quota</x:v>
      </x:c>
      <x:c r="O74" s="22" t="str">
        <x:v>atomic visibility + scheduled transfer budget</x:v>
      </x:c>
      <x:c r="P74" s="22" t="str">
        <x:v>冲突对象进入等待/隔离；后台队列可暂停、drain 或限速；前台超预算直接重算</x:v>
      </x:c>
      <x:c r="Q74" s="22" t="str">
        <x:v>data corruption = 0；</x:v>
      </x:c>
      <x:c r="R74" s="22" t="str">
        <x:v>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4" s="22" t="str">
        <x:v>依赖L2语义契约与L4 capability/driver</x:v>
      </x:c>
      <x:c r="T74" s="22" t="str">
        <x:v>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x:v>
      </x:c>
    </x:row>
    <x:row r="75" ht="78" customHeight="1">
      <x:c r="A75" s="25" t="str">
        <x:v>SR-01-11-06</x:v>
      </x:c>
      <x:c r="B75" s="25" t="str">
        <x:v>IR-01-11</x:v>
      </x:c>
      <x:c r="C75" s="25" t="str">
        <x:v>SF-01</x:v>
      </x:c>
      <x:c r="D75" s="25" t="str">
        <x:v>L3-CO-VisibilityReadyBitmap-064</x:v>
      </x:c>
      <x:c r="E75" s="22" t="str">
        <x:v>V2.1基线</x:v>
      </x:c>
      <x:c r="F75" s="22" t="str">
        <x:v>L3 传输管理层</x:v>
      </x:c>
      <x:c r="G75" s="22" t="str">
        <x:v>TM5</x:v>
      </x:c>
      <x:c r="H75" s="22" t="str">
        <x:v>一致性、隔离与QoS</x:v>
      </x:c>
      <x:c r="I75" s="22" t="str">
        <x:v>P0</x:v>
      </x:c>
      <x:c r="J75" s="22" t="str">
        <x:v>P0</x:v>
      </x:c>
      <x:c r="K75" s="22" t="str">
        <x:v>KV 写入完成与可见性边界控制｜L3-CO-VisibilityReadyBitmap-064</x:v>
      </x:c>
      <x:c r="L75" s="22" t="str">
        <x:v>为了达到 IR-01-11 的“data corruption=0；后台干扰降低≥50%；TPOT p99回退&lt;3%；租户间干扰&lt;5%；越权访问=0。”，系统内部必须完成：本需求要求每个 KV object 维护 layer/page/rank 粒度 ready bitmap 与 visibility state，区分 local write complete、device visible、remote visible、durable visible；只有达到消费方所需 visibility level 的 KV block/page 才允许进入 attach plan。</x:v>
      </x:c>
      <x:c r="M75" s="22"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 详细设计必须给出接口、数据结构、并发前置条件、主路径开关、fallback 与 metrics。</x:v>
      </x:c>
      <x:c r="N75" s="22" t="str">
        <x:v>object state + traffic class + tenant quota</x:v>
      </x:c>
      <x:c r="O75" s="22" t="str">
        <x:v>atomic visibility + scheduled transfer budget</x:v>
      </x:c>
      <x:c r="P75" s="22" t="str">
        <x:v>冲突对象进入等待/隔离；后台队列可暂停、drain 或限速；前台超预算直接重算</x:v>
      </x:c>
      <x:c r="Q75" s="22" t="str">
        <x:v>节点动态加入/退出时的缓存失效控制在局部范围内（遵循一致性哈希比例）。</x:v>
      </x:c>
      <x:c r="R75" s="22" t="str">
        <x:v>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5" s="22" t="str">
        <x:v>依赖L2语义契约与L4 capability/driver</x:v>
      </x:c>
      <x:c r="T75" s="22" t="str">
        <x:v>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x:v>
      </x:c>
    </x:row>
    <x:row r="76" ht="78" customHeight="1">
      <x:c r="A76" s="25" t="str">
        <x:v>SR-01-11-07</x:v>
      </x:c>
      <x:c r="B76" s="25" t="str">
        <x:v>IR-01-11</x:v>
      </x:c>
      <x:c r="C76" s="25" t="str">
        <x:v>SF-01</x:v>
      </x:c>
      <x:c r="D76" s="25" t="str">
        <x:v>L3-QO-SemanticQoS-045</x:v>
      </x:c>
      <x:c r="E76" s="22" t="str">
        <x:v>V2.1基线</x:v>
      </x:c>
      <x:c r="F76" s="22" t="str">
        <x:v>L3 传输管理层</x:v>
      </x:c>
      <x:c r="G76" s="22" t="str">
        <x:v>TM5</x:v>
      </x:c>
      <x:c r="H76" s="22" t="str">
        <x:v>一致性、隔离与QoS</x:v>
      </x:c>
      <x:c r="I76" s="22" t="str">
        <x:v>P0</x:v>
      </x:c>
      <x:c r="J76" s="22" t="str">
        <x:v>P0</x:v>
      </x:c>
      <x:c r="K76" s="22" t="str">
        <x:v>前台推理与后台 KV 任务流量隔离｜L3-QO-SemanticQoS-045</x:v>
      </x:c>
      <x:c r="L76" s="22" t="str">
        <x:v>为了达到 IR-01-11 的“data corruption=0；后台干扰降低≥50%；TPOT p99回退&lt;3%；租户间干扰&lt;5%；越权访问=0。”，系统内部必须完成：本需求要求 Transfer Manager 建立语义化 QoS 队列：metadata-critical、TTFT prefix load、decode-critical copy、prefetch、background writeback、cold restore 必须分队列、限速和优先级调度，避免后台流量影响前台 TTFT/TPOT。</x:v>
      </x:c>
      <x:c r="M7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 详细设计必须给出接口、数据结构、并发前置条件、主路径开关、fallback 与 metrics。</x:v>
      </x:c>
      <x:c r="N76" s="22" t="str">
        <x:v>object state + traffic class + tenant quota</x:v>
      </x:c>
      <x:c r="O76" s="22" t="str">
        <x:v>atomic visibility + scheduled transfer budget</x:v>
      </x:c>
      <x:c r="P76" s="22" t="str">
        <x:v>冲突对象进入等待/隔离；后台队列可暂停、drain 或限速；前台超预算直接重算</x:v>
      </x:c>
      <x:c r="Q76" s="22" t="str">
        <x:v>p99 TTFT 降低 ≥25%；后台任务不影响 TPOT &gt;3%；</x:v>
      </x:c>
      <x:c r="R76" s="22" t="str">
        <x:v>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6" s="22" t="str">
        <x:v>依赖L2语义契约与L4 capability/driver</x:v>
      </x:c>
      <x:c r="T76" s="22" t="str">
        <x:v>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x:v>
      </x:c>
    </x:row>
    <x:row r="77" ht="78" customHeight="1">
      <x:c r="A77" s="25" t="str">
        <x:v>SR-01-11-08</x:v>
      </x:c>
      <x:c r="B77" s="25" t="str">
        <x:v>IR-01-11</x:v>
      </x:c>
      <x:c r="C77" s="25" t="str">
        <x:v>SF-01</x:v>
      </x:c>
      <x:c r="D77" s="25" t="str">
        <x:v>L3-SC-PoolIsolation-048</x:v>
      </x:c>
      <x:c r="E77" s="22" t="str">
        <x:v>V2.1基线</x:v>
      </x:c>
      <x:c r="F77" s="22" t="str">
        <x:v>L3 传输管理层</x:v>
      </x:c>
      <x:c r="G77" s="22" t="str">
        <x:v>TM5</x:v>
      </x:c>
      <x:c r="H77" s="22" t="str">
        <x:v>一致性、隔离与QoS</x:v>
      </x:c>
      <x:c r="I77" s="22" t="str">
        <x:v>P0</x:v>
      </x:c>
      <x:c r="J77" s="22" t="str">
        <x:v>P0</x:v>
      </x:c>
      <x:c r="K77" s="22" t="str">
        <x:v>多租户统一 KV 存储池资源隔离｜L3-SC-PoolIsolation-048</x:v>
      </x:c>
      <x:c r="L77" s="22" t="str">
        <x:v>为了达到 IR-01-11 的“data corruption=0；后台干扰降低≥50%；TPOT p99回退&lt;3%；租户间干扰&lt;5%；越权访问=0。”，系统内部必须完成：本需求要求多租户 KV pool 实现容量、带宽、metadata namespace、KV key namespace、encryption domain 和 audit log 隔离；任一租户的 UB/RDMA/SSD KV 使用不得对其他租户造成不可控干扰或越权访问。</x:v>
      </x:c>
      <x:c r="M77"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 详细设计必须给出接口、数据结构、并发前置条件、主路径开关、fallback 与 metrics。</x:v>
      </x:c>
      <x:c r="N77" s="22" t="str">
        <x:v>object state + traffic class + tenant quota</x:v>
      </x:c>
      <x:c r="O77" s="22" t="str">
        <x:v>atomic visibility + scheduled transfer budget</x:v>
      </x:c>
      <x:c r="P77" s="22" t="str">
        <x:v>冲突对象进入等待/隔离；后台队列可暂停、drain 或限速；前台超预算直接重算</x:v>
      </x:c>
      <x:c r="Q77" s="22" t="str">
        <x:v>租户间干扰 &lt;5%；越权访问 = 0；</x:v>
      </x:c>
      <x:c r="R77" s="22" t="str">
        <x:v>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7" s="22" t="str">
        <x:v>依赖L2语义契约与L4 capability/driver</x:v>
      </x:c>
      <x:c r="T77" s="22" t="str">
        <x:v>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x:v>
      </x:c>
    </x:row>
    <x:row r="78" ht="78" customHeight="1">
      <x:c r="A78" s="25" t="str">
        <x:v>SR-01-11-09</x:v>
      </x:c>
      <x:c r="B78" s="25" t="str">
        <x:v>IR-01-11</x:v>
      </x:c>
      <x:c r="C78" s="25" t="str">
        <x:v>SF-01</x:v>
      </x:c>
      <x:c r="D78" s="25" t="str">
        <x:v>L3-CO-MigrationRCULock-090</x:v>
      </x:c>
      <x:c r="E78" s="22" t="str">
        <x:v>V2.1基线</x:v>
      </x:c>
      <x:c r="F78" s="22" t="str">
        <x:v>L3 传输管理层</x:v>
      </x:c>
      <x:c r="G78" s="22" t="str">
        <x:v>TM5</x:v>
      </x:c>
      <x:c r="H78" s="22" t="str">
        <x:v>一致性、隔离与QoS</x:v>
      </x:c>
      <x:c r="I78" s="22" t="str">
        <x:v>P1</x:v>
      </x:c>
      <x:c r="J78" s="22" t="str">
        <x:v>P1</x:v>
      </x:c>
      <x:c r="K78" s="22" t="str">
        <x:v>动态升降级与碎片整理期间的并发无感消费｜L3-CO-MigrationRCULock-090</x:v>
      </x:c>
      <x:c r="L78" s="22" t="str">
        <x:v>为了达到 IR-01-11 的“data corruption=0；后台干扰降低≥50%；TPOT p99回退&lt;3%；租户间干扰&lt;5%；越权访问=0。”，系统内部必须完成：本需求要求针对处于冷热升降级或碎片整理过程中的活跃中途迁移（In-Flight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x:v>
      </x:c>
      <x:c r="M78"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 详细设计必须给出接口、数据结构、并发前置条件、主路径开关、fallback 与 metrics。</x:v>
      </x:c>
      <x:c r="N78" s="22" t="str">
        <x:v>object state + traffic class + tenant quota</x:v>
      </x:c>
      <x:c r="O78" s="22" t="str">
        <x:v>atomic visibility + scheduled transfer budget</x:v>
      </x:c>
      <x:c r="P78" s="22" t="str">
        <x:v>冲突对象进入等待/隔离；后台队列可暂停、drain 或限速；前台超预算直接重算</x:v>
      </x:c>
      <x:c r="Q78" s="22" t="str">
        <x:v>同机架内本地及远端DDR命中率（Local Usable Hit Rate）提升≥30%。</x:v>
      </x:c>
      <x:c r="R78" s="22" t="str">
        <x:v>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8" s="22" t="str">
        <x:v>依赖L2语义契约与L4 capability/driver</x:v>
      </x:c>
      <x:c r="T78" s="22" t="str">
        <x:v>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x:v>
      </x:c>
    </x:row>
    <x:row r="79" ht="78" customHeight="1">
      <x:c r="A79" s="25" t="str">
        <x:v>SR-01-11-10</x:v>
      </x:c>
      <x:c r="B79" s="25" t="str">
        <x:v>IR-01-11</x:v>
      </x:c>
      <x:c r="C79" s="25" t="str">
        <x:v>SF-01</x:v>
      </x:c>
      <x:c r="D79" s="25" t="str">
        <x:v>L3-CO-ReplicaQuarantine-068</x:v>
      </x:c>
      <x:c r="E79" s="22" t="str">
        <x:v>V2.1基线</x:v>
      </x:c>
      <x:c r="F79" s="22" t="str">
        <x:v>L3 传输管理层</x:v>
      </x:c>
      <x:c r="G79" s="22" t="str">
        <x:v>TM5</x:v>
      </x:c>
      <x:c r="H79" s="22" t="str">
        <x:v>一致性、隔离与QoS</x:v>
      </x:c>
      <x:c r="I79" s="22" t="str">
        <x:v>P1</x:v>
      </x:c>
      <x:c r="J79" s="22" t="str">
        <x:v>P1</x:v>
      </x:c>
      <x:c r="K79" s="22" t="str">
        <x:v>异常 KV 副本隔离｜L3-CO-ReplicaQuarantine-068</x:v>
      </x:c>
      <x:c r="L79" s="22" t="str">
        <x:v>为了达到 IR-01-11 的“data corruption=0；后台干扰降低≥50%；TPOT p99回退&lt;3%；租户间干扰&lt;5%；越权访问=0。”，系统内部必须完成：本需求要求对 checksum 错误、visibility 未达标、layout 不兼容、version 冲突或迁移失败的 KV replica 标记为 QUARANTINED；隔离副本不得参与 prefix lookup、placement resolver 或 attach，直到后台修复、重建或删除。</x:v>
      </x:c>
      <x:c r="M79"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 详细设计必须给出接口、数据结构、并发前置条件、主路径开关、fallback 与 metrics。</x:v>
      </x:c>
      <x:c r="N79" s="22" t="str">
        <x:v>object state + traffic class + tenant quota</x:v>
      </x:c>
      <x:c r="O79" s="22" t="str">
        <x:v>atomic visibility + scheduled transfer budget</x:v>
      </x:c>
      <x:c r="P79" s="22" t="str">
        <x:v>冲突对象进入等待/隔离；后台队列可暂停、drain 或限速；前台超预算直接重算</x:v>
      </x:c>
      <x:c r="Q79" s="22" t="str">
        <x:v>Prefix命中判定P99耗时 &lt; 200us；在Share-Prefix业务下，Usable Hit Rate提升≥15%。</x:v>
      </x:c>
      <x:c r="R79" s="22" t="str">
        <x:v>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9" s="22" t="str">
        <x:v>依赖L2语义契约与L4 capability/driver</x:v>
      </x:c>
      <x:c r="T79" s="22" t="str">
        <x:v>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x:v>
      </x:c>
    </x:row>
    <x:row r="80" ht="78" customHeight="1">
      <x:c r="A80" s="25" t="str">
        <x:v>SR-01-12-01</x:v>
      </x:c>
      <x:c r="B80" s="25" t="str">
        <x:v>IR-01-12</x:v>
      </x:c>
      <x:c r="C80" s="25" t="str">
        <x:v>SF-01</x:v>
      </x:c>
      <x:c r="D80" s="25" t="str">
        <x:v>L1-SC-TenantIsolation-017</x:v>
      </x:c>
      <x:c r="E80" s="22" t="str">
        <x:v>V2.1基线</x:v>
      </x:c>
      <x:c r="F80" s="22" t="str">
        <x:v>L1 推理调度层</x:v>
      </x:c>
      <x:c r="G80" s="22" t="str">
        <x:v>TM5</x:v>
      </x:c>
      <x:c r="H80" s="22" t="str">
        <x:v>一致性、安全与可靠性</x:v>
      </x:c>
      <x:c r="I80" s="22" t="str">
        <x:v>P0</x:v>
      </x:c>
      <x:c r="J80" s="22" t="str">
        <x:v>P0</x:v>
      </x:c>
      <x:c r="K80" s="22" t="str">
        <x:v>多租户 KVCache 隔离共享｜L1-SC-TenantIsolation-017</x:v>
      </x:c>
      <x:c r="L80" s="22" t="str">
        <x:v>为了达到 IR-01-12 的“错误/过期 KV 被消费=0；越权访问=0；view revocation p99&lt;1ms；故障注入覆盖率=100%。”，系统内部必须完成：本需求要求 KV key 构造必须包含 tenant、security domain、cache salt、model id、tokenizer hash、template version、layout version 等隔离字段；公共 KV 必须显式标记 shareable，私有 KV 不得跨租户命中或共享。</x:v>
      </x:c>
      <x:c r="M80" s="22"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 详细设计必须给出接口、数据结构、并发前置条件、主路径开关、fallback 与 metrics。</x:v>
      </x:c>
      <x:c r="N80" s="22" t="str">
        <x:v>path evidence + security domain + object version</x:v>
      </x:c>
      <x:c r="O80" s="22" t="str">
        <x:v>ready/quarantine decision + error map</x:v>
      </x:c>
      <x:c r="P80" s="22" t="str">
        <x:v>证据不足不得 ready；完整性失败立即 quarantine、撤销句柄并切副本或重算</x:v>
      </x:c>
      <x:c r="Q80" s="22" t="str">
        <x:v>跨租户误命中 = 0；</x:v>
      </x:c>
      <x:c r="R80" s="22" t="str">
        <x:v>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0" s="22" t="str">
        <x:v>依赖L2 Connector、L3目录/池与L4路径成本</x:v>
      </x:c>
      <x:c r="T80" s="22" t="str">
        <x:v>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x:v>
      </x:c>
    </x:row>
    <x:row r="81" ht="78" customHeight="1">
      <x:c r="A81" s="25" t="str">
        <x:v>SR-01-12-02</x:v>
      </x:c>
      <x:c r="B81" s="25" t="str">
        <x:v>IR-01-12</x:v>
      </x:c>
      <x:c r="C81" s="25" t="str">
        <x:v>SF-01</x:v>
      </x:c>
      <x:c r="D81" s="25" t="str">
        <x:v>L4-CO-ExtentVisibilityFence-066</x:v>
      </x:c>
      <x:c r="E81" s="22" t="str">
        <x:v>V2.1基线</x:v>
      </x:c>
      <x:c r="F81" s="22" t="str">
        <x:v>L4 底层传输层</x:v>
      </x:c>
      <x:c r="G81" s="22" t="str">
        <x:v>TM5</x:v>
      </x:c>
      <x:c r="H81" s="22" t="str">
        <x:v>一致性、安全与可靠性</x:v>
      </x:c>
      <x:c r="I81" s="22" t="str">
        <x:v>P0</x:v>
      </x:c>
      <x:c r="J81" s="22" t="str">
        <x:v>P0</x:v>
      </x:c>
      <x:c r="K81" s="22" t="str">
        <x:v>KV block/page 可见性同步｜L4-CO-ExtentVisibilityFence-066</x:v>
      </x:c>
      <x:c r="L81" s="22" t="str">
        <x:v>为了达到 IR-01-12 的“错误/过期 KV 被消费=0；越权访问=0；view revocation p99&lt;1ms；故障注入覆盖率=100%。”，系统内部必须完成：本需求要求底层提供 extent 粒度 visibility fence，覆盖 HBM、DDR、UB/C2C、RDMA remote memory、SSD/GDS buffer 之间的数据完成与可见性转换；L3 ready bitmap 只能在对应 extent fence 完成后置位。</x:v>
      </x:c>
      <x:c r="M81"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 详细设计必须给出接口、数据结构、并发前置条件、主路径开关、fallback 与 metrics。</x:v>
      </x:c>
      <x:c r="N81" s="22" t="str">
        <x:v>path evidence + security domain + object version</x:v>
      </x:c>
      <x:c r="O81" s="22" t="str">
        <x:v>ready/quarantine decision + error map</x:v>
      </x:c>
      <x:c r="P81" s="22" t="str">
        <x:v>证据不足不得 ready；完整性失败立即 quarantine、撤销句柄并切副本或重算</x:v>
      </x:c>
      <x:c r="Q81" s="22" t="str">
        <x:v>建立前置硬件能力矩阵和注册内存池机制，确保 KV block layout 不被碎片化，并能进行有效的硬件边界隔离。</x:v>
      </x:c>
      <x:c r="R81" s="22" t="str">
        <x:v>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1" s="22" t="str">
        <x:v>向L3提供capability、descriptor、completion与错误语义</x:v>
      </x:c>
      <x:c r="T81" s="22" t="str">
        <x:v>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x:v>
      </x:c>
    </x:row>
    <x:row r="82" ht="78" customHeight="1">
      <x:c r="A82" s="25" t="str">
        <x:v>SR-01-12-03</x:v>
      </x:c>
      <x:c r="B82" s="25" t="str">
        <x:v>IR-01-12</x:v>
      </x:c>
      <x:c r="C82" s="25" t="str">
        <x:v>SF-01</x:v>
      </x:c>
      <x:c r="D82" s="25" t="str">
        <x:v>L4-CO-FencePrimitive-052</x:v>
      </x:c>
      <x:c r="E82" s="22" t="str">
        <x:v>V2.1基线</x:v>
      </x:c>
      <x:c r="F82" s="22" t="str">
        <x:v>L4 底层传输层</x:v>
      </x:c>
      <x:c r="G82" s="22" t="str">
        <x:v>TM5</x:v>
      </x:c>
      <x:c r="H82" s="22" t="str">
        <x:v>一致性、安全与可靠性</x:v>
      </x:c>
      <x:c r="I82" s="22" t="str">
        <x:v>P0</x:v>
      </x:c>
      <x:c r="J82" s="22" t="str">
        <x:v>P0</x:v>
      </x:c>
      <x:c r="K82" s="22" t="str">
        <x:v>跨设备 KVCache 可见性同步｜L4-CO-FencePrimitive-052</x:v>
      </x:c>
      <x:c r="L82" s="22" t="str">
        <x:v>为了达到 IR-01-12 的“错误/过期 KV 被消费=0；越权访问=0；view revocation p99&lt;1ms；故障注入覆盖率=100%。”，系统内部必须完成：本需求要求硬件抽象层提供跨语义 fence 原语，至少覆盖 cpu_to_NPU_visible、rdma_to_NPU_visible、NPU_to_UB_visible、UB_to_rdma_visible，确保不同 fabric 间数据完成与可见性边界明确。</x:v>
      </x:c>
      <x:c r="M82"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 详细设计必须给出接口、数据结构、并发前置条件、主路径开关、fallback 与 metrics。</x:v>
      </x:c>
      <x:c r="N82" s="22" t="str">
        <x:v>path evidence + security domain + object version</x:v>
      </x:c>
      <x:c r="O82" s="22" t="str">
        <x:v>ready/quarantine decision + error map</x:v>
      </x:c>
      <x:c r="P82" s="22" t="str">
        <x:v>证据不足不得 ready；完整性失败立即 quarantine、撤销句柄并切副本或重算</x:v>
      </x:c>
      <x:c r="Q82" s="22" t="str">
        <x:v>stale visibility fault = 0；</x:v>
      </x:c>
      <x:c r="R82" s="22" t="str">
        <x:v>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2" s="22" t="str">
        <x:v>向L3提供capability、descriptor、completion与错误语义</x:v>
      </x:c>
      <x:c r="T82" s="22" t="str">
        <x:v>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x:v>
      </x:c>
    </x:row>
    <x:row r="83" ht="78" customHeight="1">
      <x:c r="A83" s="25" t="str">
        <x:v>SR-01-12-04</x:v>
      </x:c>
      <x:c r="B83" s="25" t="str">
        <x:v>IR-01-12</x:v>
      </x:c>
      <x:c r="C83" s="25" t="str">
        <x:v>SF-01</x:v>
      </x:c>
      <x:c r="D83" s="25" t="str">
        <x:v>L4-FT-PathIntegrityPolicy-077</x:v>
      </x:c>
      <x:c r="E83" s="22" t="str">
        <x:v>V1.0增量（V2.2视角）</x:v>
      </x:c>
      <x:c r="F83" s="22" t="str">
        <x:v>L4 底层传输层</x:v>
      </x:c>
      <x:c r="G83" s="22" t="str">
        <x:v>TM5</x:v>
      </x:c>
      <x:c r="H83" s="22" t="str">
        <x:v>一致性、安全与可靠性</x:v>
      </x:c>
      <x:c r="I83" s="22" t="str">
        <x:v>P0</x:v>
      </x:c>
      <x:c r="J83" s="22" t="str">
        <x:v>P0</x:v>
      </x:c>
      <x:c r="K83" s="22" t="str">
        <x:v>在不引入CPU Payload扫描的前提下保证错误KV不被消费｜L4-FT-PathIntegrityPolicy-077</x:v>
      </x:c>
      <x:c r="L83" s="22" t="str">
        <x:v>为了达到 IR-01-12 的“错误/过期 KV 被消费=0；越权访问=0；view revocation p99&lt;1ms；故障注入覆盖率=100%。”，系统内部必须完成：本需求要求为不同介质和路径定义 integrity policy/evidence 契约。LOCAL_DDR 可由 ECC/RAS、DMA completion、length/layout 和 visibility fence 组成；SSD/object 可使用 backend checksum/durability；远端路径可按 capability 使用硬件 E2E checksum。应用层 CPU CRC 仅能作为显式可选诊断能力，不得成为默认关键路径。</x:v>
      </x:c>
      <x:c r="M83" s="22" t="str">
        <x:v>P0冻结policy枚举和状态机门槛；P1与Publish/Attach闭环。 详细设计必须给出接口、数据结构、并发前置条件、主路径开关、fallback 与 metrics。</x:v>
      </x:c>
      <x:c r="N83" s="22" t="str">
        <x:v>path evidence + security domain + object version</x:v>
      </x:c>
      <x:c r="O83" s="22" t="str">
        <x:v>ready/quarantine decision + error map</x:v>
      </x:c>
      <x:c r="P83" s="22" t="str">
        <x:v>证据不足不得 ready；完整性失败立即 quarantine、撤销句柄并切副本或重算</x:v>
      </x:c>
      <x:c r="Q83" s="22" t="str">
        <x:v>每条路径在 ready 前满足所配置完整性策略；策略与证据可观测、错误可阻断、fallback可执行。</x:v>
      </x:c>
      <x:c r="R83" s="22" t="str">
        <x:v>按路径注入完成乱序、ECC/RAS、长度/layout、后端checksum和副本损坏；验证ready、quarantine、错误码和recompute。</x:v>
      </x:c>
      <x:c r="S83" s="22" t="str">
        <x:v>向L3提供capability、descriptor、completion与错误语义</x:v>
      </x:c>
      <x:c r="T83" s="22" t="str">
        <x:v>完整性目标与实现手段容易混淆，统一CRC会破坏direct路径。</x:v>
      </x:c>
    </x:row>
    <x:row r="84" ht="78" customHeight="1">
      <x:c r="A84" s="25" t="str">
        <x:v>SR-01-12-05</x:v>
      </x:c>
      <x:c r="B84" s="25" t="str">
        <x:v>IR-01-12</x:v>
      </x:c>
      <x:c r="C84" s="25" t="str">
        <x:v>SF-01</x:v>
      </x:c>
      <x:c r="D84" s="25" t="str">
        <x:v>L4-FT-RASErrorMap-061</x:v>
      </x:c>
      <x:c r="E84" s="22" t="str">
        <x:v>V2.1基线</x:v>
      </x:c>
      <x:c r="F84" s="22" t="str">
        <x:v>L4 底层传输层</x:v>
      </x:c>
      <x:c r="G84" s="22" t="str">
        <x:v>TM6</x:v>
      </x:c>
      <x:c r="H84" s="22" t="str">
        <x:v>一致性、安全与可靠性</x:v>
      </x:c>
      <x:c r="I84" s="22" t="str">
        <x:v>P0</x:v>
      </x:c>
      <x:c r="J84" s="22" t="str">
        <x:v>P0</x:v>
      </x:c>
      <x:c r="K84" s="22" t="str">
        <x:v>KVCache 硬件故障统一恢复｜L4-FT-RASErrorMap-061</x:v>
      </x:c>
      <x:c r="L84" s="22" t="str">
        <x:v>为了达到 IR-01-12 的“错误/过期 KV 被消费=0；越权访问=0；view revocation p99&lt;1ms；故障注入覆盖率=100%。”，系统内部必须完成：本需求要求硬件层将 UB error、RDMA flush error、NPU page fault、TCP timeout、SSD read error、translation fault 映射为统一 KV object fault code，并触发对应 fallback、recompute、replica invalidation 或 quarantine 策略。</x:v>
      </x:c>
      <x:c r="M84"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 详细设计必须给出接口、数据结构、并发前置条件、主路径开关、fallback 与 metrics。</x:v>
      </x:c>
      <x:c r="N84" s="22" t="str">
        <x:v>path evidence + security domain + object version</x:v>
      </x:c>
      <x:c r="O84" s="22" t="str">
        <x:v>ready/quarantine decision + error map</x:v>
      </x:c>
      <x:c r="P84" s="22" t="str">
        <x:v>证据不足不得 ready；完整性失败立即 quarantine、撤销句柄并切副本或重算</x:v>
      </x:c>
      <x:c r="Q84" s="22" t="str">
        <x:v>错误恢复路径覆盖率 受SLO约束的比例；</x:v>
      </x:c>
      <x:c r="R84" s="22" t="str">
        <x:v>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4" s="22" t="str">
        <x:v>向L3提供capability、descriptor、completion与错误语义</x:v>
      </x:c>
      <x:c r="T84" s="22" t="str">
        <x:v>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x:v>
      </x:c>
    </x:row>
    <x:row r="85" ht="78" customHeight="1">
      <x:c r="A85" s="25" t="str">
        <x:v>SR-01-12-06</x:v>
      </x:c>
      <x:c r="B85" s="25" t="str">
        <x:v>IR-01-12</x:v>
      </x:c>
      <x:c r="C85" s="25" t="str">
        <x:v>SF-01</x:v>
      </x:c>
      <x:c r="D85" s="25" t="str">
        <x:v>L4-FT-ReplicaIntegrityCheck-069</x:v>
      </x:c>
      <x:c r="E85" s="22" t="str">
        <x:v>V2.1基线</x:v>
      </x:c>
      <x:c r="F85" s="22" t="str">
        <x:v>L4 底层传输层</x:v>
      </x:c>
      <x:c r="G85" s="22" t="str">
        <x:v>TM6</x:v>
      </x:c>
      <x:c r="H85" s="22" t="str">
        <x:v>一致性、安全与可靠性</x:v>
      </x:c>
      <x:c r="I85" s="22" t="str">
        <x:v>P0</x:v>
      </x:c>
      <x:c r="J85" s="22" t="str">
        <x:v>P0</x:v>
      </x:c>
      <x:c r="K85" s="22" t="str">
        <x:v>KV 副本静默损坏检测｜L4-FT-ReplicaIntegrityCheck-069</x:v>
      </x:c>
      <x:c r="L85" s="22" t="str">
        <x:v>为了达到 IR-01-12 的“错误/过期 KV 被消费=0；越权访问=0；view revocation p99&lt;1ms；故障注入覆盖率=100%。”，系统内部必须完成：本需求要求底层在 KV replica 写入、迁移、读取和加载过程中提供 extent/page 粒度完整性校验能力，支持 checksum/CRC、长度校验、layout 校验和错误上报；校验失败必须触发 L3 replica quarantine 或 recompute。</x:v>
      </x:c>
      <x:c r="M85"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 详细设计必须给出接口、数据结构、并发前置条件、主路径开关、fallback 与 metrics。</x:v>
      </x:c>
      <x:c r="N85" s="22" t="str">
        <x:v>path evidence + security domain + object version</x:v>
      </x:c>
      <x:c r="O85" s="22" t="str">
        <x:v>ready/quarantine decision + error map</x:v>
      </x:c>
      <x:c r="P85" s="22" t="str">
        <x:v>证据不足不得 ready；完整性失败立即 quarantine、撤销句柄并切副本或重算</x:v>
      </x:c>
      <x:c r="Q85" s="22" t="str">
        <x:v>高拥塞背景下，KVCache关键小包的P99延迟不随大流数据量线性增加。</x:v>
      </x:c>
      <x:c r="R85" s="22" t="str">
        <x:v>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5" s="22" t="str">
        <x:v>向L3提供capability、descriptor、completion与错误语义</x:v>
      </x:c>
      <x:c r="T85" s="22" t="str">
        <x:v>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x:v>
      </x:c>
    </x:row>
    <x:row r="86" ht="78" customHeight="1">
      <x:c r="A86" s="25" t="str">
        <x:v>SR-01-12-07</x:v>
      </x:c>
      <x:c r="B86" s="25" t="str">
        <x:v>IR-01-12</x:v>
      </x:c>
      <x:c r="C86" s="25" t="str">
        <x:v>SF-01</x:v>
      </x:c>
      <x:c r="D86" s="25" t="str">
        <x:v>L4-QO-MigrationQoS-064</x:v>
      </x:c>
      <x:c r="E86" s="22" t="str">
        <x:v>V2.1基线</x:v>
      </x:c>
      <x:c r="F86" s="22" t="str">
        <x:v>L4 底层传输层</x:v>
      </x:c>
      <x:c r="G86" s="22" t="str">
        <x:v>TM5</x:v>
      </x:c>
      <x:c r="H86" s="22" t="str">
        <x:v>一致性、安全与可靠性</x:v>
      </x:c>
      <x:c r="I86" s="22" t="str">
        <x:v>P0</x:v>
      </x:c>
      <x:c r="J86" s="22" t="str">
        <x:v>P0</x:v>
      </x:c>
      <x:c r="K86" s="22" t="str">
        <x:v>主动迁移流量硬件隔离保障｜L4-QO-MigrationQoS-064</x:v>
      </x:c>
      <x:c r="L86" s="22" t="str">
        <x:v>为了达到 IR-01-12 的“错误/过期 KV 被消费=0；越权访问=0；view revocation p99&lt;1ms；故障注入覆盖率=100%。”，系统内部必须完成：本需求要求底层传输层为水位触发的主动迁移流量分配专用硬件通道（如特定的 RNIC Queue、PCIe DMA Ring 或独立拷贝引擎），与前台推理流量（TTFT/TPOT）实现物理隔离，确保大规模 KVCache 跨介质搬移时不挤兑推理带宽。</x:v>
      </x:c>
      <x:c r="M86"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 详细设计必须给出接口、数据结构、并发前置条件、主路径开关、fallback 与 metrics。</x:v>
      </x:c>
      <x:c r="N86" s="22" t="str">
        <x:v>path evidence + security domain + object version</x:v>
      </x:c>
      <x:c r="O86" s="22" t="str">
        <x:v>ready/quarantine decision + error map</x:v>
      </x:c>
      <x:c r="P86" s="22" t="str">
        <x:v>证据不足不得 ready；完整性失败立即 quarantine、撤销句柄并切副本或重算</x:v>
      </x:c>
      <x:c r="Q86" s="22" t="str">
        <x:v>高拥塞背景下，KVCache关键小包的P99延迟不随大流数据量线性增加。</x:v>
      </x:c>
      <x:c r="R86" s="22" t="str">
        <x:v>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6" s="22" t="str">
        <x:v>向L3提供capability、descriptor、completion与错误语义</x:v>
      </x:c>
      <x:c r="T86" s="22" t="str">
        <x:v>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x:v>
      </x:c>
    </x:row>
    <x:row r="87" ht="78" customHeight="1">
      <x:c r="A87" s="25" t="str">
        <x:v>SR-01-12-08</x:v>
      </x:c>
      <x:c r="B87" s="25" t="str">
        <x:v>IR-01-12</x:v>
      </x:c>
      <x:c r="C87" s="25" t="str">
        <x:v>SF-01</x:v>
      </x:c>
      <x:c r="D87" s="25" t="str">
        <x:v>L4-QO-StateAwareTrafficClass-068</x:v>
      </x:c>
      <x:c r="E87" s="22" t="str">
        <x:v>V2.1基线</x:v>
      </x:c>
      <x:c r="F87" s="22" t="str">
        <x:v>L4 底层传输层</x:v>
      </x:c>
      <x:c r="G87" s="22" t="str">
        <x:v>TM5</x:v>
      </x:c>
      <x:c r="H87" s="22" t="str">
        <x:v>一致性、安全与可靠性</x:v>
      </x:c>
      <x:c r="I87" s="22" t="str">
        <x:v>P0</x:v>
      </x:c>
      <x:c r="J87" s="22" t="str">
        <x:v>P0</x:v>
      </x:c>
      <x:c r="K87" s="22" t="str">
        <x:v>KV 状态迁移流量隔离｜L4-QO-StateAwareTrafficClass-068</x:v>
      </x:c>
      <x:c r="L87" s="22" t="str">
        <x:v>为了达到 IR-01-12 的“错误/过期 KV 被消费=0；越权访问=0；view revocation p99&lt;1ms；故障注入覆盖率=100%。”，系统内部必须完成：本需求要求底层按照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M87"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 详细设计必须给出接口、数据结构、并发前置条件、主路径开关、fallback 与 metrics。</x:v>
      </x:c>
      <x:c r="N87" s="22" t="str">
        <x:v>path evidence + security domain + object version</x:v>
      </x:c>
      <x:c r="O87" s="22" t="str">
        <x:v>ready/quarantine decision + error map</x:v>
      </x:c>
      <x:c r="P87" s="22" t="str">
        <x:v>证据不足不得 ready；完整性失败立即 quarantine、撤销句柄并切副本或重算</x:v>
      </x:c>
      <x:c r="Q87" s="22" t="str">
        <x:v>高拥塞背景下，KVCache关键小包的P99延迟不随大流数据量线性增加。</x:v>
      </x:c>
      <x:c r="R87" s="22" t="str">
        <x:v>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7" s="22" t="str">
        <x:v>向L3提供capability、descriptor、completion与错误语义</x:v>
      </x:c>
      <x:c r="T87" s="22" t="str">
        <x:v>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x:v>
      </x:c>
    </x:row>
    <x:row r="88" ht="78" customHeight="1">
      <x:c r="A88" s="25" t="str">
        <x:v>SR-01-12-09</x:v>
      </x:c>
      <x:c r="B88" s="25" t="str">
        <x:v>IR-01-12</x:v>
      </x:c>
      <x:c r="C88" s="25" t="str">
        <x:v>SF-01</x:v>
      </x:c>
      <x:c r="D88" s="25" t="str">
        <x:v>L4-QO-TrafficClass-056</x:v>
      </x:c>
      <x:c r="E88" s="22" t="str">
        <x:v>V2.1基线</x:v>
      </x:c>
      <x:c r="F88" s="22" t="str">
        <x:v>L4 底层传输层</x:v>
      </x:c>
      <x:c r="G88" s="22" t="str">
        <x:v>TM5</x:v>
      </x:c>
      <x:c r="H88" s="22" t="str">
        <x:v>一致性、安全与可靠性</x:v>
      </x:c>
      <x:c r="I88" s="22" t="str">
        <x:v>P0</x:v>
      </x:c>
      <x:c r="J88" s="22" t="str">
        <x:v>P0</x:v>
      </x:c>
      <x:c r="K88" s="22" t="str">
        <x:v>KVCache 多类业务流量硬件隔离｜L4-QO-TrafficClass-056</x:v>
      </x:c>
      <x:c r="L88" s="22" t="str">
        <x:v>为了达到 IR-01-12 的“错误/过期 KV 被消费=0；越权访问=0；view revocation p99&lt;1ms；故障注入覆盖率=100%。”，系统内部必须完成：本需求要求底层为不同 KV 流量建立流量隔离：TTFT prefix load、decode-critical copy、metadata lookup、background writeback、SSD cold restore、TCP fallback 应分 RNIC queue、copy stream、UB switch queue 或线程池隔离。</x:v>
      </x:c>
      <x:c r="M88" s="22"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 详细设计必须给出接口、数据结构、并发前置条件、主路径开关、fallback 与 metrics。</x:v>
      </x:c>
      <x:c r="N88" s="22" t="str">
        <x:v>path evidence + security domain + object version</x:v>
      </x:c>
      <x:c r="O88" s="22" t="str">
        <x:v>ready/quarantine decision + error map</x:v>
      </x:c>
      <x:c r="P88" s="22" t="str">
        <x:v>证据不足不得 ready；完整性失败立即 quarantine、撤销句柄并切副本或重算</x:v>
      </x:c>
      <x:c r="Q88" s="22" t="str">
        <x:v>background interference 降低 ≥50%；</x:v>
      </x:c>
      <x:c r="R88" s="22" t="str">
        <x:v>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8" s="22" t="str">
        <x:v>向L3提供capability、descriptor、completion与错误语义</x:v>
      </x:c>
      <x:c r="T88" s="22" t="str">
        <x:v>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x:v>
      </x:c>
    </x:row>
    <x:row r="89" ht="78" customHeight="1">
      <x:c r="A89" s="25" t="str">
        <x:v>SR-01-12-10</x:v>
      </x:c>
      <x:c r="B89" s="25" t="str">
        <x:v>IR-01-12</x:v>
      </x:c>
      <x:c r="C89" s="25" t="str">
        <x:v>SF-01</x:v>
      </x:c>
      <x:c r="D89" s="25" t="str">
        <x:v>L4-SC-ViewProtection-062</x:v>
      </x:c>
      <x:c r="E89" s="22" t="str">
        <x:v>V2.1基线</x:v>
      </x:c>
      <x:c r="F89" s="22" t="str">
        <x:v>L4 底层传输层</x:v>
      </x:c>
      <x:c r="G89" s="22" t="str">
        <x:v>TM5</x:v>
      </x:c>
      <x:c r="H89" s="22" t="str">
        <x:v>一致性、安全与可靠性</x:v>
      </x:c>
      <x:c r="I89" s="22" t="str">
        <x:v>P0</x:v>
      </x:c>
      <x:c r="J89" s="22" t="str">
        <x:v>P0</x:v>
      </x:c>
      <x:c r="K89" s="22" t="str">
        <x:v>共享内存 KVCache 安全访问保护｜L4-SC-ViewProtection-062</x:v>
      </x:c>
      <x:c r="L89" s="22" t="str">
        <x:v>为了达到 IR-01-12 的“错误/过期 KV 被消费=0；越权访问=0；view revocation p99&lt;1ms；故障注入覆盖率=100%。”，系统内部必须完成：本需求要求 memory view 访问必须具备硬件级保护：read-only mapping、IOMMU/SMMU domain、tenant key、view revocation、poison isolation、audit log；裸地址不得跨租户或跨安全域直接共享。</x:v>
      </x:c>
      <x:c r="M89" s="22" t="str">
        <x:v>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 详细设计必须给出接口、数据结构、并发前置条件、主路径开关、fallback 与 metrics。</x:v>
      </x:c>
      <x:c r="N89" s="22" t="str">
        <x:v>path evidence + security domain + object version</x:v>
      </x:c>
      <x:c r="O89" s="22" t="str">
        <x:v>ready/quarantine decision + error map</x:v>
      </x:c>
      <x:c r="P89" s="22" t="str">
        <x:v>证据不足不得 ready；完整性失败立即 quarantine、撤销句柄并切副本或重算</x:v>
      </x:c>
      <x:c r="Q89" s="22" t="str">
        <x:v>越权访问 = 0；view revocation p99 &lt;1ms；</x:v>
      </x:c>
      <x:c r="R89" s="22" t="str">
        <x:v>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9" s="22" t="str">
        <x:v>向L3提供capability、descriptor、completion与错误语义</x:v>
      </x:c>
      <x:c r="T89" s="22" t="str">
        <x:v>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x:v>
      </x:c>
    </x:row>
    <x:row r="90" ht="78" customHeight="1">
      <x:c r="A90" s="25" t="str">
        <x:v>SR-01-12-11</x:v>
      </x:c>
      <x:c r="B90" s="25" t="str">
        <x:v>IR-01-12</x:v>
      </x:c>
      <x:c r="C90" s="25" t="str">
        <x:v>SF-01</x:v>
      </x:c>
      <x:c r="D90" s="25" t="str">
        <x:v>L4-CO-DrainAndQuiesce-073</x:v>
      </x:c>
      <x:c r="E90" s="22" t="str">
        <x:v>V2.1基线</x:v>
      </x:c>
      <x:c r="F90" s="22" t="str">
        <x:v>L4 底层传输层</x:v>
      </x:c>
      <x:c r="G90" s="22" t="str">
        <x:v>TM5</x:v>
      </x:c>
      <x:c r="H90" s="22" t="str">
        <x:v>一致性、安全与可靠性</x:v>
      </x:c>
      <x:c r="I90" s="22" t="str">
        <x:v>P1</x:v>
      </x:c>
      <x:c r="J90" s="22" t="str">
        <x:v>P1</x:v>
      </x:c>
      <x:c r="K90" s="22" t="str">
        <x:v>后端资源切换与节点下线｜L4-CO-DrainAndQuiesce-073</x:v>
      </x:c>
      <x:c r="L90" s="22" t="str">
        <x:v>为了达到 IR-01-12 的“错误/过期 KV 被消费=0；越权访问=0；view revocation p99&lt;1ms；故障注入覆盖率=100%。”，系统内部必须完成：本需求要求底层为 RDMA QP/CQ、DMA ring、copy stream、GDS handle、UB mapping 提供 drain/quiesce 原语；当 L3 执行 backend 降级、节点下线、registered pool 重建或大规模迁移时，必须先停止新提交并等待已提交 KV 操作完成或失败。</x:v>
      </x:c>
      <x:c r="M90"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 详细设计必须给出接口、数据结构、并发前置条件、主路径开关、fallback 与 metrics。</x:v>
      </x:c>
      <x:c r="N90" s="22" t="str">
        <x:v>path evidence + security domain + object version</x:v>
      </x:c>
      <x:c r="O90" s="22" t="str">
        <x:v>ready/quarantine decision + error map</x:v>
      </x:c>
      <x:c r="P90" s="22" t="str">
        <x:v>证据不足不得 ready；完整性失败立即 quarantine、撤销句柄并切副本或重算</x:v>
      </x:c>
      <x:c r="Q90" s="22" t="str">
        <x:v>全局内存利用率提升至≥85%，跨级冷热数据迁移过程中的TPOT抖动 &lt; 5%。</x:v>
      </x:c>
      <x:c r="R90" s="22" t="str">
        <x:v>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0" s="22" t="str">
        <x:v>向L3提供capability、descriptor、completion与错误语义</x:v>
      </x:c>
      <x:c r="T90" s="22" t="str">
        <x:v>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x:v>
      </x:c>
    </x:row>
    <x:row r="91" ht="78" customHeight="1">
      <x:c r="A91" s="25" t="str">
        <x:v>SR-01-12-12</x:v>
      </x:c>
      <x:c r="B91" s="25" t="str">
        <x:v>IR-01-12</x:v>
      </x:c>
      <x:c r="C91" s="25" t="str">
        <x:v>SF-01</x:v>
      </x:c>
      <x:c r="D91" s="25" t="str">
        <x:v>L4-OB-RemoteAccessCounter-057</x:v>
      </x:c>
      <x:c r="E91" s="22" t="str">
        <x:v>V2.1基线</x:v>
      </x:c>
      <x:c r="F91" s="22" t="str">
        <x:v>L4 底层传输层</x:v>
      </x:c>
      <x:c r="G91" s="22" t="str">
        <x:v>TM6</x:v>
      </x:c>
      <x:c r="H91" s="22" t="str">
        <x:v>一致性、安全与可靠性</x:v>
      </x:c>
      <x:c r="I91" s="22" t="str">
        <x:v>P1</x:v>
      </x:c>
      <x:c r="J91" s="22" t="str">
        <x:v>P1</x:v>
      </x:c>
      <x:c r="K91" s="22" t="str">
        <x:v>近端共享内存 KV 访问性能观测｜L4-OB-RemoteAccessCounter-057</x:v>
      </x:c>
      <x:c r="L91" s="22" t="str">
        <x:v>为了达到 IR-01-12 的“错误/过期 KV 被消费=0；越权访问=0；view revocation p99&lt;1ms；故障注入覆盖率=100%。”，系统内部必须完成：本需求要求 NPU/NPU runtime 暴露 remote-tier access counters：包括 UB/C2C load count、remote memory bandwidth、stall cycles、Lmiss source、copy engine utilization，使系统能判断 direct view 是否拖慢 TPOT。</x:v>
      </x:c>
      <x:c r="M91"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 详细设计必须给出接口、数据结构、并发前置条件、主路径开关、fallback 与 metrics。</x:v>
      </x:c>
      <x:c r="N91" s="22" t="str">
        <x:v>path evidence + security domain + object version</x:v>
      </x:c>
      <x:c r="O91" s="22" t="str">
        <x:v>ready/quarantine decision + error map</x:v>
      </x:c>
      <x:c r="P91" s="22" t="str">
        <x:v>证据不足不得 ready；完整性失败立即 quarantine、撤销句柄并切副本或重算</x:v>
      </x:c>
      <x:c r="Q91" s="22" t="str">
        <x:v>view-vs-copy 决策准确率 ≥90%；</x:v>
      </x:c>
      <x:c r="R91" s="22" t="str">
        <x:v>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1" s="22" t="str">
        <x:v>向L3提供capability、descriptor、completion与错误语义</x:v>
      </x:c>
      <x:c r="T91" s="22" t="str">
        <x:v>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x:v>
      </x:c>
    </x:row>
    <x:row r="92" ht="78" customHeight="1">
      <x:c r="A92" s="25" t="str">
        <x:v>SR-01-12-13</x:v>
      </x:c>
      <x:c r="B92" s="25" t="str">
        <x:v>IR-01-12</x:v>
      </x:c>
      <x:c r="C92" s="25" t="str">
        <x:v>SF-01</x:v>
      </x:c>
      <x:c r="D92" s="25" t="str">
        <x:v>L4-CO-AtomicRemapPrimitive-065</x:v>
      </x:c>
      <x:c r="E92" s="22" t="str">
        <x:v>V2.1基线</x:v>
      </x:c>
      <x:c r="F92" s="22" t="str">
        <x:v>L4 底层传输层</x:v>
      </x:c>
      <x:c r="G92" s="22" t="str">
        <x:v>TM5</x:v>
      </x:c>
      <x:c r="H92" s="22" t="str">
        <x:v>一致性、安全与可靠性</x:v>
      </x:c>
      <x:c r="I92" s="22" t="str">
        <x:v>P2</x:v>
      </x:c>
      <x:c r="J92" s="22" t="str">
        <x:v>P2</x:v>
      </x:c>
      <x:c r="K92" s="22" t="str">
        <x:v>KV 迁移/紧凑整理期间地址无感切换｜L4-CO-AtomicRemapPrimitive-065</x:v>
      </x:c>
      <x:c r="L92" s="22" t="str">
        <x:v>为了达到 IR-01-12 的“错误/过期 KV 被消费=0；越权访问=0；view revocation p99&lt;1ms；故障注入覆盖率=100%。”，系统内部必须完成：本需求要求底层传输层为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x:v>
      </x:c>
      <x:c r="M92"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 详细设计必须给出接口、数据结构、并发前置条件、主路径开关、fallback 与 metrics。</x:v>
      </x:c>
      <x:c r="N92" s="22" t="str">
        <x:v>path evidence + security domain + object version</x:v>
      </x:c>
      <x:c r="O92" s="22" t="str">
        <x:v>ready/quarantine decision + error map</x:v>
      </x:c>
      <x:c r="P92" s="22" t="str">
        <x:v>证据不足不得 ready；完整性失败立即 quarantine、撤销句柄并切副本或重算</x:v>
      </x:c>
      <x:c r="Q92" s="22" t="str">
        <x:v>高拥塞背景下，KVCache关键小包的P99延迟不随大流数据量线性增加。</x:v>
      </x:c>
      <x:c r="R92" s="22" t="str">
        <x:v>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2" s="22" t="str">
        <x:v>向L3提供capability、descriptor、completion与错误语义</x:v>
      </x:c>
      <x:c r="T92" s="22" t="str">
        <x:v>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x:v>
      </x:c>
    </x:row>
    <x:row r="93" ht="78" customHeight="1">
      <x:c r="A93" s="25" t="str">
        <x:v>SR-01-12-14</x:v>
      </x:c>
      <x:c r="B93" s="25" t="str">
        <x:v>IR-01-12</x:v>
      </x:c>
      <x:c r="C93" s="25" t="str">
        <x:v>SF-01</x:v>
      </x:c>
      <x:c r="D93" s="25" t="str">
        <x:v>L4-SC-SecureExtentRelease-074</x:v>
      </x:c>
      <x:c r="E93" s="22" t="str">
        <x:v>V2.1基线</x:v>
      </x:c>
      <x:c r="F93" s="22" t="str">
        <x:v>L4 底层传输层</x:v>
      </x:c>
      <x:c r="G93" s="22" t="str">
        <x:v>TM5</x:v>
      </x:c>
      <x:c r="H93" s="22" t="str">
        <x:v>一致性、安全与可靠性</x:v>
      </x:c>
      <x:c r="I93" s="22" t="str">
        <x:v>P2</x:v>
      </x:c>
      <x:c r="J93" s="22" t="str">
        <x:v>P2</x:v>
      </x:c>
      <x:c r="K93" s="22" t="str">
        <x:v>KV 物理空间安全复用｜L4-SC-SecureExtentRelease-074</x:v>
      </x:c>
      <x:c r="L93" s="22" t="str">
        <x:v>为了达到 IR-01-12 的“错误/过期 KV 被消费=0；越权访问=0；view revocation p99&lt;1ms；故障注入覆盖率=100%。”，系统内部必须完成：本需求要求底层支持 KV extent 安全释放：对跨租户或安全域复用的 HBM/DDR/SSD extent，在释放或重新分配前执行 zero-fill、crypto erase 或 poison isolation，并向 L3 返回 release completion。</x:v>
      </x:c>
      <x:c r="M93"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 详细设计必须给出接口、数据结构、并发前置条件、主路径开关、fallback 与 metrics。</x:v>
      </x:c>
      <x:c r="N93" s="22" t="str">
        <x:v>path evidence + security domain + object version</x:v>
      </x:c>
      <x:c r="O93" s="22" t="str">
        <x:v>ready/quarantine decision + error map</x:v>
      </x:c>
      <x:c r="P93" s="22" t="str">
        <x:v>证据不足不得 ready；完整性失败立即 quarantine、撤销句柄并切副本或重算</x:v>
      </x:c>
      <x:c r="Q93" s="22" t="str">
        <x:v>在极高并发下OOM、非法内存访问(Segfault)、租户数据串模率为0。</x:v>
      </x:c>
      <x:c r="R93" s="22" t="str">
        <x:v>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3" s="22" t="str">
        <x:v>向L3提供capability、descriptor、completion与错误语义</x:v>
      </x:c>
      <x:c r="T93" s="22" t="str">
        <x:v>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x:v>
      </x:c>
    </x:row>
    <x:row r="94" ht="78" customHeight="1">
      <x:c r="A94" s="25" t="str">
        <x:v>SR-01-12-15</x:v>
      </x:c>
      <x:c r="B94" s="25" t="str">
        <x:v>IR-01-12</x:v>
      </x:c>
      <x:c r="C94" s="25" t="str">
        <x:v>SF-01</x:v>
      </x:c>
      <x:c r="D94" s="25" t="str">
        <x:v>L4-CO-PageMigration-063</x:v>
      </x:c>
      <x:c r="E94" s="22" t="str">
        <x:v>V2.1基线</x:v>
      </x:c>
      <x:c r="F94" s="22" t="str">
        <x:v>L4 底层传输层</x:v>
      </x:c>
      <x:c r="G94" s="22" t="str">
        <x:v>TM5</x:v>
      </x:c>
      <x:c r="H94" s="22" t="str">
        <x:v>一致性、安全与可靠性</x:v>
      </x:c>
      <x:c r="I94" s="22" t="str">
        <x:v>P3</x:v>
      </x:c>
      <x:c r="J94" s="22" t="str">
        <x:v>P3</x:v>
      </x:c>
      <x:c r="K94" s="22" t="str">
        <x:v>硬件级零拷贝内存重组｜L4-CO-PageMigration-063</x:v>
      </x:c>
      <x:c r="L94" s="22" t="str">
        <x:v>为了达到 IR-01-12 的“错误/过期 KV 被消费=0；越权访问=0；view revocation p99&lt;1ms；故障注入覆盖率=100%。”，系统内部必须完成：本需求要求底层传输层提供硬件级页迁移（Page Migration）与大页（Hugepage）重组原语，允许在不更改上层虚拟地址（GAP/指针）的前提下，在硬件层原子级完成物理内存页复制与 IOMMU/TLB 刷新。</x:v>
      </x:c>
      <x:c r="M94"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 详细设计必须给出接口、数据结构、并发前置条件、主路径开关、fallback 与 metrics。</x:v>
      </x:c>
      <x:c r="N94" s="22" t="str">
        <x:v>path evidence + security domain + object version</x:v>
      </x:c>
      <x:c r="O94" s="22" t="str">
        <x:v>ready/quarantine decision + error map</x:v>
      </x:c>
      <x:c r="P94" s="22" t="str">
        <x:v>证据不足不得 ready；完整性失败立即 quarantine、撤销句柄并切副本或重算</x:v>
      </x:c>
      <x:c r="Q94" s="22" t="str">
        <x:v>探索直接视图(direct view)、硬件多播及硬件原子页迁移等远期能力，避免 TPOT 被直接视图意外拖慢，不强求 &lt;500ns 等极端指标。</x:v>
      </x:c>
      <x:c r="R94" s="22" t="str">
        <x:v>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4" s="22" t="str">
        <x:v>向L3提供capability、descriptor、completion与错误语义</x:v>
      </x:c>
      <x:c r="T94" s="22" t="str">
        <x:v>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x:v>
      </x:c>
    </x:row>
    <x:row r="95" ht="78" customHeight="1">
      <x:c r="A95" s="25" t="str">
        <x:v>SR-02-01-01</x:v>
      </x:c>
      <x:c r="B95" s="25" t="str">
        <x:v>IR-02-01</x:v>
      </x:c>
      <x:c r="C95" s="25" t="str">
        <x:v>SF-02</x:v>
      </x:c>
      <x:c r="D95" s="25" t="str">
        <x:v>L2-CONN-API-STD-001</x:v>
      </x:c>
      <x:c r="E95" s="22" t="str">
        <x:v>V2.1基线</x:v>
      </x:c>
      <x:c r="F95" s="22" t="str">
        <x:v>L2 KVConnector层</x:v>
      </x:c>
      <x:c r="G95" s="22" t="str">
        <x:v>TM1</x:v>
      </x:c>
      <x:c r="H95" s="22" t="str">
        <x:v>统一协议与标准接口</x:v>
      </x:c>
      <x:c r="I95" s="22" t="str">
        <x:v>P0</x:v>
      </x:c>
      <x:c r="J95" s="22" t="str">
        <x:v>P0</x:v>
      </x:c>
      <x:c r="K95" s="22" t="str">
        <x:v>统一接口标准化｜L2-CONN-API-STD-001</x:v>
      </x:c>
      <x:c r="L95" s="22" t="str">
        <x:v>为了达到 IR-02-01 的“conformance通过率=100%；接口调用&lt;5 μs；元数据编解码&lt;200 ns/次；新后端接入工期降低≥50%。”，系统内部必须完成：本需求要求定义并实施统一的KVConnector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M95"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 详细设计必须给出接口、数据结构、并发前置条件、主路径开关、fallback 与 metrics。</x:v>
      </x:c>
      <x:c r="N95" s="22" t="str">
        <x:v>framework intent + semantic identity + budget</x:v>
      </x:c>
      <x:c r="O95" s="22" t="str">
        <x:v>versioned request/response + typed error/fallback</x:v>
      </x:c>
      <x:c r="P95" s="22" t="str">
        <x:v>版本不兼容拒绝消费；feature flag关闭时恢复原生框架路径</x:v>
      </x:c>
      <x:c r="Q95" s="22" t="str">
        <x:v>Prefix命中判定P99耗时 &lt; 200us；在Share-Prefix业务下，Usable Hit Rate提升≥15%。</x:v>
      </x:c>
      <x:c r="R95" s="22" t="str">
        <x:v>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5" s="22" t="str">
        <x:v>依赖L3对象/目录和L4后端能力</x:v>
      </x:c>
      <x:c r="T95" s="22" t="str">
        <x:v>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x:v>
      </x:c>
    </x:row>
    <x:row r="96" ht="78" customHeight="1">
      <x:c r="A96" s="25" t="str">
        <x:v>SR-02-01-02</x:v>
      </x:c>
      <x:c r="B96" s="25" t="str">
        <x:v>IR-02-01</x:v>
      </x:c>
      <x:c r="C96" s="25" t="str">
        <x:v>SF-02</x:v>
      </x:c>
      <x:c r="D96" s="25" t="str">
        <x:v>L2-CONN-BufferContract-040</x:v>
      </x:c>
      <x:c r="E96" s="22" t="str">
        <x:v>V2.1基线</x:v>
      </x:c>
      <x:c r="F96" s="22" t="str">
        <x:v>L2 KVConnector层</x:v>
      </x:c>
      <x:c r="G96" s="22" t="str">
        <x:v>TM1</x:v>
      </x:c>
      <x:c r="H96" s="22" t="str">
        <x:v>统一协议与标准接口</x:v>
      </x:c>
      <x:c r="I96" s="22" t="str">
        <x:v>P0</x:v>
      </x:c>
      <x:c r="J96" s="22" t="str">
        <x:v>P0</x:v>
      </x:c>
      <x:c r="K96" s="22" t="str">
        <x:v>算力执行内存与存储池内存管理解耦｜L2-CONN-BufferContract-040</x:v>
      </x:c>
      <x:c r="L96" s="22" t="str">
        <x:v>为了达到 IR-02-01 的“conformance通过率=100%；接口调用&lt;5 μs；元数据编解码&lt;200 ns/次；新后端接入工期降低≥50%。”，系统内部必须完成：本需求要求明确划分推理框架执行内存（Execution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M96"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 详细设计必须给出接口、数据结构、并发前置条件、主路径开关、fallback 与 metrics。</x:v>
      </x:c>
      <x:c r="N96" s="22" t="str">
        <x:v>framework intent + semantic identity + budget</x:v>
      </x:c>
      <x:c r="O96" s="22" t="str">
        <x:v>versioned request/response + typed error/fallback</x:v>
      </x:c>
      <x:c r="P96" s="22" t="str">
        <x:v>版本不兼容拒绝消费；feature flag关闭时恢复原生框架路径</x:v>
      </x:c>
      <x:c r="Q96" s="22" t="str">
        <x:v>错误Load（即Load耗时 &gt; Recompute耗时）比例下降至 &lt; 1%。</x:v>
      </x:c>
      <x:c r="R96" s="22" t="str">
        <x:v>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6" s="22" t="str">
        <x:v>依赖L3对象/目录和L4后端能力</x:v>
      </x:c>
      <x:c r="T96" s="22" t="str">
        <x:v>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x:v>
      </x:c>
    </x:row>
    <x:row r="97" ht="78" customHeight="1">
      <x:c r="A97" s="25" t="str">
        <x:v>SR-02-01-03</x:v>
      </x:c>
      <x:c r="B97" s="25" t="str">
        <x:v>IR-02-01</x:v>
      </x:c>
      <x:c r="C97" s="25" t="str">
        <x:v>SF-02</x:v>
      </x:c>
      <x:c r="D97" s="25" t="str">
        <x:v>L2-CONN-CostAwareReturn-039</x:v>
      </x:c>
      <x:c r="E97" s="22" t="str">
        <x:v>V2.1基线</x:v>
      </x:c>
      <x:c r="F97" s="22" t="str">
        <x:v>L2 KVConnector层</x:v>
      </x:c>
      <x:c r="G97" s="22" t="str">
        <x:v>TM1</x:v>
      </x:c>
      <x:c r="H97" s="22" t="str">
        <x:v>统一协议与标准接口</x:v>
      </x:c>
      <x:c r="I97" s="22" t="str">
        <x:v>P0</x:v>
      </x:c>
      <x:c r="J97" s="22" t="str">
        <x:v>P0</x:v>
      </x:c>
      <x:c r="K97" s="22" t="str">
        <x:v>拥塞链路下的前缀命中低效绕行｜L2-CONN-CostAwareReturn-039</x:v>
      </x:c>
      <x:c r="L97" s="22" t="str">
        <x:v>为了达到 IR-02-01 的“conformance通过率=100%；接口调用&lt;5 μs；元数据编解码&lt;200 ns/次；新后端接入工期降低≥50%。”，系统内部必须完成：本需求要求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M97"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 详细设计必须给出接口、数据结构、并发前置条件、主路径开关、fallback 与 metrics。</x:v>
      </x:c>
      <x:c r="N97" s="22" t="str">
        <x:v>framework intent + semantic identity + budget</x:v>
      </x:c>
      <x:c r="O97" s="22" t="str">
        <x:v>versioned request/response + typed error/fallback</x:v>
      </x:c>
      <x:c r="P97" s="22" t="str">
        <x:v>版本不兼容拒绝消费；feature flag关闭时恢复原生框架路径</x:v>
      </x:c>
      <x:c r="Q97" s="22" t="str">
        <x:v>确保 L2/L3 能够向 L1 输出准确的传输和附加代价(Cost)，而不直接在连接层内丢弃请求(Drop)。</x:v>
      </x:c>
      <x:c r="R97" s="22" t="str">
        <x:v>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7" s="22" t="str">
        <x:v>依赖L3对象/目录和L4后端能力</x:v>
      </x:c>
      <x:c r="T97" s="22" t="str">
        <x:v>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x:v>
      </x:c>
    </x:row>
    <x:row r="98" ht="78" customHeight="1">
      <x:c r="A98" s="25" t="str">
        <x:v>SR-02-01-04</x:v>
      </x:c>
      <x:c r="B98" s="25" t="str">
        <x:v>IR-02-01</x:v>
      </x:c>
      <x:c r="C98" s="25" t="str">
        <x:v>SF-02</x:v>
      </x:c>
      <x:c r="D98" s="25" t="str">
        <x:v>L2-KV-PublishCommit-033</x:v>
      </x:c>
      <x:c r="E98" s="22" t="str">
        <x:v>V2.1基线</x:v>
      </x:c>
      <x:c r="F98" s="22" t="str">
        <x:v>L2 KVConnector层</x:v>
      </x:c>
      <x:c r="G98" s="22" t="str">
        <x:v>TM1</x:v>
      </x:c>
      <x:c r="H98" s="22" t="str">
        <x:v>统一协议与标准接口</x:v>
      </x:c>
      <x:c r="I98" s="22" t="str">
        <x:v>P0</x:v>
      </x:c>
      <x:c r="J98" s="22" t="str">
        <x:v>P0</x:v>
      </x:c>
      <x:c r="K98" s="22" t="str">
        <x:v>NPU/GPU 生成 KV 后进入统一 KV 内存池｜L2-KV-PublishCommit-033</x:v>
      </x:c>
      <x:c r="L98" s="22" t="str">
        <x:v>为了达到 IR-02-01 的“conformance通过率=100%；接口调用&lt;5 μs；元数据编解码&lt;200 ns/次；新后端接入工期降低≥50%。”，系统内部必须完成：本需求要求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x:v>
      </x:c>
      <x:c r="M98"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 详细设计必须给出接口、数据结构、并发前置条件、主路径开关、fallback 与 metrics。</x:v>
      </x:c>
      <x:c r="N98" s="22" t="str">
        <x:v>framework intent + semantic identity + budget</x:v>
      </x:c>
      <x:c r="O98" s="22" t="str">
        <x:v>versioned request/response + typed error/fallback</x:v>
      </x:c>
      <x:c r="P98" s="22" t="str">
        <x:v>版本不兼容拒绝消费；feature flag关闭时恢复原生框架路径</x:v>
      </x:c>
      <x:c r="Q98" s="22" t="str">
        <x:v>元数据转换和序列化开销降低至&lt;200ns/次。</x:v>
      </x:c>
      <x:c r="R98" s="22" t="str">
        <x:v>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8" s="22" t="str">
        <x:v>依赖L3对象/目录和L4后端能力</x:v>
      </x:c>
      <x:c r="T98" s="22" t="str">
        <x:v>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x:v>
      </x:c>
    </x:row>
    <x:row r="99" ht="78" customHeight="1">
      <x:c r="A99" s="25" t="str">
        <x:v>SR-02-01-05</x:v>
      </x:c>
      <x:c r="B99" s="25" t="str">
        <x:v>IR-02-01</x:v>
      </x:c>
      <x:c r="C99" s="25" t="str">
        <x:v>SF-02</x:v>
      </x:c>
      <x:c r="D99" s="25" t="str">
        <x:v>L2-KV-SemanticIdentity-036</x:v>
      </x:c>
      <x:c r="E99" s="22" t="str">
        <x:v>V2.1基线</x:v>
      </x:c>
      <x:c r="F99" s="22" t="str">
        <x:v>L2 KVConnector层</x:v>
      </x:c>
      <x:c r="G99" s="22" t="str">
        <x:v>TM1</x:v>
      </x:c>
      <x:c r="H99" s="22" t="str">
        <x:v>统一协议与标准接口</x:v>
      </x:c>
      <x:c r="I99" s="22" t="str">
        <x:v>P1</x:v>
      </x:c>
      <x:c r="J99" s="22" t="str">
        <x:v>P1</x:v>
      </x:c>
      <x:c r="K99" s="22" t="str">
        <x:v>防止语义不兼容 KV 被误复用｜L2-KV-SemanticIdentity-036</x:v>
      </x:c>
      <x:c r="L99" s="22" t="str">
        <x:v>为了达到 IR-02-01 的“conformance通过率=100%；接口调用&lt;5 μs；元数据编解码&lt;200 ns/次；新后端接入工期降低≥50%。”，系统内部必须完成：本需求要求定义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M99"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 详细设计必须给出接口、数据结构、并发前置条件、主路径开关、fallback 与 metrics。</x:v>
      </x:c>
      <x:c r="N99" s="22" t="str">
        <x:v>framework intent + semantic identity + budget</x:v>
      </x:c>
      <x:c r="O99" s="22" t="str">
        <x:v>versioned request/response + typed error/fallback</x:v>
      </x:c>
      <x:c r="P99" s="22" t="str">
        <x:v>版本不兼容拒绝消费；feature flag关闭时恢复原生框架路径</x:v>
      </x:c>
      <x:c r="Q99" s="22" t="str">
        <x:v>元数据转换和序列化开销降低至&lt;200ns/次。</x:v>
      </x:c>
      <x:c r="R99" s="22" t="str">
        <x:v>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9" s="22" t="str">
        <x:v>依赖L3对象/目录和L4后端能力</x:v>
      </x:c>
      <x:c r="T99" s="22" t="str">
        <x:v>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x:v>
      </x:c>
    </x:row>
    <x:row r="100" ht="78" customHeight="1">
      <x:c r="A100" s="25" t="str">
        <x:v>SR-02-02-01</x:v>
      </x:c>
      <x:c r="B100" s="25" t="str">
        <x:v>IR-02-02</x:v>
      </x:c>
      <x:c r="C100" s="25" t="str">
        <x:v>SF-02</x:v>
      </x:c>
      <x:c r="D100" s="25" t="str">
        <x:v>L1-PM-PrefixBudget-001</x:v>
      </x:c>
      <x:c r="E100" s="22" t="str">
        <x:v>V2.1基线</x:v>
      </x:c>
      <x:c r="F100" s="22" t="str">
        <x:v>L1 推理调度层</x:v>
      </x:c>
      <x:c r="G100" s="22" t="str">
        <x:v>TM1</x:v>
      </x:c>
      <x:c r="H100" s="22" t="str">
        <x:v>调度与路由控制</x:v>
      </x:c>
      <x:c r="I100" s="22" t="str">
        <x:v>P0</x:v>
      </x:c>
      <x:c r="J100" s="22" t="str">
        <x:v>P0</x:v>
      </x:c>
      <x:c r="K100" s="22" t="str">
        <x:v>共享前缀命中快速判定｜L1-PM-PrefixBudget-001</x:v>
      </x:c>
      <x:c r="L100" s="22" t="str">
        <x:v>为了达到 IR-02-02 的“p99 TTFT降低≥20%；abandoned remote load降低≥50%；跨节点bytes/request降低≥30%；QPS提升≥10%。”，系统内部必须完成：本需求要求在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M100"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 详细设计必须给出接口、数据结构、并发前置条件、主路径开关、fallback 与 metrics。</x:v>
      </x:c>
      <x:c r="N100" s="22" t="str">
        <x:v>PrefixBudget + placement summary + recompute estimate</x:v>
      </x:c>
      <x:c r="O100" s="22" t="str">
        <x:v>admission/routing decision + QueryPlan id</x:v>
      </x:c>
      <x:c r="P100" s="22" t="str">
        <x:v>超预算立即 partial hit/recompute；水位高时平滑拒绝，不得 OOM 崩溃</x:v>
      </x:c>
      <x:c r="Q100" s="22" t="str">
        <x:v>确保 Prefix 命中不严重拖累 TTFT；usable_hit / total_requests 的转化率稳定。</x:v>
      </x:c>
      <x:c r="R100" s="22" t="str">
        <x:v>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0" s="22" t="str">
        <x:v>依赖L2 Connector、L3目录/池与L4路径成本</x:v>
      </x:c>
      <x:c r="T100" s="22" t="str">
        <x:v>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x:v>
      </x:c>
    </x:row>
    <x:row r="101" ht="78" customHeight="1">
      <x:c r="A101" s="25" t="str">
        <x:v>SR-02-02-02</x:v>
      </x:c>
      <x:c r="B101" s="25" t="str">
        <x:v>IR-02-02</x:v>
      </x:c>
      <x:c r="C101" s="25" t="str">
        <x:v>SF-02</x:v>
      </x:c>
      <x:c r="D101" s="25" t="str">
        <x:v>L1-RT-Admission-007</x:v>
      </x:c>
      <x:c r="E101" s="22" t="str">
        <x:v>V2.1基线</x:v>
      </x:c>
      <x:c r="F101" s="22" t="str">
        <x:v>L1 推理调度层</x:v>
      </x:c>
      <x:c r="G101" s="22" t="str">
        <x:v>TM1</x:v>
      </x:c>
      <x:c r="H101" s="22" t="str">
        <x:v>调度与路由控制</x:v>
      </x:c>
      <x:c r="I101" s="22" t="str">
        <x:v>P0</x:v>
      </x:c>
      <x:c r="J101" s="22" t="str">
        <x:v>P0</x:v>
      </x:c>
      <x:c r="K101" s="22" t="str">
        <x:v>命中 KV 加载收益判定｜L1-RT-Admission-007</x:v>
      </x:c>
      <x:c r="L101" s="22" t="str">
        <x:v>为了达到 IR-02-02 的“p99 TTFT降低≥20%；abandoned remote load降低≥50%；跨节点bytes/request降低≥30%；QPS提升≥10%。”，系统内部必须完成：本需求要求 Scheduler 在 prefix hit 后执行 load-vs-recompute admission 判断：只有当 lookup + transfer + attach + rank_sync 小于 recompute_saved_time 且满足 TTFT deadline 时才允许加载 KV，否则必须直接 recompute 或 partial recompute。</x:v>
      </x:c>
      <x:c r="M101"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 详细设计必须给出接口、数据结构、并发前置条件、主路径开关、fallback 与 metrics。</x:v>
      </x:c>
      <x:c r="N101" s="22" t="str">
        <x:v>PrefixBudget + placement summary + recompute estimate</x:v>
      </x:c>
      <x:c r="O101" s="22" t="str">
        <x:v>admission/routing decision + QueryPlan id</x:v>
      </x:c>
      <x:c r="P101" s="22" t="str">
        <x:v>超预算立即 partial hit/recompute；水位高时平滑拒绝，不得 OOM 崩溃</x:v>
      </x:c>
      <x:c r="Q101" s="22" t="str">
        <x:v>p99 TTFT 降低 ≥20%；abandoned remote load 降低 ≥50%；</x:v>
      </x:c>
      <x:c r="R101" s="22" t="str">
        <x:v>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1" s="22" t="str">
        <x:v>依赖L2 Connector、L3目录/池与L4路径成本</x:v>
      </x:c>
      <x:c r="T101" s="22" t="str">
        <x:v>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x:v>
      </x:c>
    </x:row>
    <x:row r="102" ht="78" customHeight="1">
      <x:c r="A102" s="25" t="str">
        <x:v>SR-02-02-03</x:v>
      </x:c>
      <x:c r="B102" s="25" t="str">
        <x:v>IR-02-02</x:v>
      </x:c>
      <x:c r="C102" s="25" t="str">
        <x:v>SF-02</x:v>
      </x:c>
      <x:c r="D102" s="25" t="str">
        <x:v>L1-RT-WatermarkAdmission-024</x:v>
      </x:c>
      <x:c r="E102" s="22" t="str">
        <x:v>V2.1基线</x:v>
      </x:c>
      <x:c r="F102" s="22" t="str">
        <x:v>L1 推理调度层</x:v>
      </x:c>
      <x:c r="G102" s="22" t="str">
        <x:v>TM1</x:v>
      </x:c>
      <x:c r="H102" s="22" t="str">
        <x:v>调度与路由控制</x:v>
      </x:c>
      <x:c r="I102" s="22" t="str">
        <x:v>P0</x:v>
      </x:c>
      <x:c r="J102" s="22" t="str">
        <x:v>P0</x:v>
      </x:c>
      <x:c r="K102" s="22" t="str">
        <x:v>级联水位高压反压准入｜L1-RT-WatermarkAdmission-024</x:v>
      </x:c>
      <x:c r="L102" s="22" t="str">
        <x:v>为了达到 IR-02-02 的“p99 TTFT降低≥20%；abandoned remote load降低≥50%；跨节点bytes/request降低≥30%；QPS提升≥10%。”，系统内部必须完成：本需求要求调度器引入水位驱动的强反压准入策略。当接收到 L的 Critical 水位告警时，立即切断低优先级请求的 KV 加载意图，强制将新请求降级为 Recompute 或执行排队减速，保护系统不发生 HBM OOM。</x:v>
      </x:c>
      <x:c r="M102"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 详细设计必须给出接口、数据结构、并发前置条件、主路径开关、fallback 与 metrics。</x:v>
      </x:c>
      <x:c r="N102" s="22" t="str">
        <x:v>PrefixBudget + placement summary + recompute estimate</x:v>
      </x:c>
      <x:c r="O102" s="22" t="str">
        <x:v>admission/routing decision + QueryPlan id</x:v>
      </x:c>
      <x:c r="P102" s="22" t="str">
        <x:v>超预算立即 partial hit/recompute；水位高时平滑拒绝，不得 OOM 崩溃</x:v>
      </x:c>
      <x:c r="Q102" s="22" t="str">
        <x:v>错误Load（即Load耗时 &gt; Recompute耗时）比例下降至 &lt; 1%。</x:v>
      </x:c>
      <x:c r="R102" s="22" t="str">
        <x:v>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2" s="22" t="str">
        <x:v>依赖L2 Connector、L3目录/池与L4路径成本</x:v>
      </x:c>
      <x:c r="T102" s="22" t="str">
        <x:v>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x:v>
      </x:c>
    </x:row>
    <x:row r="103" ht="78" customHeight="1">
      <x:c r="A103" s="25" t="str">
        <x:v>SR-02-02-04</x:v>
      </x:c>
      <x:c r="B103" s="25" t="str">
        <x:v>IR-02-02</x:v>
      </x:c>
      <x:c r="C103" s="25" t="str">
        <x:v>SF-02</x:v>
      </x:c>
      <x:c r="D103" s="25" t="str">
        <x:v>L1-RT-CacheAwareRouting-006</x:v>
      </x:c>
      <x:c r="E103" s="22" t="str">
        <x:v>V2.1基线</x:v>
      </x:c>
      <x:c r="F103" s="22" t="str">
        <x:v>L1 推理调度层</x:v>
      </x:c>
      <x:c r="G103" s="22" t="str">
        <x:v>TM1</x:v>
      </x:c>
      <x:c r="H103" s="22" t="str">
        <x:v>调度与路由控制</x:v>
      </x:c>
      <x:c r="I103" s="22" t="str">
        <x:v>P1</x:v>
      </x:c>
      <x:c r="J103" s="22" t="str">
        <x:v>P0 子集 + P1 完整</x:v>
      </x:c>
      <x:c r="K103" s="22" t="str">
        <x:v>KVCache 亲和路由调度｜L1-RT-CacheAwareRouting-006</x:v>
      </x:c>
      <x:c r="L103" s="22" t="str">
        <x:v>为了达到 IR-02-02 的“p99 TTFT降低≥20%；abandoned remote load降低≥50%；跨节点bytes/request降低≥30%；QPS提升≥10%。”，系统内部必须完成：本需求要求 Router 在选择推理实例前查询 KV placement summary，优先将请求路由到已拥有对应 prefix KV 的 HBM、本地 DDR 或同机架远端 DDR 节点；在相同负载下，应优先提升 local usable hit rate，而不是先调度后远端搬运 KV。</x:v>
      </x:c>
      <x:c r="M103"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 详细设计必须给出接口、数据结构、并发前置条件、主路径开关、fallback 与 metrics。</x:v>
      </x:c>
      <x:c r="N103" s="22" t="str">
        <x:v>PrefixBudget + placement summary + recompute estimate</x:v>
      </x:c>
      <x:c r="O103" s="22" t="str">
        <x:v>admission/routing decision + QueryPlan id</x:v>
      </x:c>
      <x:c r="P103" s="22" t="str">
        <x:v>超预算立即 partial hit/recompute；水位高时平滑拒绝，不得 OOM 崩溃</x:v>
      </x:c>
      <x:c r="Q103" s="22" t="str">
        <x:v>local usable hit rate 提升 ≥25%；跨节点 KV bytes/request 降低 ≥30%；</x:v>
      </x:c>
      <x:c r="R103" s="22" t="str">
        <x:v>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3" s="22" t="str">
        <x:v>依赖L2 Connector、L3目录/池与L4路径成本</x:v>
      </x:c>
      <x:c r="T103" s="22" t="str">
        <x:v>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x:v>
      </x:c>
    </x:row>
    <x:row r="104" ht="78" customHeight="1">
      <x:c r="A104" s="25" t="str">
        <x:v>SR-02-02-05</x:v>
      </x:c>
      <x:c r="B104" s="25" t="str">
        <x:v>IR-02-02</x:v>
      </x:c>
      <x:c r="C104" s="25" t="str">
        <x:v>SF-02</x:v>
      </x:c>
      <x:c r="D104" s="25" t="str">
        <x:v>L1-VLLM-HIER-SCHED-002</x:v>
      </x:c>
      <x:c r="E104" s="22" t="str">
        <x:v>V2.1基线</x:v>
      </x:c>
      <x:c r="F104" s="22" t="str">
        <x:v>L1 推理调度层</x:v>
      </x:c>
      <x:c r="G104" s="22" t="str">
        <x:v>TM1</x:v>
      </x:c>
      <x:c r="H104" s="22" t="str">
        <x:v>调度与路由控制</x:v>
      </x:c>
      <x:c r="I104" s="22" t="str">
        <x:v>P1</x:v>
      </x:c>
      <x:c r="J104" s="22" t="str">
        <x:v>P0 子集 + P1 完整</x:v>
      </x:c>
      <x:c r="K104" s="22" t="str">
        <x:v>多层异构存储调度｜L1-VLLM-HIER-SCHED-002</x:v>
      </x:c>
      <x:c r="L104" s="22" t="str">
        <x:v>为了达到 IR-02-02 的“p99 TTFT降低≥20%；abandoned remote load降低≥50%；跨节点bytes/request降低≥30%；QPS提升≥10%。”，系统内部必须完成：本需求要求扩展vLLM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M104"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 详细设计必须给出接口、数据结构、并发前置条件、主路径开关、fallback 与 metrics。</x:v>
      </x:c>
      <x:c r="N104" s="22" t="str">
        <x:v>PrefixBudget + placement summary + recompute estimate</x:v>
      </x:c>
      <x:c r="O104" s="22" t="str">
        <x:v>admission/routing decision + QueryPlan id</x:v>
      </x:c>
      <x:c r="P104" s="22" t="str">
        <x:v>超预算立即 partial hit/recompute；水位高时平滑拒绝，不得 OOM 崩溃</x:v>
      </x:c>
      <x:c r="Q104" s="22" t="str">
        <x:v>内存碎片率控制在&lt;5%，平均并发处理能力（QPS）提升≥10%。</x:v>
      </x:c>
      <x:c r="R104" s="22" t="str">
        <x:v>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4" s="22" t="str">
        <x:v>依赖L2 Connector、L3目录/池与L4路径成本</x:v>
      </x:c>
      <x:c r="T104" s="22" t="str">
        <x:v>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x:v>
      </x:c>
    </x:row>
    <x:row r="105" ht="78" customHeight="1">
      <x:c r="A105" s="25" t="str">
        <x:v>SR-02-03-01</x:v>
      </x:c>
      <x:c r="B105" s="25" t="str">
        <x:v>IR-02-03</x:v>
      </x:c>
      <x:c r="C105" s="25" t="str">
        <x:v>SF-02</x:v>
      </x:c>
      <x:c r="D105" s="25" t="str">
        <x:v>L1-SGL-PFX-IDX-003</x:v>
      </x:c>
      <x:c r="E105" s="22" t="str">
        <x:v>V2.1基线</x:v>
      </x:c>
      <x:c r="F105" s="22" t="str">
        <x:v>L1 推理调度层</x:v>
      </x:c>
      <x:c r="G105" s="22" t="str">
        <x:v>TM2</x:v>
      </x:c>
      <x:c r="H105" s="22" t="str">
        <x:v>前缀索引与命中判定</x:v>
      </x:c>
      <x:c r="I105" s="22" t="str">
        <x:v>P1</x:v>
      </x:c>
      <x:c r="J105" s="22" t="str">
        <x:v>P0 子集 + P1 完整</x:v>
      </x:c>
      <x:c r="K105" s="22" t="str">
        <x:v>前缀匹配关键路径加速｜L1-SGL-PFX-IDX-003</x:v>
      </x:c>
      <x:c r="L105" s="22" t="str">
        <x:v>为了达到 IR-02-03 的“Prefix lookup p99&lt;200 μs；100并发吞吐提升≥8x；Usable Hit Rate提升≥15%；GIL持有时间降低≥90%。”，系统内部必须完成：本需求要求将SGLang RadixTree的最长前缀匹配（LPM）核心遍历函数从Python实现迁移至C++/Cython，通过SIMD（AVX2）加速节点键的字符串比较操作，并引入RCU无锁并发设计允许多个LPM查询同时执行，同时采用路径压缩减少RadixTree节点数量。</x:v>
      </x:c>
      <x:c r="M105"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 详细设计必须给出接口、数据结构、并发前置条件、主路径开关、fallback 与 metrics。</x:v>
      </x:c>
      <x:c r="N105" s="22" t="str">
        <x:v>tokens + semantic salt + session rolling state</x:v>
      </x:c>
      <x:c r="O105" s="22" t="str">
        <x:v>prefix spans + local candidate ids</x:v>
      </x:c>
      <x:c r="P105" s="22" t="str">
        <x:v>索引超时或版本不一致按 miss 处理；不得阻塞 Scheduler</x:v>
      </x:c>
      <x:c r="Q105" s="22" t="str">
        <x:v>Prefix命中判定P99耗时 &lt; 200us；在Share-Prefix业务下，Usable Hit Rate提升≥15%。</x:v>
      </x:c>
      <x:c r="R105" s="22" t="str">
        <x:v>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5" s="22" t="str">
        <x:v>依赖L2 Connector、L3目录/池与L4路径成本</x:v>
      </x:c>
      <x:c r="T105" s="22" t="str">
        <x:v>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x:v>
      </x:c>
    </x:row>
    <x:row r="106" ht="78" customHeight="1">
      <x:c r="A106" s="25" t="str">
        <x:v>SR-02-03-02</x:v>
      </x:c>
      <x:c r="B106" s="25" t="str">
        <x:v>IR-02-03</x:v>
      </x:c>
      <x:c r="C106" s="25" t="str">
        <x:v>SF-02</x:v>
      </x:c>
      <x:c r="D106" s="25" t="str">
        <x:v>L1-VLLM-PFX-SCHED-006</x:v>
      </x:c>
      <x:c r="E106" s="22" t="str">
        <x:v>V2.1基线</x:v>
      </x:c>
      <x:c r="F106" s="22" t="str">
        <x:v>L1 推理调度层</x:v>
      </x:c>
      <x:c r="G106" s="22" t="str">
        <x:v>TM2</x:v>
      </x:c>
      <x:c r="H106" s="22" t="str">
        <x:v>前缀索引与命中判定</x:v>
      </x:c>
      <x:c r="I106" s="22" t="str">
        <x:v>P1</x:v>
      </x:c>
      <x:c r="J106" s="22" t="str">
        <x:v>P0 子集 + P1 完整</x:v>
      </x:c>
      <x:c r="K106" s="22" t="str">
        <x:v>前缀匹配关键路径解耦｜L1-VLLM-PFX-SCHED-006</x:v>
      </x:c>
      <x:c r="L106" s="22" t="str">
        <x:v>为了达到 IR-02-03 的“Prefix lookup p99&lt;200 μs；100并发吞吐提升≥8x；Usable Hit Rate提升≥15%；GIL持有时间降低≥90%。”，系统内部必须完成：本需求要求将前缀匹配检测（哈希计算+本地查询+远端状态确认）从Scheduler决策的同步串行路径中解耦，通过独立前缀预检测Worker Pool异步执行，使Scheduler在决策时能直接读取已完成结果，远端RTT不再出现在调度关键路径上。</x:v>
      </x:c>
      <x:c r="M106"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 详细设计必须给出接口、数据结构、并发前置条件、主路径开关、fallback 与 metrics。</x:v>
      </x:c>
      <x:c r="N106" s="22" t="str">
        <x:v>tokens + semantic salt + session rolling state</x:v>
      </x:c>
      <x:c r="O106" s="22" t="str">
        <x:v>prefix spans + local candidate ids</x:v>
      </x:c>
      <x:c r="P106" s="22" t="str">
        <x:v>索引超时或版本不一致按 miss 处理；不得阻塞 Scheduler</x:v>
      </x:c>
      <x:c r="Q106" s="22" t="str">
        <x:v>Prefix命中判定P99耗时 &lt; 200us；在Share-Prefix业务下，Usable Hit Rate提升≥15%。</x:v>
      </x:c>
      <x:c r="R106" s="22" t="str">
        <x:v>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6" s="22" t="str">
        <x:v>依赖L2 Connector、L3目录/池与L4路径成本</x:v>
      </x:c>
      <x:c r="T106" s="22" t="str">
        <x:v>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x:v>
      </x:c>
    </x:row>
    <x:row r="107" ht="78" customHeight="1">
      <x:c r="A107" s="25" t="str">
        <x:v>SR-02-03-03</x:v>
      </x:c>
      <x:c r="B107" s="25" t="str">
        <x:v>IR-02-03</x:v>
      </x:c>
      <x:c r="C107" s="25" t="str">
        <x:v>SF-02</x:v>
      </x:c>
      <x:c r="D107" s="25" t="str">
        <x:v>L1-VLLM-PFX-IDX-005</x:v>
      </x:c>
      <x:c r="E107" s="22" t="str">
        <x:v>V2.1基线</x:v>
      </x:c>
      <x:c r="F107" s="22" t="str">
        <x:v>L1 推理调度层</x:v>
      </x:c>
      <x:c r="G107" s="22" t="str">
        <x:v>TM2</x:v>
      </x:c>
      <x:c r="H107" s="22" t="str">
        <x:v>前缀索引与命中判定</x:v>
      </x:c>
      <x:c r="I107" s="22" t="str">
        <x:v>P3</x:v>
      </x:c>
      <x:c r="J107" s="22" t="str">
        <x:v>P3</x:v>
      </x:c>
      <x:c r="K107" s="22" t="str">
        <x:v>前缀匹配关键路径｜L1-VLLM-PFX-IDX-005</x:v>
      </x:c>
      <x:c r="L107" s="22" t="str">
        <x:v>为了达到 IR-02-03 的“Prefix lookup p99&lt;200 μs；100并发吞吐提升≥8x；Usable Hit Rate提升≥15%；GIL持有时间降低≥90%。”，系统内部必须完成：本需求要求将vLLM的前缀哈希计算从CPU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x:v>
      </x:c>
      <x:c r="M107"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 详细设计必须给出接口、数据结构、并发前置条件、主路径开关、fallback 与 metrics。</x:v>
      </x:c>
      <x:c r="N107" s="22" t="str">
        <x:v>tokens + semantic salt + session rolling state</x:v>
      </x:c>
      <x:c r="O107" s="22" t="str">
        <x:v>prefix spans + local candidate ids</x:v>
      </x:c>
      <x:c r="P107" s="22" t="str">
        <x:v>索引超时或版本不一致按 miss 处理；不得阻塞 Scheduler</x:v>
      </x:c>
      <x:c r="Q107" s="22" t="str">
        <x:v>Prefix命中判定P99耗时 &lt; 200us；在Share-Prefix业务下，Usable Hit Rate提升≥15%。</x:v>
      </x:c>
      <x:c r="R107" s="22" t="str">
        <x:v>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7" s="22" t="str">
        <x:v>依赖L2 Connector、L3目录/池与L4路径成本</x:v>
      </x:c>
      <x:c r="T107" s="22" t="str">
        <x:v>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x:v>
      </x:c>
    </x:row>
    <x:row r="108" ht="78" customHeight="1">
      <x:c r="A108" s="25" t="str">
        <x:v>SR-02-04-01</x:v>
      </x:c>
      <x:c r="B108" s="25" t="str">
        <x:v>IR-02-04</x:v>
      </x:c>
      <x:c r="C108" s="25" t="str">
        <x:v>SF-02</x:v>
      </x:c>
      <x:c r="D108" s="25" t="str">
        <x:v>L2-KV-ConsumeEligibility-035</x:v>
      </x:c>
      <x:c r="E108" s="22" t="str">
        <x:v>V2.1基线</x:v>
      </x:c>
      <x:c r="F108" s="22" t="str">
        <x:v>L2 KVConnector层</x:v>
      </x:c>
      <x:c r="G108" s="22" t="str">
        <x:v>TM2</x:v>
      </x:c>
      <x:c r="H108" s="22" t="str">
        <x:v>本地元数据缓存与快速判定</x:v>
      </x:c>
      <x:c r="I108" s="22" t="str">
        <x:v>P0</x:v>
      </x:c>
      <x:c r="J108" s="22" t="str">
        <x:v>P0</x:v>
      </x:c>
      <x:c r="K108" s="22" t="str">
        <x:v>前缀命中后的可消费状态判定｜L2-KV-ConsumeEligibility-035</x:v>
      </x:c>
      <x:c r="L108" s="22" t="str">
        <x:v>为了达到 IR-02-04 的“本地命中查询&lt;10 μs；确定miss p99&lt;5 μs；remote lookup QPS降低≥50%；Bloom FPR&lt;0.1%。”，系统内部必须完成：本需求要求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M108"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 详细设计必须给出接口、数据结构、并发前置条件、主路径开关、fallback 与 metrics。</x:v>
      </x:c>
      <x:c r="N108" s="22" t="str">
        <x:v>semantic key + prefix range + version watermark</x:v>
      </x:c>
      <x:c r="O108" s="22" t="str">
        <x:v>candidate/negative result + freshness evidence</x:v>
      </x:c>
      <x:c r="P108" s="22" t="str">
        <x:v>TTL/版本失效立即绕过本地缓存；stale guard失败返回不可消费</x:v>
      </x:c>
      <x:c r="Q108" s="22" t="str">
        <x:v>Prefix命中判定P99耗时 &lt; 200us；在Share-Prefix业务下，Usable Hit Rate提升≥15%。</x:v>
      </x:c>
      <x:c r="R108" s="22" t="str">
        <x:v>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8" s="22" t="str">
        <x:v>依赖L3对象/目录和L4后端能力</x:v>
      </x:c>
      <x:c r="T108" s="22" t="str">
        <x:v>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x:v>
      </x:c>
    </x:row>
    <x:row r="109" ht="78" customHeight="1">
      <x:c r="A109" s="25" t="str">
        <x:v>SR-02-04-02</x:v>
      </x:c>
      <x:c r="B109" s="25" t="str">
        <x:v>IR-02-04</x:v>
      </x:c>
      <x:c r="C109" s="25" t="str">
        <x:v>SF-02</x:v>
      </x:c>
      <x:c r="D109" s="25" t="str">
        <x:v>L3-CONN-PFX-IDX-005</x:v>
      </x:c>
      <x:c r="E109" s="22" t="str">
        <x:v>V2.1基线</x:v>
      </x:c>
      <x:c r="F109" s="22" t="str">
        <x:v>L3 传输管理层</x:v>
      </x:c>
      <x:c r="G109" s="22" t="str">
        <x:v>TM2</x:v>
      </x:c>
      <x:c r="H109" s="22" t="str">
        <x:v>本地元数据缓存与快速判定</x:v>
      </x:c>
      <x:c r="I109" s="22" t="str">
        <x:v>P0</x:v>
      </x:c>
      <x:c r="J109" s="22" t="str">
        <x:v>P0</x:v>
      </x:c>
      <x:c r="K109" s="22" t="str">
        <x:v>前缀命中快速判断｜L3-CONN-PFX-IDX-005</x:v>
      </x:c>
      <x:c r="L109" s="22" t="str">
        <x:v>为了达到 IR-02-04 的“本地命中查询&lt;10 μs；确定miss p99&lt;5 μs；remote lookup QPS降低≥50%；Bloom FPR&lt;0.1%。”，系统内部必须完成：本需求要求实现两级前缀索引结构：第一级本地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x:v>
      </x:c>
      <x:c r="M109"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 详细设计必须给出接口、数据结构、并发前置条件、主路径开关、fallback 与 metrics。</x:v>
      </x:c>
      <x:c r="N109" s="22" t="str">
        <x:v>semantic key + prefix range + version watermark</x:v>
      </x:c>
      <x:c r="O109" s="22" t="str">
        <x:v>candidate/negative result + freshness evidence</x:v>
      </x:c>
      <x:c r="P109" s="22" t="str">
        <x:v>TTL/版本失效立即绕过本地缓存；stale guard失败返回不可消费</x:v>
      </x:c>
      <x:c r="Q109" s="22" t="str">
        <x:v>Prefix命中判定P99耗时 &lt; 200us；在Share-Prefix业务下，Usable Hit Rate提升≥15%。</x:v>
      </x:c>
      <x:c r="R109" s="22" t="str">
        <x:v>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9" s="22" t="str">
        <x:v>依赖L2语义契约与L4 capability/driver</x:v>
      </x:c>
      <x:c r="T109" s="22" t="str">
        <x:v>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x:v>
      </x:c>
    </x:row>
    <x:row r="110" ht="78" customHeight="1">
      <x:c r="A110" s="25" t="str">
        <x:v>SR-02-04-03</x:v>
      </x:c>
      <x:c r="B110" s="25" t="str">
        <x:v>IR-02-04</x:v>
      </x:c>
      <x:c r="C110" s="25" t="str">
        <x:v>SF-02</x:v>
      </x:c>
      <x:c r="D110" s="25" t="str">
        <x:v>L2-CONN-META-CACHE-004</x:v>
      </x:c>
      <x:c r="E110" s="22" t="str">
        <x:v>V2.1基线</x:v>
      </x:c>
      <x:c r="F110" s="22" t="str">
        <x:v>L2 KVConnector层</x:v>
      </x:c>
      <x:c r="G110" s="22" t="str">
        <x:v>TM2</x:v>
      </x:c>
      <x:c r="H110" s="22" t="str">
        <x:v>本地元数据缓存与快速判定</x:v>
      </x:c>
      <x:c r="I110" s="22" t="str">
        <x:v>P1</x:v>
      </x:c>
      <x:c r="J110" s="22" t="str">
        <x:v>P1</x:v>
      </x:c>
      <x:c r="K110" s="22" t="str">
        <x:v>前缀命中快速决策｜L2-CONN-META-CACHE-004</x:v>
      </x:c>
      <x:c r="L110" s="22" t="str">
        <x:v>为了达到 IR-02-04 的“本地命中查询&lt;10 μs；确定miss p99&lt;5 μs；remote lookup QPS降低≥50%；Bloom FPR&lt;0.1%。”，系统内部必须完成：本需求要求在Connector层维护本地in-process元数据缓存（HashMap，默认100K条目），缓存prefix_hash到存储位置的映射关系，通过TTL过期和L3层版本号失效通知保证缓存一致性，使高频复用场景下的元数据查询从基线时延 RTT降至10μs以内。</x:v>
      </x:c>
      <x:c r="M110"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 详细设计必须给出接口、数据结构、并发前置条件、主路径开关、fallback 与 metrics。</x:v>
      </x:c>
      <x:c r="N110" s="22" t="str">
        <x:v>semantic key + prefix range + version watermark</x:v>
      </x:c>
      <x:c r="O110" s="22" t="str">
        <x:v>candidate/negative result + freshness evidence</x:v>
      </x:c>
      <x:c r="P110" s="22" t="str">
        <x:v>TTL/版本失效立即绕过本地缓存；stale guard失败返回不可消费</x:v>
      </x:c>
      <x:c r="Q110" s="22" t="str">
        <x:v>Prefix命中判定P99耗时 &lt; 200us；在Share-Prefix业务下，Usable Hit Rate提升≥15%。</x:v>
      </x:c>
      <x:c r="R110" s="22" t="str">
        <x:v>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0" s="22" t="str">
        <x:v>依赖L3对象/目录和L4后端能力</x:v>
      </x:c>
      <x:c r="T110" s="22" t="str">
        <x:v>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x:v>
      </x:c>
    </x:row>
    <x:row r="111" ht="78" customHeight="1">
      <x:c r="A111" s="25" t="str">
        <x:v>SR-02-04-04</x:v>
      </x:c>
      <x:c r="B111" s="25" t="str">
        <x:v>IR-02-04</x:v>
      </x:c>
      <x:c r="C111" s="25" t="str">
        <x:v>SF-02</x:v>
      </x:c>
      <x:c r="D111" s="25" t="str">
        <x:v>L2-PM-BatchLookup-021</x:v>
      </x:c>
      <x:c r="E111" s="22" t="str">
        <x:v>V2.1基线</x:v>
      </x:c>
      <x:c r="F111" s="22" t="str">
        <x:v>L2 KVConnector层</x:v>
      </x:c>
      <x:c r="G111" s="22" t="str">
        <x:v>TM2</x:v>
      </x:c>
      <x:c r="H111" s="22" t="str">
        <x:v>本地元数据缓存与快速判定</x:v>
      </x:c>
      <x:c r="I111" s="22" t="str">
        <x:v>P1</x:v>
      </x:c>
      <x:c r="J111" s="22" t="str">
        <x:v>P1</x:v>
      </x:c>
      <x:c r="K111" s="22" t="str">
        <x:v>共享前缀 KVCache 批量查询｜L2-PM-BatchLookup-021</x:v>
      </x:c>
      <x:c r="L111" s="22" t="str">
        <x:v>为了达到 IR-02-04 的“本地命中查询&lt;10 μs；确定miss p99&lt;5 μs；remote lookup QPS降低≥50%；Bloom FPR&lt;0.1%。”，系统内部必须完成：本需求要求 Connector 提供 batch prefix lookup API：一次提交 block hash vector、radix span 或 page hash range，返回连续命中区间、tier、location、version 和 estimated load cost，避免每个 block/page 单独访问远端目录造成 metadata RTT 风暴。</x:v>
      </x:c>
      <x:c r="M111"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 详细设计必须给出接口、数据结构、并发前置条件、主路径开关、fallback 与 metrics。</x:v>
      </x:c>
      <x:c r="N111" s="22" t="str">
        <x:v>semantic key + prefix range + version watermark</x:v>
      </x:c>
      <x:c r="O111" s="22" t="str">
        <x:v>candidate/negative result + freshness evidence</x:v>
      </x:c>
      <x:c r="P111" s="22" t="str">
        <x:v>TTL/版本失效立即绕过本地缓存；stale guard失败返回不可消费</x:v>
      </x:c>
      <x:c r="Q111" s="22" t="str">
        <x:v>remote lookup QPS 降低 ≥50%；lookup p99 降低 ≥30%；</x:v>
      </x:c>
      <x:c r="R111" s="22" t="str">
        <x:v>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1" s="22" t="str">
        <x:v>依赖L3对象/目录和L4后端能力</x:v>
      </x:c>
      <x:c r="T111" s="22" t="str">
        <x:v>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x:v>
      </x:c>
    </x:row>
    <x:row r="112" ht="78" customHeight="1">
      <x:c r="A112" s="25" t="str">
        <x:v>SR-02-05-01</x:v>
      </x:c>
      <x:c r="B112" s="25" t="str">
        <x:v>IR-02-05</x:v>
      </x:c>
      <x:c r="C112" s="25" t="str">
        <x:v>SF-02</x:v>
      </x:c>
      <x:c r="D112" s="25" t="str">
        <x:v>L3-MS-AtomicPublishVisibility-087</x:v>
      </x:c>
      <x:c r="E112" s="22" t="str">
        <x:v>V2.1基线</x:v>
      </x:c>
      <x:c r="F112" s="22" t="str">
        <x:v>L3 传输管理层</x:v>
      </x:c>
      <x:c r="G112" s="22" t="str">
        <x:v>TM2</x:v>
      </x:c>
      <x:c r="H112" s="22" t="str">
        <x:v>前缀目录与元数据平面</x:v>
      </x:c>
      <x:c r="I112" s="22" t="str">
        <x:v>P0</x:v>
      </x:c>
      <x:c r="J112" s="22" t="str">
        <x:v>P0</x:v>
      </x:c>
      <x:c r="K112" s="22" t="str">
        <x:v>高吞吐低时延元数据发布一致性｜L3-MS-AtomicPublishVisibility-087</x:v>
      </x:c>
      <x:c r="L112" s="22" t="str">
        <x:v>为了达到 IR-02-05 的“remote directory RTT降低≥50%；lookup p99降低≥30%；目录可用性≥99.99%；stale hit=0。”，系统内部必须完成：本需求要求放弃控制面的三阶段提交（单写者流水线）与分布式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x:v>
      </x:c>
      <x:c r="M11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 详细设计必须给出接口、数据结构、并发前置条件、主路径开关、fallback 与 metrics。</x:v>
      </x:c>
      <x:c r="N112" s="22" t="str">
        <x:v>publish/invalidations + prefix query + topology</x:v>
      </x:c>
      <x:c r="O112" s="22" t="str">
        <x:v>PrefixDirectoryRecord + replica candidates + consume eligibility</x:v>
      </x:c>
      <x:c r="P112" s="22" t="str">
        <x:v>主分片故障切副本；镜像过期强制精确查询；未ready/已tombstone对象不可返回</x:v>
      </x:c>
      <x:c r="Q112" s="22" t="str">
        <x:v>Prefix命中判定P99耗时 &lt; 200us；在Share-Prefix业务下，Usable Hit Rate提升≥15%。</x:v>
      </x:c>
      <x:c r="R112" s="22" t="str">
        <x:v>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2" s="22" t="str">
        <x:v>依赖L2语义契约与L4 capability/driver</x:v>
      </x:c>
      <x:c r="T112" s="22" t="str">
        <x:v>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x:v>
      </x:c>
    </x:row>
    <x:row r="113" ht="78" customHeight="1">
      <x:c r="A113" s="25" t="str">
        <x:v>SR-02-05-02</x:v>
      </x:c>
      <x:c r="B113" s="25" t="str">
        <x:v>IR-02-05</x:v>
      </x:c>
      <x:c r="C113" s="25" t="str">
        <x:v>SF-02</x:v>
      </x:c>
      <x:c r="D113" s="25" t="str">
        <x:v>L3-MS-ConsumeEligibility-060</x:v>
      </x:c>
      <x:c r="E113" s="22" t="str">
        <x:v>V2.1基线</x:v>
      </x:c>
      <x:c r="F113" s="22" t="str">
        <x:v>L3 传输管理层</x:v>
      </x:c>
      <x:c r="G113" s="22" t="str">
        <x:v>TM2</x:v>
      </x:c>
      <x:c r="H113" s="22" t="str">
        <x:v>前缀目录与元数据平面</x:v>
      </x:c>
      <x:c r="I113" s="22" t="str">
        <x:v>P0</x:v>
      </x:c>
      <x:c r="J113" s="22" t="str">
        <x:v>P0</x:v>
      </x:c>
      <x:c r="K113" s="22" t="str">
        <x:v>Prefix hit 后能否转化为 usable hit｜L3-MS-ConsumeEligibility-060</x:v>
      </x:c>
      <x:c r="L113" s="22" t="str">
        <x:v>为了达到 IR-02-05 的“remote directory RTT降低≥50%；lookup p99降低≥30%；目录可用性≥99.99%；stale hit=0。”，系统内部必须完成：本需求要求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M113"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 详细设计必须给出接口、数据结构、并发前置条件、主路径开关、fallback 与 metrics。</x:v>
      </x:c>
      <x:c r="N113" s="22" t="str">
        <x:v>publish/invalidations + prefix query + topology</x:v>
      </x:c>
      <x:c r="O113" s="22" t="str">
        <x:v>PrefixDirectoryRecord + replica candidates + consume eligibility</x:v>
      </x:c>
      <x:c r="P113" s="22" t="str">
        <x:v>主分片故障切副本；镜像过期强制精确查询；未ready/已tombstone对象不可返回</x:v>
      </x:c>
      <x:c r="Q113" s="22" t="str">
        <x:v>Prefix命中判定P99耗时 &lt; 200us；在Share-Prefix业务下，Usable Hit Rate提升≥15%。</x:v>
      </x:c>
      <x:c r="R113" s="22" t="str">
        <x:v>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3" s="22" t="str">
        <x:v>依赖L2语义契约与L4 capability/driver</x:v>
      </x:c>
      <x:c r="T113" s="22" t="str">
        <x:v>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x:v>
      </x:c>
    </x:row>
    <x:row r="114" ht="78" customHeight="1">
      <x:c r="A114" s="25" t="str">
        <x:v>SR-02-05-03</x:v>
      </x:c>
      <x:c r="B114" s="25" t="str">
        <x:v>IR-02-05</x:v>
      </x:c>
      <x:c r="C114" s="25" t="str">
        <x:v>SF-02</x:v>
      </x:c>
      <x:c r="D114" s="25" t="str">
        <x:v>L3-MS-DirectoryMirror-036</x:v>
      </x:c>
      <x:c r="E114" s="22" t="str">
        <x:v>V2.1基线</x:v>
      </x:c>
      <x:c r="F114" s="22" t="str">
        <x:v>L3 传输管理层</x:v>
      </x:c>
      <x:c r="G114" s="22" t="str">
        <x:v>TM2</x:v>
      </x:c>
      <x:c r="H114" s="22" t="str">
        <x:v>前缀目录与元数据平面</x:v>
      </x:c>
      <x:c r="I114" s="22" t="str">
        <x:v>P0</x:v>
      </x:c>
      <x:c r="J114" s="22" t="str">
        <x:v>P0</x:v>
      </x:c>
      <x:c r="K114" s="22" t="str">
        <x:v>节点级 KVCache 目录镜像加速｜L3-MS-DirectoryMirror-036</x:v>
      </x:c>
      <x:c r="L114" s="22" t="str">
        <x:v>为了达到 IR-02-05 的“remote directory RTT降低≥50%；lookup p99降低≥30%；目录可用性≥99.99%；stale hit=0。”，系统内部必须完成：本需求要求每个推理节点维护 节点级目录镜像，使确定 miss 和热命中尽量在本地完成，避免分布式 directory RTT 进入 TTFT 主路径。</x:v>
      </x:c>
      <x:c r="M114"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 详细设计必须给出接口、数据结构、并发前置条件、主路径开关、fallback 与 metrics。</x:v>
      </x:c>
      <x:c r="N114" s="22" t="str">
        <x:v>publish/invalidations + prefix query + topology</x:v>
      </x:c>
      <x:c r="O114" s="22" t="str">
        <x:v>PrefixDirectoryRecord + replica candidates + consume eligibility</x:v>
      </x:c>
      <x:c r="P114" s="22" t="str">
        <x:v>主分片故障切副本；镜像过期强制精确查询；未ready/已tombstone对象不可返回</x:v>
      </x:c>
      <x:c r="Q114" s="22" t="str">
        <x:v>remote directory RTT 降低 ≥50%；</x:v>
      </x:c>
      <x:c r="R114" s="22" t="str">
        <x:v>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4" s="22" t="str">
        <x:v>依赖L2语义契约与L4 capability/driver</x:v>
      </x:c>
      <x:c r="T114" s="22" t="str">
        <x:v>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x:v>
      </x:c>
    </x:row>
    <x:row r="115" ht="78" customHeight="1">
      <x:c r="A115" s="25" t="str">
        <x:v>SR-02-05-04</x:v>
      </x:c>
      <x:c r="B115" s="25" t="str">
        <x:v>IR-02-05</x:v>
      </x:c>
      <x:c r="C115" s="25" t="str">
        <x:v>SF-02</x:v>
      </x:c>
      <x:c r="D115" s="25" t="str">
        <x:v>L3-MS-HotLocalIndex-070</x:v>
      </x:c>
      <x:c r="E115" s="22" t="str">
        <x:v>V2.1基线</x:v>
      </x:c>
      <x:c r="F115" s="22" t="str">
        <x:v>L3 传输管理层</x:v>
      </x:c>
      <x:c r="G115" s="22" t="str">
        <x:v>TM2</x:v>
      </x:c>
      <x:c r="H115" s="22" t="str">
        <x:v>前缀目录与元数据平面</x:v>
      </x:c>
      <x:c r="I115" s="22" t="str">
        <x:v>P0</x:v>
      </x:c>
      <x:c r="J115" s="22" t="str">
        <x:v>P0</x:v>
      </x:c>
      <x:c r="K115" s="22" t="str">
        <x:v>Prefix lookup 避免远端 RTT 进入 TTFT｜L3-MS-HotLocalIndex-070</x:v>
      </x:c>
      <x:c r="L115" s="22" t="str">
        <x:v>为了达到 IR-02-05 的“remote directory RTT降低≥50%；lookup p99降低≥30%；目录可用性≥99.99%；stale hit=0。”，系统内部必须完成：本需求要求每个推理节点维护 hot local prefix index，采用 fast fingerprint + semantic digest + placement summary 的两级结构，使确定 miss、热 prefix hit、stale 过滤尽量在本地完成；远端目录查询只在本地无法确认时触发。</x:v>
      </x:c>
      <x:c r="M115"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 详细设计必须给出接口、数据结构、并发前置条件、主路径开关、fallback 与 metrics。</x:v>
      </x:c>
      <x:c r="N115" s="22" t="str">
        <x:v>publish/invalidations + prefix query + topology</x:v>
      </x:c>
      <x:c r="O115" s="22" t="str">
        <x:v>PrefixDirectoryRecord + replica candidates + consume eligibility</x:v>
      </x:c>
      <x:c r="P115" s="22" t="str">
        <x:v>主分片故障切副本；镜像过期强制精确查询；未ready/已tombstone对象不可返回</x:v>
      </x:c>
      <x:c r="Q115" s="22" t="str">
        <x:v>Prefix命中判定P99耗时 &lt; 200us；在Share-Prefix业务下，Usable Hit Rate提升≥15%。</x:v>
      </x:c>
      <x:c r="R115" s="22" t="str">
        <x:v>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5" s="22" t="str">
        <x:v>依赖L2语义契约与L4 capability/driver</x:v>
      </x:c>
      <x:c r="T115" s="22" t="str">
        <x:v>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x:v>
      </x:c>
    </x:row>
    <x:row r="116" ht="78" customHeight="1">
      <x:c r="A116" s="25" t="str">
        <x:v>SR-02-05-05</x:v>
      </x:c>
      <x:c r="B116" s="25" t="str">
        <x:v>IR-02-05</x:v>
      </x:c>
      <x:c r="C116" s="25" t="str">
        <x:v>SF-02</x:v>
      </x:c>
      <x:c r="D116" s="25" t="str">
        <x:v>L3-MS-InvalidationTombstone-066</x:v>
      </x:c>
      <x:c r="E116" s="22" t="str">
        <x:v>V2.1基线</x:v>
      </x:c>
      <x:c r="F116" s="22" t="str">
        <x:v>L3 传输管理层</x:v>
      </x:c>
      <x:c r="G116" s="22" t="str">
        <x:v>TM2</x:v>
      </x:c>
      <x:c r="H116" s="22" t="str">
        <x:v>前缀目录与元数据平面</x:v>
      </x:c>
      <x:c r="I116" s="22" t="str">
        <x:v>P0</x:v>
      </x:c>
      <x:c r="J116" s="22" t="str">
        <x:v>P0</x:v>
      </x:c>
      <x:c r="K116" s="22" t="str">
        <x:v>旧 KV 副本复活与 stale hit 防护｜L3-MS-InvalidationTombstone-066</x:v>
      </x:c>
      <x:c r="L116" s="22" t="str">
        <x:v>为了达到 IR-02-05 的“remote directory RTT降低≥50%；lookup p99降低≥30%；目录可用性≥99.99%；stale hit=0。”，系统内部必须完成：本需求要求全局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x:v>
      </x:c>
      <x:c r="M11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 详细设计必须给出接口、数据结构、并发前置条件、主路径开关、fallback 与 metrics。</x:v>
      </x:c>
      <x:c r="N116" s="22" t="str">
        <x:v>publish/invalidations + prefix query + topology</x:v>
      </x:c>
      <x:c r="O116" s="22" t="str">
        <x:v>PrefixDirectoryRecord + replica candidates + consume eligibility</x:v>
      </x:c>
      <x:c r="P116" s="22" t="str">
        <x:v>主分片故障切副本；镜像过期强制精确查询；未ready/已tombstone对象不可返回</x:v>
      </x:c>
      <x:c r="Q116" s="22" t="str">
        <x:v>Prefix命中判定P99耗时 &lt; 200us；在Share-Prefix业务下，Usable Hit Rate提升≥15%。</x:v>
      </x:c>
      <x:c r="R116" s="22" t="str">
        <x:v>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6" s="22" t="str">
        <x:v>依赖L2语义契约与L4 capability/driver</x:v>
      </x:c>
      <x:c r="T116" s="22" t="str">
        <x:v>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x:v>
      </x:c>
    </x:row>
    <x:row r="117" ht="78" customHeight="1">
      <x:c r="A117" s="25" t="str">
        <x:v>SR-02-05-06</x:v>
      </x:c>
      <x:c r="B117" s="25" t="str">
        <x:v>IR-02-05</x:v>
      </x:c>
      <x:c r="C117" s="25" t="str">
        <x:v>SF-02</x:v>
      </x:c>
      <x:c r="D117" s="25" t="str">
        <x:v>L3-MS-MetadataDataPlane-035</x:v>
      </x:c>
      <x:c r="E117" s="22" t="str">
        <x:v>V2.1基线</x:v>
      </x:c>
      <x:c r="F117" s="22" t="str">
        <x:v>L3 传输管理层</x:v>
      </x:c>
      <x:c r="G117" s="22" t="str">
        <x:v>TM2</x:v>
      </x:c>
      <x:c r="H117" s="22" t="str">
        <x:v>前缀目录与元数据平面</x:v>
      </x:c>
      <x:c r="I117" s="22" t="str">
        <x:v>P0</x:v>
      </x:c>
      <x:c r="J117" s="22" t="str">
        <x:v>P0</x:v>
      </x:c>
      <x:c r="K117" s="22" t="str">
        <x:v>KVCache 元数据热路径加速｜L3-MS-MetadataDataPlane-035</x:v>
      </x:c>
      <x:c r="L117" s="22" t="str">
        <x:v>为了达到 IR-02-05 的“remote directory RTT降低≥50%；lookup p99降低≥30%；目录可用性≥99.99%；stale hit=0。”，系统内部必须完成：本需求要求将 KV metadata plane 与 KV data plane 物理和逻辑隔离：prefix directory、manifest、ready bitmap、placement summary 优先放 UB/C2C/local DDR；大块 KV data 走 RDMA/DMA/GDS/SSD 路径。</x:v>
      </x:c>
      <x:c r="M117"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 详细设计必须给出接口、数据结构、并发前置条件、主路径开关、fallback 与 metrics。</x:v>
      </x:c>
      <x:c r="N117" s="22" t="str">
        <x:v>publish/invalidations + prefix query + topology</x:v>
      </x:c>
      <x:c r="O117" s="22" t="str">
        <x:v>PrefixDirectoryRecord + replica candidates + consume eligibility</x:v>
      </x:c>
      <x:c r="P117" s="22" t="str">
        <x:v>主分片故障切副本；镜像过期强制精确查询；未ready/已tombstone对象不可返回</x:v>
      </x:c>
      <x:c r="Q117" s="22" t="str">
        <x:v>prefix lookup p99 降低 ≥30%；</x:v>
      </x:c>
      <x:c r="R117" s="22" t="str">
        <x:v>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7" s="22" t="str">
        <x:v>依赖L2语义契约与L4 capability/driver</x:v>
      </x:c>
      <x:c r="T117" s="22" t="str">
        <x:v>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x:v>
      </x:c>
    </x:row>
    <x:row r="118" ht="78" customHeight="1">
      <x:c r="A118" s="25" t="str">
        <x:v>SR-02-05-07</x:v>
      </x:c>
      <x:c r="B118" s="25" t="str">
        <x:v>IR-02-05</x:v>
      </x:c>
      <x:c r="C118" s="25" t="str">
        <x:v>SF-02</x:v>
      </x:c>
      <x:c r="D118" s="25" t="str">
        <x:v>L3-MS-PrefixDirectorySchema-069</x:v>
      </x:c>
      <x:c r="E118" s="22" t="str">
        <x:v>V2.1基线</x:v>
      </x:c>
      <x:c r="F118" s="22" t="str">
        <x:v>L3 传输管理层</x:v>
      </x:c>
      <x:c r="G118" s="22" t="str">
        <x:v>TM2</x:v>
      </x:c>
      <x:c r="H118" s="22" t="str">
        <x:v>前缀目录与元数据平面</x:v>
      </x:c>
      <x:c r="I118" s="22" t="str">
        <x:v>P0</x:v>
      </x:c>
      <x:c r="J118" s="22" t="str">
        <x:v>P0</x:v>
      </x:c>
      <x:c r="K118" s="22" t="str">
        <x:v>前缀匹配元数据结构设计｜L3-MS-PrefixDirectorySchema-069</x:v>
      </x:c>
      <x:c r="L118" s="22" t="str">
        <x:v>为了达到 IR-02-05 的“remote directory RTT降低≥50%；lookup p99降低≥30%；目录可用性≥99.99%；stale hit=0。”，系统内部必须完成：本需求要求设计面向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M118"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 详细设计必须给出接口、数据结构、并发前置条件、主路径开关、fallback 与 metrics。</x:v>
      </x:c>
      <x:c r="N118" s="22" t="str">
        <x:v>publish/invalidations + prefix query + topology</x:v>
      </x:c>
      <x:c r="O118" s="22" t="str">
        <x:v>PrefixDirectoryRecord + replica candidates + consume eligibility</x:v>
      </x:c>
      <x:c r="P118" s="22" t="str">
        <x:v>主分片故障切副本；镜像过期强制精确查询；未ready/已tombstone对象不可返回</x:v>
      </x:c>
      <x:c r="Q118" s="22" t="str">
        <x:v>Prefix命中判定P99耗时 &lt; 200us；在Share-Prefix业务下，Usable Hit Rate提升≥15%。</x:v>
      </x:c>
      <x:c r="R118" s="22" t="str">
        <x:v>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8" s="22" t="str">
        <x:v>依赖L2语义契约与L4 capability/driver</x:v>
      </x:c>
      <x:c r="T118" s="22" t="str">
        <x:v>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x:v>
      </x:c>
    </x:row>
    <x:row r="119" ht="78" customHeight="1">
      <x:c r="A119" s="25" t="str">
        <x:v>SR-02-05-08</x:v>
      </x:c>
      <x:c r="B119" s="25" t="str">
        <x:v>IR-02-05</x:v>
      </x:c>
      <x:c r="C119" s="25" t="str">
        <x:v>SF-02</x:v>
      </x:c>
      <x:c r="D119" s="25" t="str">
        <x:v>L3-MS-RangeBatchLookup-071</x:v>
      </x:c>
      <x:c r="E119" s="22" t="str">
        <x:v>V2.1基线</x:v>
      </x:c>
      <x:c r="F119" s="22" t="str">
        <x:v>L3 传输管理层</x:v>
      </x:c>
      <x:c r="G119" s="22" t="str">
        <x:v>TM2</x:v>
      </x:c>
      <x:c r="H119" s="22" t="str">
        <x:v>前缀目录与元数据平面</x:v>
      </x:c>
      <x:c r="I119" s="22" t="str">
        <x:v>P0</x:v>
      </x:c>
      <x:c r="J119" s="22" t="str">
        <x:v>P0</x:v>
      </x:c>
      <x:c r="K119" s="22" t="str">
        <x:v>长前缀批量命中判定｜L3-MS-RangeBatchLookup-071</x:v>
      </x:c>
      <x:c r="L119" s="22" t="str">
        <x:v>为了达到 IR-02-05 的“remote directory RTT降低≥50%；lookup p99降低≥30%；目录可用性≥99.99%；stale hit=0。”，系统内部必须完成：本需求要求 prefix directory 支持 range/batch lookup：一次输入 block hash vector、radix span 或 page range，返回最长连续可消费区间、不可消费区间、候选 placement 列表和推荐 load/recompute 分界，避免逐 block 查询造成 metadata RTT 风暴。</x:v>
      </x:c>
      <x:c r="M119"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 详细设计必须给出接口、数据结构、并发前置条件、主路径开关、fallback 与 metrics。</x:v>
      </x:c>
      <x:c r="N119" s="22" t="str">
        <x:v>publish/invalidations + prefix query + topology</x:v>
      </x:c>
      <x:c r="O119" s="22" t="str">
        <x:v>PrefixDirectoryRecord + replica candidates + consume eligibility</x:v>
      </x:c>
      <x:c r="P119" s="22" t="str">
        <x:v>主分片故障切副本；镜像过期强制精确查询；未ready/已tombstone对象不可返回</x:v>
      </x:c>
      <x:c r="Q119" s="22" t="str">
        <x:v>Prefix命中判定P99耗时 &lt; 200us；在Share-Prefix业务下，Usable Hit Rate提升≥15%。</x:v>
      </x:c>
      <x:c r="R119" s="22" t="str">
        <x:v>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9" s="22" t="str">
        <x:v>依赖L2语义契约与L4 capability/driver</x:v>
      </x:c>
      <x:c r="T119" s="22" t="str">
        <x:v>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x:v>
      </x:c>
    </x:row>
    <x:row r="120" ht="78" customHeight="1">
      <x:c r="A120" s="25" t="str">
        <x:v>SR-02-05-09</x:v>
      </x:c>
      <x:c r="B120" s="25" t="str">
        <x:v>IR-02-05</x:v>
      </x:c>
      <x:c r="C120" s="25" t="str">
        <x:v>SF-02</x:v>
      </x:c>
      <x:c r="D120" s="25" t="str">
        <x:v>L3-MS-ReplicaPlacementState-059</x:v>
      </x:c>
      <x:c r="E120" s="22" t="str">
        <x:v>V2.1基线</x:v>
      </x:c>
      <x:c r="F120" s="22" t="str">
        <x:v>L3 传输管理层</x:v>
      </x:c>
      <x:c r="G120" s="22" t="str">
        <x:v>TM2</x:v>
      </x:c>
      <x:c r="H120" s="22" t="str">
        <x:v>前缀目录与元数据平面</x:v>
      </x:c>
      <x:c r="I120" s="22" t="str">
        <x:v>P0</x:v>
      </x:c>
      <x:c r="J120" s="22" t="str">
        <x:v>P0</x:v>
      </x:c>
      <x:c r="K120" s="22" t="str">
        <x:v>多副本 KV 的位置与状态管理｜L3-MS-ReplicaPlacementState-059</x:v>
      </x:c>
      <x:c r="L120" s="22" t="str">
        <x:v>为了达到 IR-02-05 的“remote directory RTT降低≥50%；lookup p99降低≥30%；目录可用性≥99.99%；stale hit=0。”，系统内部必须完成：本需求要求同一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x:v>
      </x:c>
      <x:c r="M120"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 详细设计必须给出接口、数据结构、并发前置条件、主路径开关、fallback 与 metrics。</x:v>
      </x:c>
      <x:c r="N120" s="22" t="str">
        <x:v>publish/invalidations + prefix query + topology</x:v>
      </x:c>
      <x:c r="O120" s="22" t="str">
        <x:v>PrefixDirectoryRecord + replica candidates + consume eligibility</x:v>
      </x:c>
      <x:c r="P120" s="22" t="str">
        <x:v>主分片故障切副本；镜像过期强制精确查询；未ready/已tombstone对象不可返回</x:v>
      </x:c>
      <x:c r="Q120" s="22" t="str">
        <x:v>节点动态加入/退出时的缓存失效控制在局部范围内（遵循一致性哈希比例）。</x:v>
      </x:c>
      <x:c r="R120" s="22" t="str">
        <x:v>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0" s="22" t="str">
        <x:v>依赖L2语义契约与L4 capability/driver</x:v>
      </x:c>
      <x:c r="T120" s="22" t="str">
        <x:v>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x:v>
      </x:c>
    </x:row>
    <x:row r="121" ht="78" customHeight="1">
      <x:c r="A121" s="25" t="str">
        <x:v>SR-02-05-10</x:v>
      </x:c>
      <x:c r="B121" s="25" t="str">
        <x:v>IR-02-05</x:v>
      </x:c>
      <x:c r="C121" s="25" t="str">
        <x:v>SF-02</x:v>
      </x:c>
      <x:c r="D121" s="25" t="str">
        <x:v>L3-MS-StaleHitGuard-067</x:v>
      </x:c>
      <x:c r="E121" s="22" t="str">
        <x:v>V2.1基线</x:v>
      </x:c>
      <x:c r="F121" s="22" t="str">
        <x:v>L3 传输管理层</x:v>
      </x:c>
      <x:c r="G121" s="22" t="str">
        <x:v>TM2</x:v>
      </x:c>
      <x:c r="H121" s="22" t="str">
        <x:v>前缀目录与元数据平面</x:v>
      </x:c>
      <x:c r="I121" s="22" t="str">
        <x:v>P0</x:v>
      </x:c>
      <x:c r="J121" s="22" t="str">
        <x:v>P0</x:v>
      </x:c>
      <x:c r="K121" s="22" t="str">
        <x:v>本地元数据缓存过期导致误命中｜L3-MS-StaleHitGuard-067</x:v>
      </x:c>
      <x:c r="L121" s="22" t="str">
        <x:v>为了达到 IR-02-05 的“remote directory RTT降低≥50%；lookup p99降低≥30%；目录可用性≥99.99%；stale hit=0。”，系统内部必须完成：本需求要求 L3 元数据查询结果必须携带 version、epoch、directory_generation 和 stale 标记；本地目录镜像或缓存命中时必须校验 generation，不得把 stale placement 作为可消费结果返回给 Scheduler 或 Connector。</x:v>
      </x:c>
      <x:c r="M121"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 详细设计必须给出接口、数据结构、并发前置条件、主路径开关、fallback 与 metrics。</x:v>
      </x:c>
      <x:c r="N121" s="22" t="str">
        <x:v>publish/invalidations + prefix query + topology</x:v>
      </x:c>
      <x:c r="O121" s="22" t="str">
        <x:v>PrefixDirectoryRecord + replica candidates + consume eligibility</x:v>
      </x:c>
      <x:c r="P121" s="22" t="str">
        <x:v>主分片故障切副本；镜像过期强制精确查询；未ready/已tombstone对象不可返回</x:v>
      </x:c>
      <x:c r="Q121" s="22" t="str">
        <x:v>节点动态加入/退出时的缓存失效控制在局部范围内（遵循一致性哈希比例）。</x:v>
      </x:c>
      <x:c r="R121" s="22" t="str">
        <x:v>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1" s="22" t="str">
        <x:v>依赖L2语义契约与L4 capability/driver</x:v>
      </x:c>
      <x:c r="T121" s="22" t="str">
        <x:v>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x:v>
      </x:c>
    </x:row>
    <x:row r="122" ht="78" customHeight="1">
      <x:c r="A122" s="25" t="str">
        <x:v>SR-02-05-11</x:v>
      </x:c>
      <x:c r="B122" s="25" t="str">
        <x:v>IR-02-05</x:v>
      </x:c>
      <x:c r="C122" s="25" t="str">
        <x:v>SF-02</x:v>
      </x:c>
      <x:c r="D122" s="25" t="str">
        <x:v>L3-MC-PFX-IDX-003</x:v>
      </x:c>
      <x:c r="E122" s="22" t="str">
        <x:v>V2.1基线</x:v>
      </x:c>
      <x:c r="F122" s="22" t="str">
        <x:v>L3 传输管理层</x:v>
      </x:c>
      <x:c r="G122" s="22" t="str">
        <x:v>TM2</x:v>
      </x:c>
      <x:c r="H122" s="22" t="str">
        <x:v>前缀目录与元数据平面</x:v>
      </x:c>
      <x:c r="I122" s="22" t="str">
        <x:v>P1</x:v>
      </x:c>
      <x:c r="J122" s="22" t="str">
        <x:v>P1</x:v>
      </x:c>
      <x:c r="K122" s="22" t="str">
        <x:v>前缀命中判断加速｜L3-MC-PFX-IDX-003</x:v>
      </x:c>
      <x:c r="L122" s="22" t="str">
        <x:v>为了达到 IR-02-05 的“remote directory RTT降低≥50%；lookup p99降低≥30%；目录可用性≥99.99%；stale hit=0。”，系统内部必须完成：本需求要求将Mooncake的前缀元数据查询路径从基于TCP的etcd/Redis改造为基于RDMA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x:v>
      </x:c>
      <x:c r="M12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 详细设计必须给出接口、数据结构、并发前置条件、主路径开关、fallback 与 metrics。</x:v>
      </x:c>
      <x:c r="N122" s="22" t="str">
        <x:v>publish/invalidations + prefix query + topology</x:v>
      </x:c>
      <x:c r="O122" s="22" t="str">
        <x:v>PrefixDirectoryRecord + replica candidates + consume eligibility</x:v>
      </x:c>
      <x:c r="P122" s="22" t="str">
        <x:v>主分片故障切副本；镜像过期强制精确查询；未ready/已tombstone对象不可返回</x:v>
      </x:c>
      <x:c r="Q122" s="22" t="str">
        <x:v>Prefix命中判定P99耗时 &lt; 200us；在Share-Prefix业务下，Usable Hit Rate提升≥15%。</x:v>
      </x:c>
      <x:c r="R122" s="22" t="str">
        <x:v>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2" s="22" t="str">
        <x:v>依赖L2语义契约与L4 capability/driver</x:v>
      </x:c>
      <x:c r="T122" s="22" t="str">
        <x:v>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x:v>
      </x:c>
    </x:row>
    <x:row r="123" ht="78" customHeight="1">
      <x:c r="A123" s="25" t="str">
        <x:v>SR-02-05-12</x:v>
      </x:c>
      <x:c r="B123" s="25" t="str">
        <x:v>IR-02-05</x:v>
      </x:c>
      <x:c r="C123" s="25" t="str">
        <x:v>SF-02</x:v>
      </x:c>
      <x:c r="D123" s="25" t="str">
        <x:v>L3-MC-PFX-REPL-004</x:v>
      </x:c>
      <x:c r="E123" s="22" t="str">
        <x:v>V2.1基线</x:v>
      </x:c>
      <x:c r="F123" s="22" t="str">
        <x:v>L3 传输管理层</x:v>
      </x:c>
      <x:c r="G123" s="22" t="str">
        <x:v>TM2</x:v>
      </x:c>
      <x:c r="H123" s="22" t="str">
        <x:v>前缀目录与元数据平面</x:v>
      </x:c>
      <x:c r="I123" s="22" t="str">
        <x:v>P1</x:v>
      </x:c>
      <x:c r="J123" s="22" t="str">
        <x:v>P1</x:v>
      </x:c>
      <x:c r="K123" s="22" t="str">
        <x:v>分布式索引高可用｜L3-MC-PFX-REPL-004</x:v>
      </x:c>
      <x:c r="L123" s="22" t="str">
        <x:v>为了达到 IR-02-05 的“remote directory RTT降低≥50%；lookup p99降低≥30%；目录可用性≥99.99%；stale hit=0。”，系统内部必须完成：本需求要求为Mooncake分布式前缀索引实现基于一致性哈希环（+一致性哈希多节点/物理节点）的均衡分片机制，并为每个分片提供N=2副本，通过RDMA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x:v>
      </x:c>
      <x:c r="M123"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 详细设计必须给出接口、数据结构、并发前置条件、主路径开关、fallback 与 metrics。</x:v>
      </x:c>
      <x:c r="N123" s="22" t="str">
        <x:v>publish/invalidations + prefix query + topology</x:v>
      </x:c>
      <x:c r="O123" s="22" t="str">
        <x:v>PrefixDirectoryRecord + replica candidates + consume eligibility</x:v>
      </x:c>
      <x:c r="P123" s="22" t="str">
        <x:v>主分片故障切副本；镜像过期强制精确查询；未ready/已tombstone对象不可返回</x:v>
      </x:c>
      <x:c r="Q123" s="22" t="str">
        <x:v>Prefix命中判定P99耗时 &lt; 200us；在Share-Prefix业务下，Usable Hit Rate提升≥15%。</x:v>
      </x:c>
      <x:c r="R123" s="22" t="str">
        <x:v>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3" s="22" t="str">
        <x:v>依赖L2语义契约与L4 capability/driver</x:v>
      </x:c>
      <x:c r="T123" s="22" t="str">
        <x:v>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x:v>
      </x:c>
    </x:row>
    <x:row r="124" ht="78" customHeight="1">
      <x:c r="A124" s="25" t="str">
        <x:v>SR-02-05-13</x:v>
      </x:c>
      <x:c r="B124" s="25" t="str">
        <x:v>IR-02-05</x:v>
      </x:c>
      <x:c r="C124" s="25" t="str">
        <x:v>SF-02</x:v>
      </x:c>
      <x:c r="D124" s="25" t="str">
        <x:v>L3-MS-DirectoryShardPolicy-073</x:v>
      </x:c>
      <x:c r="E124" s="22" t="str">
        <x:v>V2.1基线</x:v>
      </x:c>
      <x:c r="F124" s="22" t="str">
        <x:v>L3 传输管理层</x:v>
      </x:c>
      <x:c r="G124" s="22" t="str">
        <x:v>TM2</x:v>
      </x:c>
      <x:c r="H124" s="22" t="str">
        <x:v>前缀目录与元数据平面</x:v>
      </x:c>
      <x:c r="I124" s="22" t="str">
        <x:v>P1</x:v>
      </x:c>
      <x:c r="J124" s="22" t="str">
        <x:v>P1</x:v>
      </x:c>
      <x:c r="K124" s="22" t="str">
        <x:v>热点前缀目录分片与镜像｜L3-MS-DirectoryShardPolicy-073</x:v>
      </x:c>
      <x:c r="L124" s="22" t="str">
        <x:v>为了达到 IR-02-05 的“remote directory RTT降低≥50%；lookup p99降低≥30%；目录可用性≥99.99%；stale hit=0。”，系统内部必须完成：本需求要求 prefix directory 支持按 semantic identity、prefix hash、tenant/domain、model namespace 进行分片，并对 hot prefix 支持本地镜像和多副本目录，避免公共 system prompt、agent tool schema、RAG 模板等热点 prefix 造成单点目录瓶颈。</x:v>
      </x:c>
      <x:c r="M124"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 详细设计必须给出接口、数据结构、并发前置条件、主路径开关、fallback 与 metrics。</x:v>
      </x:c>
      <x:c r="N124" s="22" t="str">
        <x:v>publish/invalidations + prefix query + topology</x:v>
      </x:c>
      <x:c r="O124" s="22" t="str">
        <x:v>PrefixDirectoryRecord + replica candidates + consume eligibility</x:v>
      </x:c>
      <x:c r="P124" s="22" t="str">
        <x:v>主分片故障切副本；镜像过期强制精确查询；未ready/已tombstone对象不可返回</x:v>
      </x:c>
      <x:c r="Q124" s="22" t="str">
        <x:v>Prefix命中判定P99耗时 &lt; 200us；在Share-Prefix业务下，Usable Hit Rate提升≥15%。</x:v>
      </x:c>
      <x:c r="R124" s="22" t="str">
        <x:v>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4" s="22" t="str">
        <x:v>依赖L2语义契约与L4 capability/driver</x:v>
      </x:c>
      <x:c r="T124" s="22" t="str">
        <x:v>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x:v>
      </x:c>
    </x:row>
    <x:row r="125" ht="78" customHeight="1">
      <x:c r="A125" s="25" t="str">
        <x:v>SR-02-05-14</x:v>
      </x:c>
      <x:c r="B125" s="25" t="str">
        <x:v>IR-02-05</x:v>
      </x:c>
      <x:c r="C125" s="25" t="str">
        <x:v>SF-02</x:v>
      </x:c>
      <x:c r="D125" s="25" t="str">
        <x:v>L3-MS-MetadataCompactLayout-074</x:v>
      </x:c>
      <x:c r="E125" s="22" t="str">
        <x:v>V2.1基线</x:v>
      </x:c>
      <x:c r="F125" s="22" t="str">
        <x:v>L3 传输管理层</x:v>
      </x:c>
      <x:c r="G125" s="22" t="str">
        <x:v>TM2</x:v>
      </x:c>
      <x:c r="H125" s="22" t="str">
        <x:v>前缀目录与元数据平面</x:v>
      </x:c>
      <x:c r="I125" s="22" t="str">
        <x:v>P1</x:v>
      </x:c>
      <x:c r="J125" s="22" t="str">
        <x:v>P1</x:v>
      </x:c>
      <x:c r="K125" s="22" t="str">
        <x:v>前缀元数据查询结构优化｜L3-MS-MetadataCompactLayout-074</x:v>
      </x:c>
      <x:c r="L125" s="22" t="str">
        <x:v>为了达到 IR-02-05 的“remote directory RTT降低≥50%；lookup p99降低≥30%；目录可用性≥99.99%；stale hit=0。”，系统内部必须完成：本需求要求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M125"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 详细设计必须给出接口、数据结构、并发前置条件、主路径开关、fallback 与 metrics。</x:v>
      </x:c>
      <x:c r="N125" s="22" t="str">
        <x:v>publish/invalidations + prefix query + topology</x:v>
      </x:c>
      <x:c r="O125" s="22" t="str">
        <x:v>PrefixDirectoryRecord + replica candidates + consume eligibility</x:v>
      </x:c>
      <x:c r="P125" s="22" t="str">
        <x:v>主分片故障切副本；镜像过期强制精确查询；未ready/已tombstone对象不可返回</x:v>
      </x:c>
      <x:c r="Q125" s="22" t="str">
        <x:v>Prefix命中判定P99耗时 &lt; 200us；在Share-Prefix业务下，Usable Hit Rate提升≥15%。</x:v>
      </x:c>
      <x:c r="R125" s="22" t="str">
        <x:v>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5" s="22" t="str">
        <x:v>依赖L2语义契约与L4 capability/driver</x:v>
      </x:c>
      <x:c r="T125" s="22" t="str">
        <x:v>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x:v>
      </x:c>
    </x:row>
    <x:row r="126" ht="78" customHeight="1">
      <x:c r="A126" s="25" t="str">
        <x:v>SR-02-05-15</x:v>
      </x:c>
      <x:c r="B126" s="25" t="str">
        <x:v>IR-02-05</x:v>
      </x:c>
      <x:c r="C126" s="25" t="str">
        <x:v>SF-02</x:v>
      </x:c>
      <x:c r="D126" s="25" t="str">
        <x:v>L3-MS-MultiReplicaDirectory-037</x:v>
      </x:c>
      <x:c r="E126" s="22" t="str">
        <x:v>V2.1基线</x:v>
      </x:c>
      <x:c r="F126" s="22" t="str">
        <x:v>L3 传输管理层</x:v>
      </x:c>
      <x:c r="G126" s="22" t="str">
        <x:v>TM2</x:v>
      </x:c>
      <x:c r="H126" s="22" t="str">
        <x:v>前缀目录与元数据平面</x:v>
      </x:c>
      <x:c r="I126" s="22" t="str">
        <x:v>P1</x:v>
      </x:c>
      <x:c r="J126" s="22" t="str">
        <x:v>P1</x:v>
      </x:c>
      <x:c r="K126" s="22" t="str">
        <x:v>多副本 KVCache 全局目录管理｜L3-MS-MultiReplicaDirectory-037</x:v>
      </x:c>
      <x:c r="L126" s="22" t="str">
        <x:v>为了达到 IR-02-05 的“remote directory RTT降低≥50%；lookup p99降低≥30%；目录可用性≥99.99%；stale hit=0。”，系统内部必须完成：本需求要求全局 KV directory 支持同一 KV object 的多语义副本记录：包括 UB/C2C memory view、local DDR、remote DDR RDMA source、SSD segment、object key，并维护 version、visibility、hotness 与 cost metadata。</x:v>
      </x:c>
      <x:c r="M12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 详细设计必须给出接口、数据结构、并发前置条件、主路径开关、fallback 与 metrics。</x:v>
      </x:c>
      <x:c r="N126" s="22" t="str">
        <x:v>publish/invalidations + prefix query + topology</x:v>
      </x:c>
      <x:c r="O126" s="22" t="str">
        <x:v>PrefixDirectoryRecord + replica candidates + consume eligibility</x:v>
      </x:c>
      <x:c r="P126" s="22" t="str">
        <x:v>主分片故障切副本；镜像过期强制精确查询；未ready/已tombstone对象不可返回</x:v>
      </x:c>
      <x:c r="Q126" s="22" t="str">
        <x:v>path selection 命中最优副本比例 ≥90%；</x:v>
      </x:c>
      <x:c r="R126" s="22" t="str">
        <x:v>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6" s="22" t="str">
        <x:v>依赖L2语义契约与L4 capability/driver</x:v>
      </x:c>
      <x:c r="T126" s="22" t="str">
        <x:v>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x:v>
      </x:c>
    </x:row>
    <x:row r="127" ht="78" customHeight="1">
      <x:c r="A127" s="25" t="str">
        <x:v>SR-02-05-16</x:v>
      </x:c>
      <x:c r="B127" s="25" t="str">
        <x:v>IR-02-05</x:v>
      </x:c>
      <x:c r="C127" s="25" t="str">
        <x:v>SF-02</x:v>
      </x:c>
      <x:c r="D127" s="25" t="str">
        <x:v>L3-MS-TTFTIndexLayout-088</x:v>
      </x:c>
      <x:c r="E127" s="22" t="str">
        <x:v>V2.1基线</x:v>
      </x:c>
      <x:c r="F127" s="22" t="str">
        <x:v>L3 传输管理层</x:v>
      </x:c>
      <x:c r="G127" s="22" t="str">
        <x:v>TM2</x:v>
      </x:c>
      <x:c r="H127" s="22" t="str">
        <x:v>前缀目录与元数据平面</x:v>
      </x:c>
      <x:c r="I127" s="22" t="str">
        <x:v>P1</x:v>
      </x:c>
      <x:c r="J127" s="22" t="str">
        <x:v>P1</x:v>
      </x:c>
      <x:c r="K127" s="22" t="str">
        <x:v>TTFT 关键路径高性能元数据检索｜L3-MS-TTFTIndexLayout-088</x:v>
      </x:c>
      <x:c r="L127" s="22" t="str">
        <x:v>为了达到 IR-02-05 的“remote directory RTT降低≥50%；lookup p99降低≥30%；目录可用性≥99.99%；stale hit=0。”，系统内部必须完成：本需求要求针对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M127"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 详细设计必须给出接口、数据结构、并发前置条件、主路径开关、fallback 与 metrics。</x:v>
      </x:c>
      <x:c r="N127" s="22" t="str">
        <x:v>publish/invalidations + prefix query + topology</x:v>
      </x:c>
      <x:c r="O127" s="22" t="str">
        <x:v>PrefixDirectoryRecord + replica candidates + consume eligibility</x:v>
      </x:c>
      <x:c r="P127" s="22" t="str">
        <x:v>主分片故障切副本；镜像过期强制精确查询；未ready/已tombstone对象不可返回</x:v>
      </x:c>
      <x:c r="Q127" s="22" t="str">
        <x:v>Prefix命中判定P99耗时 &lt; 200us；在Share-Prefix业务下，Usable Hit Rate提升≥15%。</x:v>
      </x:c>
      <x:c r="R127" s="22" t="str">
        <x:v>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7" s="22" t="str">
        <x:v>依赖L2语义契约与L4 capability/driver</x:v>
      </x:c>
      <x:c r="T127" s="22" t="str">
        <x:v>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x:v>
      </x:c>
    </x:row>
    <x:row r="128" ht="78" customHeight="1">
      <x:c r="A128" s="25" t="str">
        <x:v>SR-02-05-17</x:v>
      </x:c>
      <x:c r="B128" s="25" t="str">
        <x:v>IR-02-05</x:v>
      </x:c>
      <x:c r="C128" s="25" t="str">
        <x:v>SF-02</x:v>
      </x:c>
      <x:c r="D128" s="25" t="str">
        <x:v>L3-PM-HitQuality-023</x:v>
      </x:c>
      <x:c r="E128" s="22" t="str">
        <x:v>V2.1基线</x:v>
      </x:c>
      <x:c r="F128" s="22" t="str">
        <x:v>L3 传输管理层</x:v>
      </x:c>
      <x:c r="G128" s="22" t="str">
        <x:v>TM2</x:v>
      </x:c>
      <x:c r="H128" s="22" t="str">
        <x:v>前缀目录与元数据平面</x:v>
      </x:c>
      <x:c r="I128" s="22" t="str">
        <x:v>P1</x:v>
      </x:c>
      <x:c r="J128" s="22" t="str">
        <x:v>P1</x:v>
      </x:c>
      <x:c r="K128" s="22" t="str">
        <x:v>命中 KV 加载价值评估｜L3-PM-HitQuality-023</x:v>
      </x:c>
      <x:c r="L128" s="22" t="str">
        <x:v>为了达到 IR-02-05 的“remote directory RTT降低≥50%；lookup p99降低≥30%；目录可用性≥99.99%；stale hit=0。”，系统内部必须完成：本需求要求 Connector 在返回 prefix hit 时同时返回 hit quality metadata，包括所在 tier、bytes、layout、queue depth、replica count、estimated load latency、visibility state，使 Scheduler 能判断该 hit 是否能在 TTFT budget 内转化为 usable hit。</x:v>
      </x:c>
      <x:c r="M128"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 详细设计必须给出接口、数据结构、并发前置条件、主路径开关、fallback 与 metrics。</x:v>
      </x:c>
      <x:c r="N128" s="22" t="str">
        <x:v>publish/invalidations + prefix query + topology</x:v>
      </x:c>
      <x:c r="O128" s="22" t="str">
        <x:v>PrefixDirectoryRecord + replica candidates + consume eligibility</x:v>
      </x:c>
      <x:c r="P128" s="22" t="str">
        <x:v>主分片故障切副本；镜像过期强制精确查询；未ready/已tombstone对象不可返回</x:v>
      </x:c>
      <x:c r="Q128" s="22" t="str">
        <x:v>Prefix命中判定P99耗时 &lt; 200us；在Share-Prefix业务下，Usable Hit Rate提升≥15%。</x:v>
      </x:c>
      <x:c r="R128" s="22" t="str">
        <x:v>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8" s="22" t="str">
        <x:v>依赖L2语义契约与L4 capability/driver</x:v>
      </x:c>
      <x:c r="T128" s="22" t="str">
        <x:v>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x:v>
      </x:c>
    </x:row>
    <x:row r="129" ht="78" customHeight="1">
      <x:c r="A129" s="25" t="str">
        <x:v>SR-02-06-01</x:v>
      </x:c>
      <x:c r="B129" s="25" t="str">
        <x:v>IR-02-06</x:v>
      </x:c>
      <x:c r="C129" s="25" t="str">
        <x:v>SF-02</x:v>
      </x:c>
      <x:c r="D129" s="25" t="str">
        <x:v>L1-SGL-PRFCH-SCHED-004</x:v>
      </x:c>
      <x:c r="E129" s="22" t="str">
        <x:v>V2.1基线</x:v>
      </x:c>
      <x:c r="F129" s="22" t="str">
        <x:v>L1 推理调度层</x:v>
      </x:c>
      <x:c r="G129" s="22" t="str">
        <x:v>TM4</x:v>
      </x:c>
      <x:c r="H129" s="22" t="str">
        <x:v>卸载/加载与预取优化</x:v>
      </x:c>
      <x:c r="I129" s="22" t="str">
        <x:v>P2</x:v>
      </x:c>
      <x:c r="J129" s="22" t="str">
        <x:v>P2</x:v>
      </x:c>
      <x:c r="K129" s="22" t="str">
        <x:v>投机性前缀预取｜L1-SGL-PRFCH-SCHED-004</x:v>
      </x:c>
      <x:c r="L129" s="22" t="str">
        <x:v>为了达到 IR-02-06 的“计算/传输重叠≥60%；swap-in TTFT降低≥25%；批量传输时延降低≥50%；额外内存≤15%。”，系统内部必须完成：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x:v>
      </x:c>
      <x:c r="M129"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 详细设计必须给出接口、数据结构、并发前置条件、主路径开关、fallback 与 metrics。</x:v>
      </x:c>
      <x:c r="N129" s="22" t="str">
        <x:v>schedule lookahead + block/page spans + stream budget</x:v>
      </x:c>
      <x:c r="O129" s="22" t="str">
        <x:v>prefetch/load ticket + per-layer ready</x:v>
      </x:c>
      <x:c r="P129" s="22" t="str">
        <x:v>超时转同步安全路径或重算；取消请求必须释放预取 buffer</x:v>
      </x:c>
      <x:c r="Q129" s="22" t="str">
        <x:v>Prefix命中判定P99耗时 &lt; 200us；在Share-Prefix业务下，Usable Hit Rate提升≥15%。</x:v>
      </x:c>
      <x:c r="R129" s="22" t="str">
        <x:v>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9" s="22" t="str">
        <x:v>依赖L2 Connector、L3目录/池与L4路径成本</x:v>
      </x:c>
      <x:c r="T129" s="22" t="str">
        <x:v>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x:v>
      </x:c>
    </x:row>
    <x:row r="130" ht="78" customHeight="1">
      <x:c r="A130" s="25" t="str">
        <x:v>SR-02-06-02</x:v>
      </x:c>
      <x:c r="B130" s="25" t="str">
        <x:v>IR-02-06</x:v>
      </x:c>
      <x:c r="C130" s="25" t="str">
        <x:v>SF-02</x:v>
      </x:c>
      <x:c r="D130" s="25" t="str">
        <x:v>L1-SGL-SWP-XFER-002</x:v>
      </x:c>
      <x:c r="E130" s="22" t="str">
        <x:v>V2.1基线</x:v>
      </x:c>
      <x:c r="F130" s="22" t="str">
        <x:v>L1 推理调度层</x:v>
      </x:c>
      <x:c r="G130" s="22" t="str">
        <x:v>TM4</x:v>
      </x:c>
      <x:c r="H130" s="22" t="str">
        <x:v>卸载/加载与预取优化</x:v>
      </x:c>
      <x:c r="I130" s="22" t="str">
        <x:v>P2</x:v>
      </x:c>
      <x:c r="J130" s="22" t="str">
        <x:v>P2</x:v>
      </x:c>
      <x:c r="K130" s="22" t="str">
        <x:v>流式KV加载Pipeline｜L1-SGL-SWP-XFER-002</x:v>
      </x:c>
      <x:c r="L130" s="22" t="str">
        <x:v>为了达到 IR-02-06 的“计算/传输重叠≥60%；swap-in TTFT降低≥25%；批量传输时延降低≥50%；额外内存≤15%。”，系统内部必须完成：本需求要求实现SGLang的Layer级流式KVCache加载Pipeline，将整体KVCache加载从"等待全部L层就绪才开始计算"改为"每K层就绪即触发对应层的Attention计算"，通过分级 Stream与Event同步实现KVCache加载与prefill计算的深度流水线重叠。</x:v>
      </x:c>
      <x:c r="M130" s="22" t="str">
        <x:v>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 详细设计必须给出接口、数据结构、并发前置条件、主路径开关、fallback 与 metrics。</x:v>
      </x:c>
      <x:c r="N130" s="22" t="str">
        <x:v>schedule lookahead + block/page spans + stream budget</x:v>
      </x:c>
      <x:c r="O130" s="22" t="str">
        <x:v>prefetch/load ticket + per-layer ready</x:v>
      </x:c>
      <x:c r="P130" s="22" t="str">
        <x:v>超时转同步安全路径或重算；取消请求必须释放预取 buffer</x:v>
      </x:c>
      <x:c r="Q130" s="22" t="str">
        <x:v>内存碎片率控制在&lt;5%，平均并发处理能力（QPS）提升≥10%。</x:v>
      </x:c>
      <x:c r="R130" s="22" t="str">
        <x:v>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0" s="22" t="str">
        <x:v>依赖L2 Connector、L3目录/池与L4路径成本</x:v>
      </x:c>
      <x:c r="T130" s="22" t="str">
        <x:v>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x:v>
      </x:c>
    </x:row>
    <x:row r="131" ht="78" customHeight="1">
      <x:c r="A131" s="25" t="str">
        <x:v>SR-02-06-03</x:v>
      </x:c>
      <x:c r="B131" s="25" t="str">
        <x:v>IR-02-06</x:v>
      </x:c>
      <x:c r="C131" s="25" t="str">
        <x:v>SF-02</x:v>
      </x:c>
      <x:c r="D131" s="25" t="str">
        <x:v>L1-VLLM-PRFCH-SCHED-004</x:v>
      </x:c>
      <x:c r="E131" s="22" t="str">
        <x:v>V2.1基线</x:v>
      </x:c>
      <x:c r="F131" s="22" t="str">
        <x:v>L1 推理调度层</x:v>
      </x:c>
      <x:c r="G131" s="22" t="str">
        <x:v>TM4</x:v>
      </x:c>
      <x:c r="H131" s="22" t="str">
        <x:v>卸载/加载与预取优化</x:v>
      </x:c>
      <x:c r="I131" s="22" t="str">
        <x:v>P2</x:v>
      </x:c>
      <x:c r="J131" s="22" t="str">
        <x:v>P2</x:v>
      </x:c>
      <x:c r="K131" s="22" t="str">
        <x:v>请求调度预取优化｜L1-VLLM-PRFCH-SCHED-004</x:v>
      </x:c>
      <x:c r="L131" s="22" t="str">
        <x:v>为了达到 IR-02-06 的“计算/传输重叠≥60%；swap-in TTFT降低≥25%；批量传输时延降低≥50%；额外内存≤15%。”，系统内部必须完成：本需求要求在vLLM Scheduler中实现N步Lookahead预测机制，对请求队列中即将被调度的序列提前发起低优先级异步KVCache预取，使数据传输时延与请求排队等待时延充分重叠，从而消除Swap In等待对TTFT关键路径的影响。</x:v>
      </x:c>
      <x:c r="M131" s="22"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 详细设计必须给出接口、数据结构、并发前置条件、主路径开关、fallback 与 metrics。</x:v>
      </x:c>
      <x:c r="N131" s="22" t="str">
        <x:v>schedule lookahead + block/page spans + stream budget</x:v>
      </x:c>
      <x:c r="O131" s="22" t="str">
        <x:v>prefetch/load ticket + per-layer ready</x:v>
      </x:c>
      <x:c r="P131" s="22" t="str">
        <x:v>超时转同步安全路径或重算；取消请求必须释放预取 buffer</x:v>
      </x:c>
      <x:c r="Q131" s="22" t="str">
        <x:v>内存碎片率控制在&lt;5%，平均并发处理能力（QPS）提升≥10%。</x:v>
      </x:c>
      <x:c r="R131" s="22" t="str">
        <x:v>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1" s="22" t="str">
        <x:v>依赖L2 Connector、L3目录/池与L4路径成本</x:v>
      </x:c>
      <x:c r="T131" s="22" t="str">
        <x:v>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x:v>
      </x:c>
    </x:row>
    <x:row r="132" ht="78" customHeight="1">
      <x:c r="A132" s="25" t="str">
        <x:v>SR-02-06-04</x:v>
      </x:c>
      <x:c r="B132" s="25" t="str">
        <x:v>IR-02-06</x:v>
      </x:c>
      <x:c r="C132" s="25" t="str">
        <x:v>SF-02</x:v>
      </x:c>
      <x:c r="D132" s="25" t="str">
        <x:v>L2-CONN-SWP-XFER-003</x:v>
      </x:c>
      <x:c r="E132" s="22" t="str">
        <x:v>V2.1基线</x:v>
      </x:c>
      <x:c r="F132" s="22" t="str">
        <x:v>L2 KVConnector层</x:v>
      </x:c>
      <x:c r="G132" s="22" t="str">
        <x:v>TM4</x:v>
      </x:c>
      <x:c r="H132" s="22" t="str">
        <x:v>卸载/加载与预取优化</x:v>
      </x:c>
      <x:c r="I132" s="22" t="str">
        <x:v>P2</x:v>
      </x:c>
      <x:c r="J132" s="22" t="str">
        <x:v>P2</x:v>
      </x:c>
      <x:c r="K132" s="22" t="str">
        <x:v>Swap批量传输优化｜L2-CONN-SWP-XFER-003</x:v>
      </x:c>
      <x:c r="L132" s="22" t="str">
        <x:v>为了达到 IR-02-06 的“计算/传输重叠≥60%；swap-in TTFT降低≥25%；批量传输时延降低≥50%；额外内存≤15%。”，系统内部必须完成：本需求要求实现KVCache Block的批量聚合传输能力，将多个非连续Block的批量memcpy，将当前for循环逐Block传输模式替换为单次批量DMA提交，显著提升PCIe带宽利用率并降低CPU launch overhead。</x:v>
      </x:c>
      <x:c r="M132"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 详细设计必须给出接口、数据结构、并发前置条件、主路径开关、fallback 与 metrics。</x:v>
      </x:c>
      <x:c r="N132" s="22" t="str">
        <x:v>schedule lookahead + block/page spans + stream budget</x:v>
      </x:c>
      <x:c r="O132" s="22" t="str">
        <x:v>prefetch/load ticket + per-layer ready</x:v>
      </x:c>
      <x:c r="P132" s="22" t="str">
        <x:v>超时转同步安全路径或重算；取消请求必须释放预取 buffer</x:v>
      </x:c>
      <x:c r="Q132" s="22" t="str">
        <x:v>元数据转换和序列化开销降低至&lt;200ns/次。</x:v>
      </x:c>
      <x:c r="R132" s="22" t="str">
        <x:v>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2" s="22" t="str">
        <x:v>依赖L3对象/目录和L4后端能力</x:v>
      </x:c>
      <x:c r="T132" s="22" t="str">
        <x:v>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x:v>
      </x:c>
    </x:row>
    <x:row r="133" ht="78" customHeight="1">
      <x:c r="A133" s="25" t="str">
        <x:v>SR-02-07-01</x:v>
      </x:c>
      <x:c r="B133" s="25" t="str">
        <x:v>IR-02-07</x:v>
      </x:c>
      <x:c r="C133" s="25" t="str">
        <x:v>SF-02</x:v>
      </x:c>
      <x:c r="D133" s="25" t="str">
        <x:v>L2-CONN-PRFCH-ENGINE-007</x:v>
      </x:c>
      <x:c r="E133" s="22" t="str">
        <x:v>V2.1基线</x:v>
      </x:c>
      <x:c r="F133" s="22" t="str">
        <x:v>L2 KVConnector层</x:v>
      </x:c>
      <x:c r="G133" s="22" t="str">
        <x:v>TM4</x:v>
      </x:c>
      <x:c r="H133" s="22" t="str">
        <x:v>预取触发与命中评估</x:v>
      </x:c>
      <x:c r="I133" s="22" t="str">
        <x:v>P2</x:v>
      </x:c>
      <x:c r="J133" s="22" t="str">
        <x:v>P2</x:v>
      </x:c>
      <x:c r="K133" s="22" t="str">
        <x:v>前缀KV隐藏加载时延｜L2-CONN-PRFCH-ENGINE-007</x:v>
      </x:c>
      <x:c r="L133" s="22" t="str">
        <x:v>为了达到 IR-02-07 的“预取命中率≥70%；命中时等待时延降低≥60%；误预取率&lt;20%；额外HBM≤10%。”，系统内部必须完成：本需求要求在Request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M133"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 详细设计必须给出接口、数据结构、并发前置条件、主路径开关、fallback 与 metrics。</x:v>
      </x:c>
      <x:c r="N133" s="22" t="str">
        <x:v>lookahead + reuse score + free blocks + deadline</x:v>
      </x:c>
      <x:c r="O133" s="22" t="str">
        <x:v>bounded prefetch plan + hit/waste feedback</x:v>
      </x:c>
      <x:c r="P133" s="22" t="str">
        <x:v>预算不足或预测置信低时不预取；取消/过期即时回收</x:v>
      </x:c>
      <x:c r="Q133" s="22" t="str">
        <x:v>Prefix命中判定P99耗时 &lt; 200us；在Share-Prefix业务下，Usable Hit Rate提升≥15%。</x:v>
      </x:c>
      <x:c r="R133" s="22" t="str">
        <x:v>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3" s="22" t="str">
        <x:v>依赖L3对象/目录和L4后端能力</x:v>
      </x:c>
      <x:c r="T133" s="22" t="str">
        <x:v>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x:v>
      </x:c>
    </x:row>
    <x:row r="134" ht="78" customHeight="1">
      <x:c r="A134" s="25" t="str">
        <x:v>SR-02-08-01</x:v>
      </x:c>
      <x:c r="B134" s="25" t="str">
        <x:v>IR-02-08</x:v>
      </x:c>
      <x:c r="C134" s="25" t="str">
        <x:v>SF-02</x:v>
      </x:c>
      <x:c r="D134" s="25" t="str">
        <x:v>L3-MM-Lifecycle-009</x:v>
      </x:c>
      <x:c r="E134" s="22" t="str">
        <x:v>V2.1基线</x:v>
      </x:c>
      <x:c r="F134" s="22" t="str">
        <x:v>L3 传输管理层</x:v>
      </x:c>
      <x:c r="G134" s="22" t="str">
        <x:v>TM3</x:v>
      </x:c>
      <x:c r="H134" s="22" t="str">
        <x:v>容量估算与生命周期</x:v>
      </x:c>
      <x:c r="I134" s="22" t="str">
        <x:v>P0</x:v>
      </x:c>
      <x:c r="J134" s="22" t="str">
        <x:v>P0</x:v>
      </x:c>
      <x:c r="K134" s="22" t="str">
        <x:v>KVCache 生命周期一致性管理｜L3-MM-Lifecycle-009</x:v>
      </x:c>
      <x:c r="L134" s="22" t="str">
        <x:v>为了达到 IR-02-08 的“估算误差&lt;5%；OOM/preemption降低≥50%；碎片率&lt;5%；节点变化只失效一致性哈希对应比例。”，系统内部必须完成：本需求要求实现分布式 KV 生命周期状态机，将 KV block/page 明确建模为 ALLOCATED → LOADING → READY → ACTIVE → OFFLOADING → EVICTABLE → RELEASED/FAILED；异步 send/free、request finished、remote load failure 必须通过状态机完成资源回收与错误恢复。</x:v>
      </x:c>
      <x:c r="M134"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 详细设计必须给出接口、数据结构、并发前置条件、主路径开关、fallback 与 metrics。</x:v>
      </x:c>
      <x:c r="N134" s="22" t="str">
        <x:v>model config + workload + pool watermarks</x:v>
      </x:c>
      <x:c r="O134" s="22" t="str">
        <x:v>capacity budget + lifecycle event + admission</x:v>
      </x:c>
      <x:c r="P134" s="22" t="str">
        <x:v>容量不足平滑拒绝；状态转换失败保留旧副本或重算，不产生悬空引用</x:v>
      </x:c>
      <x:c r="Q134" s="22" t="str">
        <x:v>节点动态加入/退出时的缓存失效控制在局部范围内（遵循一致性哈希比例）。</x:v>
      </x:c>
      <x:c r="R134" s="22" t="str">
        <x:v>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4" s="22" t="str">
        <x:v>依赖L2语义契约与L4 capability/driver</x:v>
      </x:c>
      <x:c r="T134" s="22" t="str">
        <x:v>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x:v>
      </x:c>
    </x:row>
    <x:row r="135" ht="78" customHeight="1">
      <x:c r="A135" s="25" t="str">
        <x:v>SR-02-08-02</x:v>
      </x:c>
      <x:c r="B135" s="25" t="str">
        <x:v>IR-02-08</x:v>
      </x:c>
      <x:c r="C135" s="25" t="str">
        <x:v>SF-02</x:v>
      </x:c>
      <x:c r="D135" s="25" t="str">
        <x:v>L1-MM-DefragAware-023</x:v>
      </x:c>
      <x:c r="E135" s="22" t="str">
        <x:v>V2.1基线</x:v>
      </x:c>
      <x:c r="F135" s="22" t="str">
        <x:v>L1 推理调度层</x:v>
      </x:c>
      <x:c r="G135" s="22" t="str">
        <x:v>TM3</x:v>
      </x:c>
      <x:c r="H135" s="22" t="str">
        <x:v>容量估算与生命周期</x:v>
      </x:c>
      <x:c r="I135" s="22" t="str">
        <x:v>P1</x:v>
      </x:c>
      <x:c r="J135" s="22" t="str">
        <x:v>P1</x:v>
      </x:c>
      <x:c r="K135" s="22" t="str">
        <x:v>内存高碎片率推理不中断｜L1-MM-DefragAware-023</x:v>
      </x:c>
      <x:c r="L135" s="22" t="str">
        <x:v>为了达到 IR-02-08 的“估算误差&lt;5%；OOM/preemption降低≥50%；碎片率&lt;5%；节点变化只失效一致性哈希对应比例。”，系统内部必须完成：本需求要求 L调度器支持内存紧凑（Compaction）感知：当底层触发碎片整理时，调度器需动态规避正在被迁移的物理 Block，或通过热备 Block 替换机制维持当前推理序列的连续写入，避免碎片整理导致推理线程死锁或停顿。</x:v>
      </x:c>
      <x:c r="M135"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 详细设计必须给出接口、数据结构、并发前置条件、主路径开关、fallback 与 metrics。</x:v>
      </x:c>
      <x:c r="N135" s="22" t="str">
        <x:v>model config + workload + pool watermarks</x:v>
      </x:c>
      <x:c r="O135" s="22" t="str">
        <x:v>capacity budget + lifecycle event + admission</x:v>
      </x:c>
      <x:c r="P135" s="22" t="str">
        <x:v>容量不足平滑拒绝；状态转换失败保留旧副本或重算，不产生悬空引用</x:v>
      </x:c>
      <x:c r="Q135" s="22" t="str">
        <x:v>内存碎片率控制在&lt;5%，平均并发处理能力（QPS）提升≥10%。</x:v>
      </x:c>
      <x:c r="R135" s="22" t="str">
        <x:v>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5" s="22" t="str">
        <x:v>依赖L2 Connector、L3目录/池与L4路径成本</x:v>
      </x:c>
      <x:c r="T135" s="22" t="str">
        <x:v>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x:v>
      </x:c>
    </x:row>
    <x:row r="136" ht="78" customHeight="1">
      <x:c r="A136" s="25" t="str">
        <x:v>SR-02-08-03</x:v>
      </x:c>
      <x:c r="B136" s="25" t="str">
        <x:v>IR-02-08</x:v>
      </x:c>
      <x:c r="C136" s="25" t="str">
        <x:v>SF-02</x:v>
      </x:c>
      <x:c r="D136" s="25" t="str">
        <x:v>L1-MM-KVSizing-008</x:v>
      </x:c>
      <x:c r="E136" s="22" t="str">
        <x:v>V2.1基线</x:v>
      </x:c>
      <x:c r="F136" s="22" t="str">
        <x:v>L1 推理调度层</x:v>
      </x:c>
      <x:c r="G136" s="22" t="str">
        <x:v>TM3</x:v>
      </x:c>
      <x:c r="H136" s="22" t="str">
        <x:v>容量估算与生命周期</x:v>
      </x:c>
      <x:c r="I136" s="22" t="str">
        <x:v>P1</x:v>
      </x:c>
      <x:c r="J136" s="22" t="str">
        <x:v>P1</x:v>
      </x:c>
      <x:c r="K136" s="22" t="str">
        <x:v>模型 KVCache 容量规格化｜L1-MM-KVSizing-008</x:v>
      </x:c>
      <x:c r="L136" s="22" t="str">
        <x:v>为了达到 IR-02-08 的“估算误差&lt;5%；OOM/preemption降低≥50%；碎片率&lt;5%；节点变化只失效一致性哈希对应比例。”，系统内部必须完成：本需求要求提供模型结构感知的 KV block/page 容量估算 API，覆盖 MHA、GQA、MLA、sliding-window、hybrid/recurrent state、TP rank、dtype、layout version 等因素，确保 HBM/DDR/CXL/SSD 预留容量与实际 KV footprint 误差小于 5%。</x:v>
      </x:c>
      <x:c r="M136"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 详细设计必须给出接口、数据结构、并发前置条件、主路径开关、fallback 与 metrics。</x:v>
      </x:c>
      <x:c r="N136" s="22" t="str">
        <x:v>model config + workload + pool watermarks</x:v>
      </x:c>
      <x:c r="O136" s="22" t="str">
        <x:v>capacity budget + lifecycle event + admission</x:v>
      </x:c>
      <x:c r="P136" s="22" t="str">
        <x:v>容量不足平滑拒绝；状态转换失败保留旧副本或重算，不产生悬空引用</x:v>
      </x:c>
      <x:c r="Q136" s="22" t="str">
        <x:v>OOM/preemption 次数降低 ≥50%；</x:v>
      </x:c>
      <x:c r="R136" s="22" t="str">
        <x:v>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6" s="22" t="str">
        <x:v>依赖L2 Connector、L3目录/池与L4路径成本</x:v>
      </x:c>
      <x:c r="T136" s="22" t="str">
        <x:v>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x:v>
      </x:c>
    </x:row>
    <x:row r="137" ht="78" customHeight="1">
      <x:c r="A137" s="25" t="str">
        <x:v>SR-02-09-01</x:v>
      </x:c>
      <x:c r="B137" s="25" t="str">
        <x:v>IR-02-09</x:v>
      </x:c>
      <x:c r="C137" s="25" t="str">
        <x:v>SF-02</x:v>
      </x:c>
      <x:c r="D137" s="25" t="str">
        <x:v>L1-OL-ActiveWarmClass-010</x:v>
      </x:c>
      <x:c r="E137" s="22" t="str">
        <x:v>V2.1基线</x:v>
      </x:c>
      <x:c r="F137" s="22" t="str">
        <x:v>L1 推理调度层</x:v>
      </x:c>
      <x:c r="G137" s="22" t="str">
        <x:v>TM3</x:v>
      </x:c>
      <x:c r="H137" s="22" t="str">
        <x:v>驻留策略与局部复用</x:v>
      </x:c>
      <x:c r="I137" s="22" t="str">
        <x:v>P1</x:v>
      </x:c>
      <x:c r="J137" s="22" t="str">
        <x:v>P1</x:v>
      </x:c>
      <x:c r="K137" s="22" t="str">
        <x:v>活跃 KV 与热 KV 分层驻留｜L1-OL-ActiveWarmClass-010</x:v>
      </x:c>
      <x:c r="L137" s="22" t="str">
        <x:v>为了达到 IR-02-09 的“HBM有效容量提升≥20%；TPOT p99回退&lt;3%；prefill FLOPs/request降低≥15%；每GB saved tokens提升≥25%。”，系统内部必须完成：本需求要求框架层显式区分 decode-active KV 与 warm prefix KV：decode-active KV 默认必须驻留 HBM，warm prefix KV 可驻留本地 DDR、本地DDR、本地SSD 或远端节点；系统不得把低带宽 memory tier 直接当作 HBM 扩容使用。</x:v>
      </x:c>
      <x:c r="M137"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 详细设计必须给出接口、数据结构、并发前置条件、主路径开关、fallback 与 metrics。</x:v>
      </x:c>
      <x:c r="N137" s="22" t="str">
        <x:v>reuse score + access mode + tier cost</x:v>
      </x:c>
      <x:c r="O137" s="22" t="str">
        <x:v>residency class + placement action</x:v>
      </x:c>
      <x:c r="P137" s="22" t="str">
        <x:v>active对象受保护；直接访问预计拖慢decode时强制copy-to-HBM</x:v>
      </x:c>
      <x:c r="Q137" s="22" t="str">
        <x:v>TPOT 不回退；HBM effective capacity 提升 ≥20%；</x:v>
      </x:c>
      <x:c r="R137" s="22" t="str">
        <x:v>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7" s="22" t="str">
        <x:v>依赖L2 Connector、L3目录/池与L4路径成本</x:v>
      </x:c>
      <x:c r="T137" s="22" t="str">
        <x:v>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x:v>
      </x:c>
    </x:row>
    <x:row r="138" ht="78" customHeight="1">
      <x:c r="A138" s="25" t="str">
        <x:v>SR-02-09-02</x:v>
      </x:c>
      <x:c r="B138" s="25" t="str">
        <x:v>IR-02-09</x:v>
      </x:c>
      <x:c r="C138" s="25" t="str">
        <x:v>SF-02</x:v>
      </x:c>
      <x:c r="D138" s="25" t="str">
        <x:v>L1-OL-PartialBoundary-012</x:v>
      </x:c>
      <x:c r="E138" s="22" t="str">
        <x:v>V2.1基线</x:v>
      </x:c>
      <x:c r="F138" s="22" t="str">
        <x:v>L1 推理调度层</x:v>
      </x:c>
      <x:c r="G138" s="22" t="str">
        <x:v>TM3</x:v>
      </x:c>
      <x:c r="H138" s="22" t="str">
        <x:v>驻留策略与局部复用</x:v>
      </x:c>
      <x:c r="I138" s="22" t="str">
        <x:v>P2</x:v>
      </x:c>
      <x:c r="J138" s="22" t="str">
        <x:v>P2</x:v>
      </x:c>
      <x:c r="K138" s="22" t="str">
        <x:v>部分前缀命中复用｜L1-OL-PartialBoundary-012</x:v>
      </x:c>
      <x:c r="L138" s="22" t="str">
        <x:v>为了达到 IR-02-09 的“HBM有效容量提升≥20%；TPOT p99回退&lt;3%；prefill FLOPs/request降低≥15%；每GB saved tokens提升≥25%。”，系统内部必须完成：本需求要求在 partial prefix hit 场景中自动选择最优 recompute boundary：系统应根据 block/page 边界、命中长度、load 时间和 recompute 时间决定 “加载已命中 prefix + recompute suffix” 的切点，而不是在 partial hit 时简单放弃全部命中。</x:v>
      </x:c>
      <x:c r="M138"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 详细设计必须给出接口、数据结构、并发前置条件、主路径开关、fallback 与 metrics。</x:v>
      </x:c>
      <x:c r="N138" s="22" t="str">
        <x:v>reuse score + access mode + tier cost</x:v>
      </x:c>
      <x:c r="O138" s="22" t="str">
        <x:v>residency class + placement action</x:v>
      </x:c>
      <x:c r="P138" s="22" t="str">
        <x:v>active对象受保护；直接访问预计拖慢decode时强制copy-to-HBM</x:v>
      </x:c>
      <x:c r="Q138" s="22" t="str">
        <x:v>prefill FLOPs/request 降低 ≥15%；</x:v>
      </x:c>
      <x:c r="R138" s="22" t="str">
        <x:v>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8" s="22" t="str">
        <x:v>依赖L2 Connector、L3目录/池与L4路径成本</x:v>
      </x:c>
      <x:c r="T138" s="22" t="str">
        <x:v>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x:v>
      </x:c>
    </x:row>
    <x:row r="139" ht="78" customHeight="1">
      <x:c r="A139" s="25" t="str">
        <x:v>SR-02-09-03</x:v>
      </x:c>
      <x:c r="B139" s="25" t="str">
        <x:v>IR-02-09</x:v>
      </x:c>
      <x:c r="C139" s="25" t="str">
        <x:v>SF-02</x:v>
      </x:c>
      <x:c r="D139" s="25" t="str">
        <x:v>L1-OL-ViewVsCopy-011</x:v>
      </x:c>
      <x:c r="E139" s="22" t="str">
        <x:v>V2.1基线</x:v>
      </x:c>
      <x:c r="F139" s="22" t="str">
        <x:v>L1 推理调度层</x:v>
      </x:c>
      <x:c r="G139" s="22" t="str">
        <x:v>TM3</x:v>
      </x:c>
      <x:c r="H139" s="22" t="str">
        <x:v>驻留策略与局部复用</x:v>
      </x:c>
      <x:c r="I139" s="22" t="str">
        <x:v>P2</x:v>
      </x:c>
      <x:c r="J139" s="22" t="str">
        <x:v>P2</x:v>
      </x:c>
      <x:c r="K139" s="22" t="str">
        <x:v>热 KV 近端访问与 HBM 回填选择｜L1-OL-ViewVsCopy-011</x:v>
      </x:c>
      <x:c r="L139" s="22" t="str">
        <x:v>为了达到 IR-02-09 的“HBM有效容量提升≥20%；TPOT p99回退&lt;3%；prefill FLOPs/request降低≥15%；每GB saved tokens提升≥25%。”，系统内部必须完成：本需求要求实现 direct-view eligibility 判断：当 KV 对象为 metadata、短 prefix span 或 warm preview 时允许memory view；当 KV 将进入 decode attention active path 时，默认 copy-to-HBM，除非 cost model 证明 direct view 不影响 TPOT。</x:v>
      </x:c>
      <x:c r="M139"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 详细设计必须给出接口、数据结构、并发前置条件、主路径开关、fallback 与 metrics。</x:v>
      </x:c>
      <x:c r="N139" s="22" t="str">
        <x:v>reuse score + access mode + tier cost</x:v>
      </x:c>
      <x:c r="O139" s="22" t="str">
        <x:v>residency class + placement action</x:v>
      </x:c>
      <x:c r="P139" s="22" t="str">
        <x:v>active对象受保护；直接访问预计拖慢decode时强制copy-to-HBM</x:v>
      </x:c>
      <x:c r="Q139" s="22" t="str">
        <x:v>TTFT 不劣化，TPOT p99 回退 &lt;3%；</x:v>
      </x:c>
      <x:c r="R139" s="22" t="str">
        <x:v>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9" s="22" t="str">
        <x:v>依赖L2 Connector、L3目录/池与L4路径成本</x:v>
      </x:c>
      <x:c r="T139" s="22" t="str">
        <x:v>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x:v>
      </x:c>
    </x:row>
    <x:row r="140" ht="78" customHeight="1">
      <x:c r="A140" s="25" t="str">
        <x:v>SR-02-10-01</x:v>
      </x:c>
      <x:c r="B140" s="25" t="str">
        <x:v>IR-02-10</x:v>
      </x:c>
      <x:c r="C140" s="25" t="str">
        <x:v>SF-02</x:v>
      </x:c>
      <x:c r="D140" s="25" t="str">
        <x:v>L1-SE-IntentAPI-014</x:v>
      </x:c>
      <x:c r="E140" s="22" t="str">
        <x:v>V2.1基线</x:v>
      </x:c>
      <x:c r="F140" s="22" t="str">
        <x:v>L1 推理调度层</x:v>
      </x:c>
      <x:c r="G140" s="22" t="str">
        <x:v>TM1</x:v>
      </x:c>
      <x:c r="H140" s="22" t="str">
        <x:v>多卡协同与观测治理</x:v>
      </x:c>
      <x:c r="I140" s="22" t="str">
        <x:v>P0</x:v>
      </x:c>
      <x:c r="J140" s="22" t="str">
        <x:v>P0</x:v>
      </x:c>
      <x:c r="K140" s="22" t="str">
        <x:v>统一 KVCache 访问意图编排｜L1-SE-IntentAPI-014</x:v>
      </x:c>
      <x:c r="L140" s="22" t="str">
        <x:v>为了达到 IR-02-10 的“correctness fault=0；rank wait p99&lt;100 μs；指标字段覆盖率=100%；观测开销&lt;1%。”，系统内部必须完成：本需求要求北向接口默认采用 KVAccessIntent 语义：上层只描述操作目的、deadline、KV 大小、reuse value、visibility、fallback policy、isolation domain，不直接绑定 UB.memory、RDMA、TCP 等具体路径，由下层 policy engine 决定执行语义。</x:v>
      </x:c>
      <x:c r="M140" s="22"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 详细设计必须给出接口、数据结构、并发前置条件、主路径开关、fallback 与 metrics。</x:v>
      </x:c>
      <x:c r="N140" s="22" t="str">
        <x:v>per-rank hit/ready/error + request context</x:v>
      </x:c>
      <x:c r="O140" s="22" t="str">
        <x:v>consensus result + semantic metrics</x:v>
      </x:c>
      <x:c r="P140" s="22" t="str">
        <x:v>任一rank不满足消费条件则全组按约定降级，禁止部分rank误消费</x:v>
      </x:c>
      <x:c r="Q140" s="22" t="str">
        <x:v>上层后端无关；新增后端无需改 Scheduler；</x:v>
      </x:c>
      <x:c r="R140" s="22" t="str">
        <x:v>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0" s="22" t="str">
        <x:v>依赖L2 Connector、L3目录/池与L4路径成本</x:v>
      </x:c>
      <x:c r="T140" s="22" t="str">
        <x:v>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x:v>
      </x:c>
    </x:row>
    <x:row r="141" ht="78" customHeight="1">
      <x:c r="A141" s="25" t="str">
        <x:v>SR-02-10-02</x:v>
      </x:c>
      <x:c r="B141" s="25" t="str">
        <x:v>IR-02-10</x:v>
      </x:c>
      <x:c r="C141" s="25" t="str">
        <x:v>SF-02</x:v>
      </x:c>
      <x:c r="D141" s="25" t="str">
        <x:v>L1-OB-SemanticMetrics-016</x:v>
      </x:c>
      <x:c r="E141" s="22" t="str">
        <x:v>V2.1基线</x:v>
      </x:c>
      <x:c r="F141" s="22" t="str">
        <x:v>L1 推理调度层</x:v>
      </x:c>
      <x:c r="G141" s="22" t="str">
        <x:v>TM6</x:v>
      </x:c>
      <x:c r="H141" s="22" t="str">
        <x:v>多卡协同与观测治理</x:v>
      </x:c>
      <x:c r="I141" s="22" t="str">
        <x:v>P1</x:v>
      </x:c>
      <x:c r="J141" s="22" t="str">
        <x:v>P1</x:v>
      </x:c>
      <x:c r="K141" s="22" t="str">
        <x:v>KVCache 命中收益可观测｜L1-OB-SemanticMetrics-016</x:v>
      </x:c>
      <x:c r="L141" s="22" t="str">
        <x:v>为了达到 IR-02-10 的“correctness fault=0；rank wait p99&lt;100 μs；指标字段覆盖率=100%；观测开销&lt;1%。”，系统内部必须完成：本需求要求框架层输出语义化 KV 命中指标，不得只统计 prefix hit rate；必须区分 raw hit、usable hit、local usable hit、view hit、bulk-load hit、stream-restore hit、abandoned hit，并记录每次请求 prefix critical path breakdown。</x:v>
      </x:c>
      <x:c r="M141"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 详细设计必须给出接口、数据结构、并发前置条件、主路径开关、fallback 与 metrics。</x:v>
      </x:c>
      <x:c r="N141" s="22" t="str">
        <x:v>per-rank hit/ready/error + request context</x:v>
      </x:c>
      <x:c r="O141" s="22" t="str">
        <x:v>consensus result + semantic metrics</x:v>
      </x:c>
      <x:c r="P141" s="22" t="str">
        <x:v>任一rank不满足消费条件则全组按约定降级，禁止部分rank误消费</x:v>
      </x:c>
      <x:c r="Q141" s="22" t="str">
        <x:v>指标覆盖率 受SLO约束的比例；</x:v>
      </x:c>
      <x:c r="R141" s="22" t="str">
        <x:v>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1" s="22" t="str">
        <x:v>依赖L2 Connector、L3目录/池与L4路径成本</x:v>
      </x:c>
      <x:c r="T141" s="22" t="str">
        <x:v>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x:v>
      </x:c>
    </x:row>
    <x:row r="142" ht="78" customHeight="1">
      <x:c r="A142" s="25" t="str">
        <x:v>SR-02-10-03</x:v>
      </x:c>
      <x:c r="B142" s="25" t="str">
        <x:v>IR-02-10</x:v>
      </x:c>
      <x:c r="C142" s="25" t="str">
        <x:v>SF-02</x:v>
      </x:c>
      <x:c r="D142" s="25" t="str">
        <x:v>L1-PD-RankConsensus-013</x:v>
      </x:c>
      <x:c r="E142" s="22" t="str">
        <x:v>V2.1基线</x:v>
      </x:c>
      <x:c r="F142" s="22" t="str">
        <x:v>L1 推理调度层</x:v>
      </x:c>
      <x:c r="G142" s="22" t="str">
        <x:v>TM5</x:v>
      </x:c>
      <x:c r="H142" s="22" t="str">
        <x:v>多卡协同与观测治理</x:v>
      </x:c>
      <x:c r="I142" s="22" t="str">
        <x:v>P1</x:v>
      </x:c>
      <x:c r="J142" s="22" t="str">
        <x:v>P1</x:v>
      </x:c>
      <x:c r="K142" s="22" t="str">
        <x:v>多卡共享前缀一致复用｜L1-PD-RankConsensus-013</x:v>
      </x:c>
      <x:c r="L142" s="22" t="str">
        <x:v>为了达到 IR-02-10 的“correctness fault=0；rank wait p99&lt;100 μs；指标字段覆盖率=100%；观测开销&lt;1%。”，系统内部必须完成：本需求要求在 TP/PP/P-D 分离场景中实现 rank-level prefix consensus：所有参与 rank 必须对 usable prefix length、KV version、ready bitmap、layout version 达成一致后才允许 attach；若 rank 间不一致，必须取 min-safe prefix 或降级 recompute。</x:v>
      </x:c>
      <x:c r="M142"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 详细设计必须给出接口、数据结构、并发前置条件、主路径开关、fallback 与 metrics。</x:v>
      </x:c>
      <x:c r="N142" s="22" t="str">
        <x:v>per-rank hit/ready/error + request context</x:v>
      </x:c>
      <x:c r="O142" s="22" t="str">
        <x:v>consensus result + semantic metrics</x:v>
      </x:c>
      <x:c r="P142" s="22" t="str">
        <x:v>任一rank不满足消费条件则全组按约定降级，禁止部分rank误消费</x:v>
      </x:c>
      <x:c r="Q142" s="22" t="str">
        <x:v>correctness fault = 0；rank wait p99 &lt;100us；</x:v>
      </x:c>
      <x:c r="R142" s="22" t="str">
        <x:v>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2" s="22" t="str">
        <x:v>依赖L2 Connector、L3目录/池与L4路径成本</x:v>
      </x:c>
      <x:c r="T142" s="22" t="str">
        <x:v>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x:v>
      </x:c>
    </x:row>
    <x:row r="143" ht="78" customHeight="1">
      <x:c r="A143" s="25" t="str">
        <x:v>SR-02-10-04</x:v>
      </x:c>
      <x:c r="B143" s="25" t="str">
        <x:v>IR-02-10</x:v>
      </x:c>
      <x:c r="C143" s="25" t="str">
        <x:v>SF-02</x:v>
      </x:c>
      <x:c r="D143" s="25" t="str">
        <x:v>L1-SE-ExpertOverride-015</x:v>
      </x:c>
      <x:c r="E143" s="22" t="str">
        <x:v>V2.1基线</x:v>
      </x:c>
      <x:c r="F143" s="22" t="str">
        <x:v>L1 推理调度层</x:v>
      </x:c>
      <x:c r="G143" s="22" t="str">
        <x:v>TM1</x:v>
      </x:c>
      <x:c r="H143" s="22" t="str">
        <x:v>多卡协同与观测治理</x:v>
      </x:c>
      <x:c r="I143" s="22" t="str">
        <x:v>P3</x:v>
      </x:c>
      <x:c r="J143" s="22" t="str">
        <x:v>P3</x:v>
      </x:c>
      <x:c r="K143" s="22" t="str">
        <x:v>专家级 KV 传输策略控制｜L1-SE-ExpertOverride-015</x:v>
      </x:c>
      <x:c r="L143" s="22" t="str">
        <x:v>为了达到 IR-02-10 的“correctness fault=0；rank wait p99&lt;100 μs；指标字段覆盖率=100%；观测开销&lt;1%。”，系统内部必须完成：本需求要求在默认 intent API 之外提供专家级 override：允许研发和运维在 A/B 实验、故障绕行、极致性能调优中显式指定 preferred semantics、forbidden semantics、force copy-to-HBM、allow direct view、forbid TCP fallback 等策略。</x:v>
      </x:c>
      <x:c r="M143"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 详细设计必须给出接口、数据结构、并发前置条件、主路径开关、fallback 与 metrics。</x:v>
      </x:c>
      <x:c r="N143" s="22" t="str">
        <x:v>per-rank hit/ready/error + request context</x:v>
      </x:c>
      <x:c r="O143" s="22" t="str">
        <x:v>consensus result + semantic metrics</x:v>
      </x:c>
      <x:c r="P143" s="22" t="str">
        <x:v>任一rank不满足消费条件则全组按约定降级，禁止部分rank误消费</x:v>
      </x:c>
      <x:c r="Q143" s="22" t="str">
        <x:v>path selection 可控；</x:v>
      </x:c>
      <x:c r="R143" s="22" t="str">
        <x:v>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3" s="22" t="str">
        <x:v>依赖L2 Connector、L3目录/池与L4路径成本</x:v>
      </x:c>
      <x:c r="T143" s="22" t="str">
        <x:v>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x:v>
      </x:c>
    </x:row>
    <x:row r="144" ht="78" customHeight="1">
      <x:c r="A144" s="25" t="str">
        <x:v>SR-02-11-01</x:v>
      </x:c>
      <x:c r="B144" s="25" t="str">
        <x:v>IR-02-11</x:v>
      </x:c>
      <x:c r="C144" s="25" t="str">
        <x:v>SF-02</x:v>
      </x:c>
      <x:c r="D144" s="25" t="str">
        <x:v>L3-OB-PerPathTelemetry-047</x:v>
      </x:c>
      <x:c r="E144" s="22" t="str">
        <x:v>V2.1基线</x:v>
      </x:c>
      <x:c r="F144" s="22" t="str">
        <x:v>L3 传输管理层</x:v>
      </x:c>
      <x:c r="G144" s="22" t="str">
        <x:v>TM6</x:v>
      </x:c>
      <x:c r="H144" s="22" t="str">
        <x:v>全路径观测与故障追踪</x:v>
      </x:c>
      <x:c r="I144" s="22" t="str">
        <x:v>P0</x:v>
      </x:c>
      <x:c r="J144" s="22" t="str">
        <x:v>P0</x:v>
      </x:c>
      <x:c r="K144" s="22" t="str">
        <x:v>KVCache 全路径性能观测｜L3-OB-PerPathTelemetry-047</x:v>
      </x:c>
      <x:c r="L144" s="22" t="str">
        <x:v>为了达到 IR-02-11 的“cost预测误差&lt;20%；常态探针开销&lt;1%；fallback reason覆盖率=100%；MTTR降至分钟级。”，系统内部必须完成：本需求要求 Transfer Manager 按路径持续导出 telemetry：包括 UB/C2C view latency、RDMA bandwidth、RDMA CQ latency、copy engine queue、SSD/GDS latency、TCP p99、retry、throttle、fault 和 fallback count。</x:v>
      </x:c>
      <x:c r="M144"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 详细设计必须给出接口、数据结构、并发前置条件、主路径开关、fallback 与 metrics。</x:v>
      </x:c>
      <x:c r="N144" s="22" t="str">
        <x:v>cross-layer events + hardware counters + SLO result</x:v>
      </x:c>
      <x:c r="O144" s="22" t="str">
        <x:v>trace/metrics/inspect response + alert</x:v>
      </x:c>
      <x:c r="P144" s="22" t="str">
        <x:v>采集失败不得阻塞数据面；高基数标签必须限额并可采样</x:v>
      </x:c>
      <x:c r="Q144" s="22" t="str">
        <x:v>load cost 预测误差 &lt;20%；</x:v>
      </x:c>
      <x:c r="R144" s="22" t="str">
        <x:v>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4" s="22" t="str">
        <x:v>依赖L2语义契约与L4 capability/driver</x:v>
      </x:c>
      <x:c r="T144" s="22" t="str">
        <x:v>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x:v>
      </x:c>
    </x:row>
    <x:row r="145" ht="78" customHeight="1">
      <x:c r="A145" s="25" t="str">
        <x:v>SR-02-11-02</x:v>
      </x:c>
      <x:c r="B145" s="25" t="str">
        <x:v>IR-02-11</x:v>
      </x:c>
      <x:c r="C145" s="25" t="str">
        <x:v>SF-02</x:v>
      </x:c>
      <x:c r="D145" s="25" t="str">
        <x:v>L3-FT-FallbackTrace-046</x:v>
      </x:c>
      <x:c r="E145" s="22" t="str">
        <x:v>V2.1基线</x:v>
      </x:c>
      <x:c r="F145" s="22" t="str">
        <x:v>L3 传输管理层</x:v>
      </x:c>
      <x:c r="G145" s="22" t="str">
        <x:v>TM6</x:v>
      </x:c>
      <x:c r="H145" s="22" t="str">
        <x:v>全路径观测与故障追踪</x:v>
      </x:c>
      <x:c r="I145" s="22" t="str">
        <x:v>P1</x:v>
      </x:c>
      <x:c r="J145" s="22" t="str">
        <x:v>P1</x:v>
      </x:c>
      <x:c r="K145" s="22" t="str">
        <x:v>KVCache 降级链路故障追踪｜L3-FT-FallbackTrace-046</x:v>
      </x:c>
      <x:c r="L145" s="22" t="str">
        <x:v>为了达到 IR-02-11 的“cost预测误差&lt;20%；常态探针开销&lt;1%；fallback reason覆盖率=100%；MTTR降至分钟级。”，系统内部必须完成：本需求要求为每次路径降级生成 fallback causality trace：记录 view→bulk、bulk→stream、bulk→recompute 或 RDMA→TCP 的触发原因、耗时、丢失收益、影响请求和关联硬件 telemetry。</x:v>
      </x:c>
      <x:c r="M145"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 详细设计必须给出接口、数据结构、并发前置条件、主路径开关、fallback 与 metrics。</x:v>
      </x:c>
      <x:c r="N145" s="22" t="str">
        <x:v>cross-layer events + hardware counters + SLO result</x:v>
      </x:c>
      <x:c r="O145" s="22" t="str">
        <x:v>trace/metrics/inspect response + alert</x:v>
      </x:c>
      <x:c r="P145" s="22" t="str">
        <x:v>采集失败不得阻塞数据面；高基数标签必须限额并可采样</x:v>
      </x:c>
      <x:c r="Q145" s="22" t="str">
        <x:v>建立统一降级追踪根因体系，MTTR降低至分钟级；同时要求探针常态开销不超过总体 P99 TPOT 的 1%。</x:v>
      </x:c>
      <x:c r="R145" s="22" t="str">
        <x:v>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5" s="22" t="str">
        <x:v>依赖L2语义契约与L4 capability/driver</x:v>
      </x:c>
      <x:c r="T145" s="22" t="str">
        <x:v>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x:v>
      </x:c>
    </x:row>
    <x:row r="146" ht="78" customHeight="1">
      <x:c r="A146" s="25" t="str">
        <x:v>SR-02-11-03</x:v>
      </x:c>
      <x:c r="B146" s="25" t="str">
        <x:v>IR-02-11</x:v>
      </x:c>
      <x:c r="C146" s="25" t="str">
        <x:v>SF-02</x:v>
      </x:c>
      <x:c r="D146" s="25" t="str">
        <x:v>L3-MS-UBC2CTier-055</x:v>
      </x:c>
      <x:c r="E146" s="22" t="str">
        <x:v>V2.1基线</x:v>
      </x:c>
      <x:c r="F146" s="22" t="str">
        <x:v>L3 传输管理层</x:v>
      </x:c>
      <x:c r="G146" s="22" t="str">
        <x:v>TM6</x:v>
      </x:c>
      <x:c r="H146" s="22" t="str">
        <x:v>全路径观测与故障追踪</x:v>
      </x:c>
      <x:c r="I146" s="22" t="str">
        <x:v>P1</x:v>
      </x:c>
      <x:c r="J146" s="22" t="str">
        <x:v>P1</x:v>
      </x:c>
      <x:c r="K146" s="22" t="str">
        <x:v>UBlink-C2C 近端热 KV 存储扩展｜L3-MS-UBC2CTier-055</x:v>
      </x:c>
      <x:c r="L146" s="22" t="str">
        <x:v>为了达到 IR-02-11 的“cost预测误差&lt;20%；常态探针开销&lt;1%；fallback reason覆盖率=100%；MTTR降至分钟级。”，系统内部必须完成：本需求要求 UB/C2C memory tier 首先承载KVCache相关的元数据，譬如 prefix metadata、directory mirror、manifest、ready bitmap、warm KV staging，而不是直接承载大规模 decode-active KV；若用于 direct KV view，必须由 view-vs-copy cost model 判定。</x:v>
      </x:c>
      <x:c r="M14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 详细设计必须给出接口、数据结构、并发前置条件、主路径开关、fallback 与 metrics。</x:v>
      </x:c>
      <x:c r="N146" s="22" t="str">
        <x:v>cross-layer events + hardware counters + SLO result</x:v>
      </x:c>
      <x:c r="O146" s="22" t="str">
        <x:v>trace/metrics/inspect response + alert</x:v>
      </x:c>
      <x:c r="P146" s="22" t="str">
        <x:v>采集失败不得阻塞数据面；高基数标签必须限额并可采样</x:v>
      </x:c>
      <x:c r="Q146" s="22" t="str">
        <x:v>Prefix命中判定P99耗时 &lt; 200us；在Share-Prefix业务下，Usable Hit Rate提升≥15%。</x:v>
      </x:c>
      <x:c r="R146" s="22" t="str">
        <x:v>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6" s="22" t="str">
        <x:v>依赖L2语义契约与L4 capability/driver</x:v>
      </x:c>
      <x:c r="T146" s="22" t="str">
        <x:v>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x:v>
      </x:c>
    </x:row>
    <x:row r="147" ht="78" customHeight="1">
      <x:c r="A147" s="25" t="str">
        <x:v>SR-02-11-04</x:v>
      </x:c>
      <x:c r="B147" s="25" t="str">
        <x:v>IR-02-11</x:v>
      </x:c>
      <x:c r="C147" s="25" t="str">
        <x:v>SF-02</x:v>
      </x:c>
      <x:c r="D147" s="25" t="str">
        <x:v>L3-OB-KVStateTrace-083</x:v>
      </x:c>
      <x:c r="E147" s="22" t="str">
        <x:v>V2.1基线</x:v>
      </x:c>
      <x:c r="F147" s="22" t="str">
        <x:v>L3 传输管理层</x:v>
      </x:c>
      <x:c r="G147" s="22" t="str">
        <x:v>TM6</x:v>
      </x:c>
      <x:c r="H147" s="22" t="str">
        <x:v>全路径观测与故障追踪</x:v>
      </x:c>
      <x:c r="I147" s="22" t="str">
        <x:v>P1</x:v>
      </x:c>
      <x:c r="J147" s="22" t="str">
        <x:v>P1</x:v>
      </x:c>
      <x:c r="K147" s="22" t="str">
        <x:v>KV 状态迁移可追踪｜L3-OB-KVStateTrace-083</x:v>
      </x:c>
      <x:c r="L147" s="22" t="str">
        <x:v>为了达到 IR-02-11 的“cost预测误差&lt;20%；常态探针开销&lt;1%；fallback reason覆盖率=100%；MTTR降至分钟级。”，系统内部必须完成：本需求要求为每个 KV object 记录状态迁移 trace，至少包含 publish、commit、lookup、load、attach、detach、migrate、evict、invalidate、quarantine 的时间、触发方、旧状态、新状态和失败原因，支撑“命中了但无法消费”的根因定位。</x:v>
      </x:c>
      <x:c r="M147"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 详细设计必须给出接口、数据结构、并发前置条件、主路径开关、fallback 与 metrics。</x:v>
      </x:c>
      <x:c r="N147" s="22" t="str">
        <x:v>cross-layer events + hardware counters + SLO result</x:v>
      </x:c>
      <x:c r="O147" s="22" t="str">
        <x:v>trace/metrics/inspect response + alert</x:v>
      </x:c>
      <x:c r="P147" s="22" t="str">
        <x:v>采集失败不得阻塞数据面；高基数标签必须限额并可采样</x:v>
      </x:c>
      <x:c r="Q147" s="22" t="str">
        <x:v>节点动态加入/退出时的缓存失效控制在局部范围内（遵循一致性哈希比例）。</x:v>
      </x:c>
      <x:c r="R147" s="22" t="str">
        <x:v>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7" s="22" t="str">
        <x:v>依赖L2语义契约与L4 capability/driver</x:v>
      </x:c>
      <x:c r="T147" s="22" t="str">
        <x:v>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x:v>
      </x:c>
    </x:row>
    <x:row r="148" ht="78" customHeight="1">
      <x:c r="A148" s="25" t="str">
        <x:v>SR-02-11-05</x:v>
      </x:c>
      <x:c r="B148" s="25" t="str">
        <x:v>IR-02-11</x:v>
      </x:c>
      <x:c r="C148" s="25" t="str">
        <x:v>SF-02</x:v>
      </x:c>
      <x:c r="D148" s="25" t="str">
        <x:v>L3-CTRL-KVInspectAPI-084</x:v>
      </x:c>
      <x:c r="E148" s="22" t="str">
        <x:v>V2.1基线</x:v>
      </x:c>
      <x:c r="F148" s="22" t="str">
        <x:v>L3 传输管理层</x:v>
      </x:c>
      <x:c r="G148" s="22" t="str">
        <x:v>TM6</x:v>
      </x:c>
      <x:c r="H148" s="22" t="str">
        <x:v>全路径观测与故障追踪</x:v>
      </x:c>
      <x:c r="I148" s="22" t="str">
        <x:v>P2</x:v>
      </x:c>
      <x:c r="J148" s="22" t="str">
        <x:v>P2</x:v>
      </x:c>
      <x:c r="K148" s="22" t="str">
        <x:v>统一 KV 内存池运维排障｜L3-CTRL-KVInspectAPI-084</x:v>
      </x:c>
      <x:c r="L148" s="22" t="str">
        <x:v>为了达到 IR-02-11 的“cost预测误差&lt;20%；常态探针开销&lt;1%；fallback reason覆盖率=100%；MTTR降至分钟级。”，系统内部必须完成：本需求要求提供 KV object inspect 管理接口，可查询 object_id/prefix_hash 对应的 semantic identity、状态机状态、placement 列表、manifest、lease/refcount、version、ready bitmap、last access 和当前推荐消费路径。</x:v>
      </x:c>
      <x:c r="M148"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 详细设计必须给出接口、数据结构、并发前置条件、主路径开关、fallback 与 metrics。</x:v>
      </x:c>
      <x:c r="N148" s="22" t="str">
        <x:v>cross-layer events + hardware counters + SLO result</x:v>
      </x:c>
      <x:c r="O148" s="22" t="str">
        <x:v>trace/metrics/inspect response + alert</x:v>
      </x:c>
      <x:c r="P148" s="22" t="str">
        <x:v>采集失败不得阻塞数据面；高基数标签必须限额并可采样</x:v>
      </x:c>
      <x:c r="Q148" s="22" t="str">
        <x:v>Prefix命中判定P99耗时 &lt; 200us；在Share-Prefix业务下，Usable Hit Rate提升≥15%。</x:v>
      </x:c>
      <x:c r="R148" s="22" t="str">
        <x:v>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8" s="22" t="str">
        <x:v>依赖L2语义契约与L4 capability/driver</x:v>
      </x:c>
      <x:c r="T148" s="22" t="str">
        <x:v>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x:v>
      </x:c>
    </x:row>
    <x:row r="149" ht="78" customHeight="1">
      <x:c r="A149" s="25" t="str">
        <x:v>SR-02-12-01</x:v>
      </x:c>
      <x:c r="B149" s="25" t="str">
        <x:v>IR-02-12</x:v>
      </x:c>
      <x:c r="C149" s="25" t="str">
        <x:v>SF-02</x:v>
      </x:c>
      <x:c r="D149" s="25" t="str">
        <x:v>SE-MONITOR-001</x:v>
      </x:c>
      <x:c r="E149" s="22" t="str">
        <x:v>V2.1工程建议</x:v>
      </x:c>
      <x:c r="F149" s="22" t="str">
        <x:v>SE 工程保障</x:v>
      </x:c>
      <x:c r="G149" s="22" t="str">
        <x:v>TM6</x:v>
      </x:c>
      <x:c r="H149" s="22" t="str">
        <x:v>工程质量与交付工具链</x:v>
      </x:c>
      <x:c r="I149" s="22" t="str">
        <x:v>P1</x:v>
      </x:c>
      <x:c r="J149" s="22" t="str">
        <x:v>阶段2前完成核心路径无锁打点及监控展示。</x:v>
      </x:c>
      <x:c r="K149" s="22" t="str">
        <x:v>线上业务巡检，性能瓶颈快速排查，智能调度决策的数据支撑。｜SE-MONITOR-001</x:v>
      </x:c>
      <x:c r="L149" s="22" t="str">
        <x:v>为了达到 IR-02-12 的“核心覆盖率&gt;85%；MR反馈&lt;15min；72h长稳零泄漏；故障fallback&lt;500ms且0错误；回滚&lt;1min。”，系统内部必须完成：建立KVCache专用的细粒度性能监控大盘，采集命中率(Hit Rate)、各介质I/O读写延迟分位、带宽利用率、TTFT/TPOT等核心业务指标。</x:v>
      </x:c>
      <x:c r="M149" s="22" t="str">
        <x:v>基于 Prometheus+Grafana 栈。核心路径使用 bvar (bRPC内置)或 Thread-Local 无锁计数器打点。可考虑引入 eBPF 技术在内核态辅助追踪底层 I/O 时延。对接企业级告警通道。 详细设计必须给出接口、数据结构、并发前置条件、主路径开关、fallback 与 metrics。</x:v>
      </x:c>
      <x:c r="N149" s="22" t="str">
        <x:v>source + test matrix + deployment manifest</x:v>
      </x:c>
      <x:c r="O149" s="22" t="str">
        <x:v>quality report + benchmark baseline + release artifact</x:v>
      </x:c>
      <x:c r="P149" s="22" t="str">
        <x:v>任一P0门禁失败阻断合并；灰度SLO异常自动回滚</x:v>
      </x:c>
      <x:c r="Q149" s="22" t="str">
        <x:v>大盘指标采集刷新延迟 &lt; 5s，对主业务端到端性能损耗影响 &lt; 1%。</x:v>
      </x:c>
      <x:c r="R149" s="22" t="str">
        <x:v>压测对比开启/关闭监控打点，主业务 TPOT 性能损耗必须 &lt; 1%。告警规则准确率达 100% (如配置HBM命中率连续3分钟&lt;60%触发P2告警)。</x:v>
      </x:c>
      <x:c r="S149" s="22" t="str">
        <x:v>依赖全栈可测试接口与部署环境</x:v>
      </x:c>
      <x:c r="T149" s="22" t="str">
        <x:v>10W+ QPS高并发请求下进行纳秒级埋点，如何低开销(Lock-free)进行海量Metrics上报汇聚。</x:v>
      </x:c>
    </x:row>
    <x:row r="150" ht="78" customHeight="1">
      <x:c r="A150" s="25" t="str">
        <x:v>SR-02-12-02</x:v>
      </x:c>
      <x:c r="B150" s="25" t="str">
        <x:v>IR-02-12</x:v>
      </x:c>
      <x:c r="C150" s="25" t="str">
        <x:v>SF-02</x:v>
      </x:c>
      <x:c r="D150" s="25" t="str">
        <x:v>SE-TEST-001</x:v>
      </x:c>
      <x:c r="E150" s="22" t="str">
        <x:v>V2.1工程建议</x:v>
      </x:c>
      <x:c r="F150" s="22" t="str">
        <x:v>SE 工程保障</x:v>
      </x:c>
      <x:c r="G150" s="22" t="str">
        <x:v>TM6</x:v>
      </x:c>
      <x:c r="H150" s="22" t="str">
        <x:v>工程质量与交付工具链</x:v>
      </x:c>
      <x:c r="I150" s="22" t="str">
        <x:v>P1</x:v>
      </x:c>
      <x:c r="J150" s="22" t="str">
        <x:v>里程碑1前完成基础框架并全量接入核心模块。</x:v>
      </x:c>
      <x:c r="K150" s="22" t="str">
        <x:v>快速迭代中的逻辑回归验证，接口兼容性验证。｜SE-TEST-001</x:v>
      </x:c>
      <x:c r="L150" s="22" t="str">
        <x:v>为了达到 IR-02-12 的“核心覆盖率&gt;85%；MR反馈&lt;15min；72h长稳零泄漏；故障fallback&lt;500ms且0错误；回滚&lt;1min。”，系统内部必须完成：构建覆盖核心模块的单元测试(Unit Test)、接口测试(API Test)及Mock系统，确保KVCache调度逻辑、路由决策及内存分配算法的正确性。</x:v>
      </x:c>
      <x:c r="M150" s="22" t="str">
        <x:v>引入 gtest/gmock 测试框架，利用依赖注入(Dependency Injection)解耦底层硬件依赖。开发基于内存映射(mmap)的软仿分配器来模拟硬件行为。在CI中配置lcov/gcov覆盖率工具。 详细设计必须给出接口、数据结构、并发前置条件、主路径开关、fallback 与 metrics。</x:v>
      </x:c>
      <x:c r="N150" s="22" t="str">
        <x:v>source + test matrix + deployment manifest</x:v>
      </x:c>
      <x:c r="O150" s="22" t="str">
        <x:v>quality report + benchmark baseline + release artifact</x:v>
      </x:c>
      <x:c r="P150" s="22" t="str">
        <x:v>任一P0门禁失败阻断合并；灰度SLO异常自动回滚</x:v>
      </x:c>
      <x:c r="Q150" s="22" t="str">
        <x:v>核心模块(L1-L4)单元测试覆盖率 &gt; 85%，核心接口自动化通过率 100%。</x:v>
      </x:c>
      <x:c r="R150" s="22" t="str">
        <x:v>结合 CI 流水线，每次 MR 自动触发单测，要求核心模块代码覆盖率 &gt; 85%，不达标阻断合并。生成覆盖率可视化报告。</x:v>
      </x:c>
      <x:c r="S150" s="22" t="str">
        <x:v>依赖全栈可测试接口与部署环境</x:v>
      </x:c>
      <x:c r="T150" s="22" t="str">
        <x:v>复杂调度状态机的Mock(例如高并发下的状态转换)，异构存储(HBM/DDR/SSD)底层通信API和DMA传输延时的精准模拟，以及异常中断的构造。</x:v>
      </x:c>
    </x:row>
    <x:row r="151" ht="78" customHeight="1">
      <x:c r="A151" s="25" t="str">
        <x:v>SR-02-12-03</x:v>
      </x:c>
      <x:c r="B151" s="25" t="str">
        <x:v>IR-02-12</x:v>
      </x:c>
      <x:c r="C151" s="25" t="str">
        <x:v>SF-02</x:v>
      </x:c>
      <x:c r="D151" s="25" t="str">
        <x:v>SE-TEST-002</x:v>
      </x:c>
      <x:c r="E151" s="22" t="str">
        <x:v>V2.1工程建议</x:v>
      </x:c>
      <x:c r="F151" s="22" t="str">
        <x:v>SE 工程保障</x:v>
      </x:c>
      <x:c r="G151" s="22" t="str">
        <x:v>TM6</x:v>
      </x:c>
      <x:c r="H151" s="22" t="str">
        <x:v>工程质量与交付工具链</x:v>
      </x:c>
      <x:c r="I151" s="22" t="str">
        <x:v>P1</x:v>
      </x:c>
      <x:c r="J151" s="22" t="str">
        <x:v>里程碑2前完成混沌工程与长稳环境搭建。</x:v>
      </x:c>
      <x:c r="K151" s="22" t="str">
        <x:v>发版前的系统级验证，多设备协同场景以及高可用容灾演练。｜SE-TEST-002</x:v>
      </x:c>
      <x:c r="L151" s="22" t="str">
        <x:v>为了达到 IR-02-12 的“核心覆盖率&gt;85%；MR反馈&lt;15min；72h长稳零泄漏；故障fallback&lt;500ms且0错误；回滚&lt;1min。”，系统内部必须完成：搭建包含真实多级异构介质（HBM、DDR、NVMe SSD）以及RDMA远端节点的端到端(E2E)测试环境，验证跨介质调度、分布式拉取功能与回退机制。</x:v>
      </x:c>
      <x:c r="M151" s="22" t="str">
        <x:v>基于 Kubernetes 与 Docker 容器化部署测试集群。引入 Chaos Mesh 等混沌工程平台注入网络断连、SSD阻塞等故障。使用 ASAN/LSAN 动态监测内存溢出与泄漏。 详细设计必须给出接口、数据结构、并发前置条件、主路径开关、fallback 与 metrics。</x:v>
      </x:c>
      <x:c r="N151" s="22" t="str">
        <x:v>source + test matrix + deployment manifest</x:v>
      </x:c>
      <x:c r="O151" s="22" t="str">
        <x:v>quality report + benchmark baseline + release artifact</x:v>
      </x:c>
      <x:c r="P151" s="22" t="str">
        <x:v>任一P0门禁失败阻断合并；灰度SLO异常自动回滚</x:v>
      </x:c>
      <x:c r="Q151" s="22" t="str">
        <x:v>能够在一键脚本下完成所有硬件介质连通性验证。具备长稳运行(Soak Test)和故障容灾能力。</x:v>
      </x:c>
      <x:c r="R151" s="22" t="str">
        <x:v>在故障注入(如远端节点断网)期间，系统能够 &lt;500ms 触发 Fallback 机制切回本地且上层推理业务无感知（0 Error Rate）。</x:v>
      </x:c>
      <x:c r="S151" s="22" t="str">
        <x:v>依赖全栈可测试接口与部署环境</x:v>
      </x:c>
      <x:c r="T151" s="22" t="str">
        <x:v>分布式异构硬件环境的自动化编排部署，硬件拓扑感知与网络状态注入，长稳测试中细微内存泄漏的精准捕获。</x:v>
      </x:c>
    </x:row>
    <x:row r="152" ht="78" customHeight="1">
      <x:c r="A152" s="25" t="str">
        <x:v>SR-02-12-04</x:v>
      </x:c>
      <x:c r="B152" s="25" t="str">
        <x:v>IR-02-12</x:v>
      </x:c>
      <x:c r="C152" s="25" t="str">
        <x:v>SF-02</x:v>
      </x:c>
      <x:c r="D152" s="25" t="str">
        <x:v>SE-CICD-001</x:v>
      </x:c>
      <x:c r="E152" s="22" t="str">
        <x:v>V2.1工程建议</x:v>
      </x:c>
      <x:c r="F152" s="22" t="str">
        <x:v>SE 工程保障</x:v>
      </x:c>
      <x:c r="G152" s="22" t="str">
        <x:v>TM6</x:v>
      </x:c>
      <x:c r="H152" s="22" t="str">
        <x:v>工程质量与交付工具链</x:v>
      </x:c>
      <x:c r="I152" s="22" t="str">
        <x:v>P2</x:v>
      </x:c>
      <x:c r="J152" s="22" t="str">
        <x:v>里程碑1前跑通主干代码流水线；里程碑2前完成全自动化发版。</x:v>
      </x:c>
      <x:c r="K152" s="22" t="str">
        <x:v>多人协同敏捷开发，高质量拦截代码坏味道，线上业务平滑且无感知的版本迭代。｜SE-CICD-001</x:v>
      </x:c>
      <x:c r="L152" s="22" t="str">
        <x:v>为了达到 IR-02-12 的“核心覆盖率&gt;85%；MR反馈&lt;15min；72h长稳零泄漏；故障fallback&lt;500ms且0错误；回滚&lt;1min。”，系统内部必须完成：构建统一且全自动化的代码构建、静态代码分析(Static Analysis)、规范检查、自动打包产物与线上灰度部署(Canary Release)流水线。</x:v>
      </x:c>
      <x:c r="M152" s="22" t="str">
        <x:v>利用 ccache 与分布式编译集群极速提升编译效率。集成 Clang-Tidy、cpplint、SonarQube 进行代码规范与坏味道强卡点。使用 Helm 配置容器镜像管理实现平滑更新。 详细设计必须给出接口、数据结构、并发前置条件、主路径开关、fallback 与 metrics。</x:v>
      </x:c>
      <x:c r="N152" s="22" t="str">
        <x:v>source + test matrix + deployment manifest</x:v>
      </x:c>
      <x:c r="O152" s="22" t="str">
        <x:v>quality report + benchmark baseline + release artifact</x:v>
      </x:c>
      <x:c r="P152" s="22" t="str">
        <x:v>任一P0门禁失败阻断合并；灰度SLO异常自动回滚</x:v>
      </x:c>
      <x:c r="Q152" s="22" t="str">
        <x:v>代码合并前拦截100%规范类与基础逻辑报错；灰度发布过程支持随时熔断与分钟级回滚。</x:v>
      </x:c>
      <x:c r="R152" s="22" t="str">
        <x:v>提交MR到测试反馈耗时 &lt; 15 分钟。灰度发布支持 1%/10%/50%/100% 阶梯放量，且监控识别到异常后自动化回滚(Auto-Rollback)需在 1 分钟内完成。</x:v>
      </x:c>
      <x:c r="S152" s="22" t="str">
        <x:v>依赖全栈可测试接口与部署环境</x:v>
      </x:c>
      <x:c r="T152" s="22" t="str">
        <x:v>C++ 巨型工程在 CI 阶段的快速增量编译耗时挑战；跨硬件平台(NPU/CPU/ARM)一致性矩阵构建；线上 0 停机的无缝热更新。</x:v>
      </x:c>
    </x:row>
    <x:row r="153" ht="78" customHeight="1">
      <x:c r="A153" s="26" t="str">
        <x:v>SR-02-12-05</x:v>
      </x:c>
      <x:c r="B153" s="26" t="str">
        <x:v>IR-02-12</x:v>
      </x:c>
      <x:c r="C153" s="26" t="str">
        <x:v>SF-02</x:v>
      </x:c>
      <x:c r="D153" s="26" t="str">
        <x:v>SE-PERF-001</x:v>
      </x:c>
      <x:c r="E153" s="23" t="str">
        <x:v>V2.1工程建议</x:v>
      </x:c>
      <x:c r="F153" s="23" t="str">
        <x:v>SE 工程保障</x:v>
      </x:c>
      <x:c r="G153" s="23" t="str">
        <x:v>TM6</x:v>
      </x:c>
      <x:c r="H153" s="23" t="str">
        <x:v>工程质量与交付工具链</x:v>
      </x:c>
      <x:c r="I153" s="23" t="str">
        <x:v>P2</x:v>
      </x:c>
      <x:c r="J153" s="23" t="str">
        <x:v>阶段3前完成压测工具链，服务于Release发版。</x:v>
      </x:c>
      <x:c r="K153" s="23" t="str">
        <x:v>技术架构选型验证、大版本发布前的性能压测、线上环境极限容量评估。｜SE-PERF-001</x:v>
      </x:c>
      <x:c r="L153" s="23" t="str">
        <x:v>为了达到 IR-02-12 的“核心覆盖率&gt;85%；MR反馈&lt;15min；72h长稳零泄漏；故障fallback&lt;500ms且0错误；回滚&lt;1min。”，系统内部必须完成：开发专用的 KVCache 负载生成器与压测脚本，能够精准模拟多并发下的大模型长短文本请求特征，进行吞吐极限与延迟探测。</x:v>
      </x:c>
      <x:c r="M153" s="23" t="str">
        <x:v>基于 C++ 开发高性能异步压测客户端，支持泊松分布、Zipfian长尾分布等流量模型。集成 Perf、FlameGraph (火焰图) 进行 CPU/Mem/网络 热点下钻分析。 详细设计必须给出接口、数据结构、并发前置条件、主路径开关、fallback 与 metrics。</x:v>
      </x:c>
      <x:c r="N153" s="23" t="str">
        <x:v>source + test matrix + deployment manifest</x:v>
      </x:c>
      <x:c r="O153" s="23" t="str">
        <x:v>quality report + benchmark baseline + release artifact</x:v>
      </x:c>
      <x:c r="P153" s="23" t="str">
        <x:v>任一P0门禁失败阻断合并；灰度SLO异常自动回滚</x:v>
      </x:c>
      <x:c r="Q153" s="23" t="str">
        <x:v>能模拟 10W+ QPS 请求量，并精准重放(Replay)线上真实的业务流量长度与到达率分布。</x:v>
      </x:c>
      <x:c r="R153" s="23" t="str">
        <x:v>压测端需成功输出 10W+ QPS，压测报告必须包含新老版本的吞吐(Tokens/s)与延迟(TTFT/TPOT)详细对比曲线，以及各硬件资源的利用率。</x:v>
      </x:c>
      <x:c r="S153" s="23" t="str">
        <x:v>依赖全栈可测试接口与部署环境</x:v>
      </x:c>
      <x:c r="T153" s="23" t="str">
        <x:v>线上真实业务请求特征(长度分布、相关性)的精准流量重放(Traffic Replay)；跨SSD/RDMA介质 I/O 瓶颈及 CPU 热点的定位复杂度。</x:v>
      </x:c>
    </x:row>
  </x:sheetData>
  <x:mergeCells>
    <x:mergeCell ref="A1:T1"/>
    <x:mergeCell ref="A2:T2"/>
  </x:mergeCells>
  <x:pageMargins left="0.7" right="0.7" top="0.75" bottom="0.75" header="0.3" footer="0.3"/>
  <x:tableParts count="1">
    <x:tablePart xmlns:r="http://schemas.openxmlformats.org/officeDocument/2006/relationships" r:id="R6e9b9537d045483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4" hidden="0" customWidth="1"/>
    <x:col min="4" max="4" width="10" hidden="0" customWidth="1"/>
    <x:col min="5" max="5" width="13" hidden="0" customWidth="1"/>
    <x:col min="6" max="6" width="18" hidden="0" customWidth="1"/>
    <x:col min="7" max="7" width="12" hidden="0" customWidth="1"/>
    <x:col min="8" max="8" width="22" hidden="0" customWidth="1"/>
    <x:col min="9" max="9" width="9" hidden="0" customWidth="1"/>
    <x:col min="10" max="10" width="15" hidden="0" customWidth="1"/>
    <x:col min="11" max="11" width="14" hidden="0" customWidth="1"/>
    <x:col min="12" max="12" width="19" hidden="0" customWidth="1"/>
    <x:col min="13" max="13" width="48" hidden="0" customWidth="1"/>
    <x:col min="14" max="14" width="34" hidden="0" customWidth="1"/>
    <x:col min="15" max="15" width="65" hidden="0" customWidth="1"/>
    <x:col min="16" max="16" width="50" hidden="0" customWidth="1"/>
    <x:col min="17" max="17" width="48" hidden="0" customWidth="1"/>
    <x:col min="18" max="18" width="42" hidden="0" customWidth="1"/>
    <x:col min="19" max="19" width="36" hidden="0" customWidth="1"/>
    <x:col min="20" max="20" width="16" hidden="0" customWidth="1"/>
    <x:col min="21" max="21" width="12" hidden="0" customWidth="1"/>
    <x:col min="22" max="22" width="16" hidden="0" customWidth="1"/>
    <x:col min="23" max="23" width="18" hidden="0" customWidth="1"/>
    <x:col min="24" max="24" width="14" hidden="0" customWidth="1"/>
    <x:col min="25" max="25" width="16" hidden="0" customWidth="1"/>
  </x:cols>
  <x:sheetData>
    <x:row r="1" ht="34" customHeight="1">
      <x:c r="A1" s="3" t="str">
        <x:v>AR 原子级开发认领清单</x:v>
      </x:c>
      <x:c r="B1" s="3"/>
      <x:c r="C1" s="3"/>
      <x:c r="D1" s="3"/>
      <x:c r="E1" s="3"/>
      <x:c r="F1" s="3"/>
      <x:c r="G1" s="3"/>
      <x:c r="H1" s="3"/>
      <x:c r="I1" s="3"/>
      <x:c r="J1" s="3"/>
      <x:c r="K1" s="3"/>
      <x:c r="L1" s="3"/>
      <x:c r="M1" s="3"/>
      <x:c r="N1" s="3"/>
      <x:c r="O1" s="3"/>
      <x:c r="P1" s="3"/>
      <x:c r="Q1" s="3"/>
      <x:c r="R1" s="3"/>
      <x:c r="S1" s="3"/>
      <x:c r="T1" s="3"/>
      <x:c r="U1" s="3"/>
      <x:c r="V1" s="3"/>
      <x:c r="W1" s="3"/>
      <x:c r="X1" s="3"/>
      <x:c r="Y1" s="3"/>
    </x:row>
    <x:row r="2" ht="30" customHeight="1">
      <x:c r="A2" s="7" t="str">
        <x:v>每个 SR 固定拆为 3 个可独立 PR 的代码任务：核心实现、契约/配置与降级、验证与观测；代码路径为建议逻辑归属，可在代码仓冻结后做等价映射。</x:v>
      </x:c>
      <x:c r="B2" s="7"/>
      <x:c r="C2" s="7"/>
      <x:c r="D2" s="7"/>
      <x:c r="E2" s="7"/>
      <x:c r="F2" s="7"/>
      <x:c r="G2" s="7"/>
      <x:c r="H2" s="7"/>
      <x:c r="I2" s="7"/>
      <x:c r="J2" s="7"/>
      <x:c r="K2" s="7"/>
      <x:c r="L2" s="7"/>
      <x:c r="M2" s="7"/>
      <x:c r="N2" s="7"/>
      <x:c r="O2" s="7"/>
      <x:c r="P2" s="7"/>
      <x:c r="Q2" s="7"/>
      <x:c r="R2" s="7"/>
      <x:c r="S2" s="7"/>
      <x:c r="T2" s="7"/>
      <x:c r="U2" s="7"/>
      <x:c r="V2" s="7"/>
      <x:c r="W2" s="7"/>
      <x:c r="X2" s="7"/>
      <x:c r="Y2" s="7"/>
    </x:row>
    <x:row r="4" ht="42" customHeight="1">
      <x:c r="A4" s="13" t="str">
        <x:v>AR ID</x:v>
      </x:c>
      <x:c r="B4" s="13" t="str">
        <x:v>父 SR</x:v>
      </x:c>
      <x:c r="C4" s="13" t="str">
        <x:v>来源需求 ID</x:v>
      </x:c>
      <x:c r="D4" s="13" t="str">
        <x:v>SF ID</x:v>
      </x:c>
      <x:c r="E4" s="13" t="str">
        <x:v>IR ID</x:v>
      </x:c>
      <x:c r="F4" s="13" t="str">
        <x:v>分配层级</x:v>
      </x:c>
      <x:c r="G4" s="13" t="str">
        <x:v>技术模块</x:v>
      </x:c>
      <x:c r="H4" s="13" t="str">
        <x:v>核心模块</x:v>
      </x:c>
      <x:c r="I4" s="13" t="str">
        <x:v>优先级</x:v>
      </x:c>
      <x:c r="J4" s="13" t="str">
        <x:v>阶段</x:v>
      </x:c>
      <x:c r="K4" s="13" t="str">
        <x:v>任务类型</x:v>
      </x:c>
      <x:c r="L4" s="13" t="str">
        <x:v>建议责任角色</x:v>
      </x:c>
      <x:c r="M4" s="13" t="str">
        <x:v>代码/配置对象</x:v>
      </x:c>
      <x:c r="N4" s="13" t="str">
        <x:v>类/函数/配置键</x:v>
      </x:c>
      <x:c r="O4" s="13" t="str">
        <x:v>原子实施任务</x:v>
      </x:c>
      <x:c r="P4" s="13" t="str">
        <x:v>接口/状态/Fallback 要点</x:v>
      </x:c>
      <x:c r="Q4" s="13" t="str">
        <x:v>Definition of Done</x:v>
      </x:c>
      <x:c r="R4" s="13" t="str">
        <x:v>验证命令/用例</x:v>
      </x:c>
      <x:c r="S4" s="13" t="str">
        <x:v>验收 KPI</x:v>
      </x:c>
      <x:c r="T4" s="13" t="str">
        <x:v>依赖 SR</x:v>
      </x:c>
      <x:c r="U4" s="13" t="str">
        <x:v>状态</x:v>
      </x:c>
      <x:c r="V4" s="13" t="str">
        <x:v>实际 Owner</x:v>
      </x:c>
      <x:c r="W4" s="13" t="str">
        <x:v>PR/Commit</x:v>
      </x:c>
      <x:c r="X4" s="13" t="str">
        <x:v>ID 唯一性检查</x:v>
      </x:c>
      <x:c r="Y4" s="13" t="str">
        <x:v>父节点/来源检查</x:v>
      </x:c>
    </x:row>
    <x:row r="5" ht="84" customHeight="1">
      <x:c r="A5" s="24" t="str">
        <x:v>AR-L3-MC-ExtentManifest-076-01</x:v>
      </x:c>
      <x:c r="B5" s="24" t="str">
        <x:v>SR-01-01-01</x:v>
      </x:c>
      <x:c r="C5" s="24" t="str">
        <x:v>L3-MC-ExtentManifest-076</x:v>
      </x:c>
      <x:c r="D5" s="24" t="str">
        <x:v>SF-01</x:v>
      </x:c>
      <x:c r="E5" s="24" t="str">
        <x:v>IR-01-01</x:v>
      </x:c>
      <x:c r="F5" s="21" t="str">
        <x:v>L3 传输管理层</x:v>
      </x:c>
      <x:c r="G5" s="21" t="str">
        <x:v>TM3</x:v>
      </x:c>
      <x:c r="H5" s="21" t="str">
        <x:v>统一存储池与分层管理</x:v>
      </x:c>
      <x:c r="I5" s="21" t="str">
        <x:v>P0</x:v>
      </x:c>
      <x:c r="J5" s="21" t="str">
        <x:v>P0</x:v>
      </x:c>
      <x:c r="K5" s="21" t="str">
        <x:v>核心实现</x:v>
      </x:c>
      <x:c r="L5" s="21" t="str">
        <x:v>存储池/传输管理开发</x:v>
      </x:c>
      <x:c r="M5" s="21" t="str">
        <x:v>src/pool/tiering/extent_manifest.{h,cc}</x:v>
      </x:c>
      <x:c r="N5" s="21" t="str">
        <x:v>ExtentManifestManager</x:v>
      </x:c>
      <x:c r="O5" s="21" t="str">
        <x:v>在 `src/pool/tiering/extent_manifest.{h,cc}` 新增或重写 `ExtentManifestManager`，把“非连续 KV 块存储与批量传输”落实为 L3 传输管理层 可调用主路径：本需求要求为每个 KV object 维护 extent manifest，将逻辑 KV page/block 映射到物理 HBM/DDR/SSD/RDMA/UB extent； 输入必须显式消费 KVAccessIntent + KVBlockSpec + tier telemetry，输出 KVObjectHandle + Placement + state transition，不得用全局单例或隐藏同步 I/O 绕开预算与状态机。</x:v>
      </x:c>
      <x:c r="P5" s="21" t="str">
        <x:v>实现 KVAccessIntent + KVBlockSpec + tier telemetry → KVObjectHandle + Placement + state transition；遵守 OOM/碎片/路径不可用时拒绝、降级下沉或重算；活动对象禁止迁移</x:v>
      </x:c>
      <x:c r="Q5" s="21" t="str">
        <x:v>核心算法与状态转换完成；新增代码单测分支覆盖≥85%；线程安全/所有权明确；关闭 feature flag 时行为与 baseline 一致。</x:v>
      </x:c>
      <x:c r="R5" s="21" t="str">
        <x:v>ctest -R ExtentManifest --output-on-failure</x:v>
      </x:c>
      <x:c r="S5" s="21" t="str">
        <x:v>全局内存利用率提升至≥85%，跨级冷热数据迁移过程中的TPOT抖动 &lt; 5%。</x:v>
      </x:c>
      <x:c r="T5" s="21" t="str">
        <x:v>SR-01-01-01</x:v>
      </x:c>
      <x:c r="U5" s="21" t="str">
        <x:v>待认领</x:v>
      </x:c>
      <x:c r="V5" s="21" t="str"/>
      <x:c r="W5" s="21" t="str"/>
      <x:c r="X5" s="21" t="str">
        <x:f>IF(COUNTIF($A$5:$A$451,A5)=1,"PASS","FAIL")</x:f>
        <x:v>PASS</x:v>
      </x:c>
      <x:c r="Y5" s="21" t="str">
        <x:f>IF(COUNTIF('SR系统设计'!$A$5:$A$153,B5)+COUNTIF('追溯与覆盖'!$A$5:$A$153,C5)=2,"PASS","FAIL")</x:f>
        <x:v>PASS</x:v>
      </x:c>
    </x:row>
    <x:row r="6" ht="84" customHeight="1">
      <x:c r="A6" s="25" t="str">
        <x:v>AR-L3-MC-ExtentManifest-076-02</x:v>
      </x:c>
      <x:c r="B6" s="25" t="str">
        <x:v>SR-01-01-01</x:v>
      </x:c>
      <x:c r="C6" s="25" t="str">
        <x:v>L3-MC-ExtentManifest-076</x:v>
      </x:c>
      <x:c r="D6" s="25" t="str">
        <x:v>SF-01</x:v>
      </x:c>
      <x:c r="E6" s="25" t="str">
        <x:v>IR-01-01</x:v>
      </x:c>
      <x:c r="F6" s="22" t="str">
        <x:v>L3 传输管理层</x:v>
      </x:c>
      <x:c r="G6" s="22" t="str">
        <x:v>TM3</x:v>
      </x:c>
      <x:c r="H6" s="22" t="str">
        <x:v>统一存储池与分层管理</x:v>
      </x:c>
      <x:c r="I6" s="22" t="str">
        <x:v>P0</x:v>
      </x:c>
      <x:c r="J6" s="22" t="str">
        <x:v>P0</x:v>
      </x:c>
      <x:c r="K6" s="22" t="str">
        <x:v>契约配置与降级</x:v>
      </x:c>
      <x:c r="L6" s="22" t="str">
        <x:v>存储池/传输管理开发</x:v>
      </x:c>
      <x:c r="M6" s="22" t="str">
        <x:v>api/kvcache/v1/extent_manifest.proto + config/runtime/extent_manifest.yaml</x:v>
      </x:c>
      <x:c r="N6" s="22" t="str">
        <x:v>ExtentManifestOptions / kvcache.extent_manifest.enabled</x:v>
      </x:c>
      <x:c r="O6" s="22" t="str">
        <x:v>为 `ExtentManifestOptions` 增加 `kvcache.extent_manifest.enabled`、deadline/容量/队列预算及版本字段；在调用点接入 typed error、decision_reason、fallback_reason，确保配置热更新、灰度关闭和向后兼容均可审计。</x:v>
      </x:c>
      <x:c r="P6" s="22" t="str">
        <x:v>IDL/配置 schema 有版本号、默认值、边界校验和错误码；状态/租约/ready 不满足时按 OOM/碎片/路径不可用时拒绝、降级下沉或重算；活动对象禁止迁移</x:v>
      </x:c>
      <x:c r="Q6" s="22" t="str">
        <x:v>配置样例、schema 校验、升级兼容测试和回退路径齐全；任何隐式 fallback 被移除；新增指标可关联 request_id/query_plan_id/object_id/path_id。</x:v>
      </x:c>
      <x:c r="R6" s="22" t="str">
        <x:v>ctest -R ExtentManifestConfig &amp;&amp; ./bin/kvcache_config_check --case=extent_manifest</x:v>
      </x:c>
      <x:c r="S6" s="22" t="str">
        <x:v>全局内存利用率提升至≥85%，跨级冷热数据迁移过程中的TPOT抖动 &lt; 5%。</x:v>
      </x:c>
      <x:c r="T6" s="22" t="str">
        <x:v>SR-01-01-01</x:v>
      </x:c>
      <x:c r="U6" s="22" t="str">
        <x:v>待认领</x:v>
      </x:c>
      <x:c r="V6" s="22" t="str"/>
      <x:c r="W6" s="22" t="str"/>
      <x:c r="X6" s="22" t="str">
        <x:f>IF(COUNTIF($A$5:$A$451,A6)=1,"PASS","FAIL")</x:f>
        <x:v>PASS</x:v>
      </x:c>
      <x:c r="Y6" s="22" t="str">
        <x:f>IF(COUNTIF('SR系统设计'!$A$5:$A$153,B6)+COUNTIF('追溯与覆盖'!$A$5:$A$153,C6)=2,"PASS","FAIL")</x:f>
        <x:v>PASS</x:v>
      </x:c>
    </x:row>
    <x:row r="7" ht="84" customHeight="1">
      <x:c r="A7" s="25" t="str">
        <x:v>AR-L3-MC-ExtentManifest-076-03</x:v>
      </x:c>
      <x:c r="B7" s="25" t="str">
        <x:v>SR-01-01-01</x:v>
      </x:c>
      <x:c r="C7" s="25" t="str">
        <x:v>L3-MC-ExtentManifest-076</x:v>
      </x:c>
      <x:c r="D7" s="25" t="str">
        <x:v>SF-01</x:v>
      </x:c>
      <x:c r="E7" s="25" t="str">
        <x:v>IR-01-01</x:v>
      </x:c>
      <x:c r="F7" s="22" t="str">
        <x:v>L3 传输管理层</x:v>
      </x:c>
      <x:c r="G7" s="22" t="str">
        <x:v>TM3</x:v>
      </x:c>
      <x:c r="H7" s="22" t="str">
        <x:v>统一存储池与分层管理</x:v>
      </x:c>
      <x:c r="I7" s="22" t="str">
        <x:v>P0</x:v>
      </x:c>
      <x:c r="J7" s="22" t="str">
        <x:v>P0</x:v>
      </x:c>
      <x:c r="K7" s="22" t="str">
        <x:v>验证与观测</x:v>
      </x:c>
      <x:c r="L7" s="22" t="str">
        <x:v>存储池/传输管理开发</x:v>
      </x:c>
      <x:c r="M7" s="22" t="str">
        <x:v>tests/pool/tiering/extent_manifest_test.cc + benchmarks/pool/tiering/extent_manifest_benchmark.cc</x:v>
      </x:c>
      <x:c r="N7" s="22" t="str">
        <x:v>ExtentManifestTest / ExtentManifestBenchmark</x:v>
      </x:c>
      <x:c r="O7" s="22" t="str">
        <x:v>新增正常、边界、并发、超时、stale metadata、迁移冲突、路径拥塞/故障与 feature-flag-off 用例；在 benchmark 中固定模型、tokenizer、prompt、并发、拓扑和 baseline，采集 lookup/load/attach、TTFT、TPOT、usable/abandoned hit、带宽/时延及 CPU/NPU 利用率。</x:v>
      </x:c>
      <x:c r="P7" s="22" t="str">
        <x:v>验收直接引用来源指标：“全局内存利用率提升至≥85%，跨级冷热数据迁移过程中的TPOT抖动 &lt; 5%。”；故障用例必须证明错误 KV 不被消费且 fallback reason 可追踪。</x:v>
      </x:c>
      <x:c r="Q7" s="22" t="str">
        <x:v>来源验收项全部自动化；性能报告包含 P50/P95/P99、置信区间与 baseline；失败门槛接入 CI；测试数据和命令可复现。</x:v>
      </x:c>
      <x:c r="R7" s="22" t="str">
        <x:v>./bin/kvcache_bench --case=extent_manifest --baseline=native --report=json</x:v>
      </x:c>
      <x:c r="S7" s="22" t="str">
        <x:v>全局内存利用率提升至≥85%，跨级冷热数据迁移过程中的TPOT抖动 &lt; 5%。</x:v>
      </x:c>
      <x:c r="T7" s="22" t="str">
        <x:v>SR-01-01-01</x:v>
      </x:c>
      <x:c r="U7" s="22" t="str">
        <x:v>待认领</x:v>
      </x:c>
      <x:c r="V7" s="22" t="str"/>
      <x:c r="W7" s="22" t="str"/>
      <x:c r="X7" s="22" t="str">
        <x:f>IF(COUNTIF($A$5:$A$451,A7)=1,"PASS","FAIL")</x:f>
        <x:v>PASS</x:v>
      </x:c>
      <x:c r="Y7" s="22" t="str">
        <x:f>IF(COUNTIF('SR系统设计'!$A$5:$A$153,B7)+COUNTIF('追溯与覆盖'!$A$5:$A$153,C7)=2,"PASS","FAIL")</x:f>
        <x:v>PASS</x:v>
      </x:c>
    </x:row>
    <x:row r="8" ht="84" customHeight="1">
      <x:c r="A8" s="25" t="str">
        <x:v>AR-L3-MC-KVBlockStorageSchema-075-01</x:v>
      </x:c>
      <x:c r="B8" s="25" t="str">
        <x:v>SR-01-01-02</x:v>
      </x:c>
      <x:c r="C8" s="25" t="str">
        <x:v>L3-MC-KVBlockStorageSchema-075</x:v>
      </x:c>
      <x:c r="D8" s="25" t="str">
        <x:v>SF-01</x:v>
      </x:c>
      <x:c r="E8" s="25" t="str">
        <x:v>IR-01-01</x:v>
      </x:c>
      <x:c r="F8" s="22" t="str">
        <x:v>L3 传输管理层</x:v>
      </x:c>
      <x:c r="G8" s="22" t="str">
        <x:v>TM3</x:v>
      </x:c>
      <x:c r="H8" s="22" t="str">
        <x:v>统一存储池与分层管理</x:v>
      </x:c>
      <x:c r="I8" s="22" t="str">
        <x:v>P0</x:v>
      </x:c>
      <x:c r="J8" s="22" t="str">
        <x:v>P0</x:v>
      </x:c>
      <x:c r="K8" s="22" t="str">
        <x:v>核心实现</x:v>
      </x:c>
      <x:c r="L8" s="22" t="str">
        <x:v>存储池/传输管理开发</x:v>
      </x:c>
      <x:c r="M8" s="22" t="str">
        <x:v>src/pool/tiering/kvblock_storage_schema.{h,cc}</x:v>
      </x:c>
      <x:c r="N8" s="22" t="str">
        <x:v>KVBlockStorageSchemaManager</x:v>
      </x:c>
      <x:c r="O8" s="22" t="str">
        <x:v>在 `src/pool/tiering/kvblock_storage_schema.{h,cc}` 新增或重写 `KVBlockStorageSchemaManager`，把“KV 块跨介质统一存储结构”落实为 L3 传输管理层 可调用主路径：本需求要求统一 KV 内存池定义 KV block/page 存储 schema，至少包含 model layout、layer range、head range、token range、rank slice、dtype、scale metadata、physical extent list、alignment、checksum 和 compression flag，使 HBM/DDR/SSD/远端节点中的 KV 具备统一可解释结构。 输入必须显式消费 KVAccessIntent + KVBlockSpec + tier telemetry，输出 KVObjectHandle + Placement + state transition，不得用全局单例或隐藏同步 I/O 绕开预算与状态机。</x:v>
      </x:c>
      <x:c r="P8" s="22" t="str">
        <x:v>实现 KVAccessIntent + KVBlockSpec + tier telemetry → KVObjectHandle + Placement + state transition；遵守 OOM/碎片/路径不可用时拒绝、降级下沉或重算；活动对象禁止迁移</x:v>
      </x:c>
      <x:c r="Q8" s="22" t="str">
        <x:v>核心算法与状态转换完成；新增代码单测分支覆盖≥85%；线程安全/所有权明确；关闭 feature flag 时行为与 baseline 一致。</x:v>
      </x:c>
      <x:c r="R8" s="22" t="str">
        <x:v>ctest -R KVBlockStorageSchema --output-on-failure</x:v>
      </x:c>
      <x:c r="S8" s="22" t="str">
        <x:v>节点动态加入/退出时的缓存失效控制在局部范围内（遵循一致性哈希比例）。</x:v>
      </x:c>
      <x:c r="T8" s="22" t="str">
        <x:v>SR-01-01-02</x:v>
      </x:c>
      <x:c r="U8" s="22" t="str">
        <x:v>待认领</x:v>
      </x:c>
      <x:c r="V8" s="22" t="str"/>
      <x:c r="W8" s="22" t="str"/>
      <x:c r="X8" s="22" t="str">
        <x:f>IF(COUNTIF($A$5:$A$451,A8)=1,"PASS","FAIL")</x:f>
        <x:v>PASS</x:v>
      </x:c>
      <x:c r="Y8" s="22" t="str">
        <x:f>IF(COUNTIF('SR系统设计'!$A$5:$A$153,B8)+COUNTIF('追溯与覆盖'!$A$5:$A$153,C8)=2,"PASS","FAIL")</x:f>
        <x:v>PASS</x:v>
      </x:c>
    </x:row>
    <x:row r="9" ht="84" customHeight="1">
      <x:c r="A9" s="25" t="str">
        <x:v>AR-L3-MC-KVBlockStorageSchema-075-02</x:v>
      </x:c>
      <x:c r="B9" s="25" t="str">
        <x:v>SR-01-01-02</x:v>
      </x:c>
      <x:c r="C9" s="25" t="str">
        <x:v>L3-MC-KVBlockStorageSchema-075</x:v>
      </x:c>
      <x:c r="D9" s="25" t="str">
        <x:v>SF-01</x:v>
      </x:c>
      <x:c r="E9" s="25" t="str">
        <x:v>IR-01-01</x:v>
      </x:c>
      <x:c r="F9" s="22" t="str">
        <x:v>L3 传输管理层</x:v>
      </x:c>
      <x:c r="G9" s="22" t="str">
        <x:v>TM3</x:v>
      </x:c>
      <x:c r="H9" s="22" t="str">
        <x:v>统一存储池与分层管理</x:v>
      </x:c>
      <x:c r="I9" s="22" t="str">
        <x:v>P0</x:v>
      </x:c>
      <x:c r="J9" s="22" t="str">
        <x:v>P0</x:v>
      </x:c>
      <x:c r="K9" s="22" t="str">
        <x:v>契约配置与降级</x:v>
      </x:c>
      <x:c r="L9" s="22" t="str">
        <x:v>存储池/传输管理开发</x:v>
      </x:c>
      <x:c r="M9" s="22" t="str">
        <x:v>api/kvcache/v1/kvblock_storage_schema.proto + config/runtime/kvblock_storage_schema.yaml</x:v>
      </x:c>
      <x:c r="N9" s="22" t="str">
        <x:v>KVBlockStorageSchemaOptions / kvcache.kvblock_storage_schema.enabled</x:v>
      </x:c>
      <x:c r="O9" s="22" t="str">
        <x:v>为 `KVBlockStorageSchemaOptions` 增加 `kvcache.kvblock_storage_schema.enabled`、deadline/容量/队列预算及版本字段；在调用点接入 typed error、decision_reason、fallback_reason，确保配置热更新、灰度关闭和向后兼容均可审计。</x:v>
      </x:c>
      <x:c r="P9" s="22" t="str">
        <x:v>IDL/配置 schema 有版本号、默认值、边界校验和错误码；状态/租约/ready 不满足时按 OOM/碎片/路径不可用时拒绝、降级下沉或重算；活动对象禁止迁移</x:v>
      </x:c>
      <x:c r="Q9" s="22" t="str">
        <x:v>配置样例、schema 校验、升级兼容测试和回退路径齐全；任何隐式 fallback 被移除；新增指标可关联 request_id/query_plan_id/object_id/path_id。</x:v>
      </x:c>
      <x:c r="R9" s="22" t="str">
        <x:v>ctest -R KVBlockStorageSchemaConfig &amp;&amp; ./bin/kvcache_config_check --case=kvblock_storage_schema</x:v>
      </x:c>
      <x:c r="S9" s="22" t="str">
        <x:v>节点动态加入/退出时的缓存失效控制在局部范围内（遵循一致性哈希比例）。</x:v>
      </x:c>
      <x:c r="T9" s="22" t="str">
        <x:v>SR-01-01-02</x:v>
      </x:c>
      <x:c r="U9" s="22" t="str">
        <x:v>待认领</x:v>
      </x:c>
      <x:c r="V9" s="22" t="str"/>
      <x:c r="W9" s="22" t="str"/>
      <x:c r="X9" s="22" t="str">
        <x:f>IF(COUNTIF($A$5:$A$451,A9)=1,"PASS","FAIL")</x:f>
        <x:v>PASS</x:v>
      </x:c>
      <x:c r="Y9" s="22" t="str">
        <x:f>IF(COUNTIF('SR系统设计'!$A$5:$A$153,B9)+COUNTIF('追溯与覆盖'!$A$5:$A$153,C9)=2,"PASS","FAIL")</x:f>
        <x:v>PASS</x:v>
      </x:c>
    </x:row>
    <x:row r="10" ht="84" customHeight="1">
      <x:c r="A10" s="25" t="str">
        <x:v>AR-L3-MC-KVBlockStorageSchema-075-03</x:v>
      </x:c>
      <x:c r="B10" s="25" t="str">
        <x:v>SR-01-01-02</x:v>
      </x:c>
      <x:c r="C10" s="25" t="str">
        <x:v>L3-MC-KVBlockStorageSchema-075</x:v>
      </x:c>
      <x:c r="D10" s="25" t="str">
        <x:v>SF-01</x:v>
      </x:c>
      <x:c r="E10" s="25" t="str">
        <x:v>IR-01-01</x:v>
      </x:c>
      <x:c r="F10" s="22" t="str">
        <x:v>L3 传输管理层</x:v>
      </x:c>
      <x:c r="G10" s="22" t="str">
        <x:v>TM3</x:v>
      </x:c>
      <x:c r="H10" s="22" t="str">
        <x:v>统一存储池与分层管理</x:v>
      </x:c>
      <x:c r="I10" s="22" t="str">
        <x:v>P0</x:v>
      </x:c>
      <x:c r="J10" s="22" t="str">
        <x:v>P0</x:v>
      </x:c>
      <x:c r="K10" s="22" t="str">
        <x:v>验证与观测</x:v>
      </x:c>
      <x:c r="L10" s="22" t="str">
        <x:v>存储池/传输管理开发</x:v>
      </x:c>
      <x:c r="M10" s="22" t="str">
        <x:v>tests/pool/tiering/kvblock_storage_schema_test.cc + benchmarks/pool/tiering/kvblock_storage_schema_benchmark.cc</x:v>
      </x:c>
      <x:c r="N10" s="22" t="str">
        <x:v>KVBlockStorageSchemaTest / KVBlockStorageSchemaBenchmark</x:v>
      </x:c>
      <x:c r="O10" s="22" t="str">
        <x:v>新增正常、边界、并发、超时、stale metadata、迁移冲突、路径拥塞/故障与 feature-flag-off 用例；在 benchmark 中固定模型、tokenizer、prompt、并发、拓扑和 baseline，采集 lookup/load/attach、TTFT、TPOT、usable/abandoned hit、带宽/时延及 CPU/NPU 利用率。</x:v>
      </x:c>
      <x:c r="P10" s="22" t="str">
        <x:v>验收直接引用来源指标：“节点动态加入/退出时的缓存失效控制在局部范围内（遵循一致性哈希比例）。”；故障用例必须证明错误 KV 不被消费且 fallback reason 可追踪。</x:v>
      </x:c>
      <x:c r="Q10" s="22" t="str">
        <x:v>来源验收项全部自动化；性能报告包含 P50/P95/P99、置信区间与 baseline；失败门槛接入 CI；测试数据和命令可复现。</x:v>
      </x:c>
      <x:c r="R10" s="22" t="str">
        <x:v>./bin/kvcache_bench --case=kvblock_storage_schema --baseline=native --report=json</x:v>
      </x:c>
      <x:c r="S10" s="22" t="str">
        <x:v>节点动态加入/退出时的缓存失效控制在局部范围内（遵循一致性哈希比例）。</x:v>
      </x:c>
      <x:c r="T10" s="22" t="str">
        <x:v>SR-01-01-02</x:v>
      </x:c>
      <x:c r="U10" s="22" t="str">
        <x:v>待认领</x:v>
      </x:c>
      <x:c r="V10" s="22" t="str"/>
      <x:c r="W10" s="22" t="str"/>
      <x:c r="X10" s="22" t="str">
        <x:f>IF(COUNTIF($A$5:$A$451,A10)=1,"PASS","FAIL")</x:f>
        <x:v>PASS</x:v>
      </x:c>
      <x:c r="Y10" s="22" t="str">
        <x:f>IF(COUNTIF('SR系统设计'!$A$5:$A$153,B10)+COUNTIF('追溯与覆盖'!$A$5:$A$153,C10)=2,"PASS","FAIL")</x:f>
        <x:v>PASS</x:v>
      </x:c>
    </x:row>
    <x:row r="11" ht="84" customHeight="1">
      <x:c r="A11" s="25" t="str">
        <x:v>AR-L3-MC-POOL-GLOBAL-001-01</x:v>
      </x:c>
      <x:c r="B11" s="25" t="str">
        <x:v>SR-01-01-03</x:v>
      </x:c>
      <x:c r="C11" s="25" t="str">
        <x:v>L3-MC-POOL-GLOBAL-001</x:v>
      </x:c>
      <x:c r="D11" s="25" t="str">
        <x:v>SF-01</x:v>
      </x:c>
      <x:c r="E11" s="25" t="str">
        <x:v>IR-01-01</x:v>
      </x:c>
      <x:c r="F11" s="22" t="str">
        <x:v>L3 传输管理层</x:v>
      </x:c>
      <x:c r="G11" s="22" t="str">
        <x:v>TM3</x:v>
      </x:c>
      <x:c r="H11" s="22" t="str">
        <x:v>统一存储池与分层管理</x:v>
      </x:c>
      <x:c r="I11" s="22" t="str">
        <x:v>P0</x:v>
      </x:c>
      <x:c r="J11" s="22" t="str">
        <x:v>P0</x:v>
      </x:c>
      <x:c r="K11" s="22" t="str">
        <x:v>核心实现</x:v>
      </x:c>
      <x:c r="L11" s="22" t="str">
        <x:v>存储池/传输管理开发</x:v>
      </x:c>
      <x:c r="M11" s="22" t="str">
        <x:v>src/pool/tiering/pool_global.{h,cc}</x:v>
      </x:c>
      <x:c r="N11" s="22" t="str">
        <x:v>POOLGLOBALManager</x:v>
      </x:c>
      <x:c r="O11" s="22" t="str">
        <x:v>在 `src/pool/tiering/pool_global.{h,cc}` 新增或重写 `POOLGLOBALManager`，把“集群KVCache统一管理”落实为 L3 传输管理层 可调用主路径：本需求要求实现Mooncake集群级统一KVCache内存池，维护全集群内存注册表，支持节点动态加入/退出，提供基于RDMA的跨节点KVCache直接读取路由，以及两级索引（本地 + 全局），将集群KVCache内存利用率提升至≥90%。 输入必须显式消费 KVAccessIntent + KVBlockSpec + tier telemetry，输出 KVObjectHandle + Placement + state transition，不得用全局单例或隐藏同步 I/O 绕开预算与状态机。</x:v>
      </x:c>
      <x:c r="P11" s="22" t="str">
        <x:v>实现 KVAccessIntent + KVBlockSpec + tier telemetry → KVObjectHandle + Placement + state transition；遵守 OOM/碎片/路径不可用时拒绝、降级下沉或重算；活动对象禁止迁移</x:v>
      </x:c>
      <x:c r="Q11" s="22" t="str">
        <x:v>核心算法与状态转换完成；新增代码单测分支覆盖≥85%；线程安全/所有权明确；关闭 feature flag 时行为与 baseline 一致。</x:v>
      </x:c>
      <x:c r="R11" s="22" t="str">
        <x:v>ctest -R POOLGLOBAL --output-on-failure</x:v>
      </x:c>
      <x:c r="S11" s="22" t="str">
        <x:v>同机架内本地及远端DDR命中率（Local Usable Hit Rate）提升≥30%。</x:v>
      </x:c>
      <x:c r="T11" s="22" t="str">
        <x:v>SR-01-01-03</x:v>
      </x:c>
      <x:c r="U11" s="22" t="str">
        <x:v>待认领</x:v>
      </x:c>
      <x:c r="V11" s="22" t="str"/>
      <x:c r="W11" s="22" t="str"/>
      <x:c r="X11" s="22" t="str">
        <x:f>IF(COUNTIF($A$5:$A$451,A11)=1,"PASS","FAIL")</x:f>
        <x:v>PASS</x:v>
      </x:c>
      <x:c r="Y11" s="22" t="str">
        <x:f>IF(COUNTIF('SR系统设计'!$A$5:$A$153,B11)+COUNTIF('追溯与覆盖'!$A$5:$A$153,C11)=2,"PASS","FAIL")</x:f>
        <x:v>PASS</x:v>
      </x:c>
    </x:row>
    <x:row r="12" ht="84" customHeight="1">
      <x:c r="A12" s="25" t="str">
        <x:v>AR-L3-MC-POOL-GLOBAL-001-02</x:v>
      </x:c>
      <x:c r="B12" s="25" t="str">
        <x:v>SR-01-01-03</x:v>
      </x:c>
      <x:c r="C12" s="25" t="str">
        <x:v>L3-MC-POOL-GLOBAL-001</x:v>
      </x:c>
      <x:c r="D12" s="25" t="str">
        <x:v>SF-01</x:v>
      </x:c>
      <x:c r="E12" s="25" t="str">
        <x:v>IR-01-01</x:v>
      </x:c>
      <x:c r="F12" s="22" t="str">
        <x:v>L3 传输管理层</x:v>
      </x:c>
      <x:c r="G12" s="22" t="str">
        <x:v>TM3</x:v>
      </x:c>
      <x:c r="H12" s="22" t="str">
        <x:v>统一存储池与分层管理</x:v>
      </x:c>
      <x:c r="I12" s="22" t="str">
        <x:v>P0</x:v>
      </x:c>
      <x:c r="J12" s="22" t="str">
        <x:v>P0</x:v>
      </x:c>
      <x:c r="K12" s="22" t="str">
        <x:v>契约配置与降级</x:v>
      </x:c>
      <x:c r="L12" s="22" t="str">
        <x:v>存储池/传输管理开发</x:v>
      </x:c>
      <x:c r="M12" s="22" t="str">
        <x:v>api/kvcache/v1/pool_global.proto + config/runtime/pool_global.yaml</x:v>
      </x:c>
      <x:c r="N12" s="22" t="str">
        <x:v>POOLGLOBALOptions / kvcache.pool_global.enabled</x:v>
      </x:c>
      <x:c r="O12" s="22" t="str">
        <x:v>为 `POOLGLOBALOptions` 增加 `kvcache.pool_global.enabled`、deadline/容量/队列预算及版本字段；在调用点接入 typed error、decision_reason、fallback_reason，确保配置热更新、灰度关闭和向后兼容均可审计。</x:v>
      </x:c>
      <x:c r="P12" s="22" t="str">
        <x:v>IDL/配置 schema 有版本号、默认值、边界校验和错误码；状态/租约/ready 不满足时按 OOM/碎片/路径不可用时拒绝、降级下沉或重算；活动对象禁止迁移</x:v>
      </x:c>
      <x:c r="Q12" s="22" t="str">
        <x:v>配置样例、schema 校验、升级兼容测试和回退路径齐全；任何隐式 fallback 被移除；新增指标可关联 request_id/query_plan_id/object_id/path_id。</x:v>
      </x:c>
      <x:c r="R12" s="22" t="str">
        <x:v>ctest -R POOLGLOBALConfig &amp;&amp; ./bin/kvcache_config_check --case=pool_global</x:v>
      </x:c>
      <x:c r="S12" s="22" t="str">
        <x:v>同机架内本地及远端DDR命中率（Local Usable Hit Rate）提升≥30%。</x:v>
      </x:c>
      <x:c r="T12" s="22" t="str">
        <x:v>SR-01-01-03</x:v>
      </x:c>
      <x:c r="U12" s="22" t="str">
        <x:v>待认领</x:v>
      </x:c>
      <x:c r="V12" s="22" t="str"/>
      <x:c r="W12" s="22" t="str"/>
      <x:c r="X12" s="22" t="str">
        <x:f>IF(COUNTIF($A$5:$A$451,A12)=1,"PASS","FAIL")</x:f>
        <x:v>PASS</x:v>
      </x:c>
      <x:c r="Y12" s="22" t="str">
        <x:f>IF(COUNTIF('SR系统设计'!$A$5:$A$153,B12)+COUNTIF('追溯与覆盖'!$A$5:$A$153,C12)=2,"PASS","FAIL")</x:f>
        <x:v>PASS</x:v>
      </x:c>
    </x:row>
    <x:row r="13" ht="84" customHeight="1">
      <x:c r="A13" s="25" t="str">
        <x:v>AR-L3-MC-POOL-GLOBAL-001-03</x:v>
      </x:c>
      <x:c r="B13" s="25" t="str">
        <x:v>SR-01-01-03</x:v>
      </x:c>
      <x:c r="C13" s="25" t="str">
        <x:v>L3-MC-POOL-GLOBAL-001</x:v>
      </x:c>
      <x:c r="D13" s="25" t="str">
        <x:v>SF-01</x:v>
      </x:c>
      <x:c r="E13" s="25" t="str">
        <x:v>IR-01-01</x:v>
      </x:c>
      <x:c r="F13" s="22" t="str">
        <x:v>L3 传输管理层</x:v>
      </x:c>
      <x:c r="G13" s="22" t="str">
        <x:v>TM3</x:v>
      </x:c>
      <x:c r="H13" s="22" t="str">
        <x:v>统一存储池与分层管理</x:v>
      </x:c>
      <x:c r="I13" s="22" t="str">
        <x:v>P0</x:v>
      </x:c>
      <x:c r="J13" s="22" t="str">
        <x:v>P0</x:v>
      </x:c>
      <x:c r="K13" s="22" t="str">
        <x:v>验证与观测</x:v>
      </x:c>
      <x:c r="L13" s="22" t="str">
        <x:v>存储池/传输管理开发</x:v>
      </x:c>
      <x:c r="M13" s="22" t="str">
        <x:v>tests/pool/tiering/pool_global_test.cc + benchmarks/pool/tiering/pool_global_benchmark.cc</x:v>
      </x:c>
      <x:c r="N13" s="22" t="str">
        <x:v>POOLGLOBALTest / POOLGLOBALBenchmark</x:v>
      </x:c>
      <x:c r="O13" s="22" t="str">
        <x:v>新增正常、边界、并发、超时、stale metadata、迁移冲突、路径拥塞/故障与 feature-flag-off 用例；在 benchmark 中固定模型、tokenizer、prompt、并发、拓扑和 baseline，采集 lookup/load/attach、TTFT、TPOT、usable/abandoned hit、带宽/时延及 CPU/NPU 利用率。</x:v>
      </x:c>
      <x:c r="P13" s="22" t="str">
        <x:v>验收直接引用来源指标：“同机架内本地及远端DDR命中率（Local Usable Hit Rate）提升≥30%。”；故障用例必须证明错误 KV 不被消费且 fallback reason 可追踪。</x:v>
      </x:c>
      <x:c r="Q13" s="22" t="str">
        <x:v>来源验收项全部自动化；性能报告包含 P50/P95/P99、置信区间与 baseline；失败门槛接入 CI；测试数据和命令可复现。</x:v>
      </x:c>
      <x:c r="R13" s="22" t="str">
        <x:v>./bin/kvcache_bench --case=pool_global --baseline=native --report=json</x:v>
      </x:c>
      <x:c r="S13" s="22" t="str">
        <x:v>同机架内本地及远端DDR命中率（Local Usable Hit Rate）提升≥30%。</x:v>
      </x:c>
      <x:c r="T13" s="22" t="str">
        <x:v>SR-01-01-03</x:v>
      </x:c>
      <x:c r="U13" s="22" t="str">
        <x:v>待认领</x:v>
      </x:c>
      <x:c r="V13" s="22" t="str"/>
      <x:c r="W13" s="22" t="str"/>
      <x:c r="X13" s="22" t="str">
        <x:f>IF(COUNTIF($A$5:$A$451,A13)=1,"PASS","FAIL")</x:f>
        <x:v>PASS</x:v>
      </x:c>
      <x:c r="Y13" s="22" t="str">
        <x:f>IF(COUNTIF('SR系统设计'!$A$5:$A$153,B13)+COUNTIF('追溯与覆盖'!$A$5:$A$153,C13)=2,"PASS","FAIL")</x:f>
        <x:v>PASS</x:v>
      </x:c>
    </x:row>
    <x:row r="14" ht="84" customHeight="1">
      <x:c r="A14" s="25" t="str">
        <x:v>AR-L3-MS-KVObjectStateMachine-058-01</x:v>
      </x:c>
      <x:c r="B14" s="25" t="str">
        <x:v>SR-01-01-04</x:v>
      </x:c>
      <x:c r="C14" s="25" t="str">
        <x:v>L3-MS-KVObjectStateMachine-058</x:v>
      </x:c>
      <x:c r="D14" s="25" t="str">
        <x:v>SF-01</x:v>
      </x:c>
      <x:c r="E14" s="25" t="str">
        <x:v>IR-01-01</x:v>
      </x:c>
      <x:c r="F14" s="22" t="str">
        <x:v>L3 传输管理层</x:v>
      </x:c>
      <x:c r="G14" s="22" t="str">
        <x:v>TM3</x:v>
      </x:c>
      <x:c r="H14" s="22" t="str">
        <x:v>统一存储池与分层管理</x:v>
      </x:c>
      <x:c r="I14" s="22" t="str">
        <x:v>P0</x:v>
      </x:c>
      <x:c r="J14" s="22" t="str">
        <x:v>P0</x:v>
      </x:c>
      <x:c r="K14" s="22" t="str">
        <x:v>核心实现</x:v>
      </x:c>
      <x:c r="L14" s="22" t="str">
        <x:v>存储池/传输管理开发</x:v>
      </x:c>
      <x:c r="M14" s="22" t="str">
        <x:v>src/pool/tiering/kvobject_state_machine.{h,cc}</x:v>
      </x:c>
      <x:c r="N14" s="22" t="str">
        <x:v>KVObjectStateMachineManager</x:v>
      </x:c>
      <x:c r="O14" s="22" t="str">
        <x:v>在 `src/pool/tiering/kvobject_state_machine.{h,cc}` 新增或重写 `KVObjectStateMachineManager`，把“KV 全生命周期状态一致性管理”落实为 L3 传输管理层 可调用主路径：本需求要求统一 KV 内存池为每个 KV object 建立显式对象状态机，至少覆盖 INIT、WRITING、COMMITTED、READY、ACTIVE_ATTACHED、PREFETCHING、LOADING、MIGRATING、COMPACTING、EVICTING、TOMBSTONE、FAILED、QUARANTINED 状态； 输入必须显式消费 KVAccessIntent + KVBlockSpec + tier telemetry，输出 KVObjectHandle + Placement + state transition，不得用全局单例或隐藏同步 I/O 绕开预算与状态机。</x:v>
      </x:c>
      <x:c r="P14" s="22" t="str">
        <x:v>实现 KVAccessIntent + KVBlockSpec + tier telemetry → KVObjectHandle + Placement + state transition；遵守 OOM/碎片/路径不可用时拒绝、降级下沉或重算；活动对象禁止迁移</x:v>
      </x:c>
      <x:c r="Q14" s="22" t="str">
        <x:v>核心算法与状态转换完成；新增代码单测分支覆盖≥85%；线程安全/所有权明确；关闭 feature flag 时行为与 baseline 一致。</x:v>
      </x:c>
      <x:c r="R14" s="22" t="str">
        <x:v>ctest -R KVObjectStateMachine --output-on-failure</x:v>
      </x:c>
      <x:c r="S14" s="22" t="str">
        <x:v>KV 对象状态机能准确防范半写入或悬空内存泄漏，状态机流转清晰，覆盖所有关键物理介质迁移状态。</x:v>
      </x:c>
      <x:c r="T14" s="22" t="str">
        <x:v>SR-01-01-04</x:v>
      </x:c>
      <x:c r="U14" s="22" t="str">
        <x:v>待认领</x:v>
      </x:c>
      <x:c r="V14" s="22" t="str"/>
      <x:c r="W14" s="22" t="str"/>
      <x:c r="X14" s="22" t="str">
        <x:f>IF(COUNTIF($A$5:$A$451,A14)=1,"PASS","FAIL")</x:f>
        <x:v>PASS</x:v>
      </x:c>
      <x:c r="Y14" s="22" t="str">
        <x:f>IF(COUNTIF('SR系统设计'!$A$5:$A$153,B14)+COUNTIF('追溯与覆盖'!$A$5:$A$153,C14)=2,"PASS","FAIL")</x:f>
        <x:v>PASS</x:v>
      </x:c>
    </x:row>
    <x:row r="15" ht="84" customHeight="1">
      <x:c r="A15" s="25" t="str">
        <x:v>AR-L3-MS-KVObjectStateMachine-058-02</x:v>
      </x:c>
      <x:c r="B15" s="25" t="str">
        <x:v>SR-01-01-04</x:v>
      </x:c>
      <x:c r="C15" s="25" t="str">
        <x:v>L3-MS-KVObjectStateMachine-058</x:v>
      </x:c>
      <x:c r="D15" s="25" t="str">
        <x:v>SF-01</x:v>
      </x:c>
      <x:c r="E15" s="25" t="str">
        <x:v>IR-01-01</x:v>
      </x:c>
      <x:c r="F15" s="22" t="str">
        <x:v>L3 传输管理层</x:v>
      </x:c>
      <x:c r="G15" s="22" t="str">
        <x:v>TM3</x:v>
      </x:c>
      <x:c r="H15" s="22" t="str">
        <x:v>统一存储池与分层管理</x:v>
      </x:c>
      <x:c r="I15" s="22" t="str">
        <x:v>P0</x:v>
      </x:c>
      <x:c r="J15" s="22" t="str">
        <x:v>P0</x:v>
      </x:c>
      <x:c r="K15" s="22" t="str">
        <x:v>契约配置与降级</x:v>
      </x:c>
      <x:c r="L15" s="22" t="str">
        <x:v>存储池/传输管理开发</x:v>
      </x:c>
      <x:c r="M15" s="22" t="str">
        <x:v>api/kvcache/v1/kvobject_state_machine.proto + config/runtime/kvobject_state_machine.yaml</x:v>
      </x:c>
      <x:c r="N15" s="22" t="str">
        <x:v>KVObjectStateMachineOptions / kvcache.kvobject_state_machine.enabled</x:v>
      </x:c>
      <x:c r="O15" s="22" t="str">
        <x:v>为 `KVObjectStateMachineOptions` 增加 `kvcache.kvobject_state_machine.enabled`、deadline/容量/队列预算及版本字段；在调用点接入 typed error、decision_reason、fallback_reason，确保配置热更新、灰度关闭和向后兼容均可审计。</x:v>
      </x:c>
      <x:c r="P15" s="22" t="str">
        <x:v>IDL/配置 schema 有版本号、默认值、边界校验和错误码；状态/租约/ready 不满足时按 OOM/碎片/路径不可用时拒绝、降级下沉或重算；活动对象禁止迁移</x:v>
      </x:c>
      <x:c r="Q15" s="22" t="str">
        <x:v>配置样例、schema 校验、升级兼容测试和回退路径齐全；任何隐式 fallback 被移除；新增指标可关联 request_id/query_plan_id/object_id/path_id。</x:v>
      </x:c>
      <x:c r="R15" s="22" t="str">
        <x:v>ctest -R KVObjectStateMachineConfig &amp;&amp; ./bin/kvcache_config_check --case=kvobject_state_machine</x:v>
      </x:c>
      <x:c r="S15" s="22" t="str">
        <x:v>KV 对象状态机能准确防范半写入或悬空内存泄漏，状态机流转清晰，覆盖所有关键物理介质迁移状态。</x:v>
      </x:c>
      <x:c r="T15" s="22" t="str">
        <x:v>SR-01-01-04</x:v>
      </x:c>
      <x:c r="U15" s="22" t="str">
        <x:v>待认领</x:v>
      </x:c>
      <x:c r="V15" s="22" t="str"/>
      <x:c r="W15" s="22" t="str"/>
      <x:c r="X15" s="22" t="str">
        <x:f>IF(COUNTIF($A$5:$A$451,A15)=1,"PASS","FAIL")</x:f>
        <x:v>PASS</x:v>
      </x:c>
      <x:c r="Y15" s="22" t="str">
        <x:f>IF(COUNTIF('SR系统设计'!$A$5:$A$153,B15)+COUNTIF('追溯与覆盖'!$A$5:$A$153,C15)=2,"PASS","FAIL")</x:f>
        <x:v>PASS</x:v>
      </x:c>
    </x:row>
    <x:row r="16" ht="84" customHeight="1">
      <x:c r="A16" s="25" t="str">
        <x:v>AR-L3-MS-KVObjectStateMachine-058-03</x:v>
      </x:c>
      <x:c r="B16" s="25" t="str">
        <x:v>SR-01-01-04</x:v>
      </x:c>
      <x:c r="C16" s="25" t="str">
        <x:v>L3-MS-KVObjectStateMachine-058</x:v>
      </x:c>
      <x:c r="D16" s="25" t="str">
        <x:v>SF-01</x:v>
      </x:c>
      <x:c r="E16" s="25" t="str">
        <x:v>IR-01-01</x:v>
      </x:c>
      <x:c r="F16" s="22" t="str">
        <x:v>L3 传输管理层</x:v>
      </x:c>
      <x:c r="G16" s="22" t="str">
        <x:v>TM3</x:v>
      </x:c>
      <x:c r="H16" s="22" t="str">
        <x:v>统一存储池与分层管理</x:v>
      </x:c>
      <x:c r="I16" s="22" t="str">
        <x:v>P0</x:v>
      </x:c>
      <x:c r="J16" s="22" t="str">
        <x:v>P0</x:v>
      </x:c>
      <x:c r="K16" s="22" t="str">
        <x:v>验证与观测</x:v>
      </x:c>
      <x:c r="L16" s="22" t="str">
        <x:v>存储池/传输管理开发</x:v>
      </x:c>
      <x:c r="M16" s="22" t="str">
        <x:v>tests/pool/tiering/kvobject_state_machine_test.cc + benchmarks/pool/tiering/kvobject_state_machine_benchmark.cc</x:v>
      </x:c>
      <x:c r="N16" s="22" t="str">
        <x:v>KVObjectStateMachineTest / KVObjectStateMachineBenchmark</x:v>
      </x:c>
      <x:c r="O16" s="22" t="str">
        <x:v>新增正常、边界、并发、超时、stale metadata、迁移冲突、路径拥塞/故障与 feature-flag-off 用例；在 benchmark 中固定模型、tokenizer、prompt、并发、拓扑和 baseline，采集 lookup/load/attach、TTFT、TPOT、usable/abandoned hit、带宽/时延及 CPU/NPU 利用率。</x:v>
      </x:c>
      <x:c r="P16" s="22" t="str">
        <x:v>验收直接引用来源指标：“KV 对象状态机能准确防范半写入或悬空内存泄漏，状态机流转清晰，覆盖所有关键物理介质迁移状态。”；故障用例必须证明错误 KV 不被消费且 fallback reason 可追踪。</x:v>
      </x:c>
      <x:c r="Q16" s="22" t="str">
        <x:v>来源验收项全部自动化；性能报告包含 P50/P95/P99、置信区间与 baseline；失败门槛接入 CI；测试数据和命令可复现。</x:v>
      </x:c>
      <x:c r="R16" s="22" t="str">
        <x:v>./bin/kvcache_bench --case=kvobject_state_machine --baseline=native --report=json</x:v>
      </x:c>
      <x:c r="S16" s="22" t="str">
        <x:v>KV 对象状态机能准确防范半写入或悬空内存泄漏，状态机流转清晰，覆盖所有关键物理介质迁移状态。</x:v>
      </x:c>
      <x:c r="T16" s="22" t="str">
        <x:v>SR-01-01-04</x:v>
      </x:c>
      <x:c r="U16" s="22" t="str">
        <x:v>待认领</x:v>
      </x:c>
      <x:c r="V16" s="22" t="str"/>
      <x:c r="W16" s="22" t="str"/>
      <x:c r="X16" s="22" t="str">
        <x:f>IF(COUNTIF($A$5:$A$451,A16)=1,"PASS","FAIL")</x:f>
        <x:v>PASS</x:v>
      </x:c>
      <x:c r="Y16" s="22" t="str">
        <x:f>IF(COUNTIF('SR系统设计'!$A$5:$A$153,B16)+COUNTIF('追溯与覆盖'!$A$5:$A$153,C16)=2,"PASS","FAIL")</x:f>
        <x:v>PASS</x:v>
      </x:c>
    </x:row>
    <x:row r="17" ht="84" customHeight="1">
      <x:c r="A17" s="25" t="str">
        <x:v>AR-L3-MS-MigrationInterlock-062-01</x:v>
      </x:c>
      <x:c r="B17" s="25" t="str">
        <x:v>SR-01-01-05</x:v>
      </x:c>
      <x:c r="C17" s="25" t="str">
        <x:v>L3-MS-MigrationInterlock-062</x:v>
      </x:c>
      <x:c r="D17" s="25" t="str">
        <x:v>SF-01</x:v>
      </x:c>
      <x:c r="E17" s="25" t="str">
        <x:v>IR-01-01</x:v>
      </x:c>
      <x:c r="F17" s="22" t="str">
        <x:v>L3 传输管理层</x:v>
      </x:c>
      <x:c r="G17" s="22" t="str">
        <x:v>TM3</x:v>
      </x:c>
      <x:c r="H17" s="22" t="str">
        <x:v>统一存储池与分层管理</x:v>
      </x:c>
      <x:c r="I17" s="22" t="str">
        <x:v>P0</x:v>
      </x:c>
      <x:c r="J17" s="22" t="str">
        <x:v>P0</x:v>
      </x:c>
      <x:c r="K17" s="22" t="str">
        <x:v>核心实现</x:v>
      </x:c>
      <x:c r="L17" s="22" t="str">
        <x:v>存储池/传输管理开发</x:v>
      </x:c>
      <x:c r="M17" s="22" t="str">
        <x:v>src/pool/tiering/migration_interlock.{h,cc}</x:v>
      </x:c>
      <x:c r="N17" s="22" t="str">
        <x:v>MigrationInterlockManager</x:v>
      </x:c>
      <x:c r="O17" s="22" t="str">
        <x:v>在 `src/pool/tiering/migration_interlock.{h,cc}` 新增或重写 `MigrationInterlockManager`，把“KV 升降级/碎片整理期间的安全消费”落实为 L3 传输管理层 可调用主路径：本需求要求在 KV 正处于 MIGRATING、COMPACTING、EVICTING 等状态时提供访问互锁机制：若已有 active lease，则延迟迁移或执行 copy-on-migrate； 输入必须显式消费 KVAccessIntent + KVBlockSpec + tier telemetry，输出 KVObjectHandle + Placement + state transition，不得用全局单例或隐藏同步 I/O 绕开预算与状态机。</x:v>
      </x:c>
      <x:c r="P17" s="22" t="str">
        <x:v>实现 KVAccessIntent + KVBlockSpec + tier telemetry → KVObjectHandle + Placement + state transition；遵守 OOM/碎片/路径不可用时拒绝、降级下沉或重算；活动对象禁止迁移</x:v>
      </x:c>
      <x:c r="Q17" s="22" t="str">
        <x:v>核心算法与状态转换完成；新增代码单测分支覆盖≥85%；线程安全/所有权明确；关闭 feature flag 时行为与 baseline 一致。</x:v>
      </x:c>
      <x:c r="R17" s="22" t="str">
        <x:v>ctest -R MigrationInterlock --output-on-failure</x:v>
      </x:c>
      <x:c r="S17" s="22" t="str">
        <x:v>节点动态加入/退出时的缓存失效控制在局部范围内（遵循一致性哈希比例）。</x:v>
      </x:c>
      <x:c r="T17" s="22" t="str">
        <x:v>SR-01-01-05</x:v>
      </x:c>
      <x:c r="U17" s="22" t="str">
        <x:v>待认领</x:v>
      </x:c>
      <x:c r="V17" s="22" t="str"/>
      <x:c r="W17" s="22" t="str"/>
      <x:c r="X17" s="22" t="str">
        <x:f>IF(COUNTIF($A$5:$A$451,A17)=1,"PASS","FAIL")</x:f>
        <x:v>PASS</x:v>
      </x:c>
      <x:c r="Y17" s="22" t="str">
        <x:f>IF(COUNTIF('SR系统设计'!$A$5:$A$153,B17)+COUNTIF('追溯与覆盖'!$A$5:$A$153,C17)=2,"PASS","FAIL")</x:f>
        <x:v>PASS</x:v>
      </x:c>
    </x:row>
    <x:row r="18" ht="84" customHeight="1">
      <x:c r="A18" s="25" t="str">
        <x:v>AR-L3-MS-MigrationInterlock-062-02</x:v>
      </x:c>
      <x:c r="B18" s="25" t="str">
        <x:v>SR-01-01-05</x:v>
      </x:c>
      <x:c r="C18" s="25" t="str">
        <x:v>L3-MS-MigrationInterlock-062</x:v>
      </x:c>
      <x:c r="D18" s="25" t="str">
        <x:v>SF-01</x:v>
      </x:c>
      <x:c r="E18" s="25" t="str">
        <x:v>IR-01-01</x:v>
      </x:c>
      <x:c r="F18" s="22" t="str">
        <x:v>L3 传输管理层</x:v>
      </x:c>
      <x:c r="G18" s="22" t="str">
        <x:v>TM3</x:v>
      </x:c>
      <x:c r="H18" s="22" t="str">
        <x:v>统一存储池与分层管理</x:v>
      </x:c>
      <x:c r="I18" s="22" t="str">
        <x:v>P0</x:v>
      </x:c>
      <x:c r="J18" s="22" t="str">
        <x:v>P0</x:v>
      </x:c>
      <x:c r="K18" s="22" t="str">
        <x:v>契约配置与降级</x:v>
      </x:c>
      <x:c r="L18" s="22" t="str">
        <x:v>存储池/传输管理开发</x:v>
      </x:c>
      <x:c r="M18" s="22" t="str">
        <x:v>api/kvcache/v1/migration_interlock.proto + config/runtime/migration_interlock.yaml</x:v>
      </x:c>
      <x:c r="N18" s="22" t="str">
        <x:v>MigrationInterlockOptions / kvcache.migration_interlock.enabled</x:v>
      </x:c>
      <x:c r="O18" s="22" t="str">
        <x:v>为 `MigrationInterlockOptions` 增加 `kvcache.migration_interlock.enabled`、deadline/容量/队列预算及版本字段；在调用点接入 typed error、decision_reason、fallback_reason，确保配置热更新、灰度关闭和向后兼容均可审计。</x:v>
      </x:c>
      <x:c r="P18" s="22" t="str">
        <x:v>IDL/配置 schema 有版本号、默认值、边界校验和错误码；状态/租约/ready 不满足时按 OOM/碎片/路径不可用时拒绝、降级下沉或重算；活动对象禁止迁移</x:v>
      </x:c>
      <x:c r="Q18" s="22" t="str">
        <x:v>配置样例、schema 校验、升级兼容测试和回退路径齐全；任何隐式 fallback 被移除；新增指标可关联 request_id/query_plan_id/object_id/path_id。</x:v>
      </x:c>
      <x:c r="R18" s="22" t="str">
        <x:v>ctest -R MigrationInterlockConfig &amp;&amp; ./bin/kvcache_config_check --case=migration_interlock</x:v>
      </x:c>
      <x:c r="S18" s="22" t="str">
        <x:v>节点动态加入/退出时的缓存失效控制在局部范围内（遵循一致性哈希比例）。</x:v>
      </x:c>
      <x:c r="T18" s="22" t="str">
        <x:v>SR-01-01-05</x:v>
      </x:c>
      <x:c r="U18" s="22" t="str">
        <x:v>待认领</x:v>
      </x:c>
      <x:c r="V18" s="22" t="str"/>
      <x:c r="W18" s="22" t="str"/>
      <x:c r="X18" s="22" t="str">
        <x:f>IF(COUNTIF($A$5:$A$451,A18)=1,"PASS","FAIL")</x:f>
        <x:v>PASS</x:v>
      </x:c>
      <x:c r="Y18" s="22" t="str">
        <x:f>IF(COUNTIF('SR系统设计'!$A$5:$A$153,B18)+COUNTIF('追溯与覆盖'!$A$5:$A$153,C18)=2,"PASS","FAIL")</x:f>
        <x:v>PASS</x:v>
      </x:c>
    </x:row>
    <x:row r="19" ht="84" customHeight="1">
      <x:c r="A19" s="25" t="str">
        <x:v>AR-L3-MS-MigrationInterlock-062-03</x:v>
      </x:c>
      <x:c r="B19" s="25" t="str">
        <x:v>SR-01-01-05</x:v>
      </x:c>
      <x:c r="C19" s="25" t="str">
        <x:v>L3-MS-MigrationInterlock-062</x:v>
      </x:c>
      <x:c r="D19" s="25" t="str">
        <x:v>SF-01</x:v>
      </x:c>
      <x:c r="E19" s="25" t="str">
        <x:v>IR-01-01</x:v>
      </x:c>
      <x:c r="F19" s="22" t="str">
        <x:v>L3 传输管理层</x:v>
      </x:c>
      <x:c r="G19" s="22" t="str">
        <x:v>TM3</x:v>
      </x:c>
      <x:c r="H19" s="22" t="str">
        <x:v>统一存储池与分层管理</x:v>
      </x:c>
      <x:c r="I19" s="22" t="str">
        <x:v>P0</x:v>
      </x:c>
      <x:c r="J19" s="22" t="str">
        <x:v>P0</x:v>
      </x:c>
      <x:c r="K19" s="22" t="str">
        <x:v>验证与观测</x:v>
      </x:c>
      <x:c r="L19" s="22" t="str">
        <x:v>存储池/传输管理开发</x:v>
      </x:c>
      <x:c r="M19" s="22" t="str">
        <x:v>tests/pool/tiering/migration_interlock_test.cc + benchmarks/pool/tiering/migration_interlock_benchmark.cc</x:v>
      </x:c>
      <x:c r="N19" s="22" t="str">
        <x:v>MigrationInterlockTest / MigrationInterlockBenchmark</x:v>
      </x:c>
      <x:c r="O19" s="22" t="str">
        <x:v>新增正常、边界、并发、超时、stale metadata、迁移冲突、路径拥塞/故障与 feature-flag-off 用例；在 benchmark 中固定模型、tokenizer、prompt、并发、拓扑和 baseline，采集 lookup/load/attach、TTFT、TPOT、usable/abandoned hit、带宽/时延及 CPU/NPU 利用率。</x:v>
      </x:c>
      <x:c r="P19" s="22" t="str">
        <x:v>验收直接引用来源指标：“节点动态加入/退出时的缓存失效控制在局部范围内（遵循一致性哈希比例）。”；故障用例必须证明错误 KV 不被消费且 fallback reason 可追踪。</x:v>
      </x:c>
      <x:c r="Q19" s="22" t="str">
        <x:v>来源验收项全部自动化；性能报告包含 P50/P95/P99、置信区间与 baseline；失败门槛接入 CI；测试数据和命令可复现。</x:v>
      </x:c>
      <x:c r="R19" s="22" t="str">
        <x:v>./bin/kvcache_bench --case=migration_interlock --baseline=native --report=json</x:v>
      </x:c>
      <x:c r="S19" s="22" t="str">
        <x:v>节点动态加入/退出时的缓存失效控制在局部范围内（遵循一致性哈希比例）。</x:v>
      </x:c>
      <x:c r="T19" s="22" t="str">
        <x:v>SR-01-01-05</x:v>
      </x:c>
      <x:c r="U19" s="22" t="str">
        <x:v>待认领</x:v>
      </x:c>
      <x:c r="V19" s="22" t="str"/>
      <x:c r="W19" s="22" t="str"/>
      <x:c r="X19" s="22" t="str">
        <x:f>IF(COUNTIF($A$5:$A$451,A19)=1,"PASS","FAIL")</x:f>
        <x:v>PASS</x:v>
      </x:c>
      <x:c r="Y19" s="22" t="str">
        <x:f>IF(COUNTIF('SR系统设计'!$A$5:$A$153,B19)+COUNTIF('追溯与覆盖'!$A$5:$A$153,C19)=2,"PASS","FAIL")</x:f>
        <x:v>PASS</x:v>
      </x:c>
    </x:row>
    <x:row r="20" ht="84" customHeight="1">
      <x:c r="A20" s="25" t="str">
        <x:v>AR-L3-MS-StateAwareEviction-082-01</x:v>
      </x:c>
      <x:c r="B20" s="25" t="str">
        <x:v>SR-01-01-06</x:v>
      </x:c>
      <x:c r="C20" s="25" t="str">
        <x:v>L3-MS-StateAwareEviction-082</x:v>
      </x:c>
      <x:c r="D20" s="25" t="str">
        <x:v>SF-01</x:v>
      </x:c>
      <x:c r="E20" s="25" t="str">
        <x:v>IR-01-01</x:v>
      </x:c>
      <x:c r="F20" s="22" t="str">
        <x:v>L3 传输管理层</x:v>
      </x:c>
      <x:c r="G20" s="22" t="str">
        <x:v>TM3</x:v>
      </x:c>
      <x:c r="H20" s="22" t="str">
        <x:v>统一存储池与分层管理</x:v>
      </x:c>
      <x:c r="I20" s="22" t="str">
        <x:v>P0</x:v>
      </x:c>
      <x:c r="J20" s="22" t="str">
        <x:v>P0</x:v>
      </x:c>
      <x:c r="K20" s="22" t="str">
        <x:v>核心实现</x:v>
      </x:c>
      <x:c r="L20" s="22" t="str">
        <x:v>存储池/传输管理开发</x:v>
      </x:c>
      <x:c r="M20" s="22" t="str">
        <x:v>src/pool/tiering/state_aware_eviction.{h,cc}</x:v>
      </x:c>
      <x:c r="N20" s="22" t="str">
        <x:v>StateAwareEvictionManager</x:v>
      </x:c>
      <x:c r="O20" s="22" t="str">
        <x:v>在 `src/pool/tiering/state_aware_eviction.{h,cc}` 新增或重写 `StateAwareEvictionManager`，把“防止活跃 KV 被误淘汰”落实为 L3 传输管理层 可调用主路径：本需求要求淘汰/降级决策必须检查 active lease、refcount、ready bitmap、replica count 和 tombstone 状态； 输入必须显式消费 KVAccessIntent + KVBlockSpec + tier telemetry，输出 KVObjectHandle + Placement + state transition，不得用全局单例或隐藏同步 I/O 绕开预算与状态机。</x:v>
      </x:c>
      <x:c r="P20" s="22" t="str">
        <x:v>实现 KVAccessIntent + KVBlockSpec + tier telemetry → KVObjectHandle + Placement + state transition；遵守 OOM/碎片/路径不可用时拒绝、降级下沉或重算；活动对象禁止迁移</x:v>
      </x:c>
      <x:c r="Q20" s="22" t="str">
        <x:v>核心算法与状态转换完成；新增代码单测分支覆盖≥85%；线程安全/所有权明确；关闭 feature flag 时行为与 baseline 一致。</x:v>
      </x:c>
      <x:c r="R20" s="22" t="str">
        <x:v>ctest -R StateAwareEviction --output-on-failure</x:v>
      </x:c>
      <x:c r="S20" s="22" t="str">
        <x:v>节点动态加入/退出时的缓存失效控制在局部范围内（遵循一致性哈希比例）。</x:v>
      </x:c>
      <x:c r="T20" s="22" t="str">
        <x:v>SR-01-01-06</x:v>
      </x:c>
      <x:c r="U20" s="22" t="str">
        <x:v>待认领</x:v>
      </x:c>
      <x:c r="V20" s="22" t="str"/>
      <x:c r="W20" s="22" t="str"/>
      <x:c r="X20" s="22" t="str">
        <x:f>IF(COUNTIF($A$5:$A$451,A20)=1,"PASS","FAIL")</x:f>
        <x:v>PASS</x:v>
      </x:c>
      <x:c r="Y20" s="22" t="str">
        <x:f>IF(COUNTIF('SR系统设计'!$A$5:$A$153,B20)+COUNTIF('追溯与覆盖'!$A$5:$A$153,C20)=2,"PASS","FAIL")</x:f>
        <x:v>PASS</x:v>
      </x:c>
    </x:row>
    <x:row r="21" ht="84" customHeight="1">
      <x:c r="A21" s="25" t="str">
        <x:v>AR-L3-MS-StateAwareEviction-082-02</x:v>
      </x:c>
      <x:c r="B21" s="25" t="str">
        <x:v>SR-01-01-06</x:v>
      </x:c>
      <x:c r="C21" s="25" t="str">
        <x:v>L3-MS-StateAwareEviction-082</x:v>
      </x:c>
      <x:c r="D21" s="25" t="str">
        <x:v>SF-01</x:v>
      </x:c>
      <x:c r="E21" s="25" t="str">
        <x:v>IR-01-01</x:v>
      </x:c>
      <x:c r="F21" s="22" t="str">
        <x:v>L3 传输管理层</x:v>
      </x:c>
      <x:c r="G21" s="22" t="str">
        <x:v>TM3</x:v>
      </x:c>
      <x:c r="H21" s="22" t="str">
        <x:v>统一存储池与分层管理</x:v>
      </x:c>
      <x:c r="I21" s="22" t="str">
        <x:v>P0</x:v>
      </x:c>
      <x:c r="J21" s="22" t="str">
        <x:v>P0</x:v>
      </x:c>
      <x:c r="K21" s="22" t="str">
        <x:v>契约配置与降级</x:v>
      </x:c>
      <x:c r="L21" s="22" t="str">
        <x:v>存储池/传输管理开发</x:v>
      </x:c>
      <x:c r="M21" s="22" t="str">
        <x:v>api/kvcache/v1/state_aware_eviction.proto + config/runtime/state_aware_eviction.yaml</x:v>
      </x:c>
      <x:c r="N21" s="22" t="str">
        <x:v>StateAwareEvictionOptions / kvcache.state_aware_eviction.enabled</x:v>
      </x:c>
      <x:c r="O21" s="22" t="str">
        <x:v>为 `StateAwareEvictionOptions` 增加 `kvcache.state_aware_eviction.enabled`、deadline/容量/队列预算及版本字段；在调用点接入 typed error、decision_reason、fallback_reason，确保配置热更新、灰度关闭和向后兼容均可审计。</x:v>
      </x:c>
      <x:c r="P21" s="22" t="str">
        <x:v>IDL/配置 schema 有版本号、默认值、边界校验和错误码；状态/租约/ready 不满足时按 OOM/碎片/路径不可用时拒绝、降级下沉或重算；活动对象禁止迁移</x:v>
      </x:c>
      <x:c r="Q21" s="22" t="str">
        <x:v>配置样例、schema 校验、升级兼容测试和回退路径齐全；任何隐式 fallback 被移除；新增指标可关联 request_id/query_plan_id/object_id/path_id。</x:v>
      </x:c>
      <x:c r="R21" s="22" t="str">
        <x:v>ctest -R StateAwareEvictionConfig &amp;&amp; ./bin/kvcache_config_check --case=state_aware_eviction</x:v>
      </x:c>
      <x:c r="S21" s="22" t="str">
        <x:v>节点动态加入/退出时的缓存失效控制在局部范围内（遵循一致性哈希比例）。</x:v>
      </x:c>
      <x:c r="T21" s="22" t="str">
        <x:v>SR-01-01-06</x:v>
      </x:c>
      <x:c r="U21" s="22" t="str">
        <x:v>待认领</x:v>
      </x:c>
      <x:c r="V21" s="22" t="str"/>
      <x:c r="W21" s="22" t="str"/>
      <x:c r="X21" s="22" t="str">
        <x:f>IF(COUNTIF($A$5:$A$451,A21)=1,"PASS","FAIL")</x:f>
        <x:v>PASS</x:v>
      </x:c>
      <x:c r="Y21" s="22" t="str">
        <x:f>IF(COUNTIF('SR系统设计'!$A$5:$A$153,B21)+COUNTIF('追溯与覆盖'!$A$5:$A$153,C21)=2,"PASS","FAIL")</x:f>
        <x:v>PASS</x:v>
      </x:c>
    </x:row>
    <x:row r="22" ht="84" customHeight="1">
      <x:c r="A22" s="25" t="str">
        <x:v>AR-L3-MS-StateAwareEviction-082-03</x:v>
      </x:c>
      <x:c r="B22" s="25" t="str">
        <x:v>SR-01-01-06</x:v>
      </x:c>
      <x:c r="C22" s="25" t="str">
        <x:v>L3-MS-StateAwareEviction-082</x:v>
      </x:c>
      <x:c r="D22" s="25" t="str">
        <x:v>SF-01</x:v>
      </x:c>
      <x:c r="E22" s="25" t="str">
        <x:v>IR-01-01</x:v>
      </x:c>
      <x:c r="F22" s="22" t="str">
        <x:v>L3 传输管理层</x:v>
      </x:c>
      <x:c r="G22" s="22" t="str">
        <x:v>TM3</x:v>
      </x:c>
      <x:c r="H22" s="22" t="str">
        <x:v>统一存储池与分层管理</x:v>
      </x:c>
      <x:c r="I22" s="22" t="str">
        <x:v>P0</x:v>
      </x:c>
      <x:c r="J22" s="22" t="str">
        <x:v>P0</x:v>
      </x:c>
      <x:c r="K22" s="22" t="str">
        <x:v>验证与观测</x:v>
      </x:c>
      <x:c r="L22" s="22" t="str">
        <x:v>存储池/传输管理开发</x:v>
      </x:c>
      <x:c r="M22" s="22" t="str">
        <x:v>tests/pool/tiering/state_aware_eviction_test.cc + benchmarks/pool/tiering/state_aware_eviction_benchmark.cc</x:v>
      </x:c>
      <x:c r="N22" s="22" t="str">
        <x:v>StateAwareEvictionTest / StateAwareEvictionBenchmark</x:v>
      </x:c>
      <x:c r="O22" s="22" t="str">
        <x:v>新增正常、边界、并发、超时、stale metadata、迁移冲突、路径拥塞/故障与 feature-flag-off 用例；在 benchmark 中固定模型、tokenizer、prompt、并发、拓扑和 baseline，采集 lookup/load/attach、TTFT、TPOT、usable/abandoned hit、带宽/时延及 CPU/NPU 利用率。</x:v>
      </x:c>
      <x:c r="P22" s="22" t="str">
        <x:v>验收直接引用来源指标：“节点动态加入/退出时的缓存失效控制在局部范围内（遵循一致性哈希比例）。”；故障用例必须证明错误 KV 不被消费且 fallback reason 可追踪。</x:v>
      </x:c>
      <x:c r="Q22" s="22" t="str">
        <x:v>来源验收项全部自动化；性能报告包含 P50/P95/P99、置信区间与 baseline；失败门槛接入 CI；测试数据和命令可复现。</x:v>
      </x:c>
      <x:c r="R22" s="22" t="str">
        <x:v>./bin/kvcache_bench --case=state_aware_eviction --baseline=native --report=json</x:v>
      </x:c>
      <x:c r="S22" s="22" t="str">
        <x:v>节点动态加入/退出时的缓存失效控制在局部范围内（遵循一致性哈希比例）。</x:v>
      </x:c>
      <x:c r="T22" s="22" t="str">
        <x:v>SR-01-01-06</x:v>
      </x:c>
      <x:c r="U22" s="22" t="str">
        <x:v>待认领</x:v>
      </x:c>
      <x:c r="V22" s="22" t="str"/>
      <x:c r="W22" s="22" t="str"/>
      <x:c r="X22" s="22" t="str">
        <x:f>IF(COUNTIF($A$5:$A$451,A22)=1,"PASS","FAIL")</x:f>
        <x:v>PASS</x:v>
      </x:c>
      <x:c r="Y22" s="22" t="str">
        <x:f>IF(COUNTIF('SR系统设计'!$A$5:$A$153,B22)+COUNTIF('追溯与覆盖'!$A$5:$A$153,C22)=2,"PASS","FAIL")</x:f>
        <x:v>PASS</x:v>
      </x:c>
    </x:row>
    <x:row r="23" ht="84" customHeight="1">
      <x:c r="A23" s="25" t="str">
        <x:v>AR-L3-MS-Tiering-038-01</x:v>
      </x:c>
      <x:c r="B23" s="25" t="str">
        <x:v>SR-01-01-07</x:v>
      </x:c>
      <x:c r="C23" s="25" t="str">
        <x:v>L3-MS-Tiering-038</x:v>
      </x:c>
      <x:c r="D23" s="25" t="str">
        <x:v>SF-01</x:v>
      </x:c>
      <x:c r="E23" s="25" t="str">
        <x:v>IR-01-01</x:v>
      </x:c>
      <x:c r="F23" s="22" t="str">
        <x:v>L3 传输管理层</x:v>
      </x:c>
      <x:c r="G23" s="22" t="str">
        <x:v>TM3</x:v>
      </x:c>
      <x:c r="H23" s="22" t="str">
        <x:v>统一存储池与分层管理</x:v>
      </x:c>
      <x:c r="I23" s="22" t="str">
        <x:v>P0</x:v>
      </x:c>
      <x:c r="J23" s="22" t="str">
        <x:v>P0</x:v>
      </x:c>
      <x:c r="K23" s="22" t="str">
        <x:v>核心实现</x:v>
      </x:c>
      <x:c r="L23" s="22" t="str">
        <x:v>存储池/传输管理开发</x:v>
      </x:c>
      <x:c r="M23" s="22" t="str">
        <x:v>src/pool/tiering/tiering.{h,cc}</x:v>
      </x:c>
      <x:c r="N23" s="22" t="str">
        <x:v>TieringManager</x:v>
      </x:c>
      <x:c r="O23" s="22" t="str">
        <x:v>在 `src/pool/tiering/tiering.{h,cc}` 新增或重写 `TieringManager`，把“KV 热存储容量扩展”落实为 L3 传输管理层 可调用主路径：本需求要求实现多级 KV tiering manager：根据 active/warm/cold 状态、reuse probability、load cost、memory rent 和 SLO，将 KV 在 HBM、本地 DDR、远端 DDR、本地 SSD、远端 SSD/object 之间 提级或降级。 输入必须显式消费 KVAccessIntent + KVBlockSpec + tier telemetry，输出 KVObjectHandle + Placement + state transition，不得用全局单例或隐藏同步 I/O 绕开预算与状态机。</x:v>
      </x:c>
      <x:c r="P23" s="22" t="str">
        <x:v>实现 KVAccessIntent + KVBlockSpec + tier telemetry → KVObjectHandle + Placement + state transition；遵守 OOM/碎片/路径不可用时拒绝、降级下沉或重算；活动对象禁止迁移</x:v>
      </x:c>
      <x:c r="Q23" s="22" t="str">
        <x:v>核心算法与状态转换完成；新增代码单测分支覆盖≥85%；线程安全/所有权明确；关闭 feature flag 时行为与 baseline 一致。</x:v>
      </x:c>
      <x:c r="R23" s="22" t="str">
        <x:v>ctest -R Tiering --output-on-failure</x:v>
      </x:c>
      <x:c r="S23" s="22" t="str">
        <x:v>HBM effective capacity 提升 ≥30%；GPU OOM/preemption 降低 ≥50%；</x:v>
      </x:c>
      <x:c r="T23" s="22" t="str">
        <x:v>SR-01-01-07</x:v>
      </x:c>
      <x:c r="U23" s="22" t="str">
        <x:v>待认领</x:v>
      </x:c>
      <x:c r="V23" s="22" t="str"/>
      <x:c r="W23" s="22" t="str"/>
      <x:c r="X23" s="22" t="str">
        <x:f>IF(COUNTIF($A$5:$A$451,A23)=1,"PASS","FAIL")</x:f>
        <x:v>PASS</x:v>
      </x:c>
      <x:c r="Y23" s="22" t="str">
        <x:f>IF(COUNTIF('SR系统设计'!$A$5:$A$153,B23)+COUNTIF('追溯与覆盖'!$A$5:$A$153,C23)=2,"PASS","FAIL")</x:f>
        <x:v>PASS</x:v>
      </x:c>
    </x:row>
    <x:row r="24" ht="84" customHeight="1">
      <x:c r="A24" s="25" t="str">
        <x:v>AR-L3-MS-Tiering-038-02</x:v>
      </x:c>
      <x:c r="B24" s="25" t="str">
        <x:v>SR-01-01-07</x:v>
      </x:c>
      <x:c r="C24" s="25" t="str">
        <x:v>L3-MS-Tiering-038</x:v>
      </x:c>
      <x:c r="D24" s="25" t="str">
        <x:v>SF-01</x:v>
      </x:c>
      <x:c r="E24" s="25" t="str">
        <x:v>IR-01-01</x:v>
      </x:c>
      <x:c r="F24" s="22" t="str">
        <x:v>L3 传输管理层</x:v>
      </x:c>
      <x:c r="G24" s="22" t="str">
        <x:v>TM3</x:v>
      </x:c>
      <x:c r="H24" s="22" t="str">
        <x:v>统一存储池与分层管理</x:v>
      </x:c>
      <x:c r="I24" s="22" t="str">
        <x:v>P0</x:v>
      </x:c>
      <x:c r="J24" s="22" t="str">
        <x:v>P0</x:v>
      </x:c>
      <x:c r="K24" s="22" t="str">
        <x:v>契约配置与降级</x:v>
      </x:c>
      <x:c r="L24" s="22" t="str">
        <x:v>存储池/传输管理开发</x:v>
      </x:c>
      <x:c r="M24" s="22" t="str">
        <x:v>api/kvcache/v1/tiering.proto + config/runtime/tiering.yaml</x:v>
      </x:c>
      <x:c r="N24" s="22" t="str">
        <x:v>TieringOptions / kvcache.tiering.enabled</x:v>
      </x:c>
      <x:c r="O24" s="22" t="str">
        <x:v>为 `TieringOptions` 增加 `kvcache.tiering.enabled`、deadline/容量/队列预算及版本字段；在调用点接入 typed error、decision_reason、fallback_reason，确保配置热更新、灰度关闭和向后兼容均可审计。</x:v>
      </x:c>
      <x:c r="P24" s="22" t="str">
        <x:v>IDL/配置 schema 有版本号、默认值、边界校验和错误码；状态/租约/ready 不满足时按 OOM/碎片/路径不可用时拒绝、降级下沉或重算；活动对象禁止迁移</x:v>
      </x:c>
      <x:c r="Q24" s="22" t="str">
        <x:v>配置样例、schema 校验、升级兼容测试和回退路径齐全；任何隐式 fallback 被移除；新增指标可关联 request_id/query_plan_id/object_id/path_id。</x:v>
      </x:c>
      <x:c r="R24" s="22" t="str">
        <x:v>ctest -R TieringConfig &amp;&amp; ./bin/kvcache_config_check --case=tiering</x:v>
      </x:c>
      <x:c r="S24" s="22" t="str">
        <x:v>HBM effective capacity 提升 ≥30%；GPU OOM/preemption 降低 ≥50%；</x:v>
      </x:c>
      <x:c r="T24" s="22" t="str">
        <x:v>SR-01-01-07</x:v>
      </x:c>
      <x:c r="U24" s="22" t="str">
        <x:v>待认领</x:v>
      </x:c>
      <x:c r="V24" s="22" t="str"/>
      <x:c r="W24" s="22" t="str"/>
      <x:c r="X24" s="22" t="str">
        <x:f>IF(COUNTIF($A$5:$A$451,A24)=1,"PASS","FAIL")</x:f>
        <x:v>PASS</x:v>
      </x:c>
      <x:c r="Y24" s="22" t="str">
        <x:f>IF(COUNTIF('SR系统设计'!$A$5:$A$153,B24)+COUNTIF('追溯与覆盖'!$A$5:$A$153,C24)=2,"PASS","FAIL")</x:f>
        <x:v>PASS</x:v>
      </x:c>
    </x:row>
    <x:row r="25" ht="84" customHeight="1">
      <x:c r="A25" s="25" t="str">
        <x:v>AR-L3-MS-Tiering-038-03</x:v>
      </x:c>
      <x:c r="B25" s="25" t="str">
        <x:v>SR-01-01-07</x:v>
      </x:c>
      <x:c r="C25" s="25" t="str">
        <x:v>L3-MS-Tiering-038</x:v>
      </x:c>
      <x:c r="D25" s="25" t="str">
        <x:v>SF-01</x:v>
      </x:c>
      <x:c r="E25" s="25" t="str">
        <x:v>IR-01-01</x:v>
      </x:c>
      <x:c r="F25" s="22" t="str">
        <x:v>L3 传输管理层</x:v>
      </x:c>
      <x:c r="G25" s="22" t="str">
        <x:v>TM3</x:v>
      </x:c>
      <x:c r="H25" s="22" t="str">
        <x:v>统一存储池与分层管理</x:v>
      </x:c>
      <x:c r="I25" s="22" t="str">
        <x:v>P0</x:v>
      </x:c>
      <x:c r="J25" s="22" t="str">
        <x:v>P0</x:v>
      </x:c>
      <x:c r="K25" s="22" t="str">
        <x:v>验证与观测</x:v>
      </x:c>
      <x:c r="L25" s="22" t="str">
        <x:v>存储池/传输管理开发</x:v>
      </x:c>
      <x:c r="M25" s="22" t="str">
        <x:v>tests/pool/tiering/tiering_test.cc + benchmarks/pool/tiering/tiering_benchmark.cc</x:v>
      </x:c>
      <x:c r="N25" s="22" t="str">
        <x:v>TieringTest / TieringBenchmark</x:v>
      </x:c>
      <x:c r="O25" s="22" t="str">
        <x:v>新增正常、边界、并发、超时、stale metadata、迁移冲突、路径拥塞/故障与 feature-flag-off 用例；在 benchmark 中固定模型、tokenizer、prompt、并发、拓扑和 baseline，采集 lookup/load/attach、TTFT、TPOT、usable/abandoned hit、带宽/时延及 CPU/NPU 利用率。</x:v>
      </x:c>
      <x:c r="P25" s="22" t="str">
        <x:v>验收直接引用来源指标：“HBM effective capacity 提升 ≥30%；GPU OOM/preemption 降低 ≥50%；”；故障用例必须证明错误 KV 不被消费且 fallback reason 可追踪。</x:v>
      </x:c>
      <x:c r="Q25" s="22" t="str">
        <x:v>来源验收项全部自动化；性能报告包含 P50/P95/P99、置信区间与 baseline；失败门槛接入 CI；测试数据和命令可复现。</x:v>
      </x:c>
      <x:c r="R25" s="22" t="str">
        <x:v>./bin/kvcache_bench --case=tiering --baseline=native --report=json</x:v>
      </x:c>
      <x:c r="S25" s="22" t="str">
        <x:v>HBM effective capacity 提升 ≥30%；GPU OOM/preemption 降低 ≥50%；</x:v>
      </x:c>
      <x:c r="T25" s="22" t="str">
        <x:v>SR-01-01-07</x:v>
      </x:c>
      <x:c r="U25" s="22" t="str">
        <x:v>待认领</x:v>
      </x:c>
      <x:c r="V25" s="22" t="str"/>
      <x:c r="W25" s="22" t="str"/>
      <x:c r="X25" s="22" t="str">
        <x:f>IF(COUNTIF($A$5:$A$451,A25)=1,"PASS","FAIL")</x:f>
        <x:v>PASS</x:v>
      </x:c>
      <x:c r="Y25" s="22" t="str">
        <x:f>IF(COUNTIF('SR系统设计'!$A$5:$A$153,B25)+COUNTIF('追溯与覆盖'!$A$5:$A$153,C25)=2,"PASS","FAIL")</x:f>
        <x:v>PASS</x:v>
      </x:c>
    </x:row>
    <x:row r="26" ht="84" customHeight="1">
      <x:c r="A26" s="25" t="str">
        <x:v>AR-L3-MC-CompactionEngine-056-01</x:v>
      </x:c>
      <x:c r="B26" s="25" t="str">
        <x:v>SR-01-01-08</x:v>
      </x:c>
      <x:c r="C26" s="25" t="str">
        <x:v>L3-MC-CompactionEngine-056</x:v>
      </x:c>
      <x:c r="D26" s="25" t="str">
        <x:v>SF-01</x:v>
      </x:c>
      <x:c r="E26" s="25" t="str">
        <x:v>IR-01-01</x:v>
      </x:c>
      <x:c r="F26" s="22" t="str">
        <x:v>L3 传输管理层</x:v>
      </x:c>
      <x:c r="G26" s="22" t="str">
        <x:v>TM3</x:v>
      </x:c>
      <x:c r="H26" s="22" t="str">
        <x:v>统一存储池与分层管理</x:v>
      </x:c>
      <x:c r="I26" s="22" t="str">
        <x:v>P1</x:v>
      </x:c>
      <x:c r="J26" s="22" t="str">
        <x:v>P1</x:v>
      </x:c>
      <x:c r="K26" s="22" t="str">
        <x:v>核心实现</x:v>
      </x:c>
      <x:c r="L26" s="22" t="str">
        <x:v>存储池/传输管理开发</x:v>
      </x:c>
      <x:c r="M26" s="22" t="str">
        <x:v>src/pool/tiering/compaction_engine.{h,cc}</x:v>
      </x:c>
      <x:c r="N26" s="22" t="str">
        <x:v>CompactionEngineManager</x:v>
      </x:c>
      <x:c r="O26" s="22" t="str">
        <x:v>在 `src/pool/tiering/compaction_engine.{h,cc}` 新增或重写 `CompactionEngineManager`，把“长周期运行内存紧凑整理”落实为 L3 传输管理层 可调用主路径：本需求要求实现集群/节点双级 KVCache 内存紧凑引擎（Compaction Engine）。 输入必须显式消费 KVAccessIntent + KVBlockSpec + tier telemetry，输出 KVObjectHandle + Placement + state transition，不得用全局单例或隐藏同步 I/O 绕开预算与状态机。</x:v>
      </x:c>
      <x:c r="P26" s="22" t="str">
        <x:v>实现 KVAccessIntent + KVBlockSpec + tier telemetry → KVObjectHandle + Placement + state transition；遵守 OOM/碎片/路径不可用时拒绝、降级下沉或重算；活动对象禁止迁移</x:v>
      </x:c>
      <x:c r="Q26" s="22" t="str">
        <x:v>核心算法与状态转换完成；新增代码单测分支覆盖≥85%；线程安全/所有权明确；关闭 feature flag 时行为与 baseline 一致。</x:v>
      </x:c>
      <x:c r="R26" s="22" t="str">
        <x:v>ctest -R CompactionEngine --output-on-failure</x:v>
      </x:c>
      <x:c r="S26" s="22" t="str">
        <x:v>节点动态加入/退出时的缓存失效控制在局部范围内（遵循一致性哈希比例）。</x:v>
      </x:c>
      <x:c r="T26" s="22" t="str">
        <x:v>SR-01-01-08</x:v>
      </x:c>
      <x:c r="U26" s="22" t="str">
        <x:v>待认领</x:v>
      </x:c>
      <x:c r="V26" s="22" t="str"/>
      <x:c r="W26" s="22" t="str"/>
      <x:c r="X26" s="22" t="str">
        <x:f>IF(COUNTIF($A$5:$A$451,A26)=1,"PASS","FAIL")</x:f>
        <x:v>PASS</x:v>
      </x:c>
      <x:c r="Y26" s="22" t="str">
        <x:f>IF(COUNTIF('SR系统设计'!$A$5:$A$153,B26)+COUNTIF('追溯与覆盖'!$A$5:$A$153,C26)=2,"PASS","FAIL")</x:f>
        <x:v>PASS</x:v>
      </x:c>
    </x:row>
    <x:row r="27" ht="84" customHeight="1">
      <x:c r="A27" s="25" t="str">
        <x:v>AR-L3-MC-CompactionEngine-056-02</x:v>
      </x:c>
      <x:c r="B27" s="25" t="str">
        <x:v>SR-01-01-08</x:v>
      </x:c>
      <x:c r="C27" s="25" t="str">
        <x:v>L3-MC-CompactionEngine-056</x:v>
      </x:c>
      <x:c r="D27" s="25" t="str">
        <x:v>SF-01</x:v>
      </x:c>
      <x:c r="E27" s="25" t="str">
        <x:v>IR-01-01</x:v>
      </x:c>
      <x:c r="F27" s="22" t="str">
        <x:v>L3 传输管理层</x:v>
      </x:c>
      <x:c r="G27" s="22" t="str">
        <x:v>TM3</x:v>
      </x:c>
      <x:c r="H27" s="22" t="str">
        <x:v>统一存储池与分层管理</x:v>
      </x:c>
      <x:c r="I27" s="22" t="str">
        <x:v>P1</x:v>
      </x:c>
      <x:c r="J27" s="22" t="str">
        <x:v>P1</x:v>
      </x:c>
      <x:c r="K27" s="22" t="str">
        <x:v>契约配置与降级</x:v>
      </x:c>
      <x:c r="L27" s="22" t="str">
        <x:v>存储池/传输管理开发</x:v>
      </x:c>
      <x:c r="M27" s="22" t="str">
        <x:v>api/kvcache/v1/compaction_engine.proto + config/runtime/compaction_engine.yaml</x:v>
      </x:c>
      <x:c r="N27" s="22" t="str">
        <x:v>CompactionEngineOptions / kvcache.compaction_engine.enabled</x:v>
      </x:c>
      <x:c r="O27" s="22" t="str">
        <x:v>为 `CompactionEngineOptions` 增加 `kvcache.compaction_engine.enabled`、deadline/容量/队列预算及版本字段；在调用点接入 typed error、decision_reason、fallback_reason，确保配置热更新、灰度关闭和向后兼容均可审计。</x:v>
      </x:c>
      <x:c r="P27" s="22" t="str">
        <x:v>IDL/配置 schema 有版本号、默认值、边界校验和错误码；状态/租约/ready 不满足时按 OOM/碎片/路径不可用时拒绝、降级下沉或重算；活动对象禁止迁移</x:v>
      </x:c>
      <x:c r="Q27" s="22" t="str">
        <x:v>配置样例、schema 校验、升级兼容测试和回退路径齐全；任何隐式 fallback 被移除；新增指标可关联 request_id/query_plan_id/object_id/path_id。</x:v>
      </x:c>
      <x:c r="R27" s="22" t="str">
        <x:v>ctest -R CompactionEngineConfig &amp;&amp; ./bin/kvcache_config_check --case=compaction_engine</x:v>
      </x:c>
      <x:c r="S27" s="22" t="str">
        <x:v>节点动态加入/退出时的缓存失效控制在局部范围内（遵循一致性哈希比例）。</x:v>
      </x:c>
      <x:c r="T27" s="22" t="str">
        <x:v>SR-01-01-08</x:v>
      </x:c>
      <x:c r="U27" s="22" t="str">
        <x:v>待认领</x:v>
      </x:c>
      <x:c r="V27" s="22" t="str"/>
      <x:c r="W27" s="22" t="str"/>
      <x:c r="X27" s="22" t="str">
        <x:f>IF(COUNTIF($A$5:$A$451,A27)=1,"PASS","FAIL")</x:f>
        <x:v>PASS</x:v>
      </x:c>
      <x:c r="Y27" s="22" t="str">
        <x:f>IF(COUNTIF('SR系统设计'!$A$5:$A$153,B27)+COUNTIF('追溯与覆盖'!$A$5:$A$153,C27)=2,"PASS","FAIL")</x:f>
        <x:v>PASS</x:v>
      </x:c>
    </x:row>
    <x:row r="28" ht="84" customHeight="1">
      <x:c r="A28" s="25" t="str">
        <x:v>AR-L3-MC-CompactionEngine-056-03</x:v>
      </x:c>
      <x:c r="B28" s="25" t="str">
        <x:v>SR-01-01-08</x:v>
      </x:c>
      <x:c r="C28" s="25" t="str">
        <x:v>L3-MC-CompactionEngine-056</x:v>
      </x:c>
      <x:c r="D28" s="25" t="str">
        <x:v>SF-01</x:v>
      </x:c>
      <x:c r="E28" s="25" t="str">
        <x:v>IR-01-01</x:v>
      </x:c>
      <x:c r="F28" s="22" t="str">
        <x:v>L3 传输管理层</x:v>
      </x:c>
      <x:c r="G28" s="22" t="str">
        <x:v>TM3</x:v>
      </x:c>
      <x:c r="H28" s="22" t="str">
        <x:v>统一存储池与分层管理</x:v>
      </x:c>
      <x:c r="I28" s="22" t="str">
        <x:v>P1</x:v>
      </x:c>
      <x:c r="J28" s="22" t="str">
        <x:v>P1</x:v>
      </x:c>
      <x:c r="K28" s="22" t="str">
        <x:v>验证与观测</x:v>
      </x:c>
      <x:c r="L28" s="22" t="str">
        <x:v>存储池/传输管理开发</x:v>
      </x:c>
      <x:c r="M28" s="22" t="str">
        <x:v>tests/pool/tiering/compaction_engine_test.cc + benchmarks/pool/tiering/compaction_engine_benchmark.cc</x:v>
      </x:c>
      <x:c r="N28" s="22" t="str">
        <x:v>CompactionEngineTest / CompactionEngineBenchmark</x:v>
      </x:c>
      <x:c r="O28" s="22" t="str">
        <x:v>新增正常、边界、并发、超时、stale metadata、迁移冲突、路径拥塞/故障与 feature-flag-off 用例；在 benchmark 中固定模型、tokenizer、prompt、并发、拓扑和 baseline，采集 lookup/load/attach、TTFT、TPOT、usable/abandoned hit、带宽/时延及 CPU/NPU 利用率。</x:v>
      </x:c>
      <x:c r="P28" s="22" t="str">
        <x:v>验收直接引用来源指标：“节点动态加入/退出时的缓存失效控制在局部范围内（遵循一致性哈希比例）。”；故障用例必须证明错误 KV 不被消费且 fallback reason 可追踪。</x:v>
      </x:c>
      <x:c r="Q28" s="22" t="str">
        <x:v>来源验收项全部自动化；性能报告包含 P50/P95/P99、置信区间与 baseline；失败门槛接入 CI；测试数据和命令可复现。</x:v>
      </x:c>
      <x:c r="R28" s="22" t="str">
        <x:v>./bin/kvcache_bench --case=compaction_engine --baseline=native --report=json</x:v>
      </x:c>
      <x:c r="S28" s="22" t="str">
        <x:v>节点动态加入/退出时的缓存失效控制在局部范围内（遵循一致性哈希比例）。</x:v>
      </x:c>
      <x:c r="T28" s="22" t="str">
        <x:v>SR-01-01-08</x:v>
      </x:c>
      <x:c r="U28" s="22" t="str">
        <x:v>待认领</x:v>
      </x:c>
      <x:c r="V28" s="22" t="str"/>
      <x:c r="W28" s="22" t="str"/>
      <x:c r="X28" s="22" t="str">
        <x:f>IF(COUNTIF($A$5:$A$451,A28)=1,"PASS","FAIL")</x:f>
        <x:v>PASS</x:v>
      </x:c>
      <x:c r="Y28" s="22" t="str">
        <x:f>IF(COUNTIF('SR系统设计'!$A$5:$A$153,B28)+COUNTIF('追溯与覆盖'!$A$5:$A$153,C28)=2,"PASS","FAIL")</x:f>
        <x:v>PASS</x:v>
      </x:c>
    </x:row>
    <x:row r="29" ht="84" customHeight="1">
      <x:c r="A29" s="25" t="str">
        <x:v>AR-L3-MC-HIER-STORE-002-01</x:v>
      </x:c>
      <x:c r="B29" s="25" t="str">
        <x:v>SR-01-01-09</x:v>
      </x:c>
      <x:c r="C29" s="25" t="str">
        <x:v>L3-MC-HIER-STORE-002</x:v>
      </x:c>
      <x:c r="D29" s="25" t="str">
        <x:v>SF-01</x:v>
      </x:c>
      <x:c r="E29" s="25" t="str">
        <x:v>IR-01-01</x:v>
      </x:c>
      <x:c r="F29" s="22" t="str">
        <x:v>L3 传输管理层</x:v>
      </x:c>
      <x:c r="G29" s="22" t="str">
        <x:v>TM3</x:v>
      </x:c>
      <x:c r="H29" s="22" t="str">
        <x:v>统一存储池与分层管理</x:v>
      </x:c>
      <x:c r="I29" s="22" t="str">
        <x:v>P1</x:v>
      </x:c>
      <x:c r="J29" s="22" t="str">
        <x:v>P1</x:v>
      </x:c>
      <x:c r="K29" s="22" t="str">
        <x:v>核心实现</x:v>
      </x:c>
      <x:c r="L29" s="22" t="str">
        <x:v>存储池/传输管理开发</x:v>
      </x:c>
      <x:c r="M29" s="22" t="str">
        <x:v>src/pool/tiering/hier_store.{h,cc}</x:v>
      </x:c>
      <x:c r="N29" s="22" t="str">
        <x:v>HIERSTOREManager</x:v>
      </x:c>
      <x:c r="O29" s="22" t="str">
        <x:v>在 `src/pool/tiering/hier_store.{h,cc}` 新增或重写 `HIERSTOREManager`，把“KVCache三层冷热分级”落实为 L3 传输管理层 可调用主路径：本需求要求实现KVCache三层分级调度器，按访问时间将KVCache分配到DDR（热，&lt;1min）/本地SSD（温，1-60min）/远端SSD（冷，&gt;1hr）三层存储，支持后台异步下沉（目标≥2GB/s）和异步预热，以及NPUDirect Storage（File）实现SSD到NPU HBM的零CPU拷贝直读路径。 输入必须显式消费 KVAccessIntent + KVBlockSpec + tier telemetry，输出 KVObjectHandle + Placement + state transition，不得用全局单例或隐藏同步 I/O 绕开预算与状态机。</x:v>
      </x:c>
      <x:c r="P29" s="22" t="str">
        <x:v>实现 KVAccessIntent + KVBlockSpec + tier telemetry → KVObjectHandle + Placement + state transition；遵守 OOM/碎片/路径不可用时拒绝、降级下沉或重算；活动对象禁止迁移</x:v>
      </x:c>
      <x:c r="Q29" s="22" t="str">
        <x:v>核心算法与状态转换完成；新增代码单测分支覆盖≥85%；线程安全/所有权明确；关闭 feature flag 时行为与 baseline 一致。</x:v>
      </x:c>
      <x:c r="R29" s="22" t="str">
        <x:v>ctest -R HIERSTORE --output-on-failure</x:v>
      </x:c>
      <x:c r="S29" s="22" t="str">
        <x:v>节点动态加入/退出时的缓存失效控制在局部范围内（遵循一致性哈希比例）。</x:v>
      </x:c>
      <x:c r="T29" s="22" t="str">
        <x:v>SR-01-01-09</x:v>
      </x:c>
      <x:c r="U29" s="22" t="str">
        <x:v>待认领</x:v>
      </x:c>
      <x:c r="V29" s="22" t="str"/>
      <x:c r="W29" s="22" t="str"/>
      <x:c r="X29" s="22" t="str">
        <x:f>IF(COUNTIF($A$5:$A$451,A29)=1,"PASS","FAIL")</x:f>
        <x:v>PASS</x:v>
      </x:c>
      <x:c r="Y29" s="22" t="str">
        <x:f>IF(COUNTIF('SR系统设计'!$A$5:$A$153,B29)+COUNTIF('追溯与覆盖'!$A$5:$A$153,C29)=2,"PASS","FAIL")</x:f>
        <x:v>PASS</x:v>
      </x:c>
    </x:row>
    <x:row r="30" ht="84" customHeight="1">
      <x:c r="A30" s="25" t="str">
        <x:v>AR-L3-MC-HIER-STORE-002-02</x:v>
      </x:c>
      <x:c r="B30" s="25" t="str">
        <x:v>SR-01-01-09</x:v>
      </x:c>
      <x:c r="C30" s="25" t="str">
        <x:v>L3-MC-HIER-STORE-002</x:v>
      </x:c>
      <x:c r="D30" s="25" t="str">
        <x:v>SF-01</x:v>
      </x:c>
      <x:c r="E30" s="25" t="str">
        <x:v>IR-01-01</x:v>
      </x:c>
      <x:c r="F30" s="22" t="str">
        <x:v>L3 传输管理层</x:v>
      </x:c>
      <x:c r="G30" s="22" t="str">
        <x:v>TM3</x:v>
      </x:c>
      <x:c r="H30" s="22" t="str">
        <x:v>统一存储池与分层管理</x:v>
      </x:c>
      <x:c r="I30" s="22" t="str">
        <x:v>P1</x:v>
      </x:c>
      <x:c r="J30" s="22" t="str">
        <x:v>P1</x:v>
      </x:c>
      <x:c r="K30" s="22" t="str">
        <x:v>契约配置与降级</x:v>
      </x:c>
      <x:c r="L30" s="22" t="str">
        <x:v>存储池/传输管理开发</x:v>
      </x:c>
      <x:c r="M30" s="22" t="str">
        <x:v>api/kvcache/v1/hier_store.proto + config/runtime/hier_store.yaml</x:v>
      </x:c>
      <x:c r="N30" s="22" t="str">
        <x:v>HIERSTOREOptions / kvcache.hier_store.enabled</x:v>
      </x:c>
      <x:c r="O30" s="22" t="str">
        <x:v>为 `HIERSTOREOptions` 增加 `kvcache.hier_store.enabled`、deadline/容量/队列预算及版本字段；在调用点接入 typed error、decision_reason、fallback_reason，确保配置热更新、灰度关闭和向后兼容均可审计。</x:v>
      </x:c>
      <x:c r="P30" s="22" t="str">
        <x:v>IDL/配置 schema 有版本号、默认值、边界校验和错误码；状态/租约/ready 不满足时按 OOM/碎片/路径不可用时拒绝、降级下沉或重算；活动对象禁止迁移</x:v>
      </x:c>
      <x:c r="Q30" s="22" t="str">
        <x:v>配置样例、schema 校验、升级兼容测试和回退路径齐全；任何隐式 fallback 被移除；新增指标可关联 request_id/query_plan_id/object_id/path_id。</x:v>
      </x:c>
      <x:c r="R30" s="22" t="str">
        <x:v>ctest -R HIERSTOREConfig &amp;&amp; ./bin/kvcache_config_check --case=hier_store</x:v>
      </x:c>
      <x:c r="S30" s="22" t="str">
        <x:v>节点动态加入/退出时的缓存失效控制在局部范围内（遵循一致性哈希比例）。</x:v>
      </x:c>
      <x:c r="T30" s="22" t="str">
        <x:v>SR-01-01-09</x:v>
      </x:c>
      <x:c r="U30" s="22" t="str">
        <x:v>待认领</x:v>
      </x:c>
      <x:c r="V30" s="22" t="str"/>
      <x:c r="W30" s="22" t="str"/>
      <x:c r="X30" s="22" t="str">
        <x:f>IF(COUNTIF($A$5:$A$451,A30)=1,"PASS","FAIL")</x:f>
        <x:v>PASS</x:v>
      </x:c>
      <x:c r="Y30" s="22" t="str">
        <x:f>IF(COUNTIF('SR系统设计'!$A$5:$A$153,B30)+COUNTIF('追溯与覆盖'!$A$5:$A$153,C30)=2,"PASS","FAIL")</x:f>
        <x:v>PASS</x:v>
      </x:c>
    </x:row>
    <x:row r="31" ht="84" customHeight="1">
      <x:c r="A31" s="25" t="str">
        <x:v>AR-L3-MC-HIER-STORE-002-03</x:v>
      </x:c>
      <x:c r="B31" s="25" t="str">
        <x:v>SR-01-01-09</x:v>
      </x:c>
      <x:c r="C31" s="25" t="str">
        <x:v>L3-MC-HIER-STORE-002</x:v>
      </x:c>
      <x:c r="D31" s="25" t="str">
        <x:v>SF-01</x:v>
      </x:c>
      <x:c r="E31" s="25" t="str">
        <x:v>IR-01-01</x:v>
      </x:c>
      <x:c r="F31" s="22" t="str">
        <x:v>L3 传输管理层</x:v>
      </x:c>
      <x:c r="G31" s="22" t="str">
        <x:v>TM3</x:v>
      </x:c>
      <x:c r="H31" s="22" t="str">
        <x:v>统一存储池与分层管理</x:v>
      </x:c>
      <x:c r="I31" s="22" t="str">
        <x:v>P1</x:v>
      </x:c>
      <x:c r="J31" s="22" t="str">
        <x:v>P1</x:v>
      </x:c>
      <x:c r="K31" s="22" t="str">
        <x:v>验证与观测</x:v>
      </x:c>
      <x:c r="L31" s="22" t="str">
        <x:v>存储池/传输管理开发</x:v>
      </x:c>
      <x:c r="M31" s="22" t="str">
        <x:v>tests/pool/tiering/hier_store_test.cc + benchmarks/pool/tiering/hier_store_benchmark.cc</x:v>
      </x:c>
      <x:c r="N31" s="22" t="str">
        <x:v>HIERSTORETest / HIERSTOREBenchmark</x:v>
      </x:c>
      <x:c r="O31" s="22" t="str">
        <x:v>新增正常、边界、并发、超时、stale metadata、迁移冲突、路径拥塞/故障与 feature-flag-off 用例；在 benchmark 中固定模型、tokenizer、prompt、并发、拓扑和 baseline，采集 lookup/load/attach、TTFT、TPOT、usable/abandoned hit、带宽/时延及 CPU/NPU 利用率。</x:v>
      </x:c>
      <x:c r="P31" s="22" t="str">
        <x:v>验收直接引用来源指标：“节点动态加入/退出时的缓存失效控制在局部范围内（遵循一致性哈希比例）。”；故障用例必须证明错误 KV 不被消费且 fallback reason 可追踪。</x:v>
      </x:c>
      <x:c r="Q31" s="22" t="str">
        <x:v>来源验收项全部自动化；性能报告包含 P50/P95/P99、置信区间与 baseline；失败门槛接入 CI；测试数据和命令可复现。</x:v>
      </x:c>
      <x:c r="R31" s="22" t="str">
        <x:v>./bin/kvcache_bench --case=hier_store --baseline=native --report=json</x:v>
      </x:c>
      <x:c r="S31" s="22" t="str">
        <x:v>节点动态加入/退出时的缓存失效控制在局部范围内（遵循一致性哈希比例）。</x:v>
      </x:c>
      <x:c r="T31" s="22" t="str">
        <x:v>SR-01-01-09</x:v>
      </x:c>
      <x:c r="U31" s="22" t="str">
        <x:v>待认领</x:v>
      </x:c>
      <x:c r="V31" s="22" t="str"/>
      <x:c r="W31" s="22" t="str"/>
      <x:c r="X31" s="22" t="str">
        <x:f>IF(COUNTIF($A$5:$A$451,A31)=1,"PASS","FAIL")</x:f>
        <x:v>PASS</x:v>
      </x:c>
      <x:c r="Y31" s="22" t="str">
        <x:f>IF(COUNTIF('SR系统设计'!$A$5:$A$153,B31)+COUNTIF('追溯与覆盖'!$A$5:$A$153,C31)=2,"PASS","FAIL")</x:f>
        <x:v>PASS</x:v>
      </x:c>
    </x:row>
    <x:row r="32" ht="84" customHeight="1">
      <x:c r="A32" s="25" t="str">
        <x:v>AR-L3-MC-IntelligentMigration-057-01</x:v>
      </x:c>
      <x:c r="B32" s="25" t="str">
        <x:v>SR-01-01-10</x:v>
      </x:c>
      <x:c r="C32" s="25" t="str">
        <x:v>L3-MC-IntelligentMigration-057</x:v>
      </x:c>
      <x:c r="D32" s="25" t="str">
        <x:v>SF-01</x:v>
      </x:c>
      <x:c r="E32" s="25" t="str">
        <x:v>IR-01-01</x:v>
      </x:c>
      <x:c r="F32" s="22" t="str">
        <x:v>L3 传输管理层</x:v>
      </x:c>
      <x:c r="G32" s="22" t="str">
        <x:v>TM3</x:v>
      </x:c>
      <x:c r="H32" s="22" t="str">
        <x:v>统一存储池与分层管理</x:v>
      </x:c>
      <x:c r="I32" s="22" t="str">
        <x:v>P1</x:v>
      </x:c>
      <x:c r="J32" s="22" t="str">
        <x:v>P1</x:v>
      </x:c>
      <x:c r="K32" s="22" t="str">
        <x:v>核心实现</x:v>
      </x:c>
      <x:c r="L32" s="22" t="str">
        <x:v>存储池/传输管理开发</x:v>
      </x:c>
      <x:c r="M32" s="22" t="str">
        <x:v>src/pool/tiering/intelligent_migration.{h,cc}</x:v>
      </x:c>
      <x:c r="N32" s="22" t="str">
        <x:v>IntelligentMigrationManager</x:v>
      </x:c>
      <x:c r="O32" s="22" t="str">
        <x:v>在 `src/pool/tiering/intelligent_migration.{h,cc}` 新增或重写 `IntelligentMigrationManager`，把“跨异构介质智能主动搬移”落实为 L3 传输管理层 可调用主路径：本需求要求设计三级水位（Low-70%, High-85%, Critical-95%）监测与智能迁移决策引擎。 输入必须显式消费 KVAccessIntent + KVBlockSpec + tier telemetry，输出 KVObjectHandle + Placement + state transition，不得用全局单例或隐藏同步 I/O 绕开预算与状态机。</x:v>
      </x:c>
      <x:c r="P32" s="22" t="str">
        <x:v>实现 KVAccessIntent + KVBlockSpec + tier telemetry → KVObjectHandle + Placement + state transition；遵守 OOM/碎片/路径不可用时拒绝、降级下沉或重算；活动对象禁止迁移</x:v>
      </x:c>
      <x:c r="Q32" s="22" t="str">
        <x:v>核心算法与状态转换完成；新增代码单测分支覆盖≥85%；线程安全/所有权明确；关闭 feature flag 时行为与 baseline 一致。</x:v>
      </x:c>
      <x:c r="R32" s="22" t="str">
        <x:v>ctest -R IntelligentMigration --output-on-failure</x:v>
      </x:c>
      <x:c r="S32" s="22" t="str">
        <x:v>节点动态加入/退出时的缓存失效控制在局部范围内（遵循一致性哈希比例）。</x:v>
      </x:c>
      <x:c r="T32" s="22" t="str">
        <x:v>SR-01-01-10</x:v>
      </x:c>
      <x:c r="U32" s="22" t="str">
        <x:v>待认领</x:v>
      </x:c>
      <x:c r="V32" s="22" t="str"/>
      <x:c r="W32" s="22" t="str"/>
      <x:c r="X32" s="22" t="str">
        <x:f>IF(COUNTIF($A$5:$A$451,A32)=1,"PASS","FAIL")</x:f>
        <x:v>PASS</x:v>
      </x:c>
      <x:c r="Y32" s="22" t="str">
        <x:f>IF(COUNTIF('SR系统设计'!$A$5:$A$153,B32)+COUNTIF('追溯与覆盖'!$A$5:$A$153,C32)=2,"PASS","FAIL")</x:f>
        <x:v>PASS</x:v>
      </x:c>
    </x:row>
    <x:row r="33" ht="84" customHeight="1">
      <x:c r="A33" s="25" t="str">
        <x:v>AR-L3-MC-IntelligentMigration-057-02</x:v>
      </x:c>
      <x:c r="B33" s="25" t="str">
        <x:v>SR-01-01-10</x:v>
      </x:c>
      <x:c r="C33" s="25" t="str">
        <x:v>L3-MC-IntelligentMigration-057</x:v>
      </x:c>
      <x:c r="D33" s="25" t="str">
        <x:v>SF-01</x:v>
      </x:c>
      <x:c r="E33" s="25" t="str">
        <x:v>IR-01-01</x:v>
      </x:c>
      <x:c r="F33" s="22" t="str">
        <x:v>L3 传输管理层</x:v>
      </x:c>
      <x:c r="G33" s="22" t="str">
        <x:v>TM3</x:v>
      </x:c>
      <x:c r="H33" s="22" t="str">
        <x:v>统一存储池与分层管理</x:v>
      </x:c>
      <x:c r="I33" s="22" t="str">
        <x:v>P1</x:v>
      </x:c>
      <x:c r="J33" s="22" t="str">
        <x:v>P1</x:v>
      </x:c>
      <x:c r="K33" s="22" t="str">
        <x:v>契约配置与降级</x:v>
      </x:c>
      <x:c r="L33" s="22" t="str">
        <x:v>存储池/传输管理开发</x:v>
      </x:c>
      <x:c r="M33" s="22" t="str">
        <x:v>api/kvcache/v1/intelligent_migration.proto + config/runtime/intelligent_migration.yaml</x:v>
      </x:c>
      <x:c r="N33" s="22" t="str">
        <x:v>IntelligentMigrationOptions / kvcache.intelligent_migration.enabled</x:v>
      </x:c>
      <x:c r="O33" s="22" t="str">
        <x:v>为 `IntelligentMigrationOptions` 增加 `kvcache.intelligent_migration.enabled`、deadline/容量/队列预算及版本字段；在调用点接入 typed error、decision_reason、fallback_reason，确保配置热更新、灰度关闭和向后兼容均可审计。</x:v>
      </x:c>
      <x:c r="P33" s="22" t="str">
        <x:v>IDL/配置 schema 有版本号、默认值、边界校验和错误码；状态/租约/ready 不满足时按 OOM/碎片/路径不可用时拒绝、降级下沉或重算；活动对象禁止迁移</x:v>
      </x:c>
      <x:c r="Q33" s="22" t="str">
        <x:v>配置样例、schema 校验、升级兼容测试和回退路径齐全；任何隐式 fallback 被移除；新增指标可关联 request_id/query_plan_id/object_id/path_id。</x:v>
      </x:c>
      <x:c r="R33" s="22" t="str">
        <x:v>ctest -R IntelligentMigrationConfig &amp;&amp; ./bin/kvcache_config_check --case=intelligent_migration</x:v>
      </x:c>
      <x:c r="S33" s="22" t="str">
        <x:v>节点动态加入/退出时的缓存失效控制在局部范围内（遵循一致性哈希比例）。</x:v>
      </x:c>
      <x:c r="T33" s="22" t="str">
        <x:v>SR-01-01-10</x:v>
      </x:c>
      <x:c r="U33" s="22" t="str">
        <x:v>待认领</x:v>
      </x:c>
      <x:c r="V33" s="22" t="str"/>
      <x:c r="W33" s="22" t="str"/>
      <x:c r="X33" s="22" t="str">
        <x:f>IF(COUNTIF($A$5:$A$451,A33)=1,"PASS","FAIL")</x:f>
        <x:v>PASS</x:v>
      </x:c>
      <x:c r="Y33" s="22" t="str">
        <x:f>IF(COUNTIF('SR系统设计'!$A$5:$A$153,B33)+COUNTIF('追溯与覆盖'!$A$5:$A$153,C33)=2,"PASS","FAIL")</x:f>
        <x:v>PASS</x:v>
      </x:c>
    </x:row>
    <x:row r="34" ht="84" customHeight="1">
      <x:c r="A34" s="25" t="str">
        <x:v>AR-L3-MC-IntelligentMigration-057-03</x:v>
      </x:c>
      <x:c r="B34" s="25" t="str">
        <x:v>SR-01-01-10</x:v>
      </x:c>
      <x:c r="C34" s="25" t="str">
        <x:v>L3-MC-IntelligentMigration-057</x:v>
      </x:c>
      <x:c r="D34" s="25" t="str">
        <x:v>SF-01</x:v>
      </x:c>
      <x:c r="E34" s="25" t="str">
        <x:v>IR-01-01</x:v>
      </x:c>
      <x:c r="F34" s="22" t="str">
        <x:v>L3 传输管理层</x:v>
      </x:c>
      <x:c r="G34" s="22" t="str">
        <x:v>TM3</x:v>
      </x:c>
      <x:c r="H34" s="22" t="str">
        <x:v>统一存储池与分层管理</x:v>
      </x:c>
      <x:c r="I34" s="22" t="str">
        <x:v>P1</x:v>
      </x:c>
      <x:c r="J34" s="22" t="str">
        <x:v>P1</x:v>
      </x:c>
      <x:c r="K34" s="22" t="str">
        <x:v>验证与观测</x:v>
      </x:c>
      <x:c r="L34" s="22" t="str">
        <x:v>存储池/传输管理开发</x:v>
      </x:c>
      <x:c r="M34" s="22" t="str">
        <x:v>tests/pool/tiering/intelligent_migration_test.cc + benchmarks/pool/tiering/intelligent_migration_benchmark.cc</x:v>
      </x:c>
      <x:c r="N34" s="22" t="str">
        <x:v>IntelligentMigrationTest / IntelligentMigrationBenchmark</x:v>
      </x:c>
      <x:c r="O34" s="22" t="str">
        <x:v>新增正常、边界、并发、超时、stale metadata、迁移冲突、路径拥塞/故障与 feature-flag-off 用例；在 benchmark 中固定模型、tokenizer、prompt、并发、拓扑和 baseline，采集 lookup/load/attach、TTFT、TPOT、usable/abandoned hit、带宽/时延及 CPU/NPU 利用率。</x:v>
      </x:c>
      <x:c r="P34" s="22" t="str">
        <x:v>验收直接引用来源指标：“节点动态加入/退出时的缓存失效控制在局部范围内（遵循一致性哈希比例）。”；故障用例必须证明错误 KV 不被消费且 fallback reason 可追踪。</x:v>
      </x:c>
      <x:c r="Q34" s="22" t="str">
        <x:v>来源验收项全部自动化；性能报告包含 P50/P95/P99、置信区间与 baseline；失败门槛接入 CI；测试数据和命令可复现。</x:v>
      </x:c>
      <x:c r="R34" s="22" t="str">
        <x:v>./bin/kvcache_bench --case=intelligent_migration --baseline=native --report=json</x:v>
      </x:c>
      <x:c r="S34" s="22" t="str">
        <x:v>节点动态加入/退出时的缓存失效控制在局部范围内（遵循一致性哈希比例）。</x:v>
      </x:c>
      <x:c r="T34" s="22" t="str">
        <x:v>SR-01-01-10</x:v>
      </x:c>
      <x:c r="U34" s="22" t="str">
        <x:v>待认领</x:v>
      </x:c>
      <x:c r="V34" s="22" t="str"/>
      <x:c r="W34" s="22" t="str"/>
      <x:c r="X34" s="22" t="str">
        <x:f>IF(COUNTIF($A$5:$A$451,A34)=1,"PASS","FAIL")</x:f>
        <x:v>PASS</x:v>
      </x:c>
      <x:c r="Y34" s="22" t="str">
        <x:f>IF(COUNTIF('SR系统设计'!$A$5:$A$153,B34)+COUNTIF('追溯与覆盖'!$A$5:$A$153,C34)=2,"PASS","FAIL")</x:f>
        <x:v>PASS</x:v>
      </x:c>
    </x:row>
    <x:row r="35" ht="84" customHeight="1">
      <x:c r="A35" s="25" t="str">
        <x:v>AR-L3-MC-LayoutTransformPlan-078-01</x:v>
      </x:c>
      <x:c r="B35" s="25" t="str">
        <x:v>SR-01-01-11</x:v>
      </x:c>
      <x:c r="C35" s="25" t="str">
        <x:v>L3-MC-LayoutTransformPlan-078</x:v>
      </x:c>
      <x:c r="D35" s="25" t="str">
        <x:v>SF-01</x:v>
      </x:c>
      <x:c r="E35" s="25" t="str">
        <x:v>IR-01-01</x:v>
      </x:c>
      <x:c r="F35" s="22" t="str">
        <x:v>L3 传输管理层</x:v>
      </x:c>
      <x:c r="G35" s="22" t="str">
        <x:v>TM3</x:v>
      </x:c>
      <x:c r="H35" s="22" t="str">
        <x:v>统一存储池与分层管理</x:v>
      </x:c>
      <x:c r="I35" s="22" t="str">
        <x:v>P1</x:v>
      </x:c>
      <x:c r="J35" s="22" t="str">
        <x:v>P1</x:v>
      </x:c>
      <x:c r="K35" s="22" t="str">
        <x:v>核心实现</x:v>
      </x:c>
      <x:c r="L35" s="22" t="str">
        <x:v>存储池/传输管理开发</x:v>
      </x:c>
      <x:c r="M35" s="22" t="str">
        <x:v>src/pool/tiering/layout_transform_plan.{h,cc}</x:v>
      </x:c>
      <x:c r="N35" s="22" t="str">
        <x:v>LayoutTransformPlanManager</x:v>
      </x:c>
      <x:c r="O35" s="22" t="str">
        <x:v>在 `src/pool/tiering/layout_transform_plan.{h,cc}` 新增或重写 `LayoutTransformPlanManager`，把“HND/NHD/page-first/cross-layer 布局兼容”落实为 L3 传输管理层 可调用主路径：本需求要求当源 KV layout 与目标 attention runtime layout 不一致时，统一 KV 内存池必须生成 layout transform plan，明确是否需要 permute、copy-to-HBM、cross-layer regroup、dtype/scale 转换或直接拒绝复用。 输入必须显式消费 KVAccessIntent + KVBlockSpec + tier telemetry，输出 KVObjectHandle + Placement + state transition，不得用全局单例或隐藏同步 I/O 绕开预算与状态机。</x:v>
      </x:c>
      <x:c r="P35" s="22" t="str">
        <x:v>实现 KVAccessIntent + KVBlockSpec + tier telemetry → KVObjectHandle + Placement + state transition；遵守 OOM/碎片/路径不可用时拒绝、降级下沉或重算；活动对象禁止迁移</x:v>
      </x:c>
      <x:c r="Q35" s="22" t="str">
        <x:v>核心算法与状态转换完成；新增代码单测分支覆盖≥85%；线程安全/所有权明确；关闭 feature flag 时行为与 baseline 一致。</x:v>
      </x:c>
      <x:c r="R35" s="22" t="str">
        <x:v>ctest -R LayoutTransformPlan --output-on-failure</x:v>
      </x:c>
      <x:c r="S35" s="22" t="str">
        <x:v>节点动态加入/退出时的缓存失效控制在局部范围内（遵循一致性哈希比例）。</x:v>
      </x:c>
      <x:c r="T35" s="22" t="str">
        <x:v>SR-01-01-11</x:v>
      </x:c>
      <x:c r="U35" s="22" t="str">
        <x:v>待认领</x:v>
      </x:c>
      <x:c r="V35" s="22" t="str"/>
      <x:c r="W35" s="22" t="str"/>
      <x:c r="X35" s="22" t="str">
        <x:f>IF(COUNTIF($A$5:$A$451,A35)=1,"PASS","FAIL")</x:f>
        <x:v>PASS</x:v>
      </x:c>
      <x:c r="Y35" s="22" t="str">
        <x:f>IF(COUNTIF('SR系统设计'!$A$5:$A$153,B35)+COUNTIF('追溯与覆盖'!$A$5:$A$153,C35)=2,"PASS","FAIL")</x:f>
        <x:v>PASS</x:v>
      </x:c>
    </x:row>
    <x:row r="36" ht="84" customHeight="1">
      <x:c r="A36" s="25" t="str">
        <x:v>AR-L3-MC-LayoutTransformPlan-078-02</x:v>
      </x:c>
      <x:c r="B36" s="25" t="str">
        <x:v>SR-01-01-11</x:v>
      </x:c>
      <x:c r="C36" s="25" t="str">
        <x:v>L3-MC-LayoutTransformPlan-078</x:v>
      </x:c>
      <x:c r="D36" s="25" t="str">
        <x:v>SF-01</x:v>
      </x:c>
      <x:c r="E36" s="25" t="str">
        <x:v>IR-01-01</x:v>
      </x:c>
      <x:c r="F36" s="22" t="str">
        <x:v>L3 传输管理层</x:v>
      </x:c>
      <x:c r="G36" s="22" t="str">
        <x:v>TM3</x:v>
      </x:c>
      <x:c r="H36" s="22" t="str">
        <x:v>统一存储池与分层管理</x:v>
      </x:c>
      <x:c r="I36" s="22" t="str">
        <x:v>P1</x:v>
      </x:c>
      <x:c r="J36" s="22" t="str">
        <x:v>P1</x:v>
      </x:c>
      <x:c r="K36" s="22" t="str">
        <x:v>契约配置与降级</x:v>
      </x:c>
      <x:c r="L36" s="22" t="str">
        <x:v>存储池/传输管理开发</x:v>
      </x:c>
      <x:c r="M36" s="22" t="str">
        <x:v>api/kvcache/v1/layout_transform_plan.proto + config/runtime/layout_transform_plan.yaml</x:v>
      </x:c>
      <x:c r="N36" s="22" t="str">
        <x:v>LayoutTransformPlanOptions / kvcache.layout_transform_plan.enabled</x:v>
      </x:c>
      <x:c r="O36" s="22" t="str">
        <x:v>为 `LayoutTransformPlanOptions` 增加 `kvcache.layout_transform_plan.enabled`、deadline/容量/队列预算及版本字段；在调用点接入 typed error、decision_reason、fallback_reason，确保配置热更新、灰度关闭和向后兼容均可审计。</x:v>
      </x:c>
      <x:c r="P36" s="22" t="str">
        <x:v>IDL/配置 schema 有版本号、默认值、边界校验和错误码；状态/租约/ready 不满足时按 OOM/碎片/路径不可用时拒绝、降级下沉或重算；活动对象禁止迁移</x:v>
      </x:c>
      <x:c r="Q36" s="22" t="str">
        <x:v>配置样例、schema 校验、升级兼容测试和回退路径齐全；任何隐式 fallback 被移除；新增指标可关联 request_id/query_plan_id/object_id/path_id。</x:v>
      </x:c>
      <x:c r="R36" s="22" t="str">
        <x:v>ctest -R LayoutTransformPlanConfig &amp;&amp; ./bin/kvcache_config_check --case=layout_transform_plan</x:v>
      </x:c>
      <x:c r="S36" s="22" t="str">
        <x:v>节点动态加入/退出时的缓存失效控制在局部范围内（遵循一致性哈希比例）。</x:v>
      </x:c>
      <x:c r="T36" s="22" t="str">
        <x:v>SR-01-01-11</x:v>
      </x:c>
      <x:c r="U36" s="22" t="str">
        <x:v>待认领</x:v>
      </x:c>
      <x:c r="V36" s="22" t="str"/>
      <x:c r="W36" s="22" t="str"/>
      <x:c r="X36" s="22" t="str">
        <x:f>IF(COUNTIF($A$5:$A$451,A36)=1,"PASS","FAIL")</x:f>
        <x:v>PASS</x:v>
      </x:c>
      <x:c r="Y36" s="22" t="str">
        <x:f>IF(COUNTIF('SR系统设计'!$A$5:$A$153,B36)+COUNTIF('追溯与覆盖'!$A$5:$A$153,C36)=2,"PASS","FAIL")</x:f>
        <x:v>PASS</x:v>
      </x:c>
    </x:row>
    <x:row r="37" ht="84" customHeight="1">
      <x:c r="A37" s="25" t="str">
        <x:v>AR-L3-MC-LayoutTransformPlan-078-03</x:v>
      </x:c>
      <x:c r="B37" s="25" t="str">
        <x:v>SR-01-01-11</x:v>
      </x:c>
      <x:c r="C37" s="25" t="str">
        <x:v>L3-MC-LayoutTransformPlan-078</x:v>
      </x:c>
      <x:c r="D37" s="25" t="str">
        <x:v>SF-01</x:v>
      </x:c>
      <x:c r="E37" s="25" t="str">
        <x:v>IR-01-01</x:v>
      </x:c>
      <x:c r="F37" s="22" t="str">
        <x:v>L3 传输管理层</x:v>
      </x:c>
      <x:c r="G37" s="22" t="str">
        <x:v>TM3</x:v>
      </x:c>
      <x:c r="H37" s="22" t="str">
        <x:v>统一存储池与分层管理</x:v>
      </x:c>
      <x:c r="I37" s="22" t="str">
        <x:v>P1</x:v>
      </x:c>
      <x:c r="J37" s="22" t="str">
        <x:v>P1</x:v>
      </x:c>
      <x:c r="K37" s="22" t="str">
        <x:v>验证与观测</x:v>
      </x:c>
      <x:c r="L37" s="22" t="str">
        <x:v>存储池/传输管理开发</x:v>
      </x:c>
      <x:c r="M37" s="22" t="str">
        <x:v>tests/pool/tiering/layout_transform_plan_test.cc + benchmarks/pool/tiering/layout_transform_plan_benchmark.cc</x:v>
      </x:c>
      <x:c r="N37" s="22" t="str">
        <x:v>LayoutTransformPlanTest / LayoutTransformPlanBenchmark</x:v>
      </x:c>
      <x:c r="O37" s="22" t="str">
        <x:v>新增正常、边界、并发、超时、stale metadata、迁移冲突、路径拥塞/故障与 feature-flag-off 用例；在 benchmark 中固定模型、tokenizer、prompt、并发、拓扑和 baseline，采集 lookup/load/attach、TTFT、TPOT、usable/abandoned hit、带宽/时延及 CPU/NPU 利用率。</x:v>
      </x:c>
      <x:c r="P37" s="22" t="str">
        <x:v>验收直接引用来源指标：“节点动态加入/退出时的缓存失效控制在局部范围内（遵循一致性哈希比例）。”；故障用例必须证明错误 KV 不被消费且 fallback reason 可追踪。</x:v>
      </x:c>
      <x:c r="Q37" s="22" t="str">
        <x:v>来源验收项全部自动化；性能报告包含 P50/P95/P99、置信区间与 baseline；失败门槛接入 CI；测试数据和命令可复现。</x:v>
      </x:c>
      <x:c r="R37" s="22" t="str">
        <x:v>./bin/kvcache_bench --case=layout_transform_plan --baseline=native --report=json</x:v>
      </x:c>
      <x:c r="S37" s="22" t="str">
        <x:v>节点动态加入/退出时的缓存失效控制在局部范围内（遵循一致性哈希比例）。</x:v>
      </x:c>
      <x:c r="T37" s="22" t="str">
        <x:v>SR-01-01-11</x:v>
      </x:c>
      <x:c r="U37" s="22" t="str">
        <x:v>待认领</x:v>
      </x:c>
      <x:c r="V37" s="22" t="str"/>
      <x:c r="W37" s="22" t="str"/>
      <x:c r="X37" s="22" t="str">
        <x:f>IF(COUNTIF($A$5:$A$451,A37)=1,"PASS","FAIL")</x:f>
        <x:v>PASS</x:v>
      </x:c>
      <x:c r="Y37" s="22" t="str">
        <x:f>IF(COUNTIF('SR系统设计'!$A$5:$A$153,B37)+COUNTIF('追溯与覆盖'!$A$5:$A$153,C37)=2,"PASS","FAIL")</x:f>
        <x:v>PASS</x:v>
      </x:c>
    </x:row>
    <x:row r="38" ht="84" customHeight="1">
      <x:c r="A38" s="25" t="str">
        <x:v>AR-L3-MC-PageExtentAllocator-077-01</x:v>
      </x:c>
      <x:c r="B38" s="25" t="str">
        <x:v>SR-01-01-12</x:v>
      </x:c>
      <x:c r="C38" s="25" t="str">
        <x:v>L3-MC-PageExtentAllocator-077</x:v>
      </x:c>
      <x:c r="D38" s="25" t="str">
        <x:v>SF-01</x:v>
      </x:c>
      <x:c r="E38" s="25" t="str">
        <x:v>IR-01-01</x:v>
      </x:c>
      <x:c r="F38" s="22" t="str">
        <x:v>L3 传输管理层</x:v>
      </x:c>
      <x:c r="G38" s="22" t="str">
        <x:v>TM3</x:v>
      </x:c>
      <x:c r="H38" s="22" t="str">
        <x:v>统一存储池与分层管理</x:v>
      </x:c>
      <x:c r="I38" s="22" t="str">
        <x:v>P1</x:v>
      </x:c>
      <x:c r="J38" s="22" t="str">
        <x:v>P1</x:v>
      </x:c>
      <x:c r="K38" s="22" t="str">
        <x:v>核心实现</x:v>
      </x:c>
      <x:c r="L38" s="22" t="str">
        <x:v>存储池/传输管理开发</x:v>
      </x:c>
      <x:c r="M38" s="22" t="str">
        <x:v>src/pool/tiering/page_extent_allocator.{h,cc}</x:v>
      </x:c>
      <x:c r="N38" s="22" t="str">
        <x:v>PageExtentAllocatorManager</x:v>
      </x:c>
      <x:c r="O38" s="22" t="str">
        <x:v>在 `src/pool/tiering/page_extent_allocator.{h,cc}` 新增或重写 `PageExtentAllocatorManager`，把“长周期运行下 KV 存储碎片控制”落实为 L3 传输管理层 可调用主路径：本需求要求统一 KV 内存池实现 page/extent allocator，支持按 layer、page、rank、tier 分配物理空间，并支持 split、merge、coalesce、relocate 和 defrag hint，避免长期运行后小块碎片破坏 bulk descriptor 合并效率。 输入必须显式消费 KVAccessIntent + KVBlockSpec + tier telemetry，输出 KVObjectHandle + Placement + state transition，不得用全局单例或隐藏同步 I/O 绕开预算与状态机。</x:v>
      </x:c>
      <x:c r="P38" s="22" t="str">
        <x:v>实现 KVAccessIntent + KVBlockSpec + tier telemetry → KVObjectHandle + Placement + state transition；遵守 OOM/碎片/路径不可用时拒绝、降级下沉或重算；活动对象禁止迁移</x:v>
      </x:c>
      <x:c r="Q38" s="22" t="str">
        <x:v>核心算法与状态转换完成；新增代码单测分支覆盖≥85%；线程安全/所有权明确；关闭 feature flag 时行为与 baseline 一致。</x:v>
      </x:c>
      <x:c r="R38" s="22" t="str">
        <x:v>ctest -R PageExtentAllocator --output-on-failure</x:v>
      </x:c>
      <x:c r="S38" s="22" t="str">
        <x:v>节点动态加入/退出时的缓存失效控制在局部范围内（遵循一致性哈希比例）。</x:v>
      </x:c>
      <x:c r="T38" s="22" t="str">
        <x:v>SR-01-01-12</x:v>
      </x:c>
      <x:c r="U38" s="22" t="str">
        <x:v>待认领</x:v>
      </x:c>
      <x:c r="V38" s="22" t="str"/>
      <x:c r="W38" s="22" t="str"/>
      <x:c r="X38" s="22" t="str">
        <x:f>IF(COUNTIF($A$5:$A$451,A38)=1,"PASS","FAIL")</x:f>
        <x:v>PASS</x:v>
      </x:c>
      <x:c r="Y38" s="22" t="str">
        <x:f>IF(COUNTIF('SR系统设计'!$A$5:$A$153,B38)+COUNTIF('追溯与覆盖'!$A$5:$A$153,C38)=2,"PASS","FAIL")</x:f>
        <x:v>PASS</x:v>
      </x:c>
    </x:row>
    <x:row r="39" ht="84" customHeight="1">
      <x:c r="A39" s="25" t="str">
        <x:v>AR-L3-MC-PageExtentAllocator-077-02</x:v>
      </x:c>
      <x:c r="B39" s="25" t="str">
        <x:v>SR-01-01-12</x:v>
      </x:c>
      <x:c r="C39" s="25" t="str">
        <x:v>L3-MC-PageExtentAllocator-077</x:v>
      </x:c>
      <x:c r="D39" s="25" t="str">
        <x:v>SF-01</x:v>
      </x:c>
      <x:c r="E39" s="25" t="str">
        <x:v>IR-01-01</x:v>
      </x:c>
      <x:c r="F39" s="22" t="str">
        <x:v>L3 传输管理层</x:v>
      </x:c>
      <x:c r="G39" s="22" t="str">
        <x:v>TM3</x:v>
      </x:c>
      <x:c r="H39" s="22" t="str">
        <x:v>统一存储池与分层管理</x:v>
      </x:c>
      <x:c r="I39" s="22" t="str">
        <x:v>P1</x:v>
      </x:c>
      <x:c r="J39" s="22" t="str">
        <x:v>P1</x:v>
      </x:c>
      <x:c r="K39" s="22" t="str">
        <x:v>契约配置与降级</x:v>
      </x:c>
      <x:c r="L39" s="22" t="str">
        <x:v>存储池/传输管理开发</x:v>
      </x:c>
      <x:c r="M39" s="22" t="str">
        <x:v>api/kvcache/v1/page_extent_allocator.proto + config/runtime/page_extent_allocator.yaml</x:v>
      </x:c>
      <x:c r="N39" s="22" t="str">
        <x:v>PageExtentAllocatorOptions / kvcache.page_extent_allocator.enabled</x:v>
      </x:c>
      <x:c r="O39" s="22" t="str">
        <x:v>为 `PageExtentAllocatorOptions` 增加 `kvcache.page_extent_allocator.enabled`、deadline/容量/队列预算及版本字段；在调用点接入 typed error、decision_reason、fallback_reason，确保配置热更新、灰度关闭和向后兼容均可审计。</x:v>
      </x:c>
      <x:c r="P39" s="22" t="str">
        <x:v>IDL/配置 schema 有版本号、默认值、边界校验和错误码；状态/租约/ready 不满足时按 OOM/碎片/路径不可用时拒绝、降级下沉或重算；活动对象禁止迁移</x:v>
      </x:c>
      <x:c r="Q39" s="22" t="str">
        <x:v>配置样例、schema 校验、升级兼容测试和回退路径齐全；任何隐式 fallback 被移除；新增指标可关联 request_id/query_plan_id/object_id/path_id。</x:v>
      </x:c>
      <x:c r="R39" s="22" t="str">
        <x:v>ctest -R PageExtentAllocatorConfig &amp;&amp; ./bin/kvcache_config_check --case=page_extent_allocator</x:v>
      </x:c>
      <x:c r="S39" s="22" t="str">
        <x:v>节点动态加入/退出时的缓存失效控制在局部范围内（遵循一致性哈希比例）。</x:v>
      </x:c>
      <x:c r="T39" s="22" t="str">
        <x:v>SR-01-01-12</x:v>
      </x:c>
      <x:c r="U39" s="22" t="str">
        <x:v>待认领</x:v>
      </x:c>
      <x:c r="V39" s="22" t="str"/>
      <x:c r="W39" s="22" t="str"/>
      <x:c r="X39" s="22" t="str">
        <x:f>IF(COUNTIF($A$5:$A$451,A39)=1,"PASS","FAIL")</x:f>
        <x:v>PASS</x:v>
      </x:c>
      <x:c r="Y39" s="22" t="str">
        <x:f>IF(COUNTIF('SR系统设计'!$A$5:$A$153,B39)+COUNTIF('追溯与覆盖'!$A$5:$A$153,C39)=2,"PASS","FAIL")</x:f>
        <x:v>PASS</x:v>
      </x:c>
    </x:row>
    <x:row r="40" ht="84" customHeight="1">
      <x:c r="A40" s="25" t="str">
        <x:v>AR-L3-MC-PageExtentAllocator-077-03</x:v>
      </x:c>
      <x:c r="B40" s="25" t="str">
        <x:v>SR-01-01-12</x:v>
      </x:c>
      <x:c r="C40" s="25" t="str">
        <x:v>L3-MC-PageExtentAllocator-077</x:v>
      </x:c>
      <x:c r="D40" s="25" t="str">
        <x:v>SF-01</x:v>
      </x:c>
      <x:c r="E40" s="25" t="str">
        <x:v>IR-01-01</x:v>
      </x:c>
      <x:c r="F40" s="22" t="str">
        <x:v>L3 传输管理层</x:v>
      </x:c>
      <x:c r="G40" s="22" t="str">
        <x:v>TM3</x:v>
      </x:c>
      <x:c r="H40" s="22" t="str">
        <x:v>统一存储池与分层管理</x:v>
      </x:c>
      <x:c r="I40" s="22" t="str">
        <x:v>P1</x:v>
      </x:c>
      <x:c r="J40" s="22" t="str">
        <x:v>P1</x:v>
      </x:c>
      <x:c r="K40" s="22" t="str">
        <x:v>验证与观测</x:v>
      </x:c>
      <x:c r="L40" s="22" t="str">
        <x:v>存储池/传输管理开发</x:v>
      </x:c>
      <x:c r="M40" s="22" t="str">
        <x:v>tests/pool/tiering/page_extent_allocator_test.cc + benchmarks/pool/tiering/page_extent_allocator_benchmark.cc</x:v>
      </x:c>
      <x:c r="N40" s="22" t="str">
        <x:v>PageExtentAllocatorTest / PageExtentAllocatorBenchmark</x:v>
      </x:c>
      <x:c r="O40" s="22" t="str">
        <x:v>新增正常、边界、并发、超时、stale metadata、迁移冲突、路径拥塞/故障与 feature-flag-off 用例；在 benchmark 中固定模型、tokenizer、prompt、并发、拓扑和 baseline，采集 lookup/load/attach、TTFT、TPOT、usable/abandoned hit、带宽/时延及 CPU/NPU 利用率。</x:v>
      </x:c>
      <x:c r="P40" s="22" t="str">
        <x:v>验收直接引用来源指标：“节点动态加入/退出时的缓存失效控制在局部范围内（遵循一致性哈希比例）。”；故障用例必须证明错误 KV 不被消费且 fallback reason 可追踪。</x:v>
      </x:c>
      <x:c r="Q40" s="22" t="str">
        <x:v>来源验收项全部自动化；性能报告包含 P50/P95/P99、置信区间与 baseline；失败门槛接入 CI；测试数据和命令可复现。</x:v>
      </x:c>
      <x:c r="R40" s="22" t="str">
        <x:v>./bin/kvcache_bench --case=page_extent_allocator --baseline=native --report=json</x:v>
      </x:c>
      <x:c r="S40" s="22" t="str">
        <x:v>节点动态加入/退出时的缓存失效控制在局部范围内（遵循一致性哈希比例）。</x:v>
      </x:c>
      <x:c r="T40" s="22" t="str">
        <x:v>SR-01-01-12</x:v>
      </x:c>
      <x:c r="U40" s="22" t="str">
        <x:v>待认领</x:v>
      </x:c>
      <x:c r="V40" s="22" t="str"/>
      <x:c r="W40" s="22" t="str"/>
      <x:c r="X40" s="22" t="str">
        <x:f>IF(COUNTIF($A$5:$A$451,A40)=1,"PASS","FAIL")</x:f>
        <x:v>PASS</x:v>
      </x:c>
      <x:c r="Y40" s="22" t="str">
        <x:f>IF(COUNTIF('SR系统设计'!$A$5:$A$153,B40)+COUNTIF('追溯与覆盖'!$A$5:$A$153,C40)=2,"PASS","FAIL")</x:f>
        <x:v>PASS</x:v>
      </x:c>
    </x:row>
    <x:row r="41" ht="84" customHeight="1">
      <x:c r="A41" s="25" t="str">
        <x:v>AR-L3-MS-CostEviction-039-01</x:v>
      </x:c>
      <x:c r="B41" s="25" t="str">
        <x:v>SR-01-01-13</x:v>
      </x:c>
      <x:c r="C41" s="25" t="str">
        <x:v>L3-MS-CostEviction-039</x:v>
      </x:c>
      <x:c r="D41" s="25" t="str">
        <x:v>SF-01</x:v>
      </x:c>
      <x:c r="E41" s="25" t="str">
        <x:v>IR-01-01</x:v>
      </x:c>
      <x:c r="F41" s="22" t="str">
        <x:v>L3 传输管理层</x:v>
      </x:c>
      <x:c r="G41" s="22" t="str">
        <x:v>TM3</x:v>
      </x:c>
      <x:c r="H41" s="22" t="str">
        <x:v>统一存储池与分层管理</x:v>
      </x:c>
      <x:c r="I41" s="22" t="str">
        <x:v>P1</x:v>
      </x:c>
      <x:c r="J41" s="22" t="str">
        <x:v>P1</x:v>
      </x:c>
      <x:c r="K41" s="22" t="str">
        <x:v>核心实现</x:v>
      </x:c>
      <x:c r="L41" s="22" t="str">
        <x:v>存储池/传输管理开发</x:v>
      </x:c>
      <x:c r="M41" s="22" t="str">
        <x:v>src/pool/tiering/cost_eviction.{h,cc}</x:v>
      </x:c>
      <x:c r="N41" s="22" t="str">
        <x:v>CostEvictionManager</x:v>
      </x:c>
      <x:c r="O41" s="22" t="str">
        <x:v>在 `src/pool/tiering/cost_eviction.{h,cc}` 新增或重写 `CostEvictionManager`，把“KVCache 成本感知淘汰与降级”落实为 L3 传输管理层 可调用主路径：本需求要求实现KV提级/降级算法，使用多维因素决定保留、降级或驱逐 KV：score 至少包含 saved prefill time、future reuse probability、transfer cost、interference cost、memory rent 和 tenant priority。 输入必须显式消费 KVAccessIntent + KVBlockSpec + tier telemetry，输出 KVObjectHandle + Placement + state transition，不得用全局单例或隐藏同步 I/O 绕开预算与状态机。</x:v>
      </x:c>
      <x:c r="P41" s="22" t="str">
        <x:v>实现 KVAccessIntent + KVBlockSpec + tier telemetry → KVObjectHandle + Placement + state transition；遵守 OOM/碎片/路径不可用时拒绝、降级下沉或重算；活动对象禁止迁移</x:v>
      </x:c>
      <x:c r="Q41" s="22" t="str">
        <x:v>核心算法与状态转换完成；新增代码单测分支覆盖≥85%；线程安全/所有权明确；关闭 feature flag 时行为与 baseline 一致。</x:v>
      </x:c>
      <x:c r="R41" s="22" t="str">
        <x:v>ctest -R CostEviction --output-on-failure</x:v>
      </x:c>
      <x:c r="S41" s="22" t="str">
        <x:v>每 GB KV 带来的 saved prefill tokens 提升 ≥25%；</x:v>
      </x:c>
      <x:c r="T41" s="22" t="str">
        <x:v>SR-01-01-13</x:v>
      </x:c>
      <x:c r="U41" s="22" t="str">
        <x:v>待认领</x:v>
      </x:c>
      <x:c r="V41" s="22" t="str"/>
      <x:c r="W41" s="22" t="str"/>
      <x:c r="X41" s="22" t="str">
        <x:f>IF(COUNTIF($A$5:$A$451,A41)=1,"PASS","FAIL")</x:f>
        <x:v>PASS</x:v>
      </x:c>
      <x:c r="Y41" s="22" t="str">
        <x:f>IF(COUNTIF('SR系统设计'!$A$5:$A$153,B41)+COUNTIF('追溯与覆盖'!$A$5:$A$153,C41)=2,"PASS","FAIL")</x:f>
        <x:v>PASS</x:v>
      </x:c>
    </x:row>
    <x:row r="42" ht="84" customHeight="1">
      <x:c r="A42" s="25" t="str">
        <x:v>AR-L3-MS-CostEviction-039-02</x:v>
      </x:c>
      <x:c r="B42" s="25" t="str">
        <x:v>SR-01-01-13</x:v>
      </x:c>
      <x:c r="C42" s="25" t="str">
        <x:v>L3-MS-CostEviction-039</x:v>
      </x:c>
      <x:c r="D42" s="25" t="str">
        <x:v>SF-01</x:v>
      </x:c>
      <x:c r="E42" s="25" t="str">
        <x:v>IR-01-01</x:v>
      </x:c>
      <x:c r="F42" s="22" t="str">
        <x:v>L3 传输管理层</x:v>
      </x:c>
      <x:c r="G42" s="22" t="str">
        <x:v>TM3</x:v>
      </x:c>
      <x:c r="H42" s="22" t="str">
        <x:v>统一存储池与分层管理</x:v>
      </x:c>
      <x:c r="I42" s="22" t="str">
        <x:v>P1</x:v>
      </x:c>
      <x:c r="J42" s="22" t="str">
        <x:v>P1</x:v>
      </x:c>
      <x:c r="K42" s="22" t="str">
        <x:v>契约配置与降级</x:v>
      </x:c>
      <x:c r="L42" s="22" t="str">
        <x:v>存储池/传输管理开发</x:v>
      </x:c>
      <x:c r="M42" s="22" t="str">
        <x:v>api/kvcache/v1/cost_eviction.proto + config/runtime/cost_eviction.yaml</x:v>
      </x:c>
      <x:c r="N42" s="22" t="str">
        <x:v>CostEvictionOptions / kvcache.cost_eviction.enabled</x:v>
      </x:c>
      <x:c r="O42" s="22" t="str">
        <x:v>为 `CostEvictionOptions` 增加 `kvcache.cost_eviction.enabled`、deadline/容量/队列预算及版本字段；在调用点接入 typed error、decision_reason、fallback_reason，确保配置热更新、灰度关闭和向后兼容均可审计。</x:v>
      </x:c>
      <x:c r="P42" s="22" t="str">
        <x:v>IDL/配置 schema 有版本号、默认值、边界校验和错误码；状态/租约/ready 不满足时按 OOM/碎片/路径不可用时拒绝、降级下沉或重算；活动对象禁止迁移</x:v>
      </x:c>
      <x:c r="Q42" s="22" t="str">
        <x:v>配置样例、schema 校验、升级兼容测试和回退路径齐全；任何隐式 fallback 被移除；新增指标可关联 request_id/query_plan_id/object_id/path_id。</x:v>
      </x:c>
      <x:c r="R42" s="22" t="str">
        <x:v>ctest -R CostEvictionConfig &amp;&amp; ./bin/kvcache_config_check --case=cost_eviction</x:v>
      </x:c>
      <x:c r="S42" s="22" t="str">
        <x:v>每 GB KV 带来的 saved prefill tokens 提升 ≥25%；</x:v>
      </x:c>
      <x:c r="T42" s="22" t="str">
        <x:v>SR-01-01-13</x:v>
      </x:c>
      <x:c r="U42" s="22" t="str">
        <x:v>待认领</x:v>
      </x:c>
      <x:c r="V42" s="22" t="str"/>
      <x:c r="W42" s="22" t="str"/>
      <x:c r="X42" s="22" t="str">
        <x:f>IF(COUNTIF($A$5:$A$451,A42)=1,"PASS","FAIL")</x:f>
        <x:v>PASS</x:v>
      </x:c>
      <x:c r="Y42" s="22" t="str">
        <x:f>IF(COUNTIF('SR系统设计'!$A$5:$A$153,B42)+COUNTIF('追溯与覆盖'!$A$5:$A$153,C42)=2,"PASS","FAIL")</x:f>
        <x:v>PASS</x:v>
      </x:c>
    </x:row>
    <x:row r="43" ht="84" customHeight="1">
      <x:c r="A43" s="25" t="str">
        <x:v>AR-L3-MS-CostEviction-039-03</x:v>
      </x:c>
      <x:c r="B43" s="25" t="str">
        <x:v>SR-01-01-13</x:v>
      </x:c>
      <x:c r="C43" s="25" t="str">
        <x:v>L3-MS-CostEviction-039</x:v>
      </x:c>
      <x:c r="D43" s="25" t="str">
        <x:v>SF-01</x:v>
      </x:c>
      <x:c r="E43" s="25" t="str">
        <x:v>IR-01-01</x:v>
      </x:c>
      <x:c r="F43" s="22" t="str">
        <x:v>L3 传输管理层</x:v>
      </x:c>
      <x:c r="G43" s="22" t="str">
        <x:v>TM3</x:v>
      </x:c>
      <x:c r="H43" s="22" t="str">
        <x:v>统一存储池与分层管理</x:v>
      </x:c>
      <x:c r="I43" s="22" t="str">
        <x:v>P1</x:v>
      </x:c>
      <x:c r="J43" s="22" t="str">
        <x:v>P1</x:v>
      </x:c>
      <x:c r="K43" s="22" t="str">
        <x:v>验证与观测</x:v>
      </x:c>
      <x:c r="L43" s="22" t="str">
        <x:v>存储池/传输管理开发</x:v>
      </x:c>
      <x:c r="M43" s="22" t="str">
        <x:v>tests/pool/tiering/cost_eviction_test.cc + benchmarks/pool/tiering/cost_eviction_benchmark.cc</x:v>
      </x:c>
      <x:c r="N43" s="22" t="str">
        <x:v>CostEvictionTest / CostEvictionBenchmark</x:v>
      </x:c>
      <x:c r="O43" s="22" t="str">
        <x:v>新增正常、边界、并发、超时、stale metadata、迁移冲突、路径拥塞/故障与 feature-flag-off 用例；在 benchmark 中固定模型、tokenizer、prompt、并发、拓扑和 baseline，采集 lookup/load/attach、TTFT、TPOT、usable/abandoned hit、带宽/时延及 CPU/NPU 利用率。</x:v>
      </x:c>
      <x:c r="P43" s="22" t="str">
        <x:v>验收直接引用来源指标：“每 GB KV 带来的 saved prefill tokens 提升 ≥25%；”；故障用例必须证明错误 KV 不被消费且 fallback reason 可追踪。</x:v>
      </x:c>
      <x:c r="Q43" s="22" t="str">
        <x:v>来源验收项全部自动化；性能报告包含 P50/P95/P99、置信区间与 baseline；失败门槛接入 CI；测试数据和命令可复现。</x:v>
      </x:c>
      <x:c r="R43" s="22" t="str">
        <x:v>./bin/kvcache_bench --case=cost_eviction --baseline=native --report=json</x:v>
      </x:c>
      <x:c r="S43" s="22" t="str">
        <x:v>每 GB KV 带来的 saved prefill tokens 提升 ≥25%；</x:v>
      </x:c>
      <x:c r="T43" s="22" t="str">
        <x:v>SR-01-01-13</x:v>
      </x:c>
      <x:c r="U43" s="22" t="str">
        <x:v>待认领</x:v>
      </x:c>
      <x:c r="V43" s="22" t="str"/>
      <x:c r="W43" s="22" t="str"/>
      <x:c r="X43" s="22" t="str">
        <x:f>IF(COUNTIF($A$5:$A$451,A43)=1,"PASS","FAIL")</x:f>
        <x:v>PASS</x:v>
      </x:c>
      <x:c r="Y43" s="22" t="str">
        <x:f>IF(COUNTIF('SR系统设计'!$A$5:$A$153,B43)+COUNTIF('追溯与覆盖'!$A$5:$A$153,C43)=2,"PASS","FAIL")</x:f>
        <x:v>PASS</x:v>
      </x:c>
    </x:row>
    <x:row r="44" ht="84" customHeight="1">
      <x:c r="A44" s="25" t="str">
        <x:v>AR-L3-MS-DDRRolePolicy-092-01</x:v>
      </x:c>
      <x:c r="B44" s="25" t="str">
        <x:v>SR-01-01-14</x:v>
      </x:c>
      <x:c r="C44" s="25" t="str">
        <x:v>L3-MS-DDRRolePolicy-092</x:v>
      </x:c>
      <x:c r="D44" s="25" t="str">
        <x:v>SF-01</x:v>
      </x:c>
      <x:c r="E44" s="25" t="str">
        <x:v>IR-01-01</x:v>
      </x:c>
      <x:c r="F44" s="22" t="str">
        <x:v>L3 传输管理层</x:v>
      </x:c>
      <x:c r="G44" s="22" t="str">
        <x:v>TM3</x:v>
      </x:c>
      <x:c r="H44" s="22" t="str">
        <x:v>统一存储池与分层管理</x:v>
      </x:c>
      <x:c r="I44" s="22" t="str">
        <x:v>P1</x:v>
      </x:c>
      <x:c r="J44" s="22" t="str">
        <x:v>P1</x:v>
      </x:c>
      <x:c r="K44" s="22" t="str">
        <x:v>核心实现</x:v>
      </x:c>
      <x:c r="L44" s="22" t="str">
        <x:v>存储池/传输管理开发</x:v>
      </x:c>
      <x:c r="M44" s="22" t="str">
        <x:v>src/pool/tiering/ddrrole_policy.{h,cc}</x:v>
      </x:c>
      <x:c r="N44" s="22" t="str">
        <x:v>DDRRolePolicyManager</x:v>
      </x:c>
      <x:c r="O44" s="22" t="str">
        <x:v>在 `src/pool/tiering/ddrrole_policy.{h,cc}` 新增或重写 `DDRRolePolicyManager`，把“热点 KV、远端低时延容量、预取与SSD尾时延屏蔽”落实为 L3 传输管理层 可调用主路径：本需求要求为 DDR 建立角色化准入策略，至少区分 metadata/control、local warm KV、remote DDR tier、prefetch/burst buffer、registered pool 和 fallback staging。 输入必须显式消费 KVAccessIntent + KVBlockSpec + tier telemetry，输出 KVObjectHandle + Placement + state transition，不得用全局单例或隐藏同步 I/O 绕开预算与状态机。</x:v>
      </x:c>
      <x:c r="P44" s="22" t="str">
        <x:v>实现 KVAccessIntent + KVBlockSpec + tier telemetry → KVObjectHandle + Placement + state transition；遵守 OOM/碎片/路径不可用时拒绝、降级下沉或重算；活动对象禁止迁移</x:v>
      </x:c>
      <x:c r="Q44" s="22" t="str">
        <x:v>核心算法与状态转换完成；新增代码单测分支覆盖≥85%；线程安全/所有权明确；关闭 feature flag 时行为与 baseline 一致。</x:v>
      </x:c>
      <x:c r="R44" s="22" t="str">
        <x:v>ctest -R DDRRolePolicy --output-on-failure</x:v>
      </x:c>
      <x:c r="S44" s="22" t="str">
        <x:v>输出各 DDR 角色的容量、带宽和净收益曲线，明确主用、条件启用和禁用边界。</x:v>
      </x:c>
      <x:c r="T44" s="22" t="str">
        <x:v>SR-01-01-14</x:v>
      </x:c>
      <x:c r="U44" s="22" t="str">
        <x:v>待认领</x:v>
      </x:c>
      <x:c r="V44" s="22" t="str"/>
      <x:c r="W44" s="22" t="str"/>
      <x:c r="X44" s="22" t="str">
        <x:f>IF(COUNTIF($A$5:$A$451,A44)=1,"PASS","FAIL")</x:f>
        <x:v>PASS</x:v>
      </x:c>
      <x:c r="Y44" s="22" t="str">
        <x:f>IF(COUNTIF('SR系统设计'!$A$5:$A$153,B44)+COUNTIF('追溯与覆盖'!$A$5:$A$153,C44)=2,"PASS","FAIL")</x:f>
        <x:v>PASS</x:v>
      </x:c>
    </x:row>
    <x:row r="45" ht="84" customHeight="1">
      <x:c r="A45" s="25" t="str">
        <x:v>AR-L3-MS-DDRRolePolicy-092-02</x:v>
      </x:c>
      <x:c r="B45" s="25" t="str">
        <x:v>SR-01-01-14</x:v>
      </x:c>
      <x:c r="C45" s="25" t="str">
        <x:v>L3-MS-DDRRolePolicy-092</x:v>
      </x:c>
      <x:c r="D45" s="25" t="str">
        <x:v>SF-01</x:v>
      </x:c>
      <x:c r="E45" s="25" t="str">
        <x:v>IR-01-01</x:v>
      </x:c>
      <x:c r="F45" s="22" t="str">
        <x:v>L3 传输管理层</x:v>
      </x:c>
      <x:c r="G45" s="22" t="str">
        <x:v>TM3</x:v>
      </x:c>
      <x:c r="H45" s="22" t="str">
        <x:v>统一存储池与分层管理</x:v>
      </x:c>
      <x:c r="I45" s="22" t="str">
        <x:v>P1</x:v>
      </x:c>
      <x:c r="J45" s="22" t="str">
        <x:v>P1</x:v>
      </x:c>
      <x:c r="K45" s="22" t="str">
        <x:v>契约配置与降级</x:v>
      </x:c>
      <x:c r="L45" s="22" t="str">
        <x:v>存储池/传输管理开发</x:v>
      </x:c>
      <x:c r="M45" s="22" t="str">
        <x:v>api/kvcache/v1/ddrrole_policy.proto + config/runtime/ddrrole_policy.yaml</x:v>
      </x:c>
      <x:c r="N45" s="22" t="str">
        <x:v>DDRRolePolicyOptions / kvcache.ddrrole_policy.enabled</x:v>
      </x:c>
      <x:c r="O45" s="22" t="str">
        <x:v>为 `DDRRolePolicyOptions` 增加 `kvcache.ddrrole_policy.enabled`、deadline/容量/队列预算及版本字段；在调用点接入 typed error、decision_reason、fallback_reason，确保配置热更新、灰度关闭和向后兼容均可审计。</x:v>
      </x:c>
      <x:c r="P45" s="22" t="str">
        <x:v>IDL/配置 schema 有版本号、默认值、边界校验和错误码；状态/租约/ready 不满足时按 OOM/碎片/路径不可用时拒绝、降级下沉或重算；活动对象禁止迁移</x:v>
      </x:c>
      <x:c r="Q45" s="22" t="str">
        <x:v>配置样例、schema 校验、升级兼容测试和回退路径齐全；任何隐式 fallback 被移除；新增指标可关联 request_id/query_plan_id/object_id/path_id。</x:v>
      </x:c>
      <x:c r="R45" s="22" t="str">
        <x:v>ctest -R DDRRolePolicyConfig &amp;&amp; ./bin/kvcache_config_check --case=ddrrole_policy</x:v>
      </x:c>
      <x:c r="S45" s="22" t="str">
        <x:v>输出各 DDR 角色的容量、带宽和净收益曲线，明确主用、条件启用和禁用边界。</x:v>
      </x:c>
      <x:c r="T45" s="22" t="str">
        <x:v>SR-01-01-14</x:v>
      </x:c>
      <x:c r="U45" s="22" t="str">
        <x:v>待认领</x:v>
      </x:c>
      <x:c r="V45" s="22" t="str"/>
      <x:c r="W45" s="22" t="str"/>
      <x:c r="X45" s="22" t="str">
        <x:f>IF(COUNTIF($A$5:$A$451,A45)=1,"PASS","FAIL")</x:f>
        <x:v>PASS</x:v>
      </x:c>
      <x:c r="Y45" s="22" t="str">
        <x:f>IF(COUNTIF('SR系统设计'!$A$5:$A$153,B45)+COUNTIF('追溯与覆盖'!$A$5:$A$153,C45)=2,"PASS","FAIL")</x:f>
        <x:v>PASS</x:v>
      </x:c>
    </x:row>
    <x:row r="46" ht="84" customHeight="1">
      <x:c r="A46" s="25" t="str">
        <x:v>AR-L3-MS-DDRRolePolicy-092-03</x:v>
      </x:c>
      <x:c r="B46" s="25" t="str">
        <x:v>SR-01-01-14</x:v>
      </x:c>
      <x:c r="C46" s="25" t="str">
        <x:v>L3-MS-DDRRolePolicy-092</x:v>
      </x:c>
      <x:c r="D46" s="25" t="str">
        <x:v>SF-01</x:v>
      </x:c>
      <x:c r="E46" s="25" t="str">
        <x:v>IR-01-01</x:v>
      </x:c>
      <x:c r="F46" s="22" t="str">
        <x:v>L3 传输管理层</x:v>
      </x:c>
      <x:c r="G46" s="22" t="str">
        <x:v>TM3</x:v>
      </x:c>
      <x:c r="H46" s="22" t="str">
        <x:v>统一存储池与分层管理</x:v>
      </x:c>
      <x:c r="I46" s="22" t="str">
        <x:v>P1</x:v>
      </x:c>
      <x:c r="J46" s="22" t="str">
        <x:v>P1</x:v>
      </x:c>
      <x:c r="K46" s="22" t="str">
        <x:v>验证与观测</x:v>
      </x:c>
      <x:c r="L46" s="22" t="str">
        <x:v>存储池/传输管理开发</x:v>
      </x:c>
      <x:c r="M46" s="22" t="str">
        <x:v>tests/pool/tiering/ddrrole_policy_test.cc + benchmarks/pool/tiering/ddrrole_policy_benchmark.cc</x:v>
      </x:c>
      <x:c r="N46" s="22" t="str">
        <x:v>DDRRolePolicyTest / DDRRolePolicyBenchmark</x:v>
      </x:c>
      <x:c r="O46" s="22" t="str">
        <x:v>新增正常、边界、并发、超时、stale metadata、迁移冲突、路径拥塞/故障与 feature-flag-off 用例；在 benchmark 中固定模型、tokenizer、prompt、并发、拓扑和 baseline，采集 lookup/load/attach、TTFT、TPOT、usable/abandoned hit、带宽/时延及 CPU/NPU 利用率。</x:v>
      </x:c>
      <x:c r="P46" s="22" t="str">
        <x:v>验收直接引用来源指标：“输出各 DDR 角色的容量、带宽和净收益曲线，明确主用、条件启用和禁用边界。”；故障用例必须证明错误 KV 不被消费且 fallback reason 可追踪。</x:v>
      </x:c>
      <x:c r="Q46" s="22" t="str">
        <x:v>来源验收项全部自动化；性能报告包含 P50/P95/P99、置信区间与 baseline；失败门槛接入 CI；测试数据和命令可复现。</x:v>
      </x:c>
      <x:c r="R46" s="22" t="str">
        <x:v>./bin/kvcache_bench --case=ddrrole_policy --baseline=native --report=json</x:v>
      </x:c>
      <x:c r="S46" s="22" t="str">
        <x:v>输出各 DDR 角色的容量、带宽和净收益曲线，明确主用、条件启用和禁用边界。</x:v>
      </x:c>
      <x:c r="T46" s="22" t="str">
        <x:v>SR-01-01-14</x:v>
      </x:c>
      <x:c r="U46" s="22" t="str">
        <x:v>待认领</x:v>
      </x:c>
      <x:c r="V46" s="22" t="str"/>
      <x:c r="W46" s="22" t="str"/>
      <x:c r="X46" s="22" t="str">
        <x:f>IF(COUNTIF($A$5:$A$451,A46)=1,"PASS","FAIL")</x:f>
        <x:v>PASS</x:v>
      </x:c>
      <x:c r="Y46" s="22" t="str">
        <x:f>IF(COUNTIF('SR系统设计'!$A$5:$A$153,B46)+COUNTIF('追溯与覆盖'!$A$5:$A$153,C46)=2,"PASS","FAIL")</x:f>
        <x:v>PASS</x:v>
      </x:c>
    </x:row>
    <x:row r="47" ht="84" customHeight="1">
      <x:c r="A47" s="25" t="str">
        <x:v>AR-L3-MC-POOL-ALLOC-005-01</x:v>
      </x:c>
      <x:c r="B47" s="25" t="str">
        <x:v>SR-01-01-15</x:v>
      </x:c>
      <x:c r="C47" s="25" t="str">
        <x:v>L3-MC-POOL-ALLOC-005</x:v>
      </x:c>
      <x:c r="D47" s="25" t="str">
        <x:v>SF-01</x:v>
      </x:c>
      <x:c r="E47" s="25" t="str">
        <x:v>IR-01-01</x:v>
      </x:c>
      <x:c r="F47" s="22" t="str">
        <x:v>L3 传输管理层</x:v>
      </x:c>
      <x:c r="G47" s="22" t="str">
        <x:v>TM3</x:v>
      </x:c>
      <x:c r="H47" s="22" t="str">
        <x:v>统一存储池与分层管理</x:v>
      </x:c>
      <x:c r="I47" s="22" t="str">
        <x:v>P2</x:v>
      </x:c>
      <x:c r="J47" s="22" t="str">
        <x:v>P2</x:v>
      </x:c>
      <x:c r="K47" s="22" t="str">
        <x:v>核心实现</x:v>
      </x:c>
      <x:c r="L47" s="22" t="str">
        <x:v>存储池/传输管理开发</x:v>
      </x:c>
      <x:c r="M47" s="22" t="str">
        <x:v>src/pool/tiering/pool_alloc.{h,cc}</x:v>
      </x:c>
      <x:c r="N47" s="22" t="str">
        <x:v>POOLALLOCManager</x:v>
      </x:c>
      <x:c r="O47" s="22" t="str">
        <x:v>在 `src/pool/tiering/pool_alloc.{h,cc}` 新增或重写 `POOLALLOCManager`，把“NUMA亲和性KV分配”落实为 L3 传输管理层 可调用主路径：本需求要求为Mooncake统一内存池实现NUMA感知的KVCache Block分配器，通过查询NPU与CPU NUMA节点的亲和关系，优先将KVCache Block分配到最近NUMA节点的DDR内存（numa_alloc_onnode），将Cross-NUMA KVCache访问比例从当前&gt;50%降至&lt;10%。 输入必须显式消费 KVAccessIntent + KVBlockSpec + tier telemetry，输出 KVObjectHandle + Placement + state transition，不得用全局单例或隐藏同步 I/O 绕开预算与状态机。</x:v>
      </x:c>
      <x:c r="P47" s="22" t="str">
        <x:v>实现 KVAccessIntent + KVBlockSpec + tier telemetry → KVObjectHandle + Placement + state transition；遵守 OOM/碎片/路径不可用时拒绝、降级下沉或重算；活动对象禁止迁移</x:v>
      </x:c>
      <x:c r="Q47" s="22" t="str">
        <x:v>核心算法与状态转换完成；新增代码单测分支覆盖≥85%；线程安全/所有权明确；关闭 feature flag 时行为与 baseline 一致。</x:v>
      </x:c>
      <x:c r="R47" s="22" t="str">
        <x:v>ctest -R POOLALLOC --output-on-failure</x:v>
      </x:c>
      <x:c r="S47" s="22" t="str">
        <x:v>节点动态加入/退出时的缓存失效控制在局部范围内（遵循一致性哈希比例）。</x:v>
      </x:c>
      <x:c r="T47" s="22" t="str">
        <x:v>SR-01-01-15</x:v>
      </x:c>
      <x:c r="U47" s="22" t="str">
        <x:v>待认领</x:v>
      </x:c>
      <x:c r="V47" s="22" t="str"/>
      <x:c r="W47" s="22" t="str"/>
      <x:c r="X47" s="22" t="str">
        <x:f>IF(COUNTIF($A$5:$A$451,A47)=1,"PASS","FAIL")</x:f>
        <x:v>PASS</x:v>
      </x:c>
      <x:c r="Y47" s="22" t="str">
        <x:f>IF(COUNTIF('SR系统设计'!$A$5:$A$153,B47)+COUNTIF('追溯与覆盖'!$A$5:$A$153,C47)=2,"PASS","FAIL")</x:f>
        <x:v>PASS</x:v>
      </x:c>
    </x:row>
    <x:row r="48" ht="84" customHeight="1">
      <x:c r="A48" s="25" t="str">
        <x:v>AR-L3-MC-POOL-ALLOC-005-02</x:v>
      </x:c>
      <x:c r="B48" s="25" t="str">
        <x:v>SR-01-01-15</x:v>
      </x:c>
      <x:c r="C48" s="25" t="str">
        <x:v>L3-MC-POOL-ALLOC-005</x:v>
      </x:c>
      <x:c r="D48" s="25" t="str">
        <x:v>SF-01</x:v>
      </x:c>
      <x:c r="E48" s="25" t="str">
        <x:v>IR-01-01</x:v>
      </x:c>
      <x:c r="F48" s="22" t="str">
        <x:v>L3 传输管理层</x:v>
      </x:c>
      <x:c r="G48" s="22" t="str">
        <x:v>TM3</x:v>
      </x:c>
      <x:c r="H48" s="22" t="str">
        <x:v>统一存储池与分层管理</x:v>
      </x:c>
      <x:c r="I48" s="22" t="str">
        <x:v>P2</x:v>
      </x:c>
      <x:c r="J48" s="22" t="str">
        <x:v>P2</x:v>
      </x:c>
      <x:c r="K48" s="22" t="str">
        <x:v>契约配置与降级</x:v>
      </x:c>
      <x:c r="L48" s="22" t="str">
        <x:v>存储池/传输管理开发</x:v>
      </x:c>
      <x:c r="M48" s="22" t="str">
        <x:v>api/kvcache/v1/pool_alloc.proto + config/runtime/pool_alloc.yaml</x:v>
      </x:c>
      <x:c r="N48" s="22" t="str">
        <x:v>POOLALLOCOptions / kvcache.pool_alloc.enabled</x:v>
      </x:c>
      <x:c r="O48" s="22" t="str">
        <x:v>为 `POOLALLOCOptions` 增加 `kvcache.pool_alloc.enabled`、deadline/容量/队列预算及版本字段；在调用点接入 typed error、decision_reason、fallback_reason，确保配置热更新、灰度关闭和向后兼容均可审计。</x:v>
      </x:c>
      <x:c r="P48" s="22" t="str">
        <x:v>IDL/配置 schema 有版本号、默认值、边界校验和错误码；状态/租约/ready 不满足时按 OOM/碎片/路径不可用时拒绝、降级下沉或重算；活动对象禁止迁移</x:v>
      </x:c>
      <x:c r="Q48" s="22" t="str">
        <x:v>配置样例、schema 校验、升级兼容测试和回退路径齐全；任何隐式 fallback 被移除；新增指标可关联 request_id/query_plan_id/object_id/path_id。</x:v>
      </x:c>
      <x:c r="R48" s="22" t="str">
        <x:v>ctest -R POOLALLOCConfig &amp;&amp; ./bin/kvcache_config_check --case=pool_alloc</x:v>
      </x:c>
      <x:c r="S48" s="22" t="str">
        <x:v>节点动态加入/退出时的缓存失效控制在局部范围内（遵循一致性哈希比例）。</x:v>
      </x:c>
      <x:c r="T48" s="22" t="str">
        <x:v>SR-01-01-15</x:v>
      </x:c>
      <x:c r="U48" s="22" t="str">
        <x:v>待认领</x:v>
      </x:c>
      <x:c r="V48" s="22" t="str"/>
      <x:c r="W48" s="22" t="str"/>
      <x:c r="X48" s="22" t="str">
        <x:f>IF(COUNTIF($A$5:$A$451,A48)=1,"PASS","FAIL")</x:f>
        <x:v>PASS</x:v>
      </x:c>
      <x:c r="Y48" s="22" t="str">
        <x:f>IF(COUNTIF('SR系统设计'!$A$5:$A$153,B48)+COUNTIF('追溯与覆盖'!$A$5:$A$153,C48)=2,"PASS","FAIL")</x:f>
        <x:v>PASS</x:v>
      </x:c>
    </x:row>
    <x:row r="49" ht="84" customHeight="1">
      <x:c r="A49" s="25" t="str">
        <x:v>AR-L3-MC-POOL-ALLOC-005-03</x:v>
      </x:c>
      <x:c r="B49" s="25" t="str">
        <x:v>SR-01-01-15</x:v>
      </x:c>
      <x:c r="C49" s="25" t="str">
        <x:v>L3-MC-POOL-ALLOC-005</x:v>
      </x:c>
      <x:c r="D49" s="25" t="str">
        <x:v>SF-01</x:v>
      </x:c>
      <x:c r="E49" s="25" t="str">
        <x:v>IR-01-01</x:v>
      </x:c>
      <x:c r="F49" s="22" t="str">
        <x:v>L3 传输管理层</x:v>
      </x:c>
      <x:c r="G49" s="22" t="str">
        <x:v>TM3</x:v>
      </x:c>
      <x:c r="H49" s="22" t="str">
        <x:v>统一存储池与分层管理</x:v>
      </x:c>
      <x:c r="I49" s="22" t="str">
        <x:v>P2</x:v>
      </x:c>
      <x:c r="J49" s="22" t="str">
        <x:v>P2</x:v>
      </x:c>
      <x:c r="K49" s="22" t="str">
        <x:v>验证与观测</x:v>
      </x:c>
      <x:c r="L49" s="22" t="str">
        <x:v>存储池/传输管理开发</x:v>
      </x:c>
      <x:c r="M49" s="22" t="str">
        <x:v>tests/pool/tiering/pool_alloc_test.cc + benchmarks/pool/tiering/pool_alloc_benchmark.cc</x:v>
      </x:c>
      <x:c r="N49" s="22" t="str">
        <x:v>POOLALLOCTest / POOLALLOCBenchmark</x:v>
      </x:c>
      <x:c r="O49" s="22" t="str">
        <x:v>新增正常、边界、并发、超时、stale metadata、迁移冲突、路径拥塞/故障与 feature-flag-off 用例；在 benchmark 中固定模型、tokenizer、prompt、并发、拓扑和 baseline，采集 lookup/load/attach、TTFT、TPOT、usable/abandoned hit、带宽/时延及 CPU/NPU 利用率。</x:v>
      </x:c>
      <x:c r="P49" s="22" t="str">
        <x:v>验收直接引用来源指标：“节点动态加入/退出时的缓存失效控制在局部范围内（遵循一致性哈希比例）。”；故障用例必须证明错误 KV 不被消费且 fallback reason 可追踪。</x:v>
      </x:c>
      <x:c r="Q49" s="22" t="str">
        <x:v>来源验收项全部自动化；性能报告包含 P50/P95/P99、置信区间与 baseline；失败门槛接入 CI；测试数据和命令可复现。</x:v>
      </x:c>
      <x:c r="R49" s="22" t="str">
        <x:v>./bin/kvcache_bench --case=pool_alloc --baseline=native --report=json</x:v>
      </x:c>
      <x:c r="S49" s="22" t="str">
        <x:v>节点动态加入/退出时的缓存失效控制在局部范围内（遵循一致性哈希比例）。</x:v>
      </x:c>
      <x:c r="T49" s="22" t="str">
        <x:v>SR-01-01-15</x:v>
      </x:c>
      <x:c r="U49" s="22" t="str">
        <x:v>待认领</x:v>
      </x:c>
      <x:c r="V49" s="22" t="str"/>
      <x:c r="W49" s="22" t="str"/>
      <x:c r="X49" s="22" t="str">
        <x:f>IF(COUNTIF($A$5:$A$451,A49)=1,"PASS","FAIL")</x:f>
        <x:v>PASS</x:v>
      </x:c>
      <x:c r="Y49" s="22" t="str">
        <x:f>IF(COUNTIF('SR系统设计'!$A$5:$A$153,B49)+COUNTIF('追溯与覆盖'!$A$5:$A$153,C49)=2,"PASS","FAIL")</x:f>
        <x:v>PASS</x:v>
      </x:c>
    </x:row>
    <x:row r="50" ht="84" customHeight="1">
      <x:c r="A50" s="25" t="str">
        <x:v>AR-L3-MC-UBAllocator-049-01</x:v>
      </x:c>
      <x:c r="B50" s="25" t="str">
        <x:v>SR-01-01-16</x:v>
      </x:c>
      <x:c r="C50" s="25" t="str">
        <x:v>L3-MC-UBAllocator-049</x:v>
      </x:c>
      <x:c r="D50" s="25" t="str">
        <x:v>SF-01</x:v>
      </x:c>
      <x:c r="E50" s="25" t="str">
        <x:v>IR-01-01</x:v>
      </x:c>
      <x:c r="F50" s="22" t="str">
        <x:v>L3 传输管理层</x:v>
      </x:c>
      <x:c r="G50" s="22" t="str">
        <x:v>TM3</x:v>
      </x:c>
      <x:c r="H50" s="22" t="str">
        <x:v>统一存储池与分层管理</x:v>
      </x:c>
      <x:c r="I50" s="22" t="str">
        <x:v>P2</x:v>
      </x:c>
      <x:c r="J50" s="22" t="str">
        <x:v>P2</x:v>
      </x:c>
      <x:c r="K50" s="22" t="str">
        <x:v>核心实现</x:v>
      </x:c>
      <x:c r="L50" s="22" t="str">
        <x:v>存储池/传输管理开发</x:v>
      </x:c>
      <x:c r="M50" s="22" t="str">
        <x:v>src/pool/tiering/uballocator.{h,cc}</x:v>
      </x:c>
      <x:c r="N50" s="22" t="str">
        <x:v>UBAllocatorManager</x:v>
      </x:c>
      <x:c r="O50" s="22" t="str">
        <x:v>在 `src/pool/tiering/uballocator.{h,cc}` 新增或重写 `UBAllocatorManager`，把“UB 共享 KV 热存储池管理”落实为 L3 传输管理层 可调用主路径：本需求要求实现 UB pooled memory 专用 KV allocator：采用 offset-based addressing、hugepage/page coloring、NUMA/fabric locality、free-list、defrag 与 quota 控制，将 UB pool 从裸内存资源变成可管理 KV tier。 输入必须显式消费 KVAccessIntent + KVBlockSpec + tier telemetry，输出 KVObjectHandle + Placement + state transition，不得用全局单例或隐藏同步 I/O 绕开预算与状态机。</x:v>
      </x:c>
      <x:c r="P50" s="22" t="str">
        <x:v>实现 KVAccessIntent + KVBlockSpec + tier telemetry → KVObjectHandle + Placement + state transition；遵守 OOM/碎片/路径不可用时拒绝、降级下沉或重算；活动对象禁止迁移</x:v>
      </x:c>
      <x:c r="Q50" s="22" t="str">
        <x:v>核心算法与状态转换完成；新增代码单测分支覆盖≥85%；线程安全/所有权明确；关闭 feature flag 时行为与 baseline 一致。</x:v>
      </x:c>
      <x:c r="R50" s="22" t="str">
        <x:v>ctest -R UBAllocator --output-on-failure</x:v>
      </x:c>
      <x:c r="S50" s="22" t="str">
        <x:v>全局内存利用率提升至≥85%，跨级冷热数据迁移过程中的TPOT抖动 &lt; 5%。</x:v>
      </x:c>
      <x:c r="T50" s="22" t="str">
        <x:v>SR-01-01-16</x:v>
      </x:c>
      <x:c r="U50" s="22" t="str">
        <x:v>待认领</x:v>
      </x:c>
      <x:c r="V50" s="22" t="str"/>
      <x:c r="W50" s="22" t="str"/>
      <x:c r="X50" s="22" t="str">
        <x:f>IF(COUNTIF($A$5:$A$451,A50)=1,"PASS","FAIL")</x:f>
        <x:v>PASS</x:v>
      </x:c>
      <x:c r="Y50" s="22" t="str">
        <x:f>IF(COUNTIF('SR系统设计'!$A$5:$A$153,B50)+COUNTIF('追溯与覆盖'!$A$5:$A$153,C50)=2,"PASS","FAIL")</x:f>
        <x:v>PASS</x:v>
      </x:c>
    </x:row>
    <x:row r="51" ht="84" customHeight="1">
      <x:c r="A51" s="25" t="str">
        <x:v>AR-L3-MC-UBAllocator-049-02</x:v>
      </x:c>
      <x:c r="B51" s="25" t="str">
        <x:v>SR-01-01-16</x:v>
      </x:c>
      <x:c r="C51" s="25" t="str">
        <x:v>L3-MC-UBAllocator-049</x:v>
      </x:c>
      <x:c r="D51" s="25" t="str">
        <x:v>SF-01</x:v>
      </x:c>
      <x:c r="E51" s="25" t="str">
        <x:v>IR-01-01</x:v>
      </x:c>
      <x:c r="F51" s="22" t="str">
        <x:v>L3 传输管理层</x:v>
      </x:c>
      <x:c r="G51" s="22" t="str">
        <x:v>TM3</x:v>
      </x:c>
      <x:c r="H51" s="22" t="str">
        <x:v>统一存储池与分层管理</x:v>
      </x:c>
      <x:c r="I51" s="22" t="str">
        <x:v>P2</x:v>
      </x:c>
      <x:c r="J51" s="22" t="str">
        <x:v>P2</x:v>
      </x:c>
      <x:c r="K51" s="22" t="str">
        <x:v>契约配置与降级</x:v>
      </x:c>
      <x:c r="L51" s="22" t="str">
        <x:v>存储池/传输管理开发</x:v>
      </x:c>
      <x:c r="M51" s="22" t="str">
        <x:v>api/kvcache/v1/uballocator.proto + config/runtime/uballocator.yaml</x:v>
      </x:c>
      <x:c r="N51" s="22" t="str">
        <x:v>UBAllocatorOptions / kvcache.uballocator.enabled</x:v>
      </x:c>
      <x:c r="O51" s="22" t="str">
        <x:v>为 `UBAllocatorOptions` 增加 `kvcache.uballocator.enabled`、deadline/容量/队列预算及版本字段；在调用点接入 typed error、decision_reason、fallback_reason，确保配置热更新、灰度关闭和向后兼容均可审计。</x:v>
      </x:c>
      <x:c r="P51" s="22" t="str">
        <x:v>IDL/配置 schema 有版本号、默认值、边界校验和错误码；状态/租约/ready 不满足时按 OOM/碎片/路径不可用时拒绝、降级下沉或重算；活动对象禁止迁移</x:v>
      </x:c>
      <x:c r="Q51" s="22" t="str">
        <x:v>配置样例、schema 校验、升级兼容测试和回退路径齐全；任何隐式 fallback 被移除；新增指标可关联 request_id/query_plan_id/object_id/path_id。</x:v>
      </x:c>
      <x:c r="R51" s="22" t="str">
        <x:v>ctest -R UBAllocatorConfig &amp;&amp; ./bin/kvcache_config_check --case=uballocator</x:v>
      </x:c>
      <x:c r="S51" s="22" t="str">
        <x:v>全局内存利用率提升至≥85%，跨级冷热数据迁移过程中的TPOT抖动 &lt; 5%。</x:v>
      </x:c>
      <x:c r="T51" s="22" t="str">
        <x:v>SR-01-01-16</x:v>
      </x:c>
      <x:c r="U51" s="22" t="str">
        <x:v>待认领</x:v>
      </x:c>
      <x:c r="V51" s="22" t="str"/>
      <x:c r="W51" s="22" t="str"/>
      <x:c r="X51" s="22" t="str">
        <x:f>IF(COUNTIF($A$5:$A$451,A51)=1,"PASS","FAIL")</x:f>
        <x:v>PASS</x:v>
      </x:c>
      <x:c r="Y51" s="22" t="str">
        <x:f>IF(COUNTIF('SR系统设计'!$A$5:$A$153,B51)+COUNTIF('追溯与覆盖'!$A$5:$A$153,C51)=2,"PASS","FAIL")</x:f>
        <x:v>PASS</x:v>
      </x:c>
    </x:row>
    <x:row r="52" ht="84" customHeight="1">
      <x:c r="A52" s="25" t="str">
        <x:v>AR-L3-MC-UBAllocator-049-03</x:v>
      </x:c>
      <x:c r="B52" s="25" t="str">
        <x:v>SR-01-01-16</x:v>
      </x:c>
      <x:c r="C52" s="25" t="str">
        <x:v>L3-MC-UBAllocator-049</x:v>
      </x:c>
      <x:c r="D52" s="25" t="str">
        <x:v>SF-01</x:v>
      </x:c>
      <x:c r="E52" s="25" t="str">
        <x:v>IR-01-01</x:v>
      </x:c>
      <x:c r="F52" s="22" t="str">
        <x:v>L3 传输管理层</x:v>
      </x:c>
      <x:c r="G52" s="22" t="str">
        <x:v>TM3</x:v>
      </x:c>
      <x:c r="H52" s="22" t="str">
        <x:v>统一存储池与分层管理</x:v>
      </x:c>
      <x:c r="I52" s="22" t="str">
        <x:v>P2</x:v>
      </x:c>
      <x:c r="J52" s="22" t="str">
        <x:v>P2</x:v>
      </x:c>
      <x:c r="K52" s="22" t="str">
        <x:v>验证与观测</x:v>
      </x:c>
      <x:c r="L52" s="22" t="str">
        <x:v>存储池/传输管理开发</x:v>
      </x:c>
      <x:c r="M52" s="22" t="str">
        <x:v>tests/pool/tiering/uballocator_test.cc + benchmarks/pool/tiering/uballocator_benchmark.cc</x:v>
      </x:c>
      <x:c r="N52" s="22" t="str">
        <x:v>UBAllocatorTest / UBAllocatorBenchmark</x:v>
      </x:c>
      <x:c r="O52" s="22" t="str">
        <x:v>新增正常、边界、并发、超时、stale metadata、迁移冲突、路径拥塞/故障与 feature-flag-off 用例；在 benchmark 中固定模型、tokenizer、prompt、并发、拓扑和 baseline，采集 lookup/load/attach、TTFT、TPOT、usable/abandoned hit、带宽/时延及 CPU/NPU 利用率。</x:v>
      </x:c>
      <x:c r="P52" s="22" t="str">
        <x:v>验收直接引用来源指标：“全局内存利用率提升至≥85%，跨级冷热数据迁移过程中的TPOT抖动 &lt; 5%。”；故障用例必须证明错误 KV 不被消费且 fallback reason 可追踪。</x:v>
      </x:c>
      <x:c r="Q52" s="22" t="str">
        <x:v>来源验收项全部自动化；性能报告包含 P50/P95/P99、置信区间与 baseline；失败门槛接入 CI；测试数据和命令可复现。</x:v>
      </x:c>
      <x:c r="R52" s="22" t="str">
        <x:v>./bin/kvcache_bench --case=uballocator --baseline=native --report=json</x:v>
      </x:c>
      <x:c r="S52" s="22" t="str">
        <x:v>全局内存利用率提升至≥85%，跨级冷热数据迁移过程中的TPOT抖动 &lt; 5%。</x:v>
      </x:c>
      <x:c r="T52" s="22" t="str">
        <x:v>SR-01-01-16</x:v>
      </x:c>
      <x:c r="U52" s="22" t="str">
        <x:v>待认领</x:v>
      </x:c>
      <x:c r="V52" s="22" t="str"/>
      <x:c r="W52" s="22" t="str"/>
      <x:c r="X52" s="22" t="str">
        <x:f>IF(COUNTIF($A$5:$A$451,A52)=1,"PASS","FAIL")</x:f>
        <x:v>PASS</x:v>
      </x:c>
      <x:c r="Y52" s="22" t="str">
        <x:f>IF(COUNTIF('SR系统设计'!$A$5:$A$153,B52)+COUNTIF('追溯与覆盖'!$A$5:$A$153,C52)=2,"PASS","FAIL")</x:f>
        <x:v>PASS</x:v>
      </x:c>
    </x:row>
    <x:row r="53" ht="84" customHeight="1">
      <x:c r="A53" s="25" t="str">
        <x:v>AR-L2-KV-PartialAttachPlan-038-01</x:v>
      </x:c>
      <x:c r="B53" s="25" t="str">
        <x:v>SR-01-02-01</x:v>
      </x:c>
      <x:c r="C53" s="25" t="str">
        <x:v>L2-KV-PartialAttachPlan-038</x:v>
      </x:c>
      <x:c r="D53" s="25" t="str">
        <x:v>SF-01</x:v>
      </x:c>
      <x:c r="E53" s="25" t="str">
        <x:v>IR-01-02</x:v>
      </x:c>
      <x:c r="F53" s="22" t="str">
        <x:v>L2 KVConnector层</x:v>
      </x:c>
      <x:c r="G53" s="22" t="str">
        <x:v>TM4</x:v>
      </x:c>
      <x:c r="H53" s="22" t="str">
        <x:v>传输描述与布局协商</x:v>
      </x:c>
      <x:c r="I53" s="22" t="str">
        <x:v>P1</x:v>
      </x:c>
      <x:c r="J53" s="22" t="str">
        <x:v>P1</x:v>
      </x:c>
      <x:c r="K53" s="22" t="str">
        <x:v>核心实现</x:v>
      </x:c>
      <x:c r="L53" s="22" t="str">
        <x:v>Connector开发</x:v>
      </x:c>
      <x:c r="M53" s="22" t="str">
        <x:v>src/transfer/descriptor/partial_attach_plan.{h,cc}</x:v>
      </x:c>
      <x:c r="N53" s="22" t="str">
        <x:v>PartialAttachPlanCompiler</x:v>
      </x:c>
      <x:c r="O53" s="22" t="str">
        <x:v>在 `src/transfer/descriptor/partial_attach_plan.{h,cc}` 新增或重写 `PartialAttachPlanCompiler`，把“部分前缀命中复用”落实为 L2 KVConnector层 可调用主路径：本需求要求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 输入必须显式消费 KV layout + logical spans + target capability，输出 BulkDescriptor + LayoutTransformPlan，不得用全局单例或隐藏同步 I/O 绕开预算与状态机。</x:v>
      </x:c>
      <x:c r="P53" s="22" t="str">
        <x:v>实现 KV layout + logical spans + target capability → BulkDescriptor + LayoutTransformPlan；遵守 布局不兼容时换副本、执行显式 transform 或重算；禁止隐式错误 attach</x:v>
      </x:c>
      <x:c r="Q53" s="22" t="str">
        <x:v>核心算法与状态转换完成；新增代码单测分支覆盖≥85%；线程安全/所有权明确；关闭 feature flag 时行为与 baseline 一致。</x:v>
      </x:c>
      <x:c r="R53" s="22" t="str">
        <x:v>ctest -R PartialAttachPlan --output-on-failure</x:v>
      </x:c>
      <x:c r="S53" s="22" t="str">
        <x:v>Prefix命中判定P99耗时 &lt; 200us；在Share-Prefix业务下，Usable Hit Rate提升≥15%。</x:v>
      </x:c>
      <x:c r="T53" s="22" t="str">
        <x:v>SR-01-02-01</x:v>
      </x:c>
      <x:c r="U53" s="22" t="str">
        <x:v>待认领</x:v>
      </x:c>
      <x:c r="V53" s="22" t="str"/>
      <x:c r="W53" s="22" t="str"/>
      <x:c r="X53" s="22" t="str">
        <x:f>IF(COUNTIF($A$5:$A$451,A53)=1,"PASS","FAIL")</x:f>
        <x:v>PASS</x:v>
      </x:c>
      <x:c r="Y53" s="22" t="str">
        <x:f>IF(COUNTIF('SR系统设计'!$A$5:$A$153,B53)+COUNTIF('追溯与覆盖'!$A$5:$A$153,C53)=2,"PASS","FAIL")</x:f>
        <x:v>PASS</x:v>
      </x:c>
    </x:row>
    <x:row r="54" ht="84" customHeight="1">
      <x:c r="A54" s="25" t="str">
        <x:v>AR-L2-KV-PartialAttachPlan-038-02</x:v>
      </x:c>
      <x:c r="B54" s="25" t="str">
        <x:v>SR-01-02-01</x:v>
      </x:c>
      <x:c r="C54" s="25" t="str">
        <x:v>L2-KV-PartialAttachPlan-038</x:v>
      </x:c>
      <x:c r="D54" s="25" t="str">
        <x:v>SF-01</x:v>
      </x:c>
      <x:c r="E54" s="25" t="str">
        <x:v>IR-01-02</x:v>
      </x:c>
      <x:c r="F54" s="22" t="str">
        <x:v>L2 KVConnector层</x:v>
      </x:c>
      <x:c r="G54" s="22" t="str">
        <x:v>TM4</x:v>
      </x:c>
      <x:c r="H54" s="22" t="str">
        <x:v>传输描述与布局协商</x:v>
      </x:c>
      <x:c r="I54" s="22" t="str">
        <x:v>P1</x:v>
      </x:c>
      <x:c r="J54" s="22" t="str">
        <x:v>P1</x:v>
      </x:c>
      <x:c r="K54" s="22" t="str">
        <x:v>契约配置与降级</x:v>
      </x:c>
      <x:c r="L54" s="22" t="str">
        <x:v>Connector开发</x:v>
      </x:c>
      <x:c r="M54" s="22" t="str">
        <x:v>api/kvcache/v1/partial_attach_plan.proto + config/runtime/partial_attach_plan.yaml</x:v>
      </x:c>
      <x:c r="N54" s="22" t="str">
        <x:v>PartialAttachPlanOptions / kvcache.partial_attach_plan.enabled</x:v>
      </x:c>
      <x:c r="O54" s="22" t="str">
        <x:v>为 `PartialAttachPlanOptions` 增加 `kvcache.partial_attach_plan.enabled`、deadline/容量/队列预算及版本字段；在调用点接入 typed error、decision_reason、fallback_reason，确保配置热更新、灰度关闭和向后兼容均可审计。</x:v>
      </x:c>
      <x:c r="P54" s="22" t="str">
        <x:v>IDL/配置 schema 有版本号、默认值、边界校验和错误码；状态/租约/ready 不满足时按 布局不兼容时换副本、执行显式 transform 或重算；禁止隐式错误 attach</x:v>
      </x:c>
      <x:c r="Q54" s="22" t="str">
        <x:v>配置样例、schema 校验、升级兼容测试和回退路径齐全；任何隐式 fallback 被移除；新增指标可关联 request_id/query_plan_id/object_id/path_id。</x:v>
      </x:c>
      <x:c r="R54" s="22" t="str">
        <x:v>ctest -R PartialAttachPlanConfig &amp;&amp; ./bin/kvcache_config_check --case=partial_attach_plan</x:v>
      </x:c>
      <x:c r="S54" s="22" t="str">
        <x:v>Prefix命中判定P99耗时 &lt; 200us；在Share-Prefix业务下，Usable Hit Rate提升≥15%。</x:v>
      </x:c>
      <x:c r="T54" s="22" t="str">
        <x:v>SR-01-02-01</x:v>
      </x:c>
      <x:c r="U54" s="22" t="str">
        <x:v>待认领</x:v>
      </x:c>
      <x:c r="V54" s="22" t="str"/>
      <x:c r="W54" s="22" t="str"/>
      <x:c r="X54" s="22" t="str">
        <x:f>IF(COUNTIF($A$5:$A$451,A54)=1,"PASS","FAIL")</x:f>
        <x:v>PASS</x:v>
      </x:c>
      <x:c r="Y54" s="22" t="str">
        <x:f>IF(COUNTIF('SR系统设计'!$A$5:$A$153,B54)+COUNTIF('追溯与覆盖'!$A$5:$A$153,C54)=2,"PASS","FAIL")</x:f>
        <x:v>PASS</x:v>
      </x:c>
    </x:row>
    <x:row r="55" ht="84" customHeight="1">
      <x:c r="A55" s="25" t="str">
        <x:v>AR-L2-KV-PartialAttachPlan-038-03</x:v>
      </x:c>
      <x:c r="B55" s="25" t="str">
        <x:v>SR-01-02-01</x:v>
      </x:c>
      <x:c r="C55" s="25" t="str">
        <x:v>L2-KV-PartialAttachPlan-038</x:v>
      </x:c>
      <x:c r="D55" s="25" t="str">
        <x:v>SF-01</x:v>
      </x:c>
      <x:c r="E55" s="25" t="str">
        <x:v>IR-01-02</x:v>
      </x:c>
      <x:c r="F55" s="22" t="str">
        <x:v>L2 KVConnector层</x:v>
      </x:c>
      <x:c r="G55" s="22" t="str">
        <x:v>TM4</x:v>
      </x:c>
      <x:c r="H55" s="22" t="str">
        <x:v>传输描述与布局协商</x:v>
      </x:c>
      <x:c r="I55" s="22" t="str">
        <x:v>P1</x:v>
      </x:c>
      <x:c r="J55" s="22" t="str">
        <x:v>P1</x:v>
      </x:c>
      <x:c r="K55" s="22" t="str">
        <x:v>验证与观测</x:v>
      </x:c>
      <x:c r="L55" s="22" t="str">
        <x:v>Connector开发</x:v>
      </x:c>
      <x:c r="M55" s="22" t="str">
        <x:v>tests/transfer/descriptor/partial_attach_plan_test.cc + benchmarks/transfer/descriptor/partial_attach_plan_benchmark.cc</x:v>
      </x:c>
      <x:c r="N55" s="22" t="str">
        <x:v>PartialAttachPlanTest / PartialAttachPlanBenchmark</x:v>
      </x:c>
      <x:c r="O55" s="22" t="str">
        <x:v>新增正常、边界、并发、超时、stale metadata、迁移冲突、路径拥塞/故障与 feature-flag-off 用例；在 benchmark 中固定模型、tokenizer、prompt、并发、拓扑和 baseline，采集 lookup/load/attach、TTFT、TPOT、usable/abandoned hit、带宽/时延及 CPU/NPU 利用率。</x:v>
      </x:c>
      <x:c r="P55" s="22" t="str">
        <x:v>验收直接引用来源指标：“Prefix命中判定P99耗时 &lt; 200us；在Share-Prefix业务下，Usable Hit Rate提升≥15%。”；故障用例必须证明错误 KV 不被消费且 fallback reason 可追踪。</x:v>
      </x:c>
      <x:c r="Q55" s="22" t="str">
        <x:v>来源验收项全部自动化；性能报告包含 P50/P95/P99、置信区间与 baseline；失败门槛接入 CI；测试数据和命令可复现。</x:v>
      </x:c>
      <x:c r="R55" s="22" t="str">
        <x:v>./bin/kvcache_bench --case=partial_attach_plan --baseline=native --report=json</x:v>
      </x:c>
      <x:c r="S55" s="22" t="str">
        <x:v>Prefix命中判定P99耗时 &lt; 200us；在Share-Prefix业务下，Usable Hit Rate提升≥15%。</x:v>
      </x:c>
      <x:c r="T55" s="22" t="str">
        <x:v>SR-01-02-01</x:v>
      </x:c>
      <x:c r="U55" s="22" t="str">
        <x:v>待认领</x:v>
      </x:c>
      <x:c r="V55" s="22" t="str"/>
      <x:c r="W55" s="22" t="str"/>
      <x:c r="X55" s="22" t="str">
        <x:f>IF(COUNTIF($A$5:$A$451,A55)=1,"PASS","FAIL")</x:f>
        <x:v>PASS</x:v>
      </x:c>
      <x:c r="Y55" s="22" t="str">
        <x:f>IF(COUNTIF('SR系统设计'!$A$5:$A$153,B55)+COUNTIF('追溯与覆盖'!$A$5:$A$153,C55)=2,"PASS","FAIL")</x:f>
        <x:v>PASS</x:v>
      </x:c>
    </x:row>
    <x:row r="56" ht="84" customHeight="1">
      <x:c r="A56" s="25" t="str">
        <x:v>AR-L2-OL-BulkDescriptor-025-01</x:v>
      </x:c>
      <x:c r="B56" s="25" t="str">
        <x:v>SR-01-02-02</x:v>
      </x:c>
      <x:c r="C56" s="25" t="str">
        <x:v>L2-OL-BulkDescriptor-025</x:v>
      </x:c>
      <x:c r="D56" s="25" t="str">
        <x:v>SF-01</x:v>
      </x:c>
      <x:c r="E56" s="25" t="str">
        <x:v>IR-01-02</x:v>
      </x:c>
      <x:c r="F56" s="22" t="str">
        <x:v>L2 KVConnector层</x:v>
      </x:c>
      <x:c r="G56" s="22" t="str">
        <x:v>TM4</x:v>
      </x:c>
      <x:c r="H56" s="22" t="str">
        <x:v>传输描述与布局协商</x:v>
      </x:c>
      <x:c r="I56" s="22" t="str">
        <x:v>P1</x:v>
      </x:c>
      <x:c r="J56" s="22" t="str">
        <x:v>P1</x:v>
      </x:c>
      <x:c r="K56" s="22" t="str">
        <x:v>核心实现</x:v>
      </x:c>
      <x:c r="L56" s="22" t="str">
        <x:v>Connector开发</x:v>
      </x:c>
      <x:c r="M56" s="22" t="str">
        <x:v>src/transfer/descriptor/bulk_descriptor.{h,cc}</x:v>
      </x:c>
      <x:c r="N56" s="22" t="str">
        <x:v>BulkDescriptorCompiler</x:v>
      </x:c>
      <x:c r="O56" s="22" t="str">
        <x:v>在 `src/transfer/descriptor/bulk_descriptor.{h,cc}` 新增或重写 `BulkDescriptorCompiler`，把“KVCache 批量卸载与批量加载”落实为 L2 KVConnector层 可调用主路径：本需求要求 Connector 将多个不连续 KV block/page 合并为 scatter-gather bulk descriptor，支持 coalescing、max descriptor count、min transfer granularity、batch submit，避免 for-loop 式小块传输放大 CPU submit 与 DMA/RDMA setup 开销。 输入必须显式消费 KV layout + logical spans + target capability，输出 BulkDescriptor + LayoutTransformPlan，不得用全局单例或隐藏同步 I/O 绕开预算与状态机。</x:v>
      </x:c>
      <x:c r="P56" s="22" t="str">
        <x:v>实现 KV layout + logical spans + target capability → BulkDescriptor + LayoutTransformPlan；遵守 布局不兼容时换副本、执行显式 transform 或重算；禁止隐式错误 attach</x:v>
      </x:c>
      <x:c r="Q56" s="22" t="str">
        <x:v>核心算法与状态转换完成；新增代码单测分支覆盖≥85%；线程安全/所有权明确；关闭 feature flag 时行为与 baseline 一致。</x:v>
      </x:c>
      <x:c r="R56" s="22" t="str">
        <x:v>ctest -R BulkDescriptor --output-on-failure</x:v>
      </x:c>
      <x:c r="S56" s="22" t="str">
        <x:v>CPU submit time 降低 ≥40%；</x:v>
      </x:c>
      <x:c r="T56" s="22" t="str">
        <x:v>SR-01-02-02</x:v>
      </x:c>
      <x:c r="U56" s="22" t="str">
        <x:v>待认领</x:v>
      </x:c>
      <x:c r="V56" s="22" t="str"/>
      <x:c r="W56" s="22" t="str"/>
      <x:c r="X56" s="22" t="str">
        <x:f>IF(COUNTIF($A$5:$A$451,A56)=1,"PASS","FAIL")</x:f>
        <x:v>PASS</x:v>
      </x:c>
      <x:c r="Y56" s="22" t="str">
        <x:f>IF(COUNTIF('SR系统设计'!$A$5:$A$153,B56)+COUNTIF('追溯与覆盖'!$A$5:$A$153,C56)=2,"PASS","FAIL")</x:f>
        <x:v>PASS</x:v>
      </x:c>
    </x:row>
    <x:row r="57" ht="84" customHeight="1">
      <x:c r="A57" s="25" t="str">
        <x:v>AR-L2-OL-BulkDescriptor-025-02</x:v>
      </x:c>
      <x:c r="B57" s="25" t="str">
        <x:v>SR-01-02-02</x:v>
      </x:c>
      <x:c r="C57" s="25" t="str">
        <x:v>L2-OL-BulkDescriptor-025</x:v>
      </x:c>
      <x:c r="D57" s="25" t="str">
        <x:v>SF-01</x:v>
      </x:c>
      <x:c r="E57" s="25" t="str">
        <x:v>IR-01-02</x:v>
      </x:c>
      <x:c r="F57" s="22" t="str">
        <x:v>L2 KVConnector层</x:v>
      </x:c>
      <x:c r="G57" s="22" t="str">
        <x:v>TM4</x:v>
      </x:c>
      <x:c r="H57" s="22" t="str">
        <x:v>传输描述与布局协商</x:v>
      </x:c>
      <x:c r="I57" s="22" t="str">
        <x:v>P1</x:v>
      </x:c>
      <x:c r="J57" s="22" t="str">
        <x:v>P1</x:v>
      </x:c>
      <x:c r="K57" s="22" t="str">
        <x:v>契约配置与降级</x:v>
      </x:c>
      <x:c r="L57" s="22" t="str">
        <x:v>Connector开发</x:v>
      </x:c>
      <x:c r="M57" s="22" t="str">
        <x:v>api/kvcache/v1/bulk_descriptor.proto + config/runtime/bulk_descriptor.yaml</x:v>
      </x:c>
      <x:c r="N57" s="22" t="str">
        <x:v>BulkDescriptorOptions / kvcache.bulk_descriptor.enabled</x:v>
      </x:c>
      <x:c r="O57" s="22" t="str">
        <x:v>为 `BulkDescriptorOptions` 增加 `kvcache.bulk_descriptor.enabled`、deadline/容量/队列预算及版本字段；在调用点接入 typed error、decision_reason、fallback_reason，确保配置热更新、灰度关闭和向后兼容均可审计。</x:v>
      </x:c>
      <x:c r="P57" s="22" t="str">
        <x:v>IDL/配置 schema 有版本号、默认值、边界校验和错误码；状态/租约/ready 不满足时按 布局不兼容时换副本、执行显式 transform 或重算；禁止隐式错误 attach</x:v>
      </x:c>
      <x:c r="Q57" s="22" t="str">
        <x:v>配置样例、schema 校验、升级兼容测试和回退路径齐全；任何隐式 fallback 被移除；新增指标可关联 request_id/query_plan_id/object_id/path_id。</x:v>
      </x:c>
      <x:c r="R57" s="22" t="str">
        <x:v>ctest -R BulkDescriptorConfig &amp;&amp; ./bin/kvcache_config_check --case=bulk_descriptor</x:v>
      </x:c>
      <x:c r="S57" s="22" t="str">
        <x:v>CPU submit time 降低 ≥40%；</x:v>
      </x:c>
      <x:c r="T57" s="22" t="str">
        <x:v>SR-01-02-02</x:v>
      </x:c>
      <x:c r="U57" s="22" t="str">
        <x:v>待认领</x:v>
      </x:c>
      <x:c r="V57" s="22" t="str"/>
      <x:c r="W57" s="22" t="str"/>
      <x:c r="X57" s="22" t="str">
        <x:f>IF(COUNTIF($A$5:$A$451,A57)=1,"PASS","FAIL")</x:f>
        <x:v>PASS</x:v>
      </x:c>
      <x:c r="Y57" s="22" t="str">
        <x:f>IF(COUNTIF('SR系统设计'!$A$5:$A$153,B57)+COUNTIF('追溯与覆盖'!$A$5:$A$153,C57)=2,"PASS","FAIL")</x:f>
        <x:v>PASS</x:v>
      </x:c>
    </x:row>
    <x:row r="58" ht="84" customHeight="1">
      <x:c r="A58" s="25" t="str">
        <x:v>AR-L2-OL-BulkDescriptor-025-03</x:v>
      </x:c>
      <x:c r="B58" s="25" t="str">
        <x:v>SR-01-02-02</x:v>
      </x:c>
      <x:c r="C58" s="25" t="str">
        <x:v>L2-OL-BulkDescriptor-025</x:v>
      </x:c>
      <x:c r="D58" s="25" t="str">
        <x:v>SF-01</x:v>
      </x:c>
      <x:c r="E58" s="25" t="str">
        <x:v>IR-01-02</x:v>
      </x:c>
      <x:c r="F58" s="22" t="str">
        <x:v>L2 KVConnector层</x:v>
      </x:c>
      <x:c r="G58" s="22" t="str">
        <x:v>TM4</x:v>
      </x:c>
      <x:c r="H58" s="22" t="str">
        <x:v>传输描述与布局协商</x:v>
      </x:c>
      <x:c r="I58" s="22" t="str">
        <x:v>P1</x:v>
      </x:c>
      <x:c r="J58" s="22" t="str">
        <x:v>P1</x:v>
      </x:c>
      <x:c r="K58" s="22" t="str">
        <x:v>验证与观测</x:v>
      </x:c>
      <x:c r="L58" s="22" t="str">
        <x:v>Connector开发</x:v>
      </x:c>
      <x:c r="M58" s="22" t="str">
        <x:v>tests/transfer/descriptor/bulk_descriptor_test.cc + benchmarks/transfer/descriptor/bulk_descriptor_benchmark.cc</x:v>
      </x:c>
      <x:c r="N58" s="22" t="str">
        <x:v>BulkDescriptorTest / BulkDescriptorBenchmark</x:v>
      </x:c>
      <x:c r="O58" s="22" t="str">
        <x:v>新增正常、边界、并发、超时、stale metadata、迁移冲突、路径拥塞/故障与 feature-flag-off 用例；在 benchmark 中固定模型、tokenizer、prompt、并发、拓扑和 baseline，采集 lookup/load/attach、TTFT、TPOT、usable/abandoned hit、带宽/时延及 CPU/NPU 利用率。</x:v>
      </x:c>
      <x:c r="P58" s="22" t="str">
        <x:v>验收直接引用来源指标：“CPU submit time 降低 ≥40%；”；故障用例必须证明错误 KV 不被消费且 fallback reason 可追踪。</x:v>
      </x:c>
      <x:c r="Q58" s="22" t="str">
        <x:v>来源验收项全部自动化；性能报告包含 P50/P95/P99、置信区间与 baseline；失败门槛接入 CI；测试数据和命令可复现。</x:v>
      </x:c>
      <x:c r="R58" s="22" t="str">
        <x:v>./bin/kvcache_bench --case=bulk_descriptor --baseline=native --report=json</x:v>
      </x:c>
      <x:c r="S58" s="22" t="str">
        <x:v>CPU submit time 降低 ≥40%；</x:v>
      </x:c>
      <x:c r="T58" s="22" t="str">
        <x:v>SR-01-02-02</x:v>
      </x:c>
      <x:c r="U58" s="22" t="str">
        <x:v>待认领</x:v>
      </x:c>
      <x:c r="V58" s="22" t="str"/>
      <x:c r="W58" s="22" t="str"/>
      <x:c r="X58" s="22" t="str">
        <x:f>IF(COUNTIF($A$5:$A$451,A58)=1,"PASS","FAIL")</x:f>
        <x:v>PASS</x:v>
      </x:c>
      <x:c r="Y58" s="22" t="str">
        <x:f>IF(COUNTIF('SR系统设计'!$A$5:$A$153,B58)+COUNTIF('追溯与覆盖'!$A$5:$A$153,C58)=2,"PASS","FAIL")</x:f>
        <x:v>PASS</x:v>
      </x:c>
    </x:row>
    <x:row r="59" ht="84" customHeight="1">
      <x:c r="A59" s="25" t="str">
        <x:v>AR-L2-OL-LayoutNegotiation-024-01</x:v>
      </x:c>
      <x:c r="B59" s="25" t="str">
        <x:v>SR-01-02-03</x:v>
      </x:c>
      <x:c r="C59" s="25" t="str">
        <x:v>L2-OL-LayoutNegotiation-024</x:v>
      </x:c>
      <x:c r="D59" s="25" t="str">
        <x:v>SF-01</x:v>
      </x:c>
      <x:c r="E59" s="25" t="str">
        <x:v>IR-01-02</x:v>
      </x:c>
      <x:c r="F59" s="22" t="str">
        <x:v>L2 KVConnector层</x:v>
      </x:c>
      <x:c r="G59" s="22" t="str">
        <x:v>TM4</x:v>
      </x:c>
      <x:c r="H59" s="22" t="str">
        <x:v>传输描述与布局协商</x:v>
      </x:c>
      <x:c r="I59" s="22" t="str">
        <x:v>P1</x:v>
      </x:c>
      <x:c r="J59" s="22" t="str">
        <x:v>P1</x:v>
      </x:c>
      <x:c r="K59" s="22" t="str">
        <x:v>核心实现</x:v>
      </x:c>
      <x:c r="L59" s="22" t="str">
        <x:v>Connector开发</x:v>
      </x:c>
      <x:c r="M59" s="22" t="str">
        <x:v>src/transfer/descriptor/layout_negotiation.{h,cc}</x:v>
      </x:c>
      <x:c r="N59" s="22" t="str">
        <x:v>LayoutNegotiationCompiler</x:v>
      </x:c>
      <x:c r="O59" s="22" t="str">
        <x:v>在 `src/transfer/descriptor/layout_negotiation.{h,cc}` 新增或重写 `LayoutNegotiationCompiler`，把“KVCache 高效传输布局协商”落实为 L2 KVConnector层 可调用主路径：本需求要求 Connector 与后端协商 KV layout：对 RDMA优先选择 MB 级连续 cross-layer block，对 SGLang HiCache/L存储支持 page-first/page-first-direct，对 SSD/object 支持 segment layout，减少 relayout 和小 descriptor 传输。 输入必须显式消费 KV layout + logical spans + target capability，输出 BulkDescriptor + LayoutTransformPlan，不得用全局单例或隐藏同步 I/O 绕开预算与状态机。</x:v>
      </x:c>
      <x:c r="P59" s="22" t="str">
        <x:v>实现 KV layout + logical spans + target capability → BulkDescriptor + LayoutTransformPlan；遵守 布局不兼容时换副本、执行显式 transform 或重算；禁止隐式错误 attach</x:v>
      </x:c>
      <x:c r="Q59" s="22" t="str">
        <x:v>核心算法与状态转换完成；新增代码单测分支覆盖≥85%；线程安全/所有权明确；关闭 feature flag 时行为与 baseline 一致。</x:v>
      </x:c>
      <x:c r="R59" s="22" t="str">
        <x:v>ctest -R LayoutNegotiation --output-on-failure</x:v>
      </x:c>
      <x:c r="S59" s="22" t="str">
        <x:v>descriptor 数降低 ≥50%；effective BW 提升 ≥30%；</x:v>
      </x:c>
      <x:c r="T59" s="22" t="str">
        <x:v>SR-01-02-03</x:v>
      </x:c>
      <x:c r="U59" s="22" t="str">
        <x:v>待认领</x:v>
      </x:c>
      <x:c r="V59" s="22" t="str"/>
      <x:c r="W59" s="22" t="str"/>
      <x:c r="X59" s="22" t="str">
        <x:f>IF(COUNTIF($A$5:$A$451,A59)=1,"PASS","FAIL")</x:f>
        <x:v>PASS</x:v>
      </x:c>
      <x:c r="Y59" s="22" t="str">
        <x:f>IF(COUNTIF('SR系统设计'!$A$5:$A$153,B59)+COUNTIF('追溯与覆盖'!$A$5:$A$153,C59)=2,"PASS","FAIL")</x:f>
        <x:v>PASS</x:v>
      </x:c>
    </x:row>
    <x:row r="60" ht="84" customHeight="1">
      <x:c r="A60" s="25" t="str">
        <x:v>AR-L2-OL-LayoutNegotiation-024-02</x:v>
      </x:c>
      <x:c r="B60" s="25" t="str">
        <x:v>SR-01-02-03</x:v>
      </x:c>
      <x:c r="C60" s="25" t="str">
        <x:v>L2-OL-LayoutNegotiation-024</x:v>
      </x:c>
      <x:c r="D60" s="25" t="str">
        <x:v>SF-01</x:v>
      </x:c>
      <x:c r="E60" s="25" t="str">
        <x:v>IR-01-02</x:v>
      </x:c>
      <x:c r="F60" s="22" t="str">
        <x:v>L2 KVConnector层</x:v>
      </x:c>
      <x:c r="G60" s="22" t="str">
        <x:v>TM4</x:v>
      </x:c>
      <x:c r="H60" s="22" t="str">
        <x:v>传输描述与布局协商</x:v>
      </x:c>
      <x:c r="I60" s="22" t="str">
        <x:v>P1</x:v>
      </x:c>
      <x:c r="J60" s="22" t="str">
        <x:v>P1</x:v>
      </x:c>
      <x:c r="K60" s="22" t="str">
        <x:v>契约配置与降级</x:v>
      </x:c>
      <x:c r="L60" s="22" t="str">
        <x:v>Connector开发</x:v>
      </x:c>
      <x:c r="M60" s="22" t="str">
        <x:v>api/kvcache/v1/layout_negotiation.proto + config/runtime/layout_negotiation.yaml</x:v>
      </x:c>
      <x:c r="N60" s="22" t="str">
        <x:v>LayoutNegotiationOptions / kvcache.layout_negotiation.enabled</x:v>
      </x:c>
      <x:c r="O60" s="22" t="str">
        <x:v>为 `LayoutNegotiationOptions` 增加 `kvcache.layout_negotiation.enabled`、deadline/容量/队列预算及版本字段；在调用点接入 typed error、decision_reason、fallback_reason，确保配置热更新、灰度关闭和向后兼容均可审计。</x:v>
      </x:c>
      <x:c r="P60" s="22" t="str">
        <x:v>IDL/配置 schema 有版本号、默认值、边界校验和错误码；状态/租约/ready 不满足时按 布局不兼容时换副本、执行显式 transform 或重算；禁止隐式错误 attach</x:v>
      </x:c>
      <x:c r="Q60" s="22" t="str">
        <x:v>配置样例、schema 校验、升级兼容测试和回退路径齐全；任何隐式 fallback 被移除；新增指标可关联 request_id/query_plan_id/object_id/path_id。</x:v>
      </x:c>
      <x:c r="R60" s="22" t="str">
        <x:v>ctest -R LayoutNegotiationConfig &amp;&amp; ./bin/kvcache_config_check --case=layout_negotiation</x:v>
      </x:c>
      <x:c r="S60" s="22" t="str">
        <x:v>descriptor 数降低 ≥50%；effective BW 提升 ≥30%；</x:v>
      </x:c>
      <x:c r="T60" s="22" t="str">
        <x:v>SR-01-02-03</x:v>
      </x:c>
      <x:c r="U60" s="22" t="str">
        <x:v>待认领</x:v>
      </x:c>
      <x:c r="V60" s="22" t="str"/>
      <x:c r="W60" s="22" t="str"/>
      <x:c r="X60" s="22" t="str">
        <x:f>IF(COUNTIF($A$5:$A$451,A60)=1,"PASS","FAIL")</x:f>
        <x:v>PASS</x:v>
      </x:c>
      <x:c r="Y60" s="22" t="str">
        <x:f>IF(COUNTIF('SR系统设计'!$A$5:$A$153,B60)+COUNTIF('追溯与覆盖'!$A$5:$A$153,C60)=2,"PASS","FAIL")</x:f>
        <x:v>PASS</x:v>
      </x:c>
    </x:row>
    <x:row r="61" ht="84" customHeight="1">
      <x:c r="A61" s="25" t="str">
        <x:v>AR-L2-OL-LayoutNegotiation-024-03</x:v>
      </x:c>
      <x:c r="B61" s="25" t="str">
        <x:v>SR-01-02-03</x:v>
      </x:c>
      <x:c r="C61" s="25" t="str">
        <x:v>L2-OL-LayoutNegotiation-024</x:v>
      </x:c>
      <x:c r="D61" s="25" t="str">
        <x:v>SF-01</x:v>
      </x:c>
      <x:c r="E61" s="25" t="str">
        <x:v>IR-01-02</x:v>
      </x:c>
      <x:c r="F61" s="22" t="str">
        <x:v>L2 KVConnector层</x:v>
      </x:c>
      <x:c r="G61" s="22" t="str">
        <x:v>TM4</x:v>
      </x:c>
      <x:c r="H61" s="22" t="str">
        <x:v>传输描述与布局协商</x:v>
      </x:c>
      <x:c r="I61" s="22" t="str">
        <x:v>P1</x:v>
      </x:c>
      <x:c r="J61" s="22" t="str">
        <x:v>P1</x:v>
      </x:c>
      <x:c r="K61" s="22" t="str">
        <x:v>验证与观测</x:v>
      </x:c>
      <x:c r="L61" s="22" t="str">
        <x:v>Connector开发</x:v>
      </x:c>
      <x:c r="M61" s="22" t="str">
        <x:v>tests/transfer/descriptor/layout_negotiation_test.cc + benchmarks/transfer/descriptor/layout_negotiation_benchmark.cc</x:v>
      </x:c>
      <x:c r="N61" s="22" t="str">
        <x:v>LayoutNegotiationTest / LayoutNegotiationBenchmark</x:v>
      </x:c>
      <x:c r="O61" s="22" t="str">
        <x:v>新增正常、边界、并发、超时、stale metadata、迁移冲突、路径拥塞/故障与 feature-flag-off 用例；在 benchmark 中固定模型、tokenizer、prompt、并发、拓扑和 baseline，采集 lookup/load/attach、TTFT、TPOT、usable/abandoned hit、带宽/时延及 CPU/NPU 利用率。</x:v>
      </x:c>
      <x:c r="P61" s="22" t="str">
        <x:v>验收直接引用来源指标：“descriptor 数降低 ≥50%；effective BW 提升 ≥30%；”；故障用例必须证明错误 KV 不被消费且 fallback reason 可追踪。</x:v>
      </x:c>
      <x:c r="Q61" s="22" t="str">
        <x:v>来源验收项全部自动化；性能报告包含 P50/P95/P99、置信区间与 baseline；失败门槛接入 CI；测试数据和命令可复现。</x:v>
      </x:c>
      <x:c r="R61" s="22" t="str">
        <x:v>./bin/kvcache_bench --case=layout_negotiation --baseline=native --report=json</x:v>
      </x:c>
      <x:c r="S61" s="22" t="str">
        <x:v>descriptor 数降低 ≥50%；effective BW 提升 ≥30%；</x:v>
      </x:c>
      <x:c r="T61" s="22" t="str">
        <x:v>SR-01-02-03</x:v>
      </x:c>
      <x:c r="U61" s="22" t="str">
        <x:v>待认领</x:v>
      </x:c>
      <x:c r="V61" s="22" t="str"/>
      <x:c r="W61" s="22" t="str"/>
      <x:c r="X61" s="22" t="str">
        <x:f>IF(COUNTIF($A$5:$A$451,A61)=1,"PASS","FAIL")</x:f>
        <x:v>PASS</x:v>
      </x:c>
      <x:c r="Y61" s="22" t="str">
        <x:f>IF(COUNTIF('SR系统设计'!$A$5:$A$153,B61)+COUNTIF('追溯与覆盖'!$A$5:$A$153,C61)=2,"PASS","FAIL")</x:f>
        <x:v>PASS</x:v>
      </x:c>
    </x:row>
    <x:row r="62" ht="84" customHeight="1">
      <x:c r="A62" s="25" t="str">
        <x:v>AR-L3-SE-DescriptorFromManifest-079-01</x:v>
      </x:c>
      <x:c r="B62" s="25" t="str">
        <x:v>SR-01-03-01</x:v>
      </x:c>
      <x:c r="C62" s="25" t="str">
        <x:v>L3-SE-DescriptorFromManifest-079</x:v>
      </x:c>
      <x:c r="D62" s="25" t="str">
        <x:v>SF-01</x:v>
      </x:c>
      <x:c r="E62" s="25" t="str">
        <x:v>IR-01-03</x:v>
      </x:c>
      <x:c r="F62" s="22" t="str">
        <x:v>L3 传输管理层</x:v>
      </x:c>
      <x:c r="G62" s="22" t="str">
        <x:v>TM1</x:v>
      </x:c>
      <x:c r="H62" s="22" t="str">
        <x:v>语义策略与路径管理</x:v>
      </x:c>
      <x:c r="I62" s="22" t="str">
        <x:v>P0</x:v>
      </x:c>
      <x:c r="J62" s="22" t="str">
        <x:v>P0</x:v>
      </x:c>
      <x:c r="K62" s="22" t="str">
        <x:v>核心实现</x:v>
      </x:c>
      <x:c r="L62" s="22" t="str">
        <x:v>存储池/传输管理开发</x:v>
      </x:c>
      <x:c r="M62" s="22" t="str">
        <x:v>src/policy/query_plan/descriptor_from_manifest.{h,cc}</x:v>
      </x:c>
      <x:c r="N62" s="22" t="str">
        <x:v>DescriptorFromManifestPolicy</x:v>
      </x:c>
      <x:c r="O62" s="22" t="str">
        <x:v>在 `src/policy/query_plan/descriptor_from_manifest.{h,cc}` 新增或重写 `DescriptorFromManifestPolicy`，把“从 KV 存储结构自动生成高效传输描述符”落实为 L3 传输管理层 可调用主路径：本需求要求 Transfer Manager 能根据 extent manifest 自动生成 scatter-gather bulk descriptor，并按 max descriptor count、alignment、min transfer granularity、target tier 和 backend capability 进行 coalescing，减少逐 block 传输提交开销。 输入必须显式消费 candidate placements + deadline + telemetry，输出 ranked QueryPlan + fallback chain + decision reason，不得用全局单例或隐藏同步 I/O 绕开预算与状态机。</x:v>
      </x:c>
      <x:c r="P62" s="22" t="str">
        <x:v>实现 candidate placements + deadline + telemetry → ranked QueryPlan + fallback chain + decision reason；遵守 估计不可信、超预算或路径退化时回到本地 cache/备用副本/partial recompute/recompute</x:v>
      </x:c>
      <x:c r="Q62" s="22" t="str">
        <x:v>核心算法与状态转换完成；新增代码单测分支覆盖≥85%；线程安全/所有权明确；关闭 feature flag 时行为与 baseline 一致。</x:v>
      </x:c>
      <x:c r="R62" s="22" t="str">
        <x:v>ctest -R DescriptorFromManifest --output-on-failure</x:v>
      </x:c>
      <x:c r="S62" s="22" t="str">
        <x:v>节点动态加入/退出时的缓存失效控制在局部范围内（遵循一致性哈希比例）。</x:v>
      </x:c>
      <x:c r="T62" s="22" t="str">
        <x:v>SR-01-03-01</x:v>
      </x:c>
      <x:c r="U62" s="22" t="str">
        <x:v>待认领</x:v>
      </x:c>
      <x:c r="V62" s="22" t="str"/>
      <x:c r="W62" s="22" t="str"/>
      <x:c r="X62" s="22" t="str">
        <x:f>IF(COUNTIF($A$5:$A$451,A62)=1,"PASS","FAIL")</x:f>
        <x:v>PASS</x:v>
      </x:c>
      <x:c r="Y62" s="22" t="str">
        <x:f>IF(COUNTIF('SR系统设计'!$A$5:$A$153,B62)+COUNTIF('追溯与覆盖'!$A$5:$A$153,C62)=2,"PASS","FAIL")</x:f>
        <x:v>PASS</x:v>
      </x:c>
    </x:row>
    <x:row r="63" ht="84" customHeight="1">
      <x:c r="A63" s="25" t="str">
        <x:v>AR-L3-SE-DescriptorFromManifest-079-02</x:v>
      </x:c>
      <x:c r="B63" s="25" t="str">
        <x:v>SR-01-03-01</x:v>
      </x:c>
      <x:c r="C63" s="25" t="str">
        <x:v>L3-SE-DescriptorFromManifest-079</x:v>
      </x:c>
      <x:c r="D63" s="25" t="str">
        <x:v>SF-01</x:v>
      </x:c>
      <x:c r="E63" s="25" t="str">
        <x:v>IR-01-03</x:v>
      </x:c>
      <x:c r="F63" s="22" t="str">
        <x:v>L3 传输管理层</x:v>
      </x:c>
      <x:c r="G63" s="22" t="str">
        <x:v>TM1</x:v>
      </x:c>
      <x:c r="H63" s="22" t="str">
        <x:v>语义策略与路径管理</x:v>
      </x:c>
      <x:c r="I63" s="22" t="str">
        <x:v>P0</x:v>
      </x:c>
      <x:c r="J63" s="22" t="str">
        <x:v>P0</x:v>
      </x:c>
      <x:c r="K63" s="22" t="str">
        <x:v>契约配置与降级</x:v>
      </x:c>
      <x:c r="L63" s="22" t="str">
        <x:v>存储池/传输管理开发</x:v>
      </x:c>
      <x:c r="M63" s="22" t="str">
        <x:v>api/kvcache/v1/descriptor_from_manifest.proto + config/runtime/descriptor_from_manifest.yaml</x:v>
      </x:c>
      <x:c r="N63" s="22" t="str">
        <x:v>DescriptorFromManifestOptions / kvcache.descriptor_from_manifest.enabled</x:v>
      </x:c>
      <x:c r="O63" s="22" t="str">
        <x:v>为 `DescriptorFromManifestOptions` 增加 `kvcache.descriptor_from_manifest.enabled`、deadline/容量/队列预算及版本字段；在调用点接入 typed error、decision_reason、fallback_reason，确保配置热更新、灰度关闭和向后兼容均可审计。</x:v>
      </x:c>
      <x:c r="P63" s="22" t="str">
        <x:v>IDL/配置 schema 有版本号、默认值、边界校验和错误码；状态/租约/ready 不满足时按 估计不可信、超预算或路径退化时回到本地 cache/备用副本/partial recompute/recompute</x:v>
      </x:c>
      <x:c r="Q63" s="22" t="str">
        <x:v>配置样例、schema 校验、升级兼容测试和回退路径齐全；任何隐式 fallback 被移除；新增指标可关联 request_id/query_plan_id/object_id/path_id。</x:v>
      </x:c>
      <x:c r="R63" s="22" t="str">
        <x:v>ctest -R DescriptorFromManifestConfig &amp;&amp; ./bin/kvcache_config_check --case=descriptor_from_manifest</x:v>
      </x:c>
      <x:c r="S63" s="22" t="str">
        <x:v>节点动态加入/退出时的缓存失效控制在局部范围内（遵循一致性哈希比例）。</x:v>
      </x:c>
      <x:c r="T63" s="22" t="str">
        <x:v>SR-01-03-01</x:v>
      </x:c>
      <x:c r="U63" s="22" t="str">
        <x:v>待认领</x:v>
      </x:c>
      <x:c r="V63" s="22" t="str"/>
      <x:c r="W63" s="22" t="str"/>
      <x:c r="X63" s="22" t="str">
        <x:f>IF(COUNTIF($A$5:$A$451,A63)=1,"PASS","FAIL")</x:f>
        <x:v>PASS</x:v>
      </x:c>
      <x:c r="Y63" s="22" t="str">
        <x:f>IF(COUNTIF('SR系统设计'!$A$5:$A$153,B63)+COUNTIF('追溯与覆盖'!$A$5:$A$153,C63)=2,"PASS","FAIL")</x:f>
        <x:v>PASS</x:v>
      </x:c>
    </x:row>
    <x:row r="64" ht="84" customHeight="1">
      <x:c r="A64" s="25" t="str">
        <x:v>AR-L3-SE-DescriptorFromManifest-079-03</x:v>
      </x:c>
      <x:c r="B64" s="25" t="str">
        <x:v>SR-01-03-01</x:v>
      </x:c>
      <x:c r="C64" s="25" t="str">
        <x:v>L3-SE-DescriptorFromManifest-079</x:v>
      </x:c>
      <x:c r="D64" s="25" t="str">
        <x:v>SF-01</x:v>
      </x:c>
      <x:c r="E64" s="25" t="str">
        <x:v>IR-01-03</x:v>
      </x:c>
      <x:c r="F64" s="22" t="str">
        <x:v>L3 传输管理层</x:v>
      </x:c>
      <x:c r="G64" s="22" t="str">
        <x:v>TM1</x:v>
      </x:c>
      <x:c r="H64" s="22" t="str">
        <x:v>语义策略与路径管理</x:v>
      </x:c>
      <x:c r="I64" s="22" t="str">
        <x:v>P0</x:v>
      </x:c>
      <x:c r="J64" s="22" t="str">
        <x:v>P0</x:v>
      </x:c>
      <x:c r="K64" s="22" t="str">
        <x:v>验证与观测</x:v>
      </x:c>
      <x:c r="L64" s="22" t="str">
        <x:v>存储池/传输管理开发</x:v>
      </x:c>
      <x:c r="M64" s="22" t="str">
        <x:v>tests/policy/query_plan/descriptor_from_manifest_test.cc + benchmarks/policy/query_plan/descriptor_from_manifest_benchmark.cc</x:v>
      </x:c>
      <x:c r="N64" s="22" t="str">
        <x:v>DescriptorFromManifestTest / DescriptorFromManifestBenchmark</x:v>
      </x:c>
      <x:c r="O64" s="22" t="str">
        <x:v>新增正常、边界、并发、超时、stale metadata、迁移冲突、路径拥塞/故障与 feature-flag-off 用例；在 benchmark 中固定模型、tokenizer、prompt、并发、拓扑和 baseline，采集 lookup/load/attach、TTFT、TPOT、usable/abandoned hit、带宽/时延及 CPU/NPU 利用率。</x:v>
      </x:c>
      <x:c r="P64" s="22" t="str">
        <x:v>验收直接引用来源指标：“节点动态加入/退出时的缓存失效控制在局部范围内（遵循一致性哈希比例）。”；故障用例必须证明错误 KV 不被消费且 fallback reason 可追踪。</x:v>
      </x:c>
      <x:c r="Q64" s="22" t="str">
        <x:v>来源验收项全部自动化；性能报告包含 P50/P95/P99、置信区间与 baseline；失败门槛接入 CI；测试数据和命令可复现。</x:v>
      </x:c>
      <x:c r="R64" s="22" t="str">
        <x:v>./bin/kvcache_bench --case=descriptor_from_manifest --baseline=native --report=json</x:v>
      </x:c>
      <x:c r="S64" s="22" t="str">
        <x:v>节点动态加入/退出时的缓存失效控制在局部范围内（遵循一致性哈希比例）。</x:v>
      </x:c>
      <x:c r="T64" s="22" t="str">
        <x:v>SR-01-03-01</x:v>
      </x:c>
      <x:c r="U64" s="22" t="str">
        <x:v>待认领</x:v>
      </x:c>
      <x:c r="V64" s="22" t="str"/>
      <x:c r="W64" s="22" t="str"/>
      <x:c r="X64" s="22" t="str">
        <x:f>IF(COUNTIF($A$5:$A$451,A64)=1,"PASS","FAIL")</x:f>
        <x:v>PASS</x:v>
      </x:c>
      <x:c r="Y64" s="22" t="str">
        <x:f>IF(COUNTIF('SR系统设计'!$A$5:$A$153,B64)+COUNTIF('追溯与覆盖'!$A$5:$A$153,C64)=2,"PASS","FAIL")</x:f>
        <x:v>PASS</x:v>
      </x:c>
    </x:row>
    <x:row r="65" ht="84" customHeight="1">
      <x:c r="A65" s="25" t="str">
        <x:v>AR-L3-SE-PlacementResolver-061-01</x:v>
      </x:c>
      <x:c r="B65" s="25" t="str">
        <x:v>SR-01-03-02</x:v>
      </x:c>
      <x:c r="C65" s="25" t="str">
        <x:v>L3-SE-PlacementResolver-061</x:v>
      </x:c>
      <x:c r="D65" s="25" t="str">
        <x:v>SF-01</x:v>
      </x:c>
      <x:c r="E65" s="25" t="str">
        <x:v>IR-01-03</x:v>
      </x:c>
      <x:c r="F65" s="22" t="str">
        <x:v>L3 传输管理层</x:v>
      </x:c>
      <x:c r="G65" s="22" t="str">
        <x:v>TM1</x:v>
      </x:c>
      <x:c r="H65" s="22" t="str">
        <x:v>语义策略与路径管理</x:v>
      </x:c>
      <x:c r="I65" s="22" t="str">
        <x:v>P0</x:v>
      </x:c>
      <x:c r="J65" s="22" t="str">
        <x:v>P0</x:v>
      </x:c>
      <x:c r="K65" s="22" t="str">
        <x:v>核心实现</x:v>
      </x:c>
      <x:c r="L65" s="22" t="str">
        <x:v>存储池/传输管理开发</x:v>
      </x:c>
      <x:c r="M65" s="22" t="str">
        <x:v>src/policy/query_plan/placement_resolver.{h,cc}</x:v>
      </x:c>
      <x:c r="N65" s="22" t="str">
        <x:v>PlacementResolverPolicy</x:v>
      </x:c>
      <x:c r="O65" s="22" t="str">
        <x:v>在 `src/policy/query_plan/placement_resolver.{h,cc}` 新增或重写 `PlacementResolverPolicy`，把“多位置 KV 副本的最优读取源选择”落实为 L3 传输管理层 可调用主路径：本需求要求实现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 输入必须显式消费 candidate placements + deadline + telemetry，输出 ranked QueryPlan + fallback chain + decision reason，不得用全局单例或隐藏同步 I/O 绕开预算与状态机。</x:v>
      </x:c>
      <x:c r="P65" s="22" t="str">
        <x:v>实现 candidate placements + deadline + telemetry → ranked QueryPlan + fallback chain + decision reason；遵守 估计不可信、超预算或路径退化时回到本地 cache/备用副本/partial recompute/recompute</x:v>
      </x:c>
      <x:c r="Q65" s="22" t="str">
        <x:v>核心算法与状态转换完成；新增代码单测分支覆盖≥85%；线程安全/所有权明确；关闭 feature flag 时行为与 baseline 一致。</x:v>
      </x:c>
      <x:c r="R65" s="22" t="str">
        <x:v>ctest -R PlacementResolver --output-on-failure</x:v>
      </x:c>
      <x:c r="S65" s="22" t="str">
        <x:v>节点动态加入/退出时的缓存失效控制在局部范围内（遵循一致性哈希比例）。</x:v>
      </x:c>
      <x:c r="T65" s="22" t="str">
        <x:v>SR-01-03-02</x:v>
      </x:c>
      <x:c r="U65" s="22" t="str">
        <x:v>待认领</x:v>
      </x:c>
      <x:c r="V65" s="22" t="str"/>
      <x:c r="W65" s="22" t="str"/>
      <x:c r="X65" s="22" t="str">
        <x:f>IF(COUNTIF($A$5:$A$451,A65)=1,"PASS","FAIL")</x:f>
        <x:v>PASS</x:v>
      </x:c>
      <x:c r="Y65" s="22" t="str">
        <x:f>IF(COUNTIF('SR系统设计'!$A$5:$A$153,B65)+COUNTIF('追溯与覆盖'!$A$5:$A$153,C65)=2,"PASS","FAIL")</x:f>
        <x:v>PASS</x:v>
      </x:c>
    </x:row>
    <x:row r="66" ht="84" customHeight="1">
      <x:c r="A66" s="25" t="str">
        <x:v>AR-L3-SE-PlacementResolver-061-02</x:v>
      </x:c>
      <x:c r="B66" s="25" t="str">
        <x:v>SR-01-03-02</x:v>
      </x:c>
      <x:c r="C66" s="25" t="str">
        <x:v>L3-SE-PlacementResolver-061</x:v>
      </x:c>
      <x:c r="D66" s="25" t="str">
        <x:v>SF-01</x:v>
      </x:c>
      <x:c r="E66" s="25" t="str">
        <x:v>IR-01-03</x:v>
      </x:c>
      <x:c r="F66" s="22" t="str">
        <x:v>L3 传输管理层</x:v>
      </x:c>
      <x:c r="G66" s="22" t="str">
        <x:v>TM1</x:v>
      </x:c>
      <x:c r="H66" s="22" t="str">
        <x:v>语义策略与路径管理</x:v>
      </x:c>
      <x:c r="I66" s="22" t="str">
        <x:v>P0</x:v>
      </x:c>
      <x:c r="J66" s="22" t="str">
        <x:v>P0</x:v>
      </x:c>
      <x:c r="K66" s="22" t="str">
        <x:v>契约配置与降级</x:v>
      </x:c>
      <x:c r="L66" s="22" t="str">
        <x:v>存储池/传输管理开发</x:v>
      </x:c>
      <x:c r="M66" s="22" t="str">
        <x:v>api/kvcache/v1/placement_resolver.proto + config/runtime/placement_resolver.yaml</x:v>
      </x:c>
      <x:c r="N66" s="22" t="str">
        <x:v>PlacementResolverOptions / kvcache.placement_resolver.enabled</x:v>
      </x:c>
      <x:c r="O66" s="22" t="str">
        <x:v>为 `PlacementResolverOptions` 增加 `kvcache.placement_resolver.enabled`、deadline/容量/队列预算及版本字段；在调用点接入 typed error、decision_reason、fallback_reason，确保配置热更新、灰度关闭和向后兼容均可审计。</x:v>
      </x:c>
      <x:c r="P66" s="22" t="str">
        <x:v>IDL/配置 schema 有版本号、默认值、边界校验和错误码；状态/租约/ready 不满足时按 估计不可信、超预算或路径退化时回到本地 cache/备用副本/partial recompute/recompute</x:v>
      </x:c>
      <x:c r="Q66" s="22" t="str">
        <x:v>配置样例、schema 校验、升级兼容测试和回退路径齐全；任何隐式 fallback 被移除；新增指标可关联 request_id/query_plan_id/object_id/path_id。</x:v>
      </x:c>
      <x:c r="R66" s="22" t="str">
        <x:v>ctest -R PlacementResolverConfig &amp;&amp; ./bin/kvcache_config_check --case=placement_resolver</x:v>
      </x:c>
      <x:c r="S66" s="22" t="str">
        <x:v>节点动态加入/退出时的缓存失效控制在局部范围内（遵循一致性哈希比例）。</x:v>
      </x:c>
      <x:c r="T66" s="22" t="str">
        <x:v>SR-01-03-02</x:v>
      </x:c>
      <x:c r="U66" s="22" t="str">
        <x:v>待认领</x:v>
      </x:c>
      <x:c r="V66" s="22" t="str"/>
      <x:c r="W66" s="22" t="str"/>
      <x:c r="X66" s="22" t="str">
        <x:f>IF(COUNTIF($A$5:$A$451,A66)=1,"PASS","FAIL")</x:f>
        <x:v>PASS</x:v>
      </x:c>
      <x:c r="Y66" s="22" t="str">
        <x:f>IF(COUNTIF('SR系统设计'!$A$5:$A$153,B66)+COUNTIF('追溯与覆盖'!$A$5:$A$153,C66)=2,"PASS","FAIL")</x:f>
        <x:v>PASS</x:v>
      </x:c>
    </x:row>
    <x:row r="67" ht="84" customHeight="1">
      <x:c r="A67" s="25" t="str">
        <x:v>AR-L3-SE-PlacementResolver-061-03</x:v>
      </x:c>
      <x:c r="B67" s="25" t="str">
        <x:v>SR-01-03-02</x:v>
      </x:c>
      <x:c r="C67" s="25" t="str">
        <x:v>L3-SE-PlacementResolver-061</x:v>
      </x:c>
      <x:c r="D67" s="25" t="str">
        <x:v>SF-01</x:v>
      </x:c>
      <x:c r="E67" s="25" t="str">
        <x:v>IR-01-03</x:v>
      </x:c>
      <x:c r="F67" s="22" t="str">
        <x:v>L3 传输管理层</x:v>
      </x:c>
      <x:c r="G67" s="22" t="str">
        <x:v>TM1</x:v>
      </x:c>
      <x:c r="H67" s="22" t="str">
        <x:v>语义策略与路径管理</x:v>
      </x:c>
      <x:c r="I67" s="22" t="str">
        <x:v>P0</x:v>
      </x:c>
      <x:c r="J67" s="22" t="str">
        <x:v>P0</x:v>
      </x:c>
      <x:c r="K67" s="22" t="str">
        <x:v>验证与观测</x:v>
      </x:c>
      <x:c r="L67" s="22" t="str">
        <x:v>存储池/传输管理开发</x:v>
      </x:c>
      <x:c r="M67" s="22" t="str">
        <x:v>tests/policy/query_plan/placement_resolver_test.cc + benchmarks/policy/query_plan/placement_resolver_benchmark.cc</x:v>
      </x:c>
      <x:c r="N67" s="22" t="str">
        <x:v>PlacementResolverTest / PlacementResolverBenchmark</x:v>
      </x:c>
      <x:c r="O67" s="22" t="str">
        <x:v>新增正常、边界、并发、超时、stale metadata、迁移冲突、路径拥塞/故障与 feature-flag-off 用例；在 benchmark 中固定模型、tokenizer、prompt、并发、拓扑和 baseline，采集 lookup/load/attach、TTFT、TPOT、usable/abandoned hit、带宽/时延及 CPU/NPU 利用率。</x:v>
      </x:c>
      <x:c r="P67" s="22" t="str">
        <x:v>验收直接引用来源指标：“节点动态加入/退出时的缓存失效控制在局部范围内（遵循一致性哈希比例）。”；故障用例必须证明错误 KV 不被消费且 fallback reason 可追踪。</x:v>
      </x:c>
      <x:c r="Q67" s="22" t="str">
        <x:v>来源验收项全部自动化；性能报告包含 P50/P95/P99、置信区间与 baseline；失败门槛接入 CI；测试数据和命令可复现。</x:v>
      </x:c>
      <x:c r="R67" s="22" t="str">
        <x:v>./bin/kvcache_bench --case=placement_resolver --baseline=native --report=json</x:v>
      </x:c>
      <x:c r="S67" s="22" t="str">
        <x:v>节点动态加入/退出时的缓存失效控制在局部范围内（遵循一致性哈希比例）。</x:v>
      </x:c>
      <x:c r="T67" s="22" t="str">
        <x:v>SR-01-03-02</x:v>
      </x:c>
      <x:c r="U67" s="22" t="str">
        <x:v>待认领</x:v>
      </x:c>
      <x:c r="V67" s="22" t="str"/>
      <x:c r="W67" s="22" t="str"/>
      <x:c r="X67" s="22" t="str">
        <x:f>IF(COUNTIF($A$5:$A$451,A67)=1,"PASS","FAIL")</x:f>
        <x:v>PASS</x:v>
      </x:c>
      <x:c r="Y67" s="22" t="str">
        <x:f>IF(COUNTIF('SR系统设计'!$A$5:$A$153,B67)+COUNTIF('追溯与覆盖'!$A$5:$A$153,C67)=2,"PASS","FAIL")</x:f>
        <x:v>PASS</x:v>
      </x:c>
    </x:row>
    <x:row r="68" ht="84" customHeight="1">
      <x:c r="A68" s="25" t="str">
        <x:v>AR-L3-SE-PolicyEngine-032-01</x:v>
      </x:c>
      <x:c r="B68" s="25" t="str">
        <x:v>SR-01-03-03</x:v>
      </x:c>
      <x:c r="C68" s="25" t="str">
        <x:v>L3-SE-PolicyEngine-032</x:v>
      </x:c>
      <x:c r="D68" s="25" t="str">
        <x:v>SF-01</x:v>
      </x:c>
      <x:c r="E68" s="25" t="str">
        <x:v>IR-01-03</x:v>
      </x:c>
      <x:c r="F68" s="22" t="str">
        <x:v>L3 传输管理层</x:v>
      </x:c>
      <x:c r="G68" s="22" t="str">
        <x:v>TM1</x:v>
      </x:c>
      <x:c r="H68" s="22" t="str">
        <x:v>语义策略与路径管理</x:v>
      </x:c>
      <x:c r="I68" s="22" t="str">
        <x:v>P0</x:v>
      </x:c>
      <x:c r="J68" s="22" t="str">
        <x:v>P0</x:v>
      </x:c>
      <x:c r="K68" s="22" t="str">
        <x:v>核心实现</x:v>
      </x:c>
      <x:c r="L68" s="22" t="str">
        <x:v>存储池/传输管理开发</x:v>
      </x:c>
      <x:c r="M68" s="22" t="str">
        <x:v>src/policy/query_plan/policy_engine.{h,cc}</x:v>
      </x:c>
      <x:c r="N68" s="22" t="str">
        <x:v>PolicyEnginePolicy</x:v>
      </x:c>
      <x:c r="O68" s="22" t="str">
        <x:v>在 `src/policy/query_plan/policy_engine.{h,cc}` 新增或重写 `PolicyEnginePolicy`，把“统一 KVCache 存储池智能路径选择”落实为 L3 传输管理层 可调用主路径：本需求要求 Transfer Manager 实现 semantic policy engine：根据 KVAccessIntent、KV size、deadline、reuse value、topology、telemetry、tier state 自动选择 memory view、bulk transfer、stream object 或 recompute 路径。 输入必须显式消费 candidate placements + deadline + telemetry，输出 ranked QueryPlan + fallback chain + decision reason，不得用全局单例或隐藏同步 I/O 绕开预算与状态机。</x:v>
      </x:c>
      <x:c r="P68" s="22" t="str">
        <x:v>实现 candidate placements + deadline + telemetry → ranked QueryPlan + fallback chain + decision reason；遵守 估计不可信、超预算或路径退化时回到本地 cache/备用副本/partial recompute/recompute</x:v>
      </x:c>
      <x:c r="Q68" s="22" t="str">
        <x:v>核心算法与状态转换完成；新增代码单测分支覆盖≥85%；线程安全/所有权明确；关闭 feature flag 时行为与 baseline 一致。</x:v>
      </x:c>
      <x:c r="R68" s="22" t="str">
        <x:v>ctest -R PolicyEngine --output-on-failure</x:v>
      </x:c>
      <x:c r="S68" s="22" t="str">
        <x:v>usable hit rate 提升 ≥20%；</x:v>
      </x:c>
      <x:c r="T68" s="22" t="str">
        <x:v>SR-01-03-03</x:v>
      </x:c>
      <x:c r="U68" s="22" t="str">
        <x:v>待认领</x:v>
      </x:c>
      <x:c r="V68" s="22" t="str"/>
      <x:c r="W68" s="22" t="str"/>
      <x:c r="X68" s="22" t="str">
        <x:f>IF(COUNTIF($A$5:$A$451,A68)=1,"PASS","FAIL")</x:f>
        <x:v>PASS</x:v>
      </x:c>
      <x:c r="Y68" s="22" t="str">
        <x:f>IF(COUNTIF('SR系统设计'!$A$5:$A$153,B68)+COUNTIF('追溯与覆盖'!$A$5:$A$153,C68)=2,"PASS","FAIL")</x:f>
        <x:v>PASS</x:v>
      </x:c>
    </x:row>
    <x:row r="69" ht="84" customHeight="1">
      <x:c r="A69" s="25" t="str">
        <x:v>AR-L3-SE-PolicyEngine-032-02</x:v>
      </x:c>
      <x:c r="B69" s="25" t="str">
        <x:v>SR-01-03-03</x:v>
      </x:c>
      <x:c r="C69" s="25" t="str">
        <x:v>L3-SE-PolicyEngine-032</x:v>
      </x:c>
      <x:c r="D69" s="25" t="str">
        <x:v>SF-01</x:v>
      </x:c>
      <x:c r="E69" s="25" t="str">
        <x:v>IR-01-03</x:v>
      </x:c>
      <x:c r="F69" s="22" t="str">
        <x:v>L3 传输管理层</x:v>
      </x:c>
      <x:c r="G69" s="22" t="str">
        <x:v>TM1</x:v>
      </x:c>
      <x:c r="H69" s="22" t="str">
        <x:v>语义策略与路径管理</x:v>
      </x:c>
      <x:c r="I69" s="22" t="str">
        <x:v>P0</x:v>
      </x:c>
      <x:c r="J69" s="22" t="str">
        <x:v>P0</x:v>
      </x:c>
      <x:c r="K69" s="22" t="str">
        <x:v>契约配置与降级</x:v>
      </x:c>
      <x:c r="L69" s="22" t="str">
        <x:v>存储池/传输管理开发</x:v>
      </x:c>
      <x:c r="M69" s="22" t="str">
        <x:v>api/kvcache/v1/policy_engine.proto + config/runtime/policy_engine.yaml</x:v>
      </x:c>
      <x:c r="N69" s="22" t="str">
        <x:v>PolicyEngineOptions / kvcache.policy_engine.enabled</x:v>
      </x:c>
      <x:c r="O69" s="22" t="str">
        <x:v>为 `PolicyEngineOptions` 增加 `kvcache.policy_engine.enabled`、deadline/容量/队列预算及版本字段；在调用点接入 typed error、decision_reason、fallback_reason，确保配置热更新、灰度关闭和向后兼容均可审计。</x:v>
      </x:c>
      <x:c r="P69" s="22" t="str">
        <x:v>IDL/配置 schema 有版本号、默认值、边界校验和错误码；状态/租约/ready 不满足时按 估计不可信、超预算或路径退化时回到本地 cache/备用副本/partial recompute/recompute</x:v>
      </x:c>
      <x:c r="Q69" s="22" t="str">
        <x:v>配置样例、schema 校验、升级兼容测试和回退路径齐全；任何隐式 fallback 被移除；新增指标可关联 request_id/query_plan_id/object_id/path_id。</x:v>
      </x:c>
      <x:c r="R69" s="22" t="str">
        <x:v>ctest -R PolicyEngineConfig &amp;&amp; ./bin/kvcache_config_check --case=policy_engine</x:v>
      </x:c>
      <x:c r="S69" s="22" t="str">
        <x:v>usable hit rate 提升 ≥20%；</x:v>
      </x:c>
      <x:c r="T69" s="22" t="str">
        <x:v>SR-01-03-03</x:v>
      </x:c>
      <x:c r="U69" s="22" t="str">
        <x:v>待认领</x:v>
      </x:c>
      <x:c r="V69" s="22" t="str"/>
      <x:c r="W69" s="22" t="str"/>
      <x:c r="X69" s="22" t="str">
        <x:f>IF(COUNTIF($A$5:$A$451,A69)=1,"PASS","FAIL")</x:f>
        <x:v>PASS</x:v>
      </x:c>
      <x:c r="Y69" s="22" t="str">
        <x:f>IF(COUNTIF('SR系统设计'!$A$5:$A$153,B69)+COUNTIF('追溯与覆盖'!$A$5:$A$153,C69)=2,"PASS","FAIL")</x:f>
        <x:v>PASS</x:v>
      </x:c>
    </x:row>
    <x:row r="70" ht="84" customHeight="1">
      <x:c r="A70" s="25" t="str">
        <x:v>AR-L3-SE-PolicyEngine-032-03</x:v>
      </x:c>
      <x:c r="B70" s="25" t="str">
        <x:v>SR-01-03-03</x:v>
      </x:c>
      <x:c r="C70" s="25" t="str">
        <x:v>L3-SE-PolicyEngine-032</x:v>
      </x:c>
      <x:c r="D70" s="25" t="str">
        <x:v>SF-01</x:v>
      </x:c>
      <x:c r="E70" s="25" t="str">
        <x:v>IR-01-03</x:v>
      </x:c>
      <x:c r="F70" s="22" t="str">
        <x:v>L3 传输管理层</x:v>
      </x:c>
      <x:c r="G70" s="22" t="str">
        <x:v>TM1</x:v>
      </x:c>
      <x:c r="H70" s="22" t="str">
        <x:v>语义策略与路径管理</x:v>
      </x:c>
      <x:c r="I70" s="22" t="str">
        <x:v>P0</x:v>
      </x:c>
      <x:c r="J70" s="22" t="str">
        <x:v>P0</x:v>
      </x:c>
      <x:c r="K70" s="22" t="str">
        <x:v>验证与观测</x:v>
      </x:c>
      <x:c r="L70" s="22" t="str">
        <x:v>存储池/传输管理开发</x:v>
      </x:c>
      <x:c r="M70" s="22" t="str">
        <x:v>tests/policy/query_plan/policy_engine_test.cc + benchmarks/policy/query_plan/policy_engine_benchmark.cc</x:v>
      </x:c>
      <x:c r="N70" s="22" t="str">
        <x:v>PolicyEngineTest / PolicyEngineBenchmark</x:v>
      </x:c>
      <x:c r="O70" s="22" t="str">
        <x:v>新增正常、边界、并发、超时、stale metadata、迁移冲突、路径拥塞/故障与 feature-flag-off 用例；在 benchmark 中固定模型、tokenizer、prompt、并发、拓扑和 baseline，采集 lookup/load/attach、TTFT、TPOT、usable/abandoned hit、带宽/时延及 CPU/NPU 利用率。</x:v>
      </x:c>
      <x:c r="P70" s="22" t="str">
        <x:v>验收直接引用来源指标：“usable hit rate 提升 ≥20%；”；故障用例必须证明错误 KV 不被消费且 fallback reason 可追踪。</x:v>
      </x:c>
      <x:c r="Q70" s="22" t="str">
        <x:v>来源验收项全部自动化；性能报告包含 P50/P95/P99、置信区间与 baseline；失败门槛接入 CI；测试数据和命令可复现。</x:v>
      </x:c>
      <x:c r="R70" s="22" t="str">
        <x:v>./bin/kvcache_bench --case=policy_engine --baseline=native --report=json</x:v>
      </x:c>
      <x:c r="S70" s="22" t="str">
        <x:v>usable hit rate 提升 ≥20%；</x:v>
      </x:c>
      <x:c r="T70" s="22" t="str">
        <x:v>SR-01-03-03</x:v>
      </x:c>
      <x:c r="U70" s="22" t="str">
        <x:v>待认领</x:v>
      </x:c>
      <x:c r="V70" s="22" t="str"/>
      <x:c r="W70" s="22" t="str"/>
      <x:c r="X70" s="22" t="str">
        <x:f>IF(COUNTIF($A$5:$A$451,A70)=1,"PASS","FAIL")</x:f>
        <x:v>PASS</x:v>
      </x:c>
      <x:c r="Y70" s="22" t="str">
        <x:f>IF(COUNTIF('SR系统设计'!$A$5:$A$153,B70)+COUNTIF('追溯与覆盖'!$A$5:$A$153,C70)=2,"PASS","FAIL")</x:f>
        <x:v>PASS</x:v>
      </x:c>
    </x:row>
    <x:row r="71" ht="84" customHeight="1">
      <x:c r="A71" s="25" t="str">
        <x:v>AR-L3-SE-QueryPlanFastPath-072-01</x:v>
      </x:c>
      <x:c r="B71" s="25" t="str">
        <x:v>SR-01-03-04</x:v>
      </x:c>
      <x:c r="C71" s="25" t="str">
        <x:v>L3-SE-QueryPlanFastPath-072</x:v>
      </x:c>
      <x:c r="D71" s="25" t="str">
        <x:v>SF-01</x:v>
      </x:c>
      <x:c r="E71" s="25" t="str">
        <x:v>IR-01-03</x:v>
      </x:c>
      <x:c r="F71" s="22" t="str">
        <x:v>L3 传输管理层</x:v>
      </x:c>
      <x:c r="G71" s="22" t="str">
        <x:v>TM1</x:v>
      </x:c>
      <x:c r="H71" s="22" t="str">
        <x:v>语义策略与路径管理</x:v>
      </x:c>
      <x:c r="I71" s="22" t="str">
        <x:v>P0</x:v>
      </x:c>
      <x:c r="J71" s="22" t="str">
        <x:v>P0</x:v>
      </x:c>
      <x:c r="K71" s="22" t="str">
        <x:v>核心实现</x:v>
      </x:c>
      <x:c r="L71" s="22" t="str">
        <x:v>存储池/传输管理开发</x:v>
      </x:c>
      <x:c r="M71" s="22" t="str">
        <x:v>src/policy/query_plan/query_plan_fast_path.{h,cc}</x:v>
      </x:c>
      <x:c r="N71" s="22" t="str">
        <x:v>QueryPlanFastPathPolicy</x:v>
      </x:c>
      <x:c r="O71" s="22" t="str">
        <x:v>在 `src/policy/query_plan/query_plan_fast_path.{h,cc}` 新增或重写 `QueryPlanFastPathPolicy`，把“TTFT 关键路径上的单次查询决策”落实为 L3 传输管理层 可调用主路径：本需求要求 L3 查询接口返回 QueryPlan，而不是原始元数据； 输入必须显式消费 candidate placements + deadline + telemetry，输出 ranked QueryPlan + fallback chain + decision reason，不得用全局单例或隐藏同步 I/O 绕开预算与状态机。</x:v>
      </x:c>
      <x:c r="P71" s="22" t="str">
        <x:v>实现 candidate placements + deadline + telemetry → ranked QueryPlan + fallback chain + decision reason；遵守 估计不可信、超预算或路径退化时回到本地 cache/备用副本/partial recompute/recompute</x:v>
      </x:c>
      <x:c r="Q71" s="22" t="str">
        <x:v>核心算法与状态转换完成；新增代码单测分支覆盖≥85%；线程安全/所有权明确；关闭 feature flag 时行为与 baseline 一致。</x:v>
      </x:c>
      <x:c r="R71" s="22" t="str">
        <x:v>ctest -R QueryPlanFastPath --output-on-failure</x:v>
      </x:c>
      <x:c r="S71" s="22" t="str">
        <x:v>确保底层物理存储直接向外暴露“可执行查询计划(QueryPlan)”，而非裸机物理地址(Raw Address)。</x:v>
      </x:c>
      <x:c r="T71" s="22" t="str">
        <x:v>SR-01-03-04</x:v>
      </x:c>
      <x:c r="U71" s="22" t="str">
        <x:v>待认领</x:v>
      </x:c>
      <x:c r="V71" s="22" t="str"/>
      <x:c r="W71" s="22" t="str"/>
      <x:c r="X71" s="22" t="str">
        <x:f>IF(COUNTIF($A$5:$A$451,A71)=1,"PASS","FAIL")</x:f>
        <x:v>PASS</x:v>
      </x:c>
      <x:c r="Y71" s="22" t="str">
        <x:f>IF(COUNTIF('SR系统设计'!$A$5:$A$153,B71)+COUNTIF('追溯与覆盖'!$A$5:$A$153,C71)=2,"PASS","FAIL")</x:f>
        <x:v>PASS</x:v>
      </x:c>
    </x:row>
    <x:row r="72" ht="84" customHeight="1">
      <x:c r="A72" s="25" t="str">
        <x:v>AR-L3-SE-QueryPlanFastPath-072-02</x:v>
      </x:c>
      <x:c r="B72" s="25" t="str">
        <x:v>SR-01-03-04</x:v>
      </x:c>
      <x:c r="C72" s="25" t="str">
        <x:v>L3-SE-QueryPlanFastPath-072</x:v>
      </x:c>
      <x:c r="D72" s="25" t="str">
        <x:v>SF-01</x:v>
      </x:c>
      <x:c r="E72" s="25" t="str">
        <x:v>IR-01-03</x:v>
      </x:c>
      <x:c r="F72" s="22" t="str">
        <x:v>L3 传输管理层</x:v>
      </x:c>
      <x:c r="G72" s="22" t="str">
        <x:v>TM1</x:v>
      </x:c>
      <x:c r="H72" s="22" t="str">
        <x:v>语义策略与路径管理</x:v>
      </x:c>
      <x:c r="I72" s="22" t="str">
        <x:v>P0</x:v>
      </x:c>
      <x:c r="J72" s="22" t="str">
        <x:v>P0</x:v>
      </x:c>
      <x:c r="K72" s="22" t="str">
        <x:v>契约配置与降级</x:v>
      </x:c>
      <x:c r="L72" s="22" t="str">
        <x:v>存储池/传输管理开发</x:v>
      </x:c>
      <x:c r="M72" s="22" t="str">
        <x:v>api/kvcache/v1/query_plan_fast_path.proto + config/runtime/query_plan_fast_path.yaml</x:v>
      </x:c>
      <x:c r="N72" s="22" t="str">
        <x:v>QueryPlanFastPathOptions / kvcache.query_plan_fast_path.enabled</x:v>
      </x:c>
      <x:c r="O72" s="22" t="str">
        <x:v>为 `QueryPlanFastPathOptions` 增加 `kvcache.query_plan_fast_path.enabled`、deadline/容量/队列预算及版本字段；在调用点接入 typed error、decision_reason、fallback_reason，确保配置热更新、灰度关闭和向后兼容均可审计。</x:v>
      </x:c>
      <x:c r="P72" s="22" t="str">
        <x:v>IDL/配置 schema 有版本号、默认值、边界校验和错误码；状态/租约/ready 不满足时按 估计不可信、超预算或路径退化时回到本地 cache/备用副本/partial recompute/recompute</x:v>
      </x:c>
      <x:c r="Q72" s="22" t="str">
        <x:v>配置样例、schema 校验、升级兼容测试和回退路径齐全；任何隐式 fallback 被移除；新增指标可关联 request_id/query_plan_id/object_id/path_id。</x:v>
      </x:c>
      <x:c r="R72" s="22" t="str">
        <x:v>ctest -R QueryPlanFastPathConfig &amp;&amp; ./bin/kvcache_config_check --case=query_plan_fast_path</x:v>
      </x:c>
      <x:c r="S72" s="22" t="str">
        <x:v>确保底层物理存储直接向外暴露“可执行查询计划(QueryPlan)”，而非裸机物理地址(Raw Address)。</x:v>
      </x:c>
      <x:c r="T72" s="22" t="str">
        <x:v>SR-01-03-04</x:v>
      </x:c>
      <x:c r="U72" s="22" t="str">
        <x:v>待认领</x:v>
      </x:c>
      <x:c r="V72" s="22" t="str"/>
      <x:c r="W72" s="22" t="str"/>
      <x:c r="X72" s="22" t="str">
        <x:f>IF(COUNTIF($A$5:$A$451,A72)=1,"PASS","FAIL")</x:f>
        <x:v>PASS</x:v>
      </x:c>
      <x:c r="Y72" s="22" t="str">
        <x:f>IF(COUNTIF('SR系统设计'!$A$5:$A$153,B72)+COUNTIF('追溯与覆盖'!$A$5:$A$153,C72)=2,"PASS","FAIL")</x:f>
        <x:v>PASS</x:v>
      </x:c>
    </x:row>
    <x:row r="73" ht="84" customHeight="1">
      <x:c r="A73" s="25" t="str">
        <x:v>AR-L3-SE-QueryPlanFastPath-072-03</x:v>
      </x:c>
      <x:c r="B73" s="25" t="str">
        <x:v>SR-01-03-04</x:v>
      </x:c>
      <x:c r="C73" s="25" t="str">
        <x:v>L3-SE-QueryPlanFastPath-072</x:v>
      </x:c>
      <x:c r="D73" s="25" t="str">
        <x:v>SF-01</x:v>
      </x:c>
      <x:c r="E73" s="25" t="str">
        <x:v>IR-01-03</x:v>
      </x:c>
      <x:c r="F73" s="22" t="str">
        <x:v>L3 传输管理层</x:v>
      </x:c>
      <x:c r="G73" s="22" t="str">
        <x:v>TM1</x:v>
      </x:c>
      <x:c r="H73" s="22" t="str">
        <x:v>语义策略与路径管理</x:v>
      </x:c>
      <x:c r="I73" s="22" t="str">
        <x:v>P0</x:v>
      </x:c>
      <x:c r="J73" s="22" t="str">
        <x:v>P0</x:v>
      </x:c>
      <x:c r="K73" s="22" t="str">
        <x:v>验证与观测</x:v>
      </x:c>
      <x:c r="L73" s="22" t="str">
        <x:v>存储池/传输管理开发</x:v>
      </x:c>
      <x:c r="M73" s="22" t="str">
        <x:v>tests/policy/query_plan/query_plan_fast_path_test.cc + benchmarks/policy/query_plan/query_plan_fast_path_benchmark.cc</x:v>
      </x:c>
      <x:c r="N73" s="22" t="str">
        <x:v>QueryPlanFastPathTest / QueryPlanFastPathBenchmark</x:v>
      </x:c>
      <x:c r="O73" s="22" t="str">
        <x:v>新增正常、边界、并发、超时、stale metadata、迁移冲突、路径拥塞/故障与 feature-flag-off 用例；在 benchmark 中固定模型、tokenizer、prompt、并发、拓扑和 baseline，采集 lookup/load/attach、TTFT、TPOT、usable/abandoned hit、带宽/时延及 CPU/NPU 利用率。</x:v>
      </x:c>
      <x:c r="P73" s="22" t="str">
        <x:v>验收直接引用来源指标：“确保底层物理存储直接向外暴露“可执行查询计划(QueryPlan)”，而非裸机物理地址(Raw Address)。”；故障用例必须证明错误 KV 不被消费且 fallback reason 可追踪。</x:v>
      </x:c>
      <x:c r="Q73" s="22" t="str">
        <x:v>来源验收项全部自动化；性能报告包含 P50/P95/P99、置信区间与 baseline；失败门槛接入 CI；测试数据和命令可复现。</x:v>
      </x:c>
      <x:c r="R73" s="22" t="str">
        <x:v>./bin/kvcache_bench --case=query_plan_fast_path --baseline=native --report=json</x:v>
      </x:c>
      <x:c r="S73" s="22" t="str">
        <x:v>确保底层物理存储直接向外暴露“可执行查询计划(QueryPlan)”，而非裸机物理地址(Raw Address)。</x:v>
      </x:c>
      <x:c r="T73" s="22" t="str">
        <x:v>SR-01-03-04</x:v>
      </x:c>
      <x:c r="U73" s="22" t="str">
        <x:v>待认领</x:v>
      </x:c>
      <x:c r="V73" s="22" t="str"/>
      <x:c r="W73" s="22" t="str"/>
      <x:c r="X73" s="22" t="str">
        <x:f>IF(COUNTIF($A$5:$A$451,A73)=1,"PASS","FAIL")</x:f>
        <x:v>PASS</x:v>
      </x:c>
      <x:c r="Y73" s="22" t="str">
        <x:f>IF(COUNTIF('SR系统设计'!$A$5:$A$153,B73)+COUNTIF('追溯与覆盖'!$A$5:$A$153,C73)=2,"PASS","FAIL")</x:f>
        <x:v>PASS</x:v>
      </x:c>
    </x:row>
    <x:row r="74" ht="84" customHeight="1">
      <x:c r="A74" s="25" t="str">
        <x:v>AR-L3-SE-TierBypassPolicy-091-01</x:v>
      </x:c>
      <x:c r="B74" s="25" t="str">
        <x:v>SR-01-03-05</x:v>
      </x:c>
      <x:c r="C74" s="25" t="str">
        <x:v>L3-SE-TierBypassPolicy-091</x:v>
      </x:c>
      <x:c r="D74" s="25" t="str">
        <x:v>SF-01</x:v>
      </x:c>
      <x:c r="E74" s="25" t="str">
        <x:v>IR-01-03</x:v>
      </x:c>
      <x:c r="F74" s="22" t="str">
        <x:v>L3 传输管理层</x:v>
      </x:c>
      <x:c r="G74" s="22" t="str">
        <x:v>TM4</x:v>
      </x:c>
      <x:c r="H74" s="22" t="str">
        <x:v>语义策略与路径管理</x:v>
      </x:c>
      <x:c r="I74" s="22" t="str">
        <x:v>P0</x:v>
      </x:c>
      <x:c r="J74" s="22" t="str">
        <x:v>P0</x:v>
      </x:c>
      <x:c r="K74" s="22" t="str">
        <x:v>核心实现</x:v>
      </x:c>
      <x:c r="L74" s="22" t="str">
        <x:v>存储池/传输管理开发</x:v>
      </x:c>
      <x:c r="M74" s="22" t="str">
        <x:v>src/policy/query_plan/tier_bypass_policy.{h,cc}</x:v>
      </x:c>
      <x:c r="N74" s="22" t="str">
        <x:v>TierBypassPolicyPolicy</x:v>
      </x:c>
      <x:c r="O74" s="22" t="str">
        <x:v>在 `src/policy/query_plan/tier_bypass_policy.{h,cc}` 新增或重写 `TierBypassPolicyPolicy`，把“DDR成本约束、SSD容量主路径、异构路径动态选择”落实为 L3 传输管理层 可调用主路径：本需求要求 QueryPlan 与路径规划器采用图式路径模型，显式支持 HBM↔SSD direct/低Host参与、HBM↔DDR、DDR↔SSD、remote DDR 和 remote SSD 等路径； 输入必须显式消费 candidate placements + deadline + telemetry，输出 ranked QueryPlan + fallback chain + decision reason，不得用全局单例或隐藏同步 I/O 绕开预算与状态机。</x:v>
      </x:c>
      <x:c r="P74" s="22" t="str">
        <x:v>实现 candidate placements + deadline + telemetry → ranked QueryPlan + fallback chain + decision reason；遵守 估计不可信、超预算或路径退化时回到本地 cache/备用副本/partial recompute/recompute</x:v>
      </x:c>
      <x:c r="Q74" s="22" t="str">
        <x:v>核心算法与状态转换完成；新增代码单测分支覆盖≥85%；线程安全/所有权明确；关闭 feature flag 时行为与 baseline 一致。</x:v>
      </x:c>
      <x:c r="R74" s="22" t="str">
        <x:v>ctest -R TierBypassPolicy --output-on-failure</x:v>
      </x:c>
      <x:c r="S74" s="22" t="str">
        <x:v>禁用 DDR Payload tier 后，Prefix Hit、Load/Attach、Publish/Lifecycle 仍可通过 SSD 或重算形成闭环；不得出现隐式 CPU staging。</x:v>
      </x:c>
      <x:c r="T74" s="22" t="str">
        <x:v>SR-01-03-05</x:v>
      </x:c>
      <x:c r="U74" s="22" t="str">
        <x:v>待认领</x:v>
      </x:c>
      <x:c r="V74" s="22" t="str"/>
      <x:c r="W74" s="22" t="str"/>
      <x:c r="X74" s="22" t="str">
        <x:f>IF(COUNTIF($A$5:$A$451,A74)=1,"PASS","FAIL")</x:f>
        <x:v>PASS</x:v>
      </x:c>
      <x:c r="Y74" s="22" t="str">
        <x:f>IF(COUNTIF('SR系统设计'!$A$5:$A$153,B74)+COUNTIF('追溯与覆盖'!$A$5:$A$153,C74)=2,"PASS","FAIL")</x:f>
        <x:v>PASS</x:v>
      </x:c>
    </x:row>
    <x:row r="75" ht="84" customHeight="1">
      <x:c r="A75" s="25" t="str">
        <x:v>AR-L3-SE-TierBypassPolicy-091-02</x:v>
      </x:c>
      <x:c r="B75" s="25" t="str">
        <x:v>SR-01-03-05</x:v>
      </x:c>
      <x:c r="C75" s="25" t="str">
        <x:v>L3-SE-TierBypassPolicy-091</x:v>
      </x:c>
      <x:c r="D75" s="25" t="str">
        <x:v>SF-01</x:v>
      </x:c>
      <x:c r="E75" s="25" t="str">
        <x:v>IR-01-03</x:v>
      </x:c>
      <x:c r="F75" s="22" t="str">
        <x:v>L3 传输管理层</x:v>
      </x:c>
      <x:c r="G75" s="22" t="str">
        <x:v>TM4</x:v>
      </x:c>
      <x:c r="H75" s="22" t="str">
        <x:v>语义策略与路径管理</x:v>
      </x:c>
      <x:c r="I75" s="22" t="str">
        <x:v>P0</x:v>
      </x:c>
      <x:c r="J75" s="22" t="str">
        <x:v>P0</x:v>
      </x:c>
      <x:c r="K75" s="22" t="str">
        <x:v>契约配置与降级</x:v>
      </x:c>
      <x:c r="L75" s="22" t="str">
        <x:v>存储池/传输管理开发</x:v>
      </x:c>
      <x:c r="M75" s="22" t="str">
        <x:v>api/kvcache/v1/tier_bypass_policy.proto + config/runtime/tier_bypass_policy.yaml</x:v>
      </x:c>
      <x:c r="N75" s="22" t="str">
        <x:v>TierBypassPolicyOptions / kvcache.tier_bypass_policy.enabled</x:v>
      </x:c>
      <x:c r="O75" s="22" t="str">
        <x:v>为 `TierBypassPolicyOptions` 增加 `kvcache.tier_bypass_policy.enabled`、deadline/容量/队列预算及版本字段；在调用点接入 typed error、decision_reason、fallback_reason，确保配置热更新、灰度关闭和向后兼容均可审计。</x:v>
      </x:c>
      <x:c r="P75" s="22" t="str">
        <x:v>IDL/配置 schema 有版本号、默认值、边界校验和错误码；状态/租约/ready 不满足时按 估计不可信、超预算或路径退化时回到本地 cache/备用副本/partial recompute/recompute</x:v>
      </x:c>
      <x:c r="Q75" s="22" t="str">
        <x:v>配置样例、schema 校验、升级兼容测试和回退路径齐全；任何隐式 fallback 被移除；新增指标可关联 request_id/query_plan_id/object_id/path_id。</x:v>
      </x:c>
      <x:c r="R75" s="22" t="str">
        <x:v>ctest -R TierBypassPolicyConfig &amp;&amp; ./bin/kvcache_config_check --case=tier_bypass_policy</x:v>
      </x:c>
      <x:c r="S75" s="22" t="str">
        <x:v>禁用 DDR Payload tier 后，Prefix Hit、Load/Attach、Publish/Lifecycle 仍可通过 SSD 或重算形成闭环；不得出现隐式 CPU staging。</x:v>
      </x:c>
      <x:c r="T75" s="22" t="str">
        <x:v>SR-01-03-05</x:v>
      </x:c>
      <x:c r="U75" s="22" t="str">
        <x:v>待认领</x:v>
      </x:c>
      <x:c r="V75" s="22" t="str"/>
      <x:c r="W75" s="22" t="str"/>
      <x:c r="X75" s="22" t="str">
        <x:f>IF(COUNTIF($A$5:$A$451,A75)=1,"PASS","FAIL")</x:f>
        <x:v>PASS</x:v>
      </x:c>
      <x:c r="Y75" s="22" t="str">
        <x:f>IF(COUNTIF('SR系统设计'!$A$5:$A$153,B75)+COUNTIF('追溯与覆盖'!$A$5:$A$153,C75)=2,"PASS","FAIL")</x:f>
        <x:v>PASS</x:v>
      </x:c>
    </x:row>
    <x:row r="76" ht="84" customHeight="1">
      <x:c r="A76" s="25" t="str">
        <x:v>AR-L3-SE-TierBypassPolicy-091-03</x:v>
      </x:c>
      <x:c r="B76" s="25" t="str">
        <x:v>SR-01-03-05</x:v>
      </x:c>
      <x:c r="C76" s="25" t="str">
        <x:v>L3-SE-TierBypassPolicy-091</x:v>
      </x:c>
      <x:c r="D76" s="25" t="str">
        <x:v>SF-01</x:v>
      </x:c>
      <x:c r="E76" s="25" t="str">
        <x:v>IR-01-03</x:v>
      </x:c>
      <x:c r="F76" s="22" t="str">
        <x:v>L3 传输管理层</x:v>
      </x:c>
      <x:c r="G76" s="22" t="str">
        <x:v>TM4</x:v>
      </x:c>
      <x:c r="H76" s="22" t="str">
        <x:v>语义策略与路径管理</x:v>
      </x:c>
      <x:c r="I76" s="22" t="str">
        <x:v>P0</x:v>
      </x:c>
      <x:c r="J76" s="22" t="str">
        <x:v>P0</x:v>
      </x:c>
      <x:c r="K76" s="22" t="str">
        <x:v>验证与观测</x:v>
      </x:c>
      <x:c r="L76" s="22" t="str">
        <x:v>存储池/传输管理开发</x:v>
      </x:c>
      <x:c r="M76" s="22" t="str">
        <x:v>tests/policy/query_plan/tier_bypass_policy_test.cc + benchmarks/policy/query_plan/tier_bypass_policy_benchmark.cc</x:v>
      </x:c>
      <x:c r="N76" s="22" t="str">
        <x:v>TierBypassPolicyTest / TierBypassPolicyBenchmark</x:v>
      </x:c>
      <x:c r="O76" s="22" t="str">
        <x:v>新增正常、边界、并发、超时、stale metadata、迁移冲突、路径拥塞/故障与 feature-flag-off 用例；在 benchmark 中固定模型、tokenizer、prompt、并发、拓扑和 baseline，采集 lookup/load/attach、TTFT、TPOT、usable/abandoned hit、带宽/时延及 CPU/NPU 利用率。</x:v>
      </x:c>
      <x:c r="P76" s="22" t="str">
        <x:v>验收直接引用来源指标：“禁用 DDR Payload tier 后，Prefix Hit、Load/Attach、Publish/Lifecycle 仍可通过 SSD 或重算形成闭环；不得出现隐式 CPU staging。”；故障用例必须证明错误 KV 不被消费且 fallback reason 可追踪。</x:v>
      </x:c>
      <x:c r="Q76" s="22" t="str">
        <x:v>来源验收项全部自动化；性能报告包含 P50/P95/P99、置信区间与 baseline；失败门槛接入 CI；测试数据和命令可复现。</x:v>
      </x:c>
      <x:c r="R76" s="22" t="str">
        <x:v>./bin/kvcache_bench --case=tier_bypass_policy --baseline=native --report=json</x:v>
      </x:c>
      <x:c r="S76" s="22" t="str">
        <x:v>禁用 DDR Payload tier 后，Prefix Hit、Load/Attach、Publish/Lifecycle 仍可通过 SSD 或重算形成闭环；不得出现隐式 CPU staging。</x:v>
      </x:c>
      <x:c r="T76" s="22" t="str">
        <x:v>SR-01-03-05</x:v>
      </x:c>
      <x:c r="U76" s="22" t="str">
        <x:v>待认领</x:v>
      </x:c>
      <x:c r="V76" s="22" t="str"/>
      <x:c r="W76" s="22" t="str"/>
      <x:c r="X76" s="22" t="str">
        <x:f>IF(COUNTIF($A$5:$A$451,A76)=1,"PASS","FAIL")</x:f>
        <x:v>PASS</x:v>
      </x:c>
      <x:c r="Y76" s="22" t="str">
        <x:f>IF(COUNTIF('SR系统设计'!$A$5:$A$153,B76)+COUNTIF('追溯与覆盖'!$A$5:$A$153,C76)=2,"PASS","FAIL")</x:f>
        <x:v>PASS</x:v>
      </x:c>
    </x:row>
    <x:row r="77" ht="84" customHeight="1">
      <x:c r="A77" s="25" t="str">
        <x:v>AR-L3-SE-UnifiedDescriptor-018-01</x:v>
      </x:c>
      <x:c r="B77" s="25" t="str">
        <x:v>SR-01-03-06</x:v>
      </x:c>
      <x:c r="C77" s="25" t="str">
        <x:v>L3-SE-UnifiedDescriptor-018</x:v>
      </x:c>
      <x:c r="D77" s="25" t="str">
        <x:v>SF-01</x:v>
      </x:c>
      <x:c r="E77" s="25" t="str">
        <x:v>IR-01-03</x:v>
      </x:c>
      <x:c r="F77" s="22" t="str">
        <x:v>L3 传输管理层</x:v>
      </x:c>
      <x:c r="G77" s="22" t="str">
        <x:v>TM1</x:v>
      </x:c>
      <x:c r="H77" s="22" t="str">
        <x:v>语义策略与路径管理</x:v>
      </x:c>
      <x:c r="I77" s="22" t="str">
        <x:v>P0</x:v>
      </x:c>
      <x:c r="J77" s="22" t="str">
        <x:v>P0</x:v>
      </x:c>
      <x:c r="K77" s="22" t="str">
        <x:v>核心实现</x:v>
      </x:c>
      <x:c r="L77" s="22" t="str">
        <x:v>存储池/传输管理开发</x:v>
      </x:c>
      <x:c r="M77" s="22" t="str">
        <x:v>src/policy/query_plan/unified_descriptor.{h,cc}</x:v>
      </x:c>
      <x:c r="N77" s="22" t="str">
        <x:v>UnifiedDescriptorPolicy</x:v>
      </x:c>
      <x:c r="O77" s="22" t="str">
        <x:v>在 `src/policy/query_plan/unified_descriptor.{h,cc}` 新增或重写 `UnifiedDescriptorPolicy`，把“跨框架 KVCache 传输任务统一编排”落实为 L3 传输管理层 可调用主路径：本需求要求定义统一 KV access descriptor，显式支持四类访问语义：MEMORY_VIEW、BULK_TRANSFER、STREAM_OBJECT、MANAGED_INTENT，覆盖 Mooncake、NIXL、LMCache、HiCache 后端所需的 key、layout、source/destination tier、semantic type、visibility、deadline、fallback、rank … 输入必须显式消费 candidate placements + deadline + telemetry，输出 ranked QueryPlan + fallback chain + decision reason，不得用全局单例或隐藏同步 I/O 绕开预算与状态机。</x:v>
      </x:c>
      <x:c r="P77" s="22" t="str">
        <x:v>实现 candidate placements + deadline + telemetry → ranked QueryPlan + fallback chain + decision reason；遵守 估计不可信、超预算或路径退化时回到本地 cache/备用副本/partial recompute/recompute</x:v>
      </x:c>
      <x:c r="Q77" s="22" t="str">
        <x:v>核心算法与状态转换完成；新增代码单测分支覆盖≥85%；线程安全/所有权明确；关闭 feature flag 时行为与 baseline 一致。</x:v>
      </x:c>
      <x:c r="R77" s="22" t="str">
        <x:v>ctest -R UnifiedDescriptor --output-on-failure</x:v>
      </x:c>
      <x:c r="S77" s="22" t="str">
        <x:v>节点动态加入/退出时的缓存失效控制在局部范围内（遵循一致性哈希比例）。</x:v>
      </x:c>
      <x:c r="T77" s="22" t="str">
        <x:v>SR-01-03-06</x:v>
      </x:c>
      <x:c r="U77" s="22" t="str">
        <x:v>待认领</x:v>
      </x:c>
      <x:c r="V77" s="22" t="str"/>
      <x:c r="W77" s="22" t="str"/>
      <x:c r="X77" s="22" t="str">
        <x:f>IF(COUNTIF($A$5:$A$451,A77)=1,"PASS","FAIL")</x:f>
        <x:v>PASS</x:v>
      </x:c>
      <x:c r="Y77" s="22" t="str">
        <x:f>IF(COUNTIF('SR系统设计'!$A$5:$A$153,B77)+COUNTIF('追溯与覆盖'!$A$5:$A$153,C77)=2,"PASS","FAIL")</x:f>
        <x:v>PASS</x:v>
      </x:c>
    </x:row>
    <x:row r="78" ht="84" customHeight="1">
      <x:c r="A78" s="25" t="str">
        <x:v>AR-L3-SE-UnifiedDescriptor-018-02</x:v>
      </x:c>
      <x:c r="B78" s="25" t="str">
        <x:v>SR-01-03-06</x:v>
      </x:c>
      <x:c r="C78" s="25" t="str">
        <x:v>L3-SE-UnifiedDescriptor-018</x:v>
      </x:c>
      <x:c r="D78" s="25" t="str">
        <x:v>SF-01</x:v>
      </x:c>
      <x:c r="E78" s="25" t="str">
        <x:v>IR-01-03</x:v>
      </x:c>
      <x:c r="F78" s="22" t="str">
        <x:v>L3 传输管理层</x:v>
      </x:c>
      <x:c r="G78" s="22" t="str">
        <x:v>TM1</x:v>
      </x:c>
      <x:c r="H78" s="22" t="str">
        <x:v>语义策略与路径管理</x:v>
      </x:c>
      <x:c r="I78" s="22" t="str">
        <x:v>P0</x:v>
      </x:c>
      <x:c r="J78" s="22" t="str">
        <x:v>P0</x:v>
      </x:c>
      <x:c r="K78" s="22" t="str">
        <x:v>契约配置与降级</x:v>
      </x:c>
      <x:c r="L78" s="22" t="str">
        <x:v>存储池/传输管理开发</x:v>
      </x:c>
      <x:c r="M78" s="22" t="str">
        <x:v>api/kvcache/v1/unified_descriptor.proto + config/runtime/unified_descriptor.yaml</x:v>
      </x:c>
      <x:c r="N78" s="22" t="str">
        <x:v>UnifiedDescriptorOptions / kvcache.unified_descriptor.enabled</x:v>
      </x:c>
      <x:c r="O78" s="22" t="str">
        <x:v>为 `UnifiedDescriptorOptions` 增加 `kvcache.unified_descriptor.enabled`、deadline/容量/队列预算及版本字段；在调用点接入 typed error、decision_reason、fallback_reason，确保配置热更新、灰度关闭和向后兼容均可审计。</x:v>
      </x:c>
      <x:c r="P78" s="22" t="str">
        <x:v>IDL/配置 schema 有版本号、默认值、边界校验和错误码；状态/租约/ready 不满足时按 估计不可信、超预算或路径退化时回到本地 cache/备用副本/partial recompute/recompute</x:v>
      </x:c>
      <x:c r="Q78" s="22" t="str">
        <x:v>配置样例、schema 校验、升级兼容测试和回退路径齐全；任何隐式 fallback 被移除；新增指标可关联 request_id/query_plan_id/object_id/path_id。</x:v>
      </x:c>
      <x:c r="R78" s="22" t="str">
        <x:v>ctest -R UnifiedDescriptorConfig &amp;&amp; ./bin/kvcache_config_check --case=unified_descriptor</x:v>
      </x:c>
      <x:c r="S78" s="22" t="str">
        <x:v>节点动态加入/退出时的缓存失效控制在局部范围内（遵循一致性哈希比例）。</x:v>
      </x:c>
      <x:c r="T78" s="22" t="str">
        <x:v>SR-01-03-06</x:v>
      </x:c>
      <x:c r="U78" s="22" t="str">
        <x:v>待认领</x:v>
      </x:c>
      <x:c r="V78" s="22" t="str"/>
      <x:c r="W78" s="22" t="str"/>
      <x:c r="X78" s="22" t="str">
        <x:f>IF(COUNTIF($A$5:$A$451,A78)=1,"PASS","FAIL")</x:f>
        <x:v>PASS</x:v>
      </x:c>
      <x:c r="Y78" s="22" t="str">
        <x:f>IF(COUNTIF('SR系统设计'!$A$5:$A$153,B78)+COUNTIF('追溯与覆盖'!$A$5:$A$153,C78)=2,"PASS","FAIL")</x:f>
        <x:v>PASS</x:v>
      </x:c>
    </x:row>
    <x:row r="79" ht="84" customHeight="1">
      <x:c r="A79" s="25" t="str">
        <x:v>AR-L3-SE-UnifiedDescriptor-018-03</x:v>
      </x:c>
      <x:c r="B79" s="25" t="str">
        <x:v>SR-01-03-06</x:v>
      </x:c>
      <x:c r="C79" s="25" t="str">
        <x:v>L3-SE-UnifiedDescriptor-018</x:v>
      </x:c>
      <x:c r="D79" s="25" t="str">
        <x:v>SF-01</x:v>
      </x:c>
      <x:c r="E79" s="25" t="str">
        <x:v>IR-01-03</x:v>
      </x:c>
      <x:c r="F79" s="22" t="str">
        <x:v>L3 传输管理层</x:v>
      </x:c>
      <x:c r="G79" s="22" t="str">
        <x:v>TM1</x:v>
      </x:c>
      <x:c r="H79" s="22" t="str">
        <x:v>语义策略与路径管理</x:v>
      </x:c>
      <x:c r="I79" s="22" t="str">
        <x:v>P0</x:v>
      </x:c>
      <x:c r="J79" s="22" t="str">
        <x:v>P0</x:v>
      </x:c>
      <x:c r="K79" s="22" t="str">
        <x:v>验证与观测</x:v>
      </x:c>
      <x:c r="L79" s="22" t="str">
        <x:v>存储池/传输管理开发</x:v>
      </x:c>
      <x:c r="M79" s="22" t="str">
        <x:v>tests/policy/query_plan/unified_descriptor_test.cc + benchmarks/policy/query_plan/unified_descriptor_benchmark.cc</x:v>
      </x:c>
      <x:c r="N79" s="22" t="str">
        <x:v>UnifiedDescriptorTest / UnifiedDescriptorBenchmark</x:v>
      </x:c>
      <x:c r="O79" s="22" t="str">
        <x:v>新增正常、边界、并发、超时、stale metadata、迁移冲突、路径拥塞/故障与 feature-flag-off 用例；在 benchmark 中固定模型、tokenizer、prompt、并发、拓扑和 baseline，采集 lookup/load/attach、TTFT、TPOT、usable/abandoned hit、带宽/时延及 CPU/NPU 利用率。</x:v>
      </x:c>
      <x:c r="P79" s="22" t="str">
        <x:v>验收直接引用来源指标：“节点动态加入/退出时的缓存失效控制在局部范围内（遵循一致性哈希比例）。”；故障用例必须证明错误 KV 不被消费且 fallback reason 可追踪。</x:v>
      </x:c>
      <x:c r="Q79" s="22" t="str">
        <x:v>来源验收项全部自动化；性能报告包含 P50/P95/P99、置信区间与 baseline；失败门槛接入 CI；测试数据和命令可复现。</x:v>
      </x:c>
      <x:c r="R79" s="22" t="str">
        <x:v>./bin/kvcache_bench --case=unified_descriptor --baseline=native --report=json</x:v>
      </x:c>
      <x:c r="S79" s="22" t="str">
        <x:v>节点动态加入/退出时的缓存失效控制在局部范围内（遵循一致性哈希比例）。</x:v>
      </x:c>
      <x:c r="T79" s="22" t="str">
        <x:v>SR-01-03-06</x:v>
      </x:c>
      <x:c r="U79" s="22" t="str">
        <x:v>待认领</x:v>
      </x:c>
      <x:c r="V79" s="22" t="str"/>
      <x:c r="W79" s="22" t="str"/>
      <x:c r="X79" s="22" t="str">
        <x:f>IF(COUNTIF($A$5:$A$451,A79)=1,"PASS","FAIL")</x:f>
        <x:v>PASS</x:v>
      </x:c>
      <x:c r="Y79" s="22" t="str">
        <x:f>IF(COUNTIF('SR系统设计'!$A$5:$A$153,B79)+COUNTIF('追溯与覆盖'!$A$5:$A$153,C79)=2,"PASS","FAIL")</x:f>
        <x:v>PASS</x:v>
      </x:c>
    </x:row>
    <x:row r="80" ht="84" customHeight="1">
      <x:c r="A80" s="25" t="str">
        <x:v>AR-L3-TRANS-CAP-API-002-01</x:v>
      </x:c>
      <x:c r="B80" s="25" t="str">
        <x:v>SR-01-03-07</x:v>
      </x:c>
      <x:c r="C80" s="25" t="str">
        <x:v>L3-TRANS-CAP-API-002</x:v>
      </x:c>
      <x:c r="D80" s="25" t="str">
        <x:v>SF-01</x:v>
      </x:c>
      <x:c r="E80" s="25" t="str">
        <x:v>IR-01-03</x:v>
      </x:c>
      <x:c r="F80" s="22" t="str">
        <x:v>L3 传输管理层</x:v>
      </x:c>
      <x:c r="G80" s="22" t="str">
        <x:v>TM1</x:v>
      </x:c>
      <x:c r="H80" s="22" t="str">
        <x:v>语义策略与路径管理</x:v>
      </x:c>
      <x:c r="I80" s="22" t="str">
        <x:v>P0</x:v>
      </x:c>
      <x:c r="J80" s="22" t="str">
        <x:v>P0</x:v>
      </x:c>
      <x:c r="K80" s="22" t="str">
        <x:v>核心实现</x:v>
      </x:c>
      <x:c r="L80" s="22" t="str">
        <x:v>存储池/传输管理开发</x:v>
      </x:c>
      <x:c r="M80" s="22" t="str">
        <x:v>src/policy/query_plan/cap_api.{h,cc}</x:v>
      </x:c>
      <x:c r="N80" s="22" t="str">
        <x:v>CAPAPIPolicy</x:v>
      </x:c>
      <x:c r="O80" s="22" t="str">
        <x:v>在 `src/policy/query_plan/cap_api.{h,cc}` 新增或重写 `CAPAPIPolicy`，把“平台无关能力感知”落实为 L3 传输管理层 可调用主路径：本需求要求实现标准化的硬件传输能力查询API（HardwareCapabilityAPI），暴露 backend capability discovery：包括 coherent view、atomic、RDMA/GDR、GDS、CXL view、TCP stream、QoS、fence、NPU DMA、max segment size、registration requirement 等能力，提供get_transport_capa… 输入必须显式消费 candidate placements + deadline + telemetry，输出 ranked QueryPlan + fallback chain + decision reason，不得用全局单例或隐藏同步 I/O 绕开预算与状态机。</x:v>
      </x:c>
      <x:c r="P80" s="22" t="str">
        <x:v>实现 candidate placements + deadline + telemetry → ranked QueryPlan + fallback chain + decision reason；遵守 估计不可信、超预算或路径退化时回到本地 cache/备用副本/partial recompute/recompute</x:v>
      </x:c>
      <x:c r="Q80" s="22" t="str">
        <x:v>核心算法与状态转换完成；新增代码单测分支覆盖≥85%；线程安全/所有权明确；关闭 feature flag 时行为与 baseline 一致。</x:v>
      </x:c>
      <x:c r="R80" s="22" t="str">
        <x:v>ctest -R CAPAPI --output-on-failure</x:v>
      </x:c>
      <x:c r="S80" s="22" t="str">
        <x:v>新推理后端接入适配代码量减少80%，单一接口调用开销(Overhead) &lt; 5us。</x:v>
      </x:c>
      <x:c r="T80" s="22" t="str">
        <x:v>SR-01-03-07</x:v>
      </x:c>
      <x:c r="U80" s="22" t="str">
        <x:v>待认领</x:v>
      </x:c>
      <x:c r="V80" s="22" t="str"/>
      <x:c r="W80" s="22" t="str"/>
      <x:c r="X80" s="22" t="str">
        <x:f>IF(COUNTIF($A$5:$A$451,A80)=1,"PASS","FAIL")</x:f>
        <x:v>PASS</x:v>
      </x:c>
      <x:c r="Y80" s="22" t="str">
        <x:f>IF(COUNTIF('SR系统设计'!$A$5:$A$153,B80)+COUNTIF('追溯与覆盖'!$A$5:$A$153,C80)=2,"PASS","FAIL")</x:f>
        <x:v>PASS</x:v>
      </x:c>
    </x:row>
    <x:row r="81" ht="84" customHeight="1">
      <x:c r="A81" s="25" t="str">
        <x:v>AR-L3-TRANS-CAP-API-002-02</x:v>
      </x:c>
      <x:c r="B81" s="25" t="str">
        <x:v>SR-01-03-07</x:v>
      </x:c>
      <x:c r="C81" s="25" t="str">
        <x:v>L3-TRANS-CAP-API-002</x:v>
      </x:c>
      <x:c r="D81" s="25" t="str">
        <x:v>SF-01</x:v>
      </x:c>
      <x:c r="E81" s="25" t="str">
        <x:v>IR-01-03</x:v>
      </x:c>
      <x:c r="F81" s="22" t="str">
        <x:v>L3 传输管理层</x:v>
      </x:c>
      <x:c r="G81" s="22" t="str">
        <x:v>TM1</x:v>
      </x:c>
      <x:c r="H81" s="22" t="str">
        <x:v>语义策略与路径管理</x:v>
      </x:c>
      <x:c r="I81" s="22" t="str">
        <x:v>P0</x:v>
      </x:c>
      <x:c r="J81" s="22" t="str">
        <x:v>P0</x:v>
      </x:c>
      <x:c r="K81" s="22" t="str">
        <x:v>契约配置与降级</x:v>
      </x:c>
      <x:c r="L81" s="22" t="str">
        <x:v>存储池/传输管理开发</x:v>
      </x:c>
      <x:c r="M81" s="22" t="str">
        <x:v>api/kvcache/v1/cap_api.proto + config/runtime/cap_api.yaml</x:v>
      </x:c>
      <x:c r="N81" s="22" t="str">
        <x:v>CAPAPIOptions / kvcache.cap_api.enabled</x:v>
      </x:c>
      <x:c r="O81" s="22" t="str">
        <x:v>为 `CAPAPIOptions` 增加 `kvcache.cap_api.enabled`、deadline/容量/队列预算及版本字段；在调用点接入 typed error、decision_reason、fallback_reason，确保配置热更新、灰度关闭和向后兼容均可审计。</x:v>
      </x:c>
      <x:c r="P81" s="22" t="str">
        <x:v>IDL/配置 schema 有版本号、默认值、边界校验和错误码；状态/租约/ready 不满足时按 估计不可信、超预算或路径退化时回到本地 cache/备用副本/partial recompute/recompute</x:v>
      </x:c>
      <x:c r="Q81" s="22" t="str">
        <x:v>配置样例、schema 校验、升级兼容测试和回退路径齐全；任何隐式 fallback 被移除；新增指标可关联 request_id/query_plan_id/object_id/path_id。</x:v>
      </x:c>
      <x:c r="R81" s="22" t="str">
        <x:v>ctest -R CAPAPIConfig &amp;&amp; ./bin/kvcache_config_check --case=cap_api</x:v>
      </x:c>
      <x:c r="S81" s="22" t="str">
        <x:v>新推理后端接入适配代码量减少80%，单一接口调用开销(Overhead) &lt; 5us。</x:v>
      </x:c>
      <x:c r="T81" s="22" t="str">
        <x:v>SR-01-03-07</x:v>
      </x:c>
      <x:c r="U81" s="22" t="str">
        <x:v>待认领</x:v>
      </x:c>
      <x:c r="V81" s="22" t="str"/>
      <x:c r="W81" s="22" t="str"/>
      <x:c r="X81" s="22" t="str">
        <x:f>IF(COUNTIF($A$5:$A$451,A81)=1,"PASS","FAIL")</x:f>
        <x:v>PASS</x:v>
      </x:c>
      <x:c r="Y81" s="22" t="str">
        <x:f>IF(COUNTIF('SR系统设计'!$A$5:$A$153,B81)+COUNTIF('追溯与覆盖'!$A$5:$A$153,C81)=2,"PASS","FAIL")</x:f>
        <x:v>PASS</x:v>
      </x:c>
    </x:row>
    <x:row r="82" ht="84" customHeight="1">
      <x:c r="A82" s="25" t="str">
        <x:v>AR-L3-TRANS-CAP-API-002-03</x:v>
      </x:c>
      <x:c r="B82" s="25" t="str">
        <x:v>SR-01-03-07</x:v>
      </x:c>
      <x:c r="C82" s="25" t="str">
        <x:v>L3-TRANS-CAP-API-002</x:v>
      </x:c>
      <x:c r="D82" s="25" t="str">
        <x:v>SF-01</x:v>
      </x:c>
      <x:c r="E82" s="25" t="str">
        <x:v>IR-01-03</x:v>
      </x:c>
      <x:c r="F82" s="22" t="str">
        <x:v>L3 传输管理层</x:v>
      </x:c>
      <x:c r="G82" s="22" t="str">
        <x:v>TM1</x:v>
      </x:c>
      <x:c r="H82" s="22" t="str">
        <x:v>语义策略与路径管理</x:v>
      </x:c>
      <x:c r="I82" s="22" t="str">
        <x:v>P0</x:v>
      </x:c>
      <x:c r="J82" s="22" t="str">
        <x:v>P0</x:v>
      </x:c>
      <x:c r="K82" s="22" t="str">
        <x:v>验证与观测</x:v>
      </x:c>
      <x:c r="L82" s="22" t="str">
        <x:v>存储池/传输管理开发</x:v>
      </x:c>
      <x:c r="M82" s="22" t="str">
        <x:v>tests/policy/query_plan/cap_api_test.cc + benchmarks/policy/query_plan/cap_api_benchmark.cc</x:v>
      </x:c>
      <x:c r="N82" s="22" t="str">
        <x:v>CAPAPITest / CAPAPIBenchmark</x:v>
      </x:c>
      <x:c r="O82" s="22" t="str">
        <x:v>新增正常、边界、并发、超时、stale metadata、迁移冲突、路径拥塞/故障与 feature-flag-off 用例；在 benchmark 中固定模型、tokenizer、prompt、并发、拓扑和 baseline，采集 lookup/load/attach、TTFT、TPOT、usable/abandoned hit、带宽/时延及 CPU/NPU 利用率。</x:v>
      </x:c>
      <x:c r="P82" s="22" t="str">
        <x:v>验收直接引用来源指标：“新推理后端接入适配代码量减少80%，单一接口调用开销(Overhead) &lt; 5us。”；故障用例必须证明错误 KV 不被消费且 fallback reason 可追踪。</x:v>
      </x:c>
      <x:c r="Q82" s="22" t="str">
        <x:v>来源验收项全部自动化；性能报告包含 P50/P95/P99、置信区间与 baseline；失败门槛接入 CI；测试数据和命令可复现。</x:v>
      </x:c>
      <x:c r="R82" s="22" t="str">
        <x:v>./bin/kvcache_bench --case=cap_api --baseline=native --report=json</x:v>
      </x:c>
      <x:c r="S82" s="22" t="str">
        <x:v>新推理后端接入适配代码量减少80%，单一接口调用开销(Overhead) &lt; 5us。</x:v>
      </x:c>
      <x:c r="T82" s="22" t="str">
        <x:v>SR-01-03-07</x:v>
      </x:c>
      <x:c r="U82" s="22" t="str">
        <x:v>待认领</x:v>
      </x:c>
      <x:c r="V82" s="22" t="str"/>
      <x:c r="W82" s="22" t="str"/>
      <x:c r="X82" s="22" t="str">
        <x:f>IF(COUNTIF($A$5:$A$451,A82)=1,"PASS","FAIL")</x:f>
        <x:v>PASS</x:v>
      </x:c>
      <x:c r="Y82" s="22" t="str">
        <x:f>IF(COUNTIF('SR系统设计'!$A$5:$A$153,B82)+COUNTIF('追溯与覆盖'!$A$5:$A$153,C82)=2,"PASS","FAIL")</x:f>
        <x:v>PASS</x:v>
      </x:c>
    </x:row>
    <x:row r="83" ht="84" customHeight="1">
      <x:c r="A83" s="25" t="str">
        <x:v>AR-L3-TRANS-SEM-ENGINE-001-01</x:v>
      </x:c>
      <x:c r="B83" s="25" t="str">
        <x:v>SR-01-03-08</x:v>
      </x:c>
      <x:c r="C83" s="25" t="str">
        <x:v>L3-TRANS-SEM-ENGINE-001</x:v>
      </x:c>
      <x:c r="D83" s="25" t="str">
        <x:v>SF-01</x:v>
      </x:c>
      <x:c r="E83" s="25" t="str">
        <x:v>IR-01-03</x:v>
      </x:c>
      <x:c r="F83" s="22" t="str">
        <x:v>L3 传输管理层</x:v>
      </x:c>
      <x:c r="G83" s="22" t="str">
        <x:v>TM1</x:v>
      </x:c>
      <x:c r="H83" s="22" t="str">
        <x:v>语义策略与路径管理</x:v>
      </x:c>
      <x:c r="I83" s="22" t="str">
        <x:v>P0</x:v>
      </x:c>
      <x:c r="J83" s="22" t="str">
        <x:v>P0</x:v>
      </x:c>
      <x:c r="K83" s="22" t="str">
        <x:v>核心实现</x:v>
      </x:c>
      <x:c r="L83" s="22" t="str">
        <x:v>存储池/传输管理开发</x:v>
      </x:c>
      <x:c r="M83" s="22" t="str">
        <x:v>src/policy/query_plan/sem_engine.{h,cc}</x:v>
      </x:c>
      <x:c r="N83" s="22" t="str">
        <x:v>SEMENGINEPolicy</x:v>
      </x:c>
      <x:c r="O83" s="22" t="str">
        <x:v>在 `src/policy/query_plan/sem_engine.{h,cc}` 新增或重写 `SEMENGINEPolicy`，把“多平台统一传输管理”落实为 L3 传输管理层 可调用主路径：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 输入必须显式消费 candidate placements + deadline + telemetry，输出 ranked QueryPlan + fallback chain + decision reason，不得用全局单例或隐藏同步 I/O 绕开预算与状态机。</x:v>
      </x:c>
      <x:c r="P83" s="22" t="str">
        <x:v>实现 candidate placements + deadline + telemetry → ranked QueryPlan + fallback chain + decision reason；遵守 估计不可信、超预算或路径退化时回到本地 cache/备用副本/partial recompute/recompute</x:v>
      </x:c>
      <x:c r="Q83" s="22" t="str">
        <x:v>核心算法与状态转换完成；新增代码单测分支覆盖≥85%；线程安全/所有权明确；关闭 feature flag 时行为与 baseline 一致。</x:v>
      </x:c>
      <x:c r="R83" s="22" t="str">
        <x:v>ctest -R SEMENGINE --output-on-failure</x:v>
      </x:c>
      <x:c r="S83" s="22" t="str">
        <x:v>同机架内本地及远端DDR命中率（Local Usable Hit Rate）提升≥30%。</x:v>
      </x:c>
      <x:c r="T83" s="22" t="str">
        <x:v>SR-01-03-08</x:v>
      </x:c>
      <x:c r="U83" s="22" t="str">
        <x:v>待认领</x:v>
      </x:c>
      <x:c r="V83" s="22" t="str"/>
      <x:c r="W83" s="22" t="str"/>
      <x:c r="X83" s="22" t="str">
        <x:f>IF(COUNTIF($A$5:$A$451,A83)=1,"PASS","FAIL")</x:f>
        <x:v>PASS</x:v>
      </x:c>
      <x:c r="Y83" s="22" t="str">
        <x:f>IF(COUNTIF('SR系统设计'!$A$5:$A$153,B83)+COUNTIF('追溯与覆盖'!$A$5:$A$153,C83)=2,"PASS","FAIL")</x:f>
        <x:v>PASS</x:v>
      </x:c>
    </x:row>
    <x:row r="84" ht="84" customHeight="1">
      <x:c r="A84" s="25" t="str">
        <x:v>AR-L3-TRANS-SEM-ENGINE-001-02</x:v>
      </x:c>
      <x:c r="B84" s="25" t="str">
        <x:v>SR-01-03-08</x:v>
      </x:c>
      <x:c r="C84" s="25" t="str">
        <x:v>L3-TRANS-SEM-ENGINE-001</x:v>
      </x:c>
      <x:c r="D84" s="25" t="str">
        <x:v>SF-01</x:v>
      </x:c>
      <x:c r="E84" s="25" t="str">
        <x:v>IR-01-03</x:v>
      </x:c>
      <x:c r="F84" s="22" t="str">
        <x:v>L3 传输管理层</x:v>
      </x:c>
      <x:c r="G84" s="22" t="str">
        <x:v>TM1</x:v>
      </x:c>
      <x:c r="H84" s="22" t="str">
        <x:v>语义策略与路径管理</x:v>
      </x:c>
      <x:c r="I84" s="22" t="str">
        <x:v>P0</x:v>
      </x:c>
      <x:c r="J84" s="22" t="str">
        <x:v>P0</x:v>
      </x:c>
      <x:c r="K84" s="22" t="str">
        <x:v>契约配置与降级</x:v>
      </x:c>
      <x:c r="L84" s="22" t="str">
        <x:v>存储池/传输管理开发</x:v>
      </x:c>
      <x:c r="M84" s="22" t="str">
        <x:v>api/kvcache/v1/sem_engine.proto + config/runtime/sem_engine.yaml</x:v>
      </x:c>
      <x:c r="N84" s="22" t="str">
        <x:v>SEMENGINEOptions / kvcache.sem_engine.enabled</x:v>
      </x:c>
      <x:c r="O84" s="22" t="str">
        <x:v>为 `SEMENGINEOptions` 增加 `kvcache.sem_engine.enabled`、deadline/容量/队列预算及版本字段；在调用点接入 typed error、decision_reason、fallback_reason，确保配置热更新、灰度关闭和向后兼容均可审计。</x:v>
      </x:c>
      <x:c r="P84" s="22" t="str">
        <x:v>IDL/配置 schema 有版本号、默认值、边界校验和错误码；状态/租约/ready 不满足时按 估计不可信、超预算或路径退化时回到本地 cache/备用副本/partial recompute/recompute</x:v>
      </x:c>
      <x:c r="Q84" s="22" t="str">
        <x:v>配置样例、schema 校验、升级兼容测试和回退路径齐全；任何隐式 fallback 被移除；新增指标可关联 request_id/query_plan_id/object_id/path_id。</x:v>
      </x:c>
      <x:c r="R84" s="22" t="str">
        <x:v>ctest -R SEMENGINEConfig &amp;&amp; ./bin/kvcache_config_check --case=sem_engine</x:v>
      </x:c>
      <x:c r="S84" s="22" t="str">
        <x:v>同机架内本地及远端DDR命中率（Local Usable Hit Rate）提升≥30%。</x:v>
      </x:c>
      <x:c r="T84" s="22" t="str">
        <x:v>SR-01-03-08</x:v>
      </x:c>
      <x:c r="U84" s="22" t="str">
        <x:v>待认领</x:v>
      </x:c>
      <x:c r="V84" s="22" t="str"/>
      <x:c r="W84" s="22" t="str"/>
      <x:c r="X84" s="22" t="str">
        <x:f>IF(COUNTIF($A$5:$A$451,A84)=1,"PASS","FAIL")</x:f>
        <x:v>PASS</x:v>
      </x:c>
      <x:c r="Y84" s="22" t="str">
        <x:f>IF(COUNTIF('SR系统设计'!$A$5:$A$153,B84)+COUNTIF('追溯与覆盖'!$A$5:$A$153,C84)=2,"PASS","FAIL")</x:f>
        <x:v>PASS</x:v>
      </x:c>
    </x:row>
    <x:row r="85" ht="84" customHeight="1">
      <x:c r="A85" s="25" t="str">
        <x:v>AR-L3-TRANS-SEM-ENGINE-001-03</x:v>
      </x:c>
      <x:c r="B85" s="25" t="str">
        <x:v>SR-01-03-08</x:v>
      </x:c>
      <x:c r="C85" s="25" t="str">
        <x:v>L3-TRANS-SEM-ENGINE-001</x:v>
      </x:c>
      <x:c r="D85" s="25" t="str">
        <x:v>SF-01</x:v>
      </x:c>
      <x:c r="E85" s="25" t="str">
        <x:v>IR-01-03</x:v>
      </x:c>
      <x:c r="F85" s="22" t="str">
        <x:v>L3 传输管理层</x:v>
      </x:c>
      <x:c r="G85" s="22" t="str">
        <x:v>TM1</x:v>
      </x:c>
      <x:c r="H85" s="22" t="str">
        <x:v>语义策略与路径管理</x:v>
      </x:c>
      <x:c r="I85" s="22" t="str">
        <x:v>P0</x:v>
      </x:c>
      <x:c r="J85" s="22" t="str">
        <x:v>P0</x:v>
      </x:c>
      <x:c r="K85" s="22" t="str">
        <x:v>验证与观测</x:v>
      </x:c>
      <x:c r="L85" s="22" t="str">
        <x:v>存储池/传输管理开发</x:v>
      </x:c>
      <x:c r="M85" s="22" t="str">
        <x:v>tests/policy/query_plan/sem_engine_test.cc + benchmarks/policy/query_plan/sem_engine_benchmark.cc</x:v>
      </x:c>
      <x:c r="N85" s="22" t="str">
        <x:v>SEMENGINETest / SEMENGINEBenchmark</x:v>
      </x:c>
      <x:c r="O85" s="22" t="str">
        <x:v>新增正常、边界、并发、超时、stale metadata、迁移冲突、路径拥塞/故障与 feature-flag-off 用例；在 benchmark 中固定模型、tokenizer、prompt、并发、拓扑和 baseline，采集 lookup/load/attach、TTFT、TPOT、usable/abandoned hit、带宽/时延及 CPU/NPU 利用率。</x:v>
      </x:c>
      <x:c r="P85" s="22" t="str">
        <x:v>验收直接引用来源指标：“同机架内本地及远端DDR命中率（Local Usable Hit Rate）提升≥30%。”；故障用例必须证明错误 KV 不被消费且 fallback reason 可追踪。</x:v>
      </x:c>
      <x:c r="Q85" s="22" t="str">
        <x:v>来源验收项全部自动化；性能报告包含 P50/P95/P99、置信区间与 baseline；失败门槛接入 CI；测试数据和命令可复现。</x:v>
      </x:c>
      <x:c r="R85" s="22" t="str">
        <x:v>./bin/kvcache_bench --case=sem_engine --baseline=native --report=json</x:v>
      </x:c>
      <x:c r="S85" s="22" t="str">
        <x:v>同机架内本地及远端DDR命中率（Local Usable Hit Rate）提升≥30%。</x:v>
      </x:c>
      <x:c r="T85" s="22" t="str">
        <x:v>SR-01-03-08</x:v>
      </x:c>
      <x:c r="U85" s="22" t="str">
        <x:v>待认领</x:v>
      </x:c>
      <x:c r="V85" s="22" t="str"/>
      <x:c r="W85" s="22" t="str"/>
      <x:c r="X85" s="22" t="str">
        <x:f>IF(COUNTIF($A$5:$A$451,A85)=1,"PASS","FAIL")</x:f>
        <x:v>PASS</x:v>
      </x:c>
      <x:c r="Y85" s="22" t="str">
        <x:f>IF(COUNTIF('SR系统设计'!$A$5:$A$153,B85)+COUNTIF('追溯与覆盖'!$A$5:$A$153,C85)=2,"PASS","FAIL")</x:f>
        <x:v>PASS</x:v>
      </x:c>
    </x:row>
    <x:row r="86" ht="84" customHeight="1">
      <x:c r="A86" s="25" t="str">
        <x:v>AR-L3-SE-GranularityDispatch-033-01</x:v>
      </x:c>
      <x:c r="B86" s="25" t="str">
        <x:v>SR-01-03-09</x:v>
      </x:c>
      <x:c r="C86" s="25" t="str">
        <x:v>L3-SE-GranularityDispatch-033</x:v>
      </x:c>
      <x:c r="D86" s="25" t="str">
        <x:v>SF-01</x:v>
      </x:c>
      <x:c r="E86" s="25" t="str">
        <x:v>IR-01-03</x:v>
      </x:c>
      <x:c r="F86" s="22" t="str">
        <x:v>L3 传输管理层</x:v>
      </x:c>
      <x:c r="G86" s="22" t="str">
        <x:v>TM1</x:v>
      </x:c>
      <x:c r="H86" s="22" t="str">
        <x:v>语义策略与路径管理</x:v>
      </x:c>
      <x:c r="I86" s="22" t="str">
        <x:v>P1</x:v>
      </x:c>
      <x:c r="J86" s="22" t="str">
        <x:v>P1</x:v>
      </x:c>
      <x:c r="K86" s="22" t="str">
        <x:v>核心实现</x:v>
      </x:c>
      <x:c r="L86" s="22" t="str">
        <x:v>存储池/传输管理开发</x:v>
      </x:c>
      <x:c r="M86" s="22" t="str">
        <x:v>src/policy/query_plan/granularity_dispatch.{h,cc}</x:v>
      </x:c>
      <x:c r="N86" s="22" t="str">
        <x:v>GranularityDispatchPolicy</x:v>
      </x:c>
      <x:c r="O86" s="22" t="str">
        <x:v>在 `src/policy/query_plan/granularity_dispatch.{h,cc}` 新增或重写 `GranularityDispatchPolicy`，把“KV 元数据与 KV 数据分流传输”落实为 L3 传输管理层 可调用主路径：本需求要求 Transfer Manager 按数据粒度自动分发访问语义：64B–4KB metadata 优先 memory-view，0.5–8MB KV block/page 优先 bulk transfer，冷 segment/object 优先 stream/object，避免协议与数据粒度错配。 输入必须显式消费 candidate placements + deadline + telemetry，输出 ranked QueryPlan + fallback chain + decision reason，不得用全局单例或隐藏同步 I/O 绕开预算与状态机。</x:v>
      </x:c>
      <x:c r="P86" s="22" t="str">
        <x:v>实现 candidate placements + deadline + telemetry → ranked QueryPlan + fallback chain + decision reason；遵守 估计不可信、超预算或路径退化时回到本地 cache/备用副本/partial recompute/recompute</x:v>
      </x:c>
      <x:c r="Q86" s="22" t="str">
        <x:v>核心算法与状态转换完成；新增代码单测分支覆盖≥85%；线程安全/所有权明确；关闭 feature flag 时行为与 baseline 一致。</x:v>
      </x:c>
      <x:c r="R86" s="22" t="str">
        <x:v>ctest -R GranularityDispatch --output-on-failure</x:v>
      </x:c>
      <x:c r="S86" s="22" t="str">
        <x:v>lookup p99 降低 ≥30%，bulk BW 提升 ≥20%；</x:v>
      </x:c>
      <x:c r="T86" s="22" t="str">
        <x:v>SR-01-03-09</x:v>
      </x:c>
      <x:c r="U86" s="22" t="str">
        <x:v>待认领</x:v>
      </x:c>
      <x:c r="V86" s="22" t="str"/>
      <x:c r="W86" s="22" t="str"/>
      <x:c r="X86" s="22" t="str">
        <x:f>IF(COUNTIF($A$5:$A$451,A86)=1,"PASS","FAIL")</x:f>
        <x:v>PASS</x:v>
      </x:c>
      <x:c r="Y86" s="22" t="str">
        <x:f>IF(COUNTIF('SR系统设计'!$A$5:$A$153,B86)+COUNTIF('追溯与覆盖'!$A$5:$A$153,C86)=2,"PASS","FAIL")</x:f>
        <x:v>PASS</x:v>
      </x:c>
    </x:row>
    <x:row r="87" ht="84" customHeight="1">
      <x:c r="A87" s="25" t="str">
        <x:v>AR-L3-SE-GranularityDispatch-033-02</x:v>
      </x:c>
      <x:c r="B87" s="25" t="str">
        <x:v>SR-01-03-09</x:v>
      </x:c>
      <x:c r="C87" s="25" t="str">
        <x:v>L3-SE-GranularityDispatch-033</x:v>
      </x:c>
      <x:c r="D87" s="25" t="str">
        <x:v>SF-01</x:v>
      </x:c>
      <x:c r="E87" s="25" t="str">
        <x:v>IR-01-03</x:v>
      </x:c>
      <x:c r="F87" s="22" t="str">
        <x:v>L3 传输管理层</x:v>
      </x:c>
      <x:c r="G87" s="22" t="str">
        <x:v>TM1</x:v>
      </x:c>
      <x:c r="H87" s="22" t="str">
        <x:v>语义策略与路径管理</x:v>
      </x:c>
      <x:c r="I87" s="22" t="str">
        <x:v>P1</x:v>
      </x:c>
      <x:c r="J87" s="22" t="str">
        <x:v>P1</x:v>
      </x:c>
      <x:c r="K87" s="22" t="str">
        <x:v>契约配置与降级</x:v>
      </x:c>
      <x:c r="L87" s="22" t="str">
        <x:v>存储池/传输管理开发</x:v>
      </x:c>
      <x:c r="M87" s="22" t="str">
        <x:v>api/kvcache/v1/granularity_dispatch.proto + config/runtime/granularity_dispatch.yaml</x:v>
      </x:c>
      <x:c r="N87" s="22" t="str">
        <x:v>GranularityDispatchOptions / kvcache.granularity_dispatch.enabled</x:v>
      </x:c>
      <x:c r="O87" s="22" t="str">
        <x:v>为 `GranularityDispatchOptions` 增加 `kvcache.granularity_dispatch.enabled`、deadline/容量/队列预算及版本字段；在调用点接入 typed error、decision_reason、fallback_reason，确保配置热更新、灰度关闭和向后兼容均可审计。</x:v>
      </x:c>
      <x:c r="P87" s="22" t="str">
        <x:v>IDL/配置 schema 有版本号、默认值、边界校验和错误码；状态/租约/ready 不满足时按 估计不可信、超预算或路径退化时回到本地 cache/备用副本/partial recompute/recompute</x:v>
      </x:c>
      <x:c r="Q87" s="22" t="str">
        <x:v>配置样例、schema 校验、升级兼容测试和回退路径齐全；任何隐式 fallback 被移除；新增指标可关联 request_id/query_plan_id/object_id/path_id。</x:v>
      </x:c>
      <x:c r="R87" s="22" t="str">
        <x:v>ctest -R GranularityDispatchConfig &amp;&amp; ./bin/kvcache_config_check --case=granularity_dispatch</x:v>
      </x:c>
      <x:c r="S87" s="22" t="str">
        <x:v>lookup p99 降低 ≥30%，bulk BW 提升 ≥20%；</x:v>
      </x:c>
      <x:c r="T87" s="22" t="str">
        <x:v>SR-01-03-09</x:v>
      </x:c>
      <x:c r="U87" s="22" t="str">
        <x:v>待认领</x:v>
      </x:c>
      <x:c r="V87" s="22" t="str"/>
      <x:c r="W87" s="22" t="str"/>
      <x:c r="X87" s="22" t="str">
        <x:f>IF(COUNTIF($A$5:$A$451,A87)=1,"PASS","FAIL")</x:f>
        <x:v>PASS</x:v>
      </x:c>
      <x:c r="Y87" s="22" t="str">
        <x:f>IF(COUNTIF('SR系统设计'!$A$5:$A$153,B87)+COUNTIF('追溯与覆盖'!$A$5:$A$153,C87)=2,"PASS","FAIL")</x:f>
        <x:v>PASS</x:v>
      </x:c>
    </x:row>
    <x:row r="88" ht="84" customHeight="1">
      <x:c r="A88" s="25" t="str">
        <x:v>AR-L3-SE-GranularityDispatch-033-03</x:v>
      </x:c>
      <x:c r="B88" s="25" t="str">
        <x:v>SR-01-03-09</x:v>
      </x:c>
      <x:c r="C88" s="25" t="str">
        <x:v>L3-SE-GranularityDispatch-033</x:v>
      </x:c>
      <x:c r="D88" s="25" t="str">
        <x:v>SF-01</x:v>
      </x:c>
      <x:c r="E88" s="25" t="str">
        <x:v>IR-01-03</x:v>
      </x:c>
      <x:c r="F88" s="22" t="str">
        <x:v>L3 传输管理层</x:v>
      </x:c>
      <x:c r="G88" s="22" t="str">
        <x:v>TM1</x:v>
      </x:c>
      <x:c r="H88" s="22" t="str">
        <x:v>语义策略与路径管理</x:v>
      </x:c>
      <x:c r="I88" s="22" t="str">
        <x:v>P1</x:v>
      </x:c>
      <x:c r="J88" s="22" t="str">
        <x:v>P1</x:v>
      </x:c>
      <x:c r="K88" s="22" t="str">
        <x:v>验证与观测</x:v>
      </x:c>
      <x:c r="L88" s="22" t="str">
        <x:v>存储池/传输管理开发</x:v>
      </x:c>
      <x:c r="M88" s="22" t="str">
        <x:v>tests/policy/query_plan/granularity_dispatch_test.cc + benchmarks/policy/query_plan/granularity_dispatch_benchmark.cc</x:v>
      </x:c>
      <x:c r="N88" s="22" t="str">
        <x:v>GranularityDispatchTest / GranularityDispatchBenchmark</x:v>
      </x:c>
      <x:c r="O88" s="22" t="str">
        <x:v>新增正常、边界、并发、超时、stale metadata、迁移冲突、路径拥塞/故障与 feature-flag-off 用例；在 benchmark 中固定模型、tokenizer、prompt、并发、拓扑和 baseline，采集 lookup/load/attach、TTFT、TPOT、usable/abandoned hit、带宽/时延及 CPU/NPU 利用率。</x:v>
      </x:c>
      <x:c r="P88" s="22" t="str">
        <x:v>验收直接引用来源指标：“lookup p99 降低 ≥30%，bulk BW 提升 ≥20%；”；故障用例必须证明错误 KV 不被消费且 fallback reason 可追踪。</x:v>
      </x:c>
      <x:c r="Q88" s="22" t="str">
        <x:v>来源验收项全部自动化；性能报告包含 P50/P95/P99、置信区间与 baseline；失败门槛接入 CI；测试数据和命令可复现。</x:v>
      </x:c>
      <x:c r="R88" s="22" t="str">
        <x:v>./bin/kvcache_bench --case=granularity_dispatch --baseline=native --report=json</x:v>
      </x:c>
      <x:c r="S88" s="22" t="str">
        <x:v>lookup p99 降低 ≥30%，bulk BW 提升 ≥20%；</x:v>
      </x:c>
      <x:c r="T88" s="22" t="str">
        <x:v>SR-01-03-09</x:v>
      </x:c>
      <x:c r="U88" s="22" t="str">
        <x:v>待认领</x:v>
      </x:c>
      <x:c r="V88" s="22" t="str"/>
      <x:c r="W88" s="22" t="str"/>
      <x:c r="X88" s="22" t="str">
        <x:f>IF(COUNTIF($A$5:$A$451,A88)=1,"PASS","FAIL")</x:f>
        <x:v>PASS</x:v>
      </x:c>
      <x:c r="Y88" s="22" t="str">
        <x:f>IF(COUNTIF('SR系统设计'!$A$5:$A$153,B88)+COUNTIF('追溯与覆盖'!$A$5:$A$153,C88)=2,"PASS","FAIL")</x:f>
        <x:v>PASS</x:v>
      </x:c>
    </x:row>
    <x:row r="89" ht="84" customHeight="1">
      <x:c r="A89" s="25" t="str">
        <x:v>AR-L3-SE-MultiReplicaResolver-089-01</x:v>
      </x:c>
      <x:c r="B89" s="25" t="str">
        <x:v>SR-01-03-10</x:v>
      </x:c>
      <x:c r="C89" s="25" t="str">
        <x:v>L3-SE-MultiReplicaResolver-089</x:v>
      </x:c>
      <x:c r="D89" s="25" t="str">
        <x:v>SF-01</x:v>
      </x:c>
      <x:c r="E89" s="25" t="str">
        <x:v>IR-01-03</x:v>
      </x:c>
      <x:c r="F89" s="22" t="str">
        <x:v>L3 传输管理层</x:v>
      </x:c>
      <x:c r="G89" s="22" t="str">
        <x:v>TM1</x:v>
      </x:c>
      <x:c r="H89" s="22" t="str">
        <x:v>语义策略与路径管理</x:v>
      </x:c>
      <x:c r="I89" s="22" t="str">
        <x:v>P1</x:v>
      </x:c>
      <x:c r="J89" s="22" t="str">
        <x:v>P1</x:v>
      </x:c>
      <x:c r="K89" s="22" t="str">
        <x:v>核心实现</x:v>
      </x:c>
      <x:c r="L89" s="22" t="str">
        <x:v>存储池/传输管理开发</x:v>
      </x:c>
      <x:c r="M89" s="22" t="str">
        <x:v>src/policy/query_plan/multi_replica_resolver.{h,cc}</x:v>
      </x:c>
      <x:c r="N89" s="22" t="str">
        <x:v>MultiReplicaResolverPolicy</x:v>
      </x:c>
      <x:c r="O89" s="22" t="str">
        <x:v>在 `src/policy/query_plan/multi_replica_resolver.{h,cc}` 新增或重写 `MultiReplicaResolverPolicy`，把“异构分布式多副本的最优路径路由决策”落实为 L3 传输管理层 可调用主路径：本需求要求实现多副本位置自适应感知与最优路由路径解析算法（Multi-Replica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 输入必须显式消费 candidate placements + deadline + telemetry，输出 ranked QueryPlan + fallback chain + decision reason，不得用全局单例或隐藏同步 I/O 绕开预算与状态机。</x:v>
      </x:c>
      <x:c r="P89" s="22" t="str">
        <x:v>实现 candidate placements + deadline + telemetry → ranked QueryPlan + fallback chain + decision reason；遵守 估计不可信、超预算或路径退化时回到本地 cache/备用副本/partial recompute/recompute</x:v>
      </x:c>
      <x:c r="Q89" s="22" t="str">
        <x:v>核心算法与状态转换完成；新增代码单测分支覆盖≥85%；线程安全/所有权明确；关闭 feature flag 时行为与 baseline 一致。</x:v>
      </x:c>
      <x:c r="R89" s="22" t="str">
        <x:v>ctest -R MultiReplicaResolver --output-on-failure</x:v>
      </x:c>
      <x:c r="S89" s="22" t="str">
        <x:v>同机架内本地及远端DDR命中率（Local Usable Hit Rate）提升≥30%。</x:v>
      </x:c>
      <x:c r="T89" s="22" t="str">
        <x:v>SR-01-03-10</x:v>
      </x:c>
      <x:c r="U89" s="22" t="str">
        <x:v>待认领</x:v>
      </x:c>
      <x:c r="V89" s="22" t="str"/>
      <x:c r="W89" s="22" t="str"/>
      <x:c r="X89" s="22" t="str">
        <x:f>IF(COUNTIF($A$5:$A$451,A89)=1,"PASS","FAIL")</x:f>
        <x:v>PASS</x:v>
      </x:c>
      <x:c r="Y89" s="22" t="str">
        <x:f>IF(COUNTIF('SR系统设计'!$A$5:$A$153,B89)+COUNTIF('追溯与覆盖'!$A$5:$A$153,C89)=2,"PASS","FAIL")</x:f>
        <x:v>PASS</x:v>
      </x:c>
    </x:row>
    <x:row r="90" ht="84" customHeight="1">
      <x:c r="A90" s="25" t="str">
        <x:v>AR-L3-SE-MultiReplicaResolver-089-02</x:v>
      </x:c>
      <x:c r="B90" s="25" t="str">
        <x:v>SR-01-03-10</x:v>
      </x:c>
      <x:c r="C90" s="25" t="str">
        <x:v>L3-SE-MultiReplicaResolver-089</x:v>
      </x:c>
      <x:c r="D90" s="25" t="str">
        <x:v>SF-01</x:v>
      </x:c>
      <x:c r="E90" s="25" t="str">
        <x:v>IR-01-03</x:v>
      </x:c>
      <x:c r="F90" s="22" t="str">
        <x:v>L3 传输管理层</x:v>
      </x:c>
      <x:c r="G90" s="22" t="str">
        <x:v>TM1</x:v>
      </x:c>
      <x:c r="H90" s="22" t="str">
        <x:v>语义策略与路径管理</x:v>
      </x:c>
      <x:c r="I90" s="22" t="str">
        <x:v>P1</x:v>
      </x:c>
      <x:c r="J90" s="22" t="str">
        <x:v>P1</x:v>
      </x:c>
      <x:c r="K90" s="22" t="str">
        <x:v>契约配置与降级</x:v>
      </x:c>
      <x:c r="L90" s="22" t="str">
        <x:v>存储池/传输管理开发</x:v>
      </x:c>
      <x:c r="M90" s="22" t="str">
        <x:v>api/kvcache/v1/multi_replica_resolver.proto + config/runtime/multi_replica_resolver.yaml</x:v>
      </x:c>
      <x:c r="N90" s="22" t="str">
        <x:v>MultiReplicaResolverOptions / kvcache.multi_replica_resolver.enabled</x:v>
      </x:c>
      <x:c r="O90" s="22" t="str">
        <x:v>为 `MultiReplicaResolverOptions` 增加 `kvcache.multi_replica_resolver.enabled`、deadline/容量/队列预算及版本字段；在调用点接入 typed error、decision_reason、fallback_reason，确保配置热更新、灰度关闭和向后兼容均可审计。</x:v>
      </x:c>
      <x:c r="P90" s="22" t="str">
        <x:v>IDL/配置 schema 有版本号、默认值、边界校验和错误码；状态/租约/ready 不满足时按 估计不可信、超预算或路径退化时回到本地 cache/备用副本/partial recompute/recompute</x:v>
      </x:c>
      <x:c r="Q90" s="22" t="str">
        <x:v>配置样例、schema 校验、升级兼容测试和回退路径齐全；任何隐式 fallback 被移除；新增指标可关联 request_id/query_plan_id/object_id/path_id。</x:v>
      </x:c>
      <x:c r="R90" s="22" t="str">
        <x:v>ctest -R MultiReplicaResolverConfig &amp;&amp; ./bin/kvcache_config_check --case=multi_replica_resolver</x:v>
      </x:c>
      <x:c r="S90" s="22" t="str">
        <x:v>同机架内本地及远端DDR命中率（Local Usable Hit Rate）提升≥30%。</x:v>
      </x:c>
      <x:c r="T90" s="22" t="str">
        <x:v>SR-01-03-10</x:v>
      </x:c>
      <x:c r="U90" s="22" t="str">
        <x:v>待认领</x:v>
      </x:c>
      <x:c r="V90" s="22" t="str"/>
      <x:c r="W90" s="22" t="str"/>
      <x:c r="X90" s="22" t="str">
        <x:f>IF(COUNTIF($A$5:$A$451,A90)=1,"PASS","FAIL")</x:f>
        <x:v>PASS</x:v>
      </x:c>
      <x:c r="Y90" s="22" t="str">
        <x:f>IF(COUNTIF('SR系统设计'!$A$5:$A$153,B90)+COUNTIF('追溯与覆盖'!$A$5:$A$153,C90)=2,"PASS","FAIL")</x:f>
        <x:v>PASS</x:v>
      </x:c>
    </x:row>
    <x:row r="91" ht="84" customHeight="1">
      <x:c r="A91" s="25" t="str">
        <x:v>AR-L3-SE-MultiReplicaResolver-089-03</x:v>
      </x:c>
      <x:c r="B91" s="25" t="str">
        <x:v>SR-01-03-10</x:v>
      </x:c>
      <x:c r="C91" s="25" t="str">
        <x:v>L3-SE-MultiReplicaResolver-089</x:v>
      </x:c>
      <x:c r="D91" s="25" t="str">
        <x:v>SF-01</x:v>
      </x:c>
      <x:c r="E91" s="25" t="str">
        <x:v>IR-01-03</x:v>
      </x:c>
      <x:c r="F91" s="22" t="str">
        <x:v>L3 传输管理层</x:v>
      </x:c>
      <x:c r="G91" s="22" t="str">
        <x:v>TM1</x:v>
      </x:c>
      <x:c r="H91" s="22" t="str">
        <x:v>语义策略与路径管理</x:v>
      </x:c>
      <x:c r="I91" s="22" t="str">
        <x:v>P1</x:v>
      </x:c>
      <x:c r="J91" s="22" t="str">
        <x:v>P1</x:v>
      </x:c>
      <x:c r="K91" s="22" t="str">
        <x:v>验证与观测</x:v>
      </x:c>
      <x:c r="L91" s="22" t="str">
        <x:v>存储池/传输管理开发</x:v>
      </x:c>
      <x:c r="M91" s="22" t="str">
        <x:v>tests/policy/query_plan/multi_replica_resolver_test.cc + benchmarks/policy/query_plan/multi_replica_resolver_benchmark.cc</x:v>
      </x:c>
      <x:c r="N91" s="22" t="str">
        <x:v>MultiReplicaResolverTest / MultiReplicaResolverBenchmark</x:v>
      </x:c>
      <x:c r="O91" s="22" t="str">
        <x:v>新增正常、边界、并发、超时、stale metadata、迁移冲突、路径拥塞/故障与 feature-flag-off 用例；在 benchmark 中固定模型、tokenizer、prompt、并发、拓扑和 baseline，采集 lookup/load/attach、TTFT、TPOT、usable/abandoned hit、带宽/时延及 CPU/NPU 利用率。</x:v>
      </x:c>
      <x:c r="P91" s="22" t="str">
        <x:v>验收直接引用来源指标：“同机架内本地及远端DDR命中率（Local Usable Hit Rate）提升≥30%。”；故障用例必须证明错误 KV 不被消费且 fallback reason 可追踪。</x:v>
      </x:c>
      <x:c r="Q91" s="22" t="str">
        <x:v>来源验收项全部自动化；性能报告包含 P50/P95/P99、置信区间与 baseline；失败门槛接入 CI；测试数据和命令可复现。</x:v>
      </x:c>
      <x:c r="R91" s="22" t="str">
        <x:v>./bin/kvcache_bench --case=multi_replica_resolver --baseline=native --report=json</x:v>
      </x:c>
      <x:c r="S91" s="22" t="str">
        <x:v>同机架内本地及远端DDR命中率（Local Usable Hit Rate）提升≥30%。</x:v>
      </x:c>
      <x:c r="T91" s="22" t="str">
        <x:v>SR-01-03-10</x:v>
      </x:c>
      <x:c r="U91" s="22" t="str">
        <x:v>待认领</x:v>
      </x:c>
      <x:c r="V91" s="22" t="str"/>
      <x:c r="W91" s="22" t="str"/>
      <x:c r="X91" s="22" t="str">
        <x:f>IF(COUNTIF($A$5:$A$451,A91)=1,"PASS","FAIL")</x:f>
        <x:v>PASS</x:v>
      </x:c>
      <x:c r="Y91" s="22" t="str">
        <x:f>IF(COUNTIF('SR系统设计'!$A$5:$A$153,B91)+COUNTIF('追溯与覆盖'!$A$5:$A$153,C91)=2,"PASS","FAIL")</x:f>
        <x:v>PASS</x:v>
      </x:c>
    </x:row>
    <x:row r="92" ht="84" customHeight="1">
      <x:c r="A92" s="25" t="str">
        <x:v>AR-L3-SE-ViewCopyCostModel-034-01</x:v>
      </x:c>
      <x:c r="B92" s="25" t="str">
        <x:v>SR-01-03-11</x:v>
      </x:c>
      <x:c r="C92" s="25" t="str">
        <x:v>L3-SE-ViewCopyCostModel-034</x:v>
      </x:c>
      <x:c r="D92" s="25" t="str">
        <x:v>SF-01</x:v>
      </x:c>
      <x:c r="E92" s="25" t="str">
        <x:v>IR-01-03</x:v>
      </x:c>
      <x:c r="F92" s="22" t="str">
        <x:v>L3 传输管理层</x:v>
      </x:c>
      <x:c r="G92" s="22" t="str">
        <x:v>TM1</x:v>
      </x:c>
      <x:c r="H92" s="22" t="str">
        <x:v>语义策略与路径管理</x:v>
      </x:c>
      <x:c r="I92" s="22" t="str">
        <x:v>P1</x:v>
      </x:c>
      <x:c r="J92" s="22" t="str">
        <x:v>P1</x:v>
      </x:c>
      <x:c r="K92" s="22" t="str">
        <x:v>核心实现</x:v>
      </x:c>
      <x:c r="L92" s="22" t="str">
        <x:v>存储池/传输管理开发</x:v>
      </x:c>
      <x:c r="M92" s="22" t="str">
        <x:v>src/policy/query_plan/view_copy_cost_model.{h,cc}</x:v>
      </x:c>
      <x:c r="N92" s="22" t="str">
        <x:v>ViewCopyCostModelPolicy</x:v>
      </x:c>
      <x:c r="O92" s="22" t="str">
        <x:v>在 `src/policy/query_plan/view_copy_cost_model.{h,cc}` 新增或重写 `ViewCopyCostModelPolicy`，把“近端热 KV 直访与回填优化”落实为 L3 传输管理层 可调用主路径：本需求要求实现 view-vs-copy cost model：综合 direct view stall cycles、copy-to-HBM cost、expected reuse count、deadline 和 TPOT 敏感性，判断 UB/C2C warm KV 应直接访问还是先 copy 到 HBM。 输入必须显式消费 candidate placements + deadline + telemetry，输出 ranked QueryPlan + fallback chain + decision reason，不得用全局单例或隐藏同步 I/O 绕开预算与状态机。</x:v>
      </x:c>
      <x:c r="P92" s="22" t="str">
        <x:v>实现 candidate placements + deadline + telemetry → ranked QueryPlan + fallback chain + decision reason；遵守 估计不可信、超预算或路径退化时回到本地 cache/备用副本/partial recompute/recompute</x:v>
      </x:c>
      <x:c r="Q92" s="22" t="str">
        <x:v>核心算法与状态转换完成；新增代码单测分支覆盖≥85%；线程安全/所有权明确；关闭 feature flag 时行为与 baseline 一致。</x:v>
      </x:c>
      <x:c r="R92" s="22" t="str">
        <x:v>ctest -R ViewCopyCostModel --output-on-failure</x:v>
      </x:c>
      <x:c r="S92" s="22" t="str">
        <x:v>TPOT 回退 &lt;3%，TTFT 降低 ≥10%；</x:v>
      </x:c>
      <x:c r="T92" s="22" t="str">
        <x:v>SR-01-03-11</x:v>
      </x:c>
      <x:c r="U92" s="22" t="str">
        <x:v>待认领</x:v>
      </x:c>
      <x:c r="V92" s="22" t="str"/>
      <x:c r="W92" s="22" t="str"/>
      <x:c r="X92" s="22" t="str">
        <x:f>IF(COUNTIF($A$5:$A$451,A92)=1,"PASS","FAIL")</x:f>
        <x:v>PASS</x:v>
      </x:c>
      <x:c r="Y92" s="22" t="str">
        <x:f>IF(COUNTIF('SR系统设计'!$A$5:$A$153,B92)+COUNTIF('追溯与覆盖'!$A$5:$A$153,C92)=2,"PASS","FAIL")</x:f>
        <x:v>PASS</x:v>
      </x:c>
    </x:row>
    <x:row r="93" ht="84" customHeight="1">
      <x:c r="A93" s="25" t="str">
        <x:v>AR-L3-SE-ViewCopyCostModel-034-02</x:v>
      </x:c>
      <x:c r="B93" s="25" t="str">
        <x:v>SR-01-03-11</x:v>
      </x:c>
      <x:c r="C93" s="25" t="str">
        <x:v>L3-SE-ViewCopyCostModel-034</x:v>
      </x:c>
      <x:c r="D93" s="25" t="str">
        <x:v>SF-01</x:v>
      </x:c>
      <x:c r="E93" s="25" t="str">
        <x:v>IR-01-03</x:v>
      </x:c>
      <x:c r="F93" s="22" t="str">
        <x:v>L3 传输管理层</x:v>
      </x:c>
      <x:c r="G93" s="22" t="str">
        <x:v>TM1</x:v>
      </x:c>
      <x:c r="H93" s="22" t="str">
        <x:v>语义策略与路径管理</x:v>
      </x:c>
      <x:c r="I93" s="22" t="str">
        <x:v>P1</x:v>
      </x:c>
      <x:c r="J93" s="22" t="str">
        <x:v>P1</x:v>
      </x:c>
      <x:c r="K93" s="22" t="str">
        <x:v>契约配置与降级</x:v>
      </x:c>
      <x:c r="L93" s="22" t="str">
        <x:v>存储池/传输管理开发</x:v>
      </x:c>
      <x:c r="M93" s="22" t="str">
        <x:v>api/kvcache/v1/view_copy_cost_model.proto + config/runtime/view_copy_cost_model.yaml</x:v>
      </x:c>
      <x:c r="N93" s="22" t="str">
        <x:v>ViewCopyCostModelOptions / kvcache.view_copy_cost_model.enabled</x:v>
      </x:c>
      <x:c r="O93" s="22" t="str">
        <x:v>为 `ViewCopyCostModelOptions` 增加 `kvcache.view_copy_cost_model.enabled`、deadline/容量/队列预算及版本字段；在调用点接入 typed error、decision_reason、fallback_reason，确保配置热更新、灰度关闭和向后兼容均可审计。</x:v>
      </x:c>
      <x:c r="P93" s="22" t="str">
        <x:v>IDL/配置 schema 有版本号、默认值、边界校验和错误码；状态/租约/ready 不满足时按 估计不可信、超预算或路径退化时回到本地 cache/备用副本/partial recompute/recompute</x:v>
      </x:c>
      <x:c r="Q93" s="22" t="str">
        <x:v>配置样例、schema 校验、升级兼容测试和回退路径齐全；任何隐式 fallback 被移除；新增指标可关联 request_id/query_plan_id/object_id/path_id。</x:v>
      </x:c>
      <x:c r="R93" s="22" t="str">
        <x:v>ctest -R ViewCopyCostModelConfig &amp;&amp; ./bin/kvcache_config_check --case=view_copy_cost_model</x:v>
      </x:c>
      <x:c r="S93" s="22" t="str">
        <x:v>TPOT 回退 &lt;3%，TTFT 降低 ≥10%；</x:v>
      </x:c>
      <x:c r="T93" s="22" t="str">
        <x:v>SR-01-03-11</x:v>
      </x:c>
      <x:c r="U93" s="22" t="str">
        <x:v>待认领</x:v>
      </x:c>
      <x:c r="V93" s="22" t="str"/>
      <x:c r="W93" s="22" t="str"/>
      <x:c r="X93" s="22" t="str">
        <x:f>IF(COUNTIF($A$5:$A$451,A93)=1,"PASS","FAIL")</x:f>
        <x:v>PASS</x:v>
      </x:c>
      <x:c r="Y93" s="22" t="str">
        <x:f>IF(COUNTIF('SR系统设计'!$A$5:$A$153,B93)+COUNTIF('追溯与覆盖'!$A$5:$A$153,C93)=2,"PASS","FAIL")</x:f>
        <x:v>PASS</x:v>
      </x:c>
    </x:row>
    <x:row r="94" ht="84" customHeight="1">
      <x:c r="A94" s="25" t="str">
        <x:v>AR-L3-SE-ViewCopyCostModel-034-03</x:v>
      </x:c>
      <x:c r="B94" s="25" t="str">
        <x:v>SR-01-03-11</x:v>
      </x:c>
      <x:c r="C94" s="25" t="str">
        <x:v>L3-SE-ViewCopyCostModel-034</x:v>
      </x:c>
      <x:c r="D94" s="25" t="str">
        <x:v>SF-01</x:v>
      </x:c>
      <x:c r="E94" s="25" t="str">
        <x:v>IR-01-03</x:v>
      </x:c>
      <x:c r="F94" s="22" t="str">
        <x:v>L3 传输管理层</x:v>
      </x:c>
      <x:c r="G94" s="22" t="str">
        <x:v>TM1</x:v>
      </x:c>
      <x:c r="H94" s="22" t="str">
        <x:v>语义策略与路径管理</x:v>
      </x:c>
      <x:c r="I94" s="22" t="str">
        <x:v>P1</x:v>
      </x:c>
      <x:c r="J94" s="22" t="str">
        <x:v>P1</x:v>
      </x:c>
      <x:c r="K94" s="22" t="str">
        <x:v>验证与观测</x:v>
      </x:c>
      <x:c r="L94" s="22" t="str">
        <x:v>存储池/传输管理开发</x:v>
      </x:c>
      <x:c r="M94" s="22" t="str">
        <x:v>tests/policy/query_plan/view_copy_cost_model_test.cc + benchmarks/policy/query_plan/view_copy_cost_model_benchmark.cc</x:v>
      </x:c>
      <x:c r="N94" s="22" t="str">
        <x:v>ViewCopyCostModelTest / ViewCopyCostModelBenchmark</x:v>
      </x:c>
      <x:c r="O94" s="22" t="str">
        <x:v>新增正常、边界、并发、超时、stale metadata、迁移冲突、路径拥塞/故障与 feature-flag-off 用例；在 benchmark 中固定模型、tokenizer、prompt、并发、拓扑和 baseline，采集 lookup/load/attach、TTFT、TPOT、usable/abandoned hit、带宽/时延及 CPU/NPU 利用率。</x:v>
      </x:c>
      <x:c r="P94" s="22" t="str">
        <x:v>验收直接引用来源指标：“TPOT 回退 &lt;3%，TTFT 降低 ≥10%；”；故障用例必须证明错误 KV 不被消费且 fallback reason 可追踪。</x:v>
      </x:c>
      <x:c r="Q94" s="22" t="str">
        <x:v>来源验收项全部自动化；性能报告包含 P50/P95/P99、置信区间与 baseline；失败门槛接入 CI；测试数据和命令可复现。</x:v>
      </x:c>
      <x:c r="R94" s="22" t="str">
        <x:v>./bin/kvcache_bench --case=view_copy_cost_model --baseline=native --report=json</x:v>
      </x:c>
      <x:c r="S94" s="22" t="str">
        <x:v>TPOT 回退 &lt;3%，TTFT 降低 ≥10%；</x:v>
      </x:c>
      <x:c r="T94" s="22" t="str">
        <x:v>SR-01-03-11</x:v>
      </x:c>
      <x:c r="U94" s="22" t="str">
        <x:v>待认领</x:v>
      </x:c>
      <x:c r="V94" s="22" t="str"/>
      <x:c r="W94" s="22" t="str"/>
      <x:c r="X94" s="22" t="str">
        <x:f>IF(COUNTIF($A$5:$A$451,A94)=1,"PASS","FAIL")</x:f>
        <x:v>PASS</x:v>
      </x:c>
      <x:c r="Y94" s="22" t="str">
        <x:f>IF(COUNTIF('SR系统设计'!$A$5:$A$153,B94)+COUNTIF('追溯与覆盖'!$A$5:$A$153,C94)=2,"PASS","FAIL")</x:f>
        <x:v>PASS</x:v>
      </x:c>
    </x:row>
    <x:row r="95" ht="84" customHeight="1">
      <x:c r="A95" s="25" t="str">
        <x:v>AR-L3-TRANS-TOPO-SENSE-004-01</x:v>
      </x:c>
      <x:c r="B95" s="25" t="str">
        <x:v>SR-01-03-12</x:v>
      </x:c>
      <x:c r="C95" s="25" t="str">
        <x:v>L3-TRANS-TOPO-SENSE-004</x:v>
      </x:c>
      <x:c r="D95" s="25" t="str">
        <x:v>SF-01</x:v>
      </x:c>
      <x:c r="E95" s="25" t="str">
        <x:v>IR-01-03</x:v>
      </x:c>
      <x:c r="F95" s="22" t="str">
        <x:v>L3 传输管理层</x:v>
      </x:c>
      <x:c r="G95" s="22" t="str">
        <x:v>TM1</x:v>
      </x:c>
      <x:c r="H95" s="22" t="str">
        <x:v>语义策略与路径管理</x:v>
      </x:c>
      <x:c r="I95" s="22" t="str">
        <x:v>P1</x:v>
      </x:c>
      <x:c r="J95" s="22" t="str">
        <x:v>P1</x:v>
      </x:c>
      <x:c r="K95" s="22" t="str">
        <x:v>核心实现</x:v>
      </x:c>
      <x:c r="L95" s="22" t="str">
        <x:v>存储池/传输管理开发</x:v>
      </x:c>
      <x:c r="M95" s="22" t="str">
        <x:v>src/policy/query_plan/topo_sense.{h,cc}</x:v>
      </x:c>
      <x:c r="N95" s="22" t="str">
        <x:v>TOPOSENSEPolicy</x:v>
      </x:c>
      <x:c r="O95" s="22" t="str">
        <x:v>在 `src/policy/query_plan/topo_sense.{h,cc}` 新增或重写 `TOPOSENSEPolicy`，把“动态传输质量适应”落实为 L3 传输管理层 可调用主路径：本需求要求实现传输路径质量实时感知机制，以100ms为周期采样各路径P50/P99时延（RDMA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 输入必须显式消费 candidate placements + deadline + telemetry，输出 ranked QueryPlan + fallback chain + decision reason，不得用全局单例或隐藏同步 I/O 绕开预算与状态机。</x:v>
      </x:c>
      <x:c r="P95" s="22" t="str">
        <x:v>实现 candidate placements + deadline + telemetry → ranked QueryPlan + fallback chain + decision reason；遵守 估计不可信、超预算或路径退化时回到本地 cache/备用副本/partial recompute/recompute</x:v>
      </x:c>
      <x:c r="Q95" s="22" t="str">
        <x:v>核心算法与状态转换完成；新增代码单测分支覆盖≥85%；线程安全/所有权明确；关闭 feature flag 时行为与 baseline 一致。</x:v>
      </x:c>
      <x:c r="R95" s="22" t="str">
        <x:v>ctest -R TOPOSENSE --output-on-failure</x:v>
      </x:c>
      <x:c r="S95" s="22" t="str">
        <x:v>传输端到端延迟降低≥40%，CPU占用率(System Load)下降。</x:v>
      </x:c>
      <x:c r="T95" s="22" t="str">
        <x:v>SR-01-03-12</x:v>
      </x:c>
      <x:c r="U95" s="22" t="str">
        <x:v>待认领</x:v>
      </x:c>
      <x:c r="V95" s="22" t="str"/>
      <x:c r="W95" s="22" t="str"/>
      <x:c r="X95" s="22" t="str">
        <x:f>IF(COUNTIF($A$5:$A$451,A95)=1,"PASS","FAIL")</x:f>
        <x:v>PASS</x:v>
      </x:c>
      <x:c r="Y95" s="22" t="str">
        <x:f>IF(COUNTIF('SR系统设计'!$A$5:$A$153,B95)+COUNTIF('追溯与覆盖'!$A$5:$A$153,C95)=2,"PASS","FAIL")</x:f>
        <x:v>PASS</x:v>
      </x:c>
    </x:row>
    <x:row r="96" ht="84" customHeight="1">
      <x:c r="A96" s="25" t="str">
        <x:v>AR-L3-TRANS-TOPO-SENSE-004-02</x:v>
      </x:c>
      <x:c r="B96" s="25" t="str">
        <x:v>SR-01-03-12</x:v>
      </x:c>
      <x:c r="C96" s="25" t="str">
        <x:v>L3-TRANS-TOPO-SENSE-004</x:v>
      </x:c>
      <x:c r="D96" s="25" t="str">
        <x:v>SF-01</x:v>
      </x:c>
      <x:c r="E96" s="25" t="str">
        <x:v>IR-01-03</x:v>
      </x:c>
      <x:c r="F96" s="22" t="str">
        <x:v>L3 传输管理层</x:v>
      </x:c>
      <x:c r="G96" s="22" t="str">
        <x:v>TM1</x:v>
      </x:c>
      <x:c r="H96" s="22" t="str">
        <x:v>语义策略与路径管理</x:v>
      </x:c>
      <x:c r="I96" s="22" t="str">
        <x:v>P1</x:v>
      </x:c>
      <x:c r="J96" s="22" t="str">
        <x:v>P1</x:v>
      </x:c>
      <x:c r="K96" s="22" t="str">
        <x:v>契约配置与降级</x:v>
      </x:c>
      <x:c r="L96" s="22" t="str">
        <x:v>存储池/传输管理开发</x:v>
      </x:c>
      <x:c r="M96" s="22" t="str">
        <x:v>api/kvcache/v1/topo_sense.proto + config/runtime/topo_sense.yaml</x:v>
      </x:c>
      <x:c r="N96" s="22" t="str">
        <x:v>TOPOSENSEOptions / kvcache.topo_sense.enabled</x:v>
      </x:c>
      <x:c r="O96" s="22" t="str">
        <x:v>为 `TOPOSENSEOptions` 增加 `kvcache.topo_sense.enabled`、deadline/容量/队列预算及版本字段；在调用点接入 typed error、decision_reason、fallback_reason，确保配置热更新、灰度关闭和向后兼容均可审计。</x:v>
      </x:c>
      <x:c r="P96" s="22" t="str">
        <x:v>IDL/配置 schema 有版本号、默认值、边界校验和错误码；状态/租约/ready 不满足时按 估计不可信、超预算或路径退化时回到本地 cache/备用副本/partial recompute/recompute</x:v>
      </x:c>
      <x:c r="Q96" s="22" t="str">
        <x:v>配置样例、schema 校验、升级兼容测试和回退路径齐全；任何隐式 fallback 被移除；新增指标可关联 request_id/query_plan_id/object_id/path_id。</x:v>
      </x:c>
      <x:c r="R96" s="22" t="str">
        <x:v>ctest -R TOPOSENSEConfig &amp;&amp; ./bin/kvcache_config_check --case=topo_sense</x:v>
      </x:c>
      <x:c r="S96" s="22" t="str">
        <x:v>传输端到端延迟降低≥40%，CPU占用率(System Load)下降。</x:v>
      </x:c>
      <x:c r="T96" s="22" t="str">
        <x:v>SR-01-03-12</x:v>
      </x:c>
      <x:c r="U96" s="22" t="str">
        <x:v>待认领</x:v>
      </x:c>
      <x:c r="V96" s="22" t="str"/>
      <x:c r="W96" s="22" t="str"/>
      <x:c r="X96" s="22" t="str">
        <x:f>IF(COUNTIF($A$5:$A$451,A96)=1,"PASS","FAIL")</x:f>
        <x:v>PASS</x:v>
      </x:c>
      <x:c r="Y96" s="22" t="str">
        <x:f>IF(COUNTIF('SR系统设计'!$A$5:$A$153,B96)+COUNTIF('追溯与覆盖'!$A$5:$A$153,C96)=2,"PASS","FAIL")</x:f>
        <x:v>PASS</x:v>
      </x:c>
    </x:row>
    <x:row r="97" ht="84" customHeight="1">
      <x:c r="A97" s="25" t="str">
        <x:v>AR-L3-TRANS-TOPO-SENSE-004-03</x:v>
      </x:c>
      <x:c r="B97" s="25" t="str">
        <x:v>SR-01-03-12</x:v>
      </x:c>
      <x:c r="C97" s="25" t="str">
        <x:v>L3-TRANS-TOPO-SENSE-004</x:v>
      </x:c>
      <x:c r="D97" s="25" t="str">
        <x:v>SF-01</x:v>
      </x:c>
      <x:c r="E97" s="25" t="str">
        <x:v>IR-01-03</x:v>
      </x:c>
      <x:c r="F97" s="22" t="str">
        <x:v>L3 传输管理层</x:v>
      </x:c>
      <x:c r="G97" s="22" t="str">
        <x:v>TM1</x:v>
      </x:c>
      <x:c r="H97" s="22" t="str">
        <x:v>语义策略与路径管理</x:v>
      </x:c>
      <x:c r="I97" s="22" t="str">
        <x:v>P1</x:v>
      </x:c>
      <x:c r="J97" s="22" t="str">
        <x:v>P1</x:v>
      </x:c>
      <x:c r="K97" s="22" t="str">
        <x:v>验证与观测</x:v>
      </x:c>
      <x:c r="L97" s="22" t="str">
        <x:v>存储池/传输管理开发</x:v>
      </x:c>
      <x:c r="M97" s="22" t="str">
        <x:v>tests/policy/query_plan/topo_sense_test.cc + benchmarks/policy/query_plan/topo_sense_benchmark.cc</x:v>
      </x:c>
      <x:c r="N97" s="22" t="str">
        <x:v>TOPOSENSETest / TOPOSENSEBenchmark</x:v>
      </x:c>
      <x:c r="O97" s="22" t="str">
        <x:v>新增正常、边界、并发、超时、stale metadata、迁移冲突、路径拥塞/故障与 feature-flag-off 用例；在 benchmark 中固定模型、tokenizer、prompt、并发、拓扑和 baseline，采集 lookup/load/attach、TTFT、TPOT、usable/abandoned hit、带宽/时延及 CPU/NPU 利用率。</x:v>
      </x:c>
      <x:c r="P97" s="22" t="str">
        <x:v>验收直接引用来源指标：“传输端到端延迟降低≥40%，CPU占用率(System Load)下降。”；故障用例必须证明错误 KV 不被消费且 fallback reason 可追踪。</x:v>
      </x:c>
      <x:c r="Q97" s="22" t="str">
        <x:v>来源验收项全部自动化；性能报告包含 P50/P95/P99、置信区间与 baseline；失败门槛接入 CI；测试数据和命令可复现。</x:v>
      </x:c>
      <x:c r="R97" s="22" t="str">
        <x:v>./bin/kvcache_bench --case=topo_sense --baseline=native --report=json</x:v>
      </x:c>
      <x:c r="S97" s="22" t="str">
        <x:v>传输端到端延迟降低≥40%，CPU占用率(System Load)下降。</x:v>
      </x:c>
      <x:c r="T97" s="22" t="str">
        <x:v>SR-01-03-12</x:v>
      </x:c>
      <x:c r="U97" s="22" t="str">
        <x:v>待认领</x:v>
      </x:c>
      <x:c r="V97" s="22" t="str"/>
      <x:c r="W97" s="22" t="str"/>
      <x:c r="X97" s="22" t="str">
        <x:f>IF(COUNTIF($A$5:$A$451,A97)=1,"PASS","FAIL")</x:f>
        <x:v>PASS</x:v>
      </x:c>
      <x:c r="Y97" s="22" t="str">
        <x:f>IF(COUNTIF('SR系统设计'!$A$5:$A$153,B97)+COUNTIF('追溯与覆盖'!$A$5:$A$153,C97)=2,"PASS","FAIL")</x:f>
        <x:v>PASS</x:v>
      </x:c>
    </x:row>
    <x:row r="98" ht="84" customHeight="1">
      <x:c r="A98" s="25" t="str">
        <x:v>AR-L3-MS-HotReplication-040-01</x:v>
      </x:c>
      <x:c r="B98" s="25" t="str">
        <x:v>SR-01-04-01</x:v>
      </x:c>
      <x:c r="C98" s="25" t="str">
        <x:v>L3-MS-HotReplication-040</x:v>
      </x:c>
      <x:c r="D98" s="25" t="str">
        <x:v>SF-01</x:v>
      </x:c>
      <x:c r="E98" s="25" t="str">
        <x:v>IR-01-04</x:v>
      </x:c>
      <x:c r="F98" s="22" t="str">
        <x:v>L3 传输管理层</x:v>
      </x:c>
      <x:c r="G98" s="22" t="str">
        <x:v>TM4</x:v>
      </x:c>
      <x:c r="H98" s="22" t="str">
        <x:v>传输编排与广播</x:v>
      </x:c>
      <x:c r="I98" s="22" t="str">
        <x:v>P1</x:v>
      </x:c>
      <x:c r="J98" s="22" t="str">
        <x:v>P1</x:v>
      </x:c>
      <x:c r="K98" s="22" t="str">
        <x:v>核心实现</x:v>
      </x:c>
      <x:c r="L98" s="22" t="str">
        <x:v>存储池/传输管理开发</x:v>
      </x:c>
      <x:c r="M98" s="22" t="str">
        <x:v>src/transfer/orchestrator/hot_replication.{h,cc}</x:v>
      </x:c>
      <x:c r="N98" s="22" t="str">
        <x:v>HotReplicationOrchestrator</x:v>
      </x:c>
      <x:c r="O98" s="22" t="str">
        <x:v>在 `src/transfer/orchestrator/hot_replication.{h,cc}` 新增或重写 `HotReplicationOrchestrator`，把“热点前缀 KVCache 多副本扩散”落实为 L3 传输管理层 可调用主路径：本需求要求对公共 system prompt、agent tool schema、RAG 热模板等 hot prefix 自动复制到多个本地 DDR、UB pool 或远端 DDR shard，复制决策由 QPS、p99 latency、queue depth 和 cross-node bytes 触发。 输入必须显式消费 QueryPlan + BulkDescriptor + traffic class，输出 TransferTicket + completion/fence + per-target result，不得用全局单例或隐藏同步 I/O 绕开预算与状态机。</x:v>
      </x:c>
      <x:c r="P98" s="22" t="str">
        <x:v>实现 QueryPlan + BulkDescriptor + traffic class → TransferTicket + completion/fence + per-target result；遵守 部分目标失败时隔离重试；deadline到期取消未提交任务并按目标粒度回退</x:v>
      </x:c>
      <x:c r="Q98" s="22" t="str">
        <x:v>核心算法与状态转换完成；新增代码单测分支覆盖≥85%；线程安全/所有权明确；关闭 feature flag 时行为与 baseline 一致。</x:v>
      </x:c>
      <x:c r="R98" s="22" t="str">
        <x:v>ctest -R HotReplication --output-on-failure</x:v>
      </x:c>
      <x:c r="S98" s="22" t="str">
        <x:v>hot shard p99 降低 ≥40%；</x:v>
      </x:c>
      <x:c r="T98" s="22" t="str">
        <x:v>SR-01-04-01</x:v>
      </x:c>
      <x:c r="U98" s="22" t="str">
        <x:v>待认领</x:v>
      </x:c>
      <x:c r="V98" s="22" t="str"/>
      <x:c r="W98" s="22" t="str"/>
      <x:c r="X98" s="22" t="str">
        <x:f>IF(COUNTIF($A$5:$A$451,A98)=1,"PASS","FAIL")</x:f>
        <x:v>PASS</x:v>
      </x:c>
      <x:c r="Y98" s="22" t="str">
        <x:f>IF(COUNTIF('SR系统设计'!$A$5:$A$153,B98)+COUNTIF('追溯与覆盖'!$A$5:$A$153,C98)=2,"PASS","FAIL")</x:f>
        <x:v>PASS</x:v>
      </x:c>
    </x:row>
    <x:row r="99" ht="84" customHeight="1">
      <x:c r="A99" s="25" t="str">
        <x:v>AR-L3-MS-HotReplication-040-02</x:v>
      </x:c>
      <x:c r="B99" s="25" t="str">
        <x:v>SR-01-04-01</x:v>
      </x:c>
      <x:c r="C99" s="25" t="str">
        <x:v>L3-MS-HotReplication-040</x:v>
      </x:c>
      <x:c r="D99" s="25" t="str">
        <x:v>SF-01</x:v>
      </x:c>
      <x:c r="E99" s="25" t="str">
        <x:v>IR-01-04</x:v>
      </x:c>
      <x:c r="F99" s="22" t="str">
        <x:v>L3 传输管理层</x:v>
      </x:c>
      <x:c r="G99" s="22" t="str">
        <x:v>TM4</x:v>
      </x:c>
      <x:c r="H99" s="22" t="str">
        <x:v>传输编排与广播</x:v>
      </x:c>
      <x:c r="I99" s="22" t="str">
        <x:v>P1</x:v>
      </x:c>
      <x:c r="J99" s="22" t="str">
        <x:v>P1</x:v>
      </x:c>
      <x:c r="K99" s="22" t="str">
        <x:v>契约配置与降级</x:v>
      </x:c>
      <x:c r="L99" s="22" t="str">
        <x:v>存储池/传输管理开发</x:v>
      </x:c>
      <x:c r="M99" s="22" t="str">
        <x:v>api/kvcache/v1/hot_replication.proto + config/runtime/hot_replication.yaml</x:v>
      </x:c>
      <x:c r="N99" s="22" t="str">
        <x:v>HotReplicationOptions / kvcache.hot_replication.enabled</x:v>
      </x:c>
      <x:c r="O99" s="22" t="str">
        <x:v>为 `HotReplicationOptions` 增加 `kvcache.hot_replication.enabled`、deadline/容量/队列预算及版本字段；在调用点接入 typed error、decision_reason、fallback_reason，确保配置热更新、灰度关闭和向后兼容均可审计。</x:v>
      </x:c>
      <x:c r="P99" s="22" t="str">
        <x:v>IDL/配置 schema 有版本号、默认值、边界校验和错误码；状态/租约/ready 不满足时按 部分目标失败时隔离重试；deadline到期取消未提交任务并按目标粒度回退</x:v>
      </x:c>
      <x:c r="Q99" s="22" t="str">
        <x:v>配置样例、schema 校验、升级兼容测试和回退路径齐全；任何隐式 fallback 被移除；新增指标可关联 request_id/query_plan_id/object_id/path_id。</x:v>
      </x:c>
      <x:c r="R99" s="22" t="str">
        <x:v>ctest -R HotReplicationConfig &amp;&amp; ./bin/kvcache_config_check --case=hot_replication</x:v>
      </x:c>
      <x:c r="S99" s="22" t="str">
        <x:v>hot shard p99 降低 ≥40%；</x:v>
      </x:c>
      <x:c r="T99" s="22" t="str">
        <x:v>SR-01-04-01</x:v>
      </x:c>
      <x:c r="U99" s="22" t="str">
        <x:v>待认领</x:v>
      </x:c>
      <x:c r="V99" s="22" t="str"/>
      <x:c r="W99" s="22" t="str"/>
      <x:c r="X99" s="22" t="str">
        <x:f>IF(COUNTIF($A$5:$A$451,A99)=1,"PASS","FAIL")</x:f>
        <x:v>PASS</x:v>
      </x:c>
      <x:c r="Y99" s="22" t="str">
        <x:f>IF(COUNTIF('SR系统设计'!$A$5:$A$153,B99)+COUNTIF('追溯与覆盖'!$A$5:$A$153,C99)=2,"PASS","FAIL")</x:f>
        <x:v>PASS</x:v>
      </x:c>
    </x:row>
    <x:row r="100" ht="84" customHeight="1">
      <x:c r="A100" s="25" t="str">
        <x:v>AR-L3-MS-HotReplication-040-03</x:v>
      </x:c>
      <x:c r="B100" s="25" t="str">
        <x:v>SR-01-04-01</x:v>
      </x:c>
      <x:c r="C100" s="25" t="str">
        <x:v>L3-MS-HotReplication-040</x:v>
      </x:c>
      <x:c r="D100" s="25" t="str">
        <x:v>SF-01</x:v>
      </x:c>
      <x:c r="E100" s="25" t="str">
        <x:v>IR-01-04</x:v>
      </x:c>
      <x:c r="F100" s="22" t="str">
        <x:v>L3 传输管理层</x:v>
      </x:c>
      <x:c r="G100" s="22" t="str">
        <x:v>TM4</x:v>
      </x:c>
      <x:c r="H100" s="22" t="str">
        <x:v>传输编排与广播</x:v>
      </x:c>
      <x:c r="I100" s="22" t="str">
        <x:v>P1</x:v>
      </x:c>
      <x:c r="J100" s="22" t="str">
        <x:v>P1</x:v>
      </x:c>
      <x:c r="K100" s="22" t="str">
        <x:v>验证与观测</x:v>
      </x:c>
      <x:c r="L100" s="22" t="str">
        <x:v>存储池/传输管理开发</x:v>
      </x:c>
      <x:c r="M100" s="22" t="str">
        <x:v>tests/transfer/orchestrator/hot_replication_test.cc + benchmarks/transfer/orchestrator/hot_replication_benchmark.cc</x:v>
      </x:c>
      <x:c r="N100" s="22" t="str">
        <x:v>HotReplicationTest / HotReplicationBenchmark</x:v>
      </x:c>
      <x:c r="O100" s="22" t="str">
        <x:v>新增正常、边界、并发、超时、stale metadata、迁移冲突、路径拥塞/故障与 feature-flag-off 用例；在 benchmark 中固定模型、tokenizer、prompt、并发、拓扑和 baseline，采集 lookup/load/attach、TTFT、TPOT、usable/abandoned hit、带宽/时延及 CPU/NPU 利用率。</x:v>
      </x:c>
      <x:c r="P100" s="22" t="str">
        <x:v>验收直接引用来源指标：“hot shard p99 降低 ≥40%；”；故障用例必须证明错误 KV 不被消费且 fallback reason 可追踪。</x:v>
      </x:c>
      <x:c r="Q100" s="22" t="str">
        <x:v>来源验收项全部自动化；性能报告包含 P50/P95/P99、置信区间与 baseline；失败门槛接入 CI；测试数据和命令可复现。</x:v>
      </x:c>
      <x:c r="R100" s="22" t="str">
        <x:v>./bin/kvcache_bench --case=hot_replication --baseline=native --report=json</x:v>
      </x:c>
      <x:c r="S100" s="22" t="str">
        <x:v>hot shard p99 降低 ≥40%；</x:v>
      </x:c>
      <x:c r="T100" s="22" t="str">
        <x:v>SR-01-04-01</x:v>
      </x:c>
      <x:c r="U100" s="22" t="str">
        <x:v>待认领</x:v>
      </x:c>
      <x:c r="V100" s="22" t="str"/>
      <x:c r="W100" s="22" t="str"/>
      <x:c r="X100" s="22" t="str">
        <x:f>IF(COUNTIF($A$5:$A$451,A100)=1,"PASS","FAIL")</x:f>
        <x:v>PASS</x:v>
      </x:c>
      <x:c r="Y100" s="22" t="str">
        <x:f>IF(COUNTIF('SR系统设计'!$A$5:$A$153,B100)+COUNTIF('追溯与覆盖'!$A$5:$A$153,C100)=2,"PASS","FAIL")</x:f>
        <x:v>PASS</x:v>
      </x:c>
    </x:row>
    <x:row r="101" ht="84" customHeight="1">
      <x:c r="A101" s="25" t="str">
        <x:v>AR-L3-MS-StateAwarePrefetch-081-01</x:v>
      </x:c>
      <x:c r="B101" s="25" t="str">
        <x:v>SR-01-04-02</x:v>
      </x:c>
      <x:c r="C101" s="25" t="str">
        <x:v>L3-MS-StateAwarePrefetch-081</x:v>
      </x:c>
      <x:c r="D101" s="25" t="str">
        <x:v>SF-01</x:v>
      </x:c>
      <x:c r="E101" s="25" t="str">
        <x:v>IR-01-04</x:v>
      </x:c>
      <x:c r="F101" s="22" t="str">
        <x:v>L3 传输管理层</x:v>
      </x:c>
      <x:c r="G101" s="22" t="str">
        <x:v>TM4</x:v>
      </x:c>
      <x:c r="H101" s="22" t="str">
        <x:v>传输编排与广播</x:v>
      </x:c>
      <x:c r="I101" s="22" t="str">
        <x:v>P1</x:v>
      </x:c>
      <x:c r="J101" s="22" t="str">
        <x:v>P1</x:v>
      </x:c>
      <x:c r="K101" s="22" t="str">
        <x:v>核心实现</x:v>
      </x:c>
      <x:c r="L101" s="22" t="str">
        <x:v>存储池/传输管理开发</x:v>
      </x:c>
      <x:c r="M101" s="22" t="str">
        <x:v>src/transfer/orchestrator/state_aware_prefetch.{h,cc}</x:v>
      </x:c>
      <x:c r="N101" s="22" t="str">
        <x:v>StateAwarePrefetchOrchestrator</x:v>
      </x:c>
      <x:c r="O101" s="22" t="str">
        <x:v>在 `src/transfer/orchestrator/state_aware_prefetch.{h,cc}` 新增或重写 `StateAwarePrefetchOrchestrator`，把“状态感知的 KV 预取”落实为 L3 传输管理层 可调用主路径：本需求要求预取引擎必须感知 KV object state 和 placement state：对 READY 远端副本可预取，对 MIGRATING 副本延迟或改选源，对 EVICTING 副本禁止预取，对 TOMBSTONE/FAILED 副本直接返回 miss。 输入必须显式消费 QueryPlan + BulkDescriptor + traffic class，输出 TransferTicket + completion/fence + per-target result，不得用全局单例或隐藏同步 I/O 绕开预算与状态机。</x:v>
      </x:c>
      <x:c r="P101" s="22" t="str">
        <x:v>实现 QueryPlan + BulkDescriptor + traffic class → TransferTicket + completion/fence + per-target result；遵守 部分目标失败时隔离重试；deadline到期取消未提交任务并按目标粒度回退</x:v>
      </x:c>
      <x:c r="Q101" s="22" t="str">
        <x:v>核心算法与状态转换完成；新增代码单测分支覆盖≥85%；线程安全/所有权明确；关闭 feature flag 时行为与 baseline 一致。</x:v>
      </x:c>
      <x:c r="R101" s="22" t="str">
        <x:v>ctest -R StateAwarePrefetch --output-on-failure</x:v>
      </x:c>
      <x:c r="S101" s="22" t="str">
        <x:v>节点动态加入/退出时的缓存失效控制在局部范围内（遵循一致性哈希比例）。</x:v>
      </x:c>
      <x:c r="T101" s="22" t="str">
        <x:v>SR-01-04-02</x:v>
      </x:c>
      <x:c r="U101" s="22" t="str">
        <x:v>待认领</x:v>
      </x:c>
      <x:c r="V101" s="22" t="str"/>
      <x:c r="W101" s="22" t="str"/>
      <x:c r="X101" s="22" t="str">
        <x:f>IF(COUNTIF($A$5:$A$451,A101)=1,"PASS","FAIL")</x:f>
        <x:v>PASS</x:v>
      </x:c>
      <x:c r="Y101" s="22" t="str">
        <x:f>IF(COUNTIF('SR系统设计'!$A$5:$A$153,B101)+COUNTIF('追溯与覆盖'!$A$5:$A$153,C101)=2,"PASS","FAIL")</x:f>
        <x:v>PASS</x:v>
      </x:c>
    </x:row>
    <x:row r="102" ht="84" customHeight="1">
      <x:c r="A102" s="25" t="str">
        <x:v>AR-L3-MS-StateAwarePrefetch-081-02</x:v>
      </x:c>
      <x:c r="B102" s="25" t="str">
        <x:v>SR-01-04-02</x:v>
      </x:c>
      <x:c r="C102" s="25" t="str">
        <x:v>L3-MS-StateAwarePrefetch-081</x:v>
      </x:c>
      <x:c r="D102" s="25" t="str">
        <x:v>SF-01</x:v>
      </x:c>
      <x:c r="E102" s="25" t="str">
        <x:v>IR-01-04</x:v>
      </x:c>
      <x:c r="F102" s="22" t="str">
        <x:v>L3 传输管理层</x:v>
      </x:c>
      <x:c r="G102" s="22" t="str">
        <x:v>TM4</x:v>
      </x:c>
      <x:c r="H102" s="22" t="str">
        <x:v>传输编排与广播</x:v>
      </x:c>
      <x:c r="I102" s="22" t="str">
        <x:v>P1</x:v>
      </x:c>
      <x:c r="J102" s="22" t="str">
        <x:v>P1</x:v>
      </x:c>
      <x:c r="K102" s="22" t="str">
        <x:v>契约配置与降级</x:v>
      </x:c>
      <x:c r="L102" s="22" t="str">
        <x:v>存储池/传输管理开发</x:v>
      </x:c>
      <x:c r="M102" s="22" t="str">
        <x:v>api/kvcache/v1/state_aware_prefetch.proto + config/runtime/state_aware_prefetch.yaml</x:v>
      </x:c>
      <x:c r="N102" s="22" t="str">
        <x:v>StateAwarePrefetchOptions / kvcache.state_aware_prefetch.enabled</x:v>
      </x:c>
      <x:c r="O102" s="22" t="str">
        <x:v>为 `StateAwarePrefetchOptions` 增加 `kvcache.state_aware_prefetch.enabled`、deadline/容量/队列预算及版本字段；在调用点接入 typed error、decision_reason、fallback_reason，确保配置热更新、灰度关闭和向后兼容均可审计。</x:v>
      </x:c>
      <x:c r="P102" s="22" t="str">
        <x:v>IDL/配置 schema 有版本号、默认值、边界校验和错误码；状态/租约/ready 不满足时按 部分目标失败时隔离重试；deadline到期取消未提交任务并按目标粒度回退</x:v>
      </x:c>
      <x:c r="Q102" s="22" t="str">
        <x:v>配置样例、schema 校验、升级兼容测试和回退路径齐全；任何隐式 fallback 被移除；新增指标可关联 request_id/query_plan_id/object_id/path_id。</x:v>
      </x:c>
      <x:c r="R102" s="22" t="str">
        <x:v>ctest -R StateAwarePrefetchConfig &amp;&amp; ./bin/kvcache_config_check --case=state_aware_prefetch</x:v>
      </x:c>
      <x:c r="S102" s="22" t="str">
        <x:v>节点动态加入/退出时的缓存失效控制在局部范围内（遵循一致性哈希比例）。</x:v>
      </x:c>
      <x:c r="T102" s="22" t="str">
        <x:v>SR-01-04-02</x:v>
      </x:c>
      <x:c r="U102" s="22" t="str">
        <x:v>待认领</x:v>
      </x:c>
      <x:c r="V102" s="22" t="str"/>
      <x:c r="W102" s="22" t="str"/>
      <x:c r="X102" s="22" t="str">
        <x:f>IF(COUNTIF($A$5:$A$451,A102)=1,"PASS","FAIL")</x:f>
        <x:v>PASS</x:v>
      </x:c>
      <x:c r="Y102" s="22" t="str">
        <x:f>IF(COUNTIF('SR系统设计'!$A$5:$A$153,B102)+COUNTIF('追溯与覆盖'!$A$5:$A$153,C102)=2,"PASS","FAIL")</x:f>
        <x:v>PASS</x:v>
      </x:c>
    </x:row>
    <x:row r="103" ht="84" customHeight="1">
      <x:c r="A103" s="25" t="str">
        <x:v>AR-L3-MS-StateAwarePrefetch-081-03</x:v>
      </x:c>
      <x:c r="B103" s="25" t="str">
        <x:v>SR-01-04-02</x:v>
      </x:c>
      <x:c r="C103" s="25" t="str">
        <x:v>L3-MS-StateAwarePrefetch-081</x:v>
      </x:c>
      <x:c r="D103" s="25" t="str">
        <x:v>SF-01</x:v>
      </x:c>
      <x:c r="E103" s="25" t="str">
        <x:v>IR-01-04</x:v>
      </x:c>
      <x:c r="F103" s="22" t="str">
        <x:v>L3 传输管理层</x:v>
      </x:c>
      <x:c r="G103" s="22" t="str">
        <x:v>TM4</x:v>
      </x:c>
      <x:c r="H103" s="22" t="str">
        <x:v>传输编排与广播</x:v>
      </x:c>
      <x:c r="I103" s="22" t="str">
        <x:v>P1</x:v>
      </x:c>
      <x:c r="J103" s="22" t="str">
        <x:v>P1</x:v>
      </x:c>
      <x:c r="K103" s="22" t="str">
        <x:v>验证与观测</x:v>
      </x:c>
      <x:c r="L103" s="22" t="str">
        <x:v>存储池/传输管理开发</x:v>
      </x:c>
      <x:c r="M103" s="22" t="str">
        <x:v>tests/transfer/orchestrator/state_aware_prefetch_test.cc + benchmarks/transfer/orchestrator/state_aware_prefetch_benchmark.cc</x:v>
      </x:c>
      <x:c r="N103" s="22" t="str">
        <x:v>StateAwarePrefetchTest / StateAwarePrefetchBenchmark</x:v>
      </x:c>
      <x:c r="O103" s="22" t="str">
        <x:v>新增正常、边界、并发、超时、stale metadata、迁移冲突、路径拥塞/故障与 feature-flag-off 用例；在 benchmark 中固定模型、tokenizer、prompt、并发、拓扑和 baseline，采集 lookup/load/attach、TTFT、TPOT、usable/abandoned hit、带宽/时延及 CPU/NPU 利用率。</x:v>
      </x:c>
      <x:c r="P103" s="22" t="str">
        <x:v>验收直接引用来源指标：“节点动态加入/退出时的缓存失效控制在局部范围内（遵循一致性哈希比例）。”；故障用例必须证明错误 KV 不被消费且 fallback reason 可追踪。</x:v>
      </x:c>
      <x:c r="Q103" s="22" t="str">
        <x:v>来源验收项全部自动化；性能报告包含 P50/P95/P99、置信区间与 baseline；失败门槛接入 CI；测试数据和命令可复现。</x:v>
      </x:c>
      <x:c r="R103" s="22" t="str">
        <x:v>./bin/kvcache_bench --case=state_aware_prefetch --baseline=native --report=json</x:v>
      </x:c>
      <x:c r="S103" s="22" t="str">
        <x:v>节点动态加入/退出时的缓存失效控制在局部范围内（遵循一致性哈希比例）。</x:v>
      </x:c>
      <x:c r="T103" s="22" t="str">
        <x:v>SR-01-04-02</x:v>
      </x:c>
      <x:c r="U103" s="22" t="str">
        <x:v>待认领</x:v>
      </x:c>
      <x:c r="V103" s="22" t="str"/>
      <x:c r="W103" s="22" t="str"/>
      <x:c r="X103" s="22" t="str">
        <x:f>IF(COUNTIF($A$5:$A$451,A103)=1,"PASS","FAIL")</x:f>
        <x:v>PASS</x:v>
      </x:c>
      <x:c r="Y103" s="22" t="str">
        <x:f>IF(COUNTIF('SR系统设计'!$A$5:$A$153,B103)+COUNTIF('追溯与覆盖'!$A$5:$A$153,C103)=2,"PASS","FAIL")</x:f>
        <x:v>PASS</x:v>
      </x:c>
    </x:row>
    <x:row r="104" ht="84" customHeight="1">
      <x:c r="A104" s="25" t="str">
        <x:v>AR-L3-C2C-POOL-SCHED-002-01</x:v>
      </x:c>
      <x:c r="B104" s="25" t="str">
        <x:v>SR-01-04-03</x:v>
      </x:c>
      <x:c r="C104" s="25" t="str">
        <x:v>L3-C2C-POOL-SCHED-002</x:v>
      </x:c>
      <x:c r="D104" s="25" t="str">
        <x:v>SF-01</x:v>
      </x:c>
      <x:c r="E104" s="25" t="str">
        <x:v>IR-01-04</x:v>
      </x:c>
      <x:c r="F104" s="22" t="str">
        <x:v>L3 传输管理层</x:v>
      </x:c>
      <x:c r="G104" s="22" t="str">
        <x:v>TM4</x:v>
      </x:c>
      <x:c r="H104" s="22" t="str">
        <x:v>传输编排与广播</x:v>
      </x:c>
      <x:c r="I104" s="22" t="str">
        <x:v>P2</x:v>
      </x:c>
      <x:c r="J104" s="22" t="str">
        <x:v>P2</x:v>
      </x:c>
      <x:c r="K104" s="22" t="str">
        <x:v>核心实现</x:v>
      </x:c>
      <x:c r="L104" s="22" t="str">
        <x:v>存储池/传输管理开发</x:v>
      </x:c>
      <x:c r="M104" s="22" t="str">
        <x:v>src/transfer/orchestrator/pool_sched.{h,cc}</x:v>
      </x:c>
      <x:c r="N104" s="22" t="str">
        <x:v>POOLSCHEDOrchestrator</x:v>
      </x:c>
      <x:c r="O104" s="22" t="str">
        <x:v>在 `src/transfer/orchestrator/pool_sched.{h,cc}` 新增或重写 `POOLSCHEDOrchestrator`，把“C2C统一内存热度调度”落实为 L3 传输管理层 可调用主路径：本需求要求基于NPU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 输入必须显式消费 QueryPlan + BulkDescriptor + traffic class，输出 TransferTicket + completion/fence + per-target result，不得用全局单例或隐藏同步 I/O 绕开预算与状态机。</x:v>
      </x:c>
      <x:c r="P104" s="22" t="str">
        <x:v>实现 QueryPlan + BulkDescriptor + traffic class → TransferTicket + completion/fence + per-target result；遵守 部分目标失败时隔离重试；deadline到期取消未提交任务并按目标粒度回退</x:v>
      </x:c>
      <x:c r="Q104" s="22" t="str">
        <x:v>核心算法与状态转换完成；新增代码单测分支覆盖≥85%；线程安全/所有权明确；关闭 feature flag 时行为与 baseline 一致。</x:v>
      </x:c>
      <x:c r="R104" s="22" t="str">
        <x:v>ctest -R POOLSCHED --output-on-failure</x:v>
      </x:c>
      <x:c r="S104" s="22" t="str">
        <x:v>节点动态加入/退出时的缓存失效控制在局部范围内（遵循一致性哈希比例）。</x:v>
      </x:c>
      <x:c r="T104" s="22" t="str">
        <x:v>SR-01-04-03</x:v>
      </x:c>
      <x:c r="U104" s="22" t="str">
        <x:v>待认领</x:v>
      </x:c>
      <x:c r="V104" s="22" t="str"/>
      <x:c r="W104" s="22" t="str"/>
      <x:c r="X104" s="22" t="str">
        <x:f>IF(COUNTIF($A$5:$A$451,A104)=1,"PASS","FAIL")</x:f>
        <x:v>PASS</x:v>
      </x:c>
      <x:c r="Y104" s="22" t="str">
        <x:f>IF(COUNTIF('SR系统设计'!$A$5:$A$153,B104)+COUNTIF('追溯与覆盖'!$A$5:$A$153,C104)=2,"PASS","FAIL")</x:f>
        <x:v>PASS</x:v>
      </x:c>
    </x:row>
    <x:row r="105" ht="84" customHeight="1">
      <x:c r="A105" s="25" t="str">
        <x:v>AR-L3-C2C-POOL-SCHED-002-02</x:v>
      </x:c>
      <x:c r="B105" s="25" t="str">
        <x:v>SR-01-04-03</x:v>
      </x:c>
      <x:c r="C105" s="25" t="str">
        <x:v>L3-C2C-POOL-SCHED-002</x:v>
      </x:c>
      <x:c r="D105" s="25" t="str">
        <x:v>SF-01</x:v>
      </x:c>
      <x:c r="E105" s="25" t="str">
        <x:v>IR-01-04</x:v>
      </x:c>
      <x:c r="F105" s="22" t="str">
        <x:v>L3 传输管理层</x:v>
      </x:c>
      <x:c r="G105" s="22" t="str">
        <x:v>TM4</x:v>
      </x:c>
      <x:c r="H105" s="22" t="str">
        <x:v>传输编排与广播</x:v>
      </x:c>
      <x:c r="I105" s="22" t="str">
        <x:v>P2</x:v>
      </x:c>
      <x:c r="J105" s="22" t="str">
        <x:v>P2</x:v>
      </x:c>
      <x:c r="K105" s="22" t="str">
        <x:v>契约配置与降级</x:v>
      </x:c>
      <x:c r="L105" s="22" t="str">
        <x:v>存储池/传输管理开发</x:v>
      </x:c>
      <x:c r="M105" s="22" t="str">
        <x:v>api/kvcache/v1/pool_sched.proto + config/runtime/pool_sched.yaml</x:v>
      </x:c>
      <x:c r="N105" s="22" t="str">
        <x:v>POOLSCHEDOptions / kvcache.pool_sched.enabled</x:v>
      </x:c>
      <x:c r="O105" s="22" t="str">
        <x:v>为 `POOLSCHEDOptions` 增加 `kvcache.pool_sched.enabled`、deadline/容量/队列预算及版本字段；在调用点接入 typed error、decision_reason、fallback_reason，确保配置热更新、灰度关闭和向后兼容均可审计。</x:v>
      </x:c>
      <x:c r="P105" s="22" t="str">
        <x:v>IDL/配置 schema 有版本号、默认值、边界校验和错误码；状态/租约/ready 不满足时按 部分目标失败时隔离重试；deadline到期取消未提交任务并按目标粒度回退</x:v>
      </x:c>
      <x:c r="Q105" s="22" t="str">
        <x:v>配置样例、schema 校验、升级兼容测试和回退路径齐全；任何隐式 fallback 被移除；新增指标可关联 request_id/query_plan_id/object_id/path_id。</x:v>
      </x:c>
      <x:c r="R105" s="22" t="str">
        <x:v>ctest -R POOLSCHEDConfig &amp;&amp; ./bin/kvcache_config_check --case=pool_sched</x:v>
      </x:c>
      <x:c r="S105" s="22" t="str">
        <x:v>节点动态加入/退出时的缓存失效控制在局部范围内（遵循一致性哈希比例）。</x:v>
      </x:c>
      <x:c r="T105" s="22" t="str">
        <x:v>SR-01-04-03</x:v>
      </x:c>
      <x:c r="U105" s="22" t="str">
        <x:v>待认领</x:v>
      </x:c>
      <x:c r="V105" s="22" t="str"/>
      <x:c r="W105" s="22" t="str"/>
      <x:c r="X105" s="22" t="str">
        <x:f>IF(COUNTIF($A$5:$A$451,A105)=1,"PASS","FAIL")</x:f>
        <x:v>PASS</x:v>
      </x:c>
      <x:c r="Y105" s="22" t="str">
        <x:f>IF(COUNTIF('SR系统设计'!$A$5:$A$153,B105)+COUNTIF('追溯与覆盖'!$A$5:$A$153,C105)=2,"PASS","FAIL")</x:f>
        <x:v>PASS</x:v>
      </x:c>
    </x:row>
    <x:row r="106" ht="84" customHeight="1">
      <x:c r="A106" s="25" t="str">
        <x:v>AR-L3-C2C-POOL-SCHED-002-03</x:v>
      </x:c>
      <x:c r="B106" s="25" t="str">
        <x:v>SR-01-04-03</x:v>
      </x:c>
      <x:c r="C106" s="25" t="str">
        <x:v>L3-C2C-POOL-SCHED-002</x:v>
      </x:c>
      <x:c r="D106" s="25" t="str">
        <x:v>SF-01</x:v>
      </x:c>
      <x:c r="E106" s="25" t="str">
        <x:v>IR-01-04</x:v>
      </x:c>
      <x:c r="F106" s="22" t="str">
        <x:v>L3 传输管理层</x:v>
      </x:c>
      <x:c r="G106" s="22" t="str">
        <x:v>TM4</x:v>
      </x:c>
      <x:c r="H106" s="22" t="str">
        <x:v>传输编排与广播</x:v>
      </x:c>
      <x:c r="I106" s="22" t="str">
        <x:v>P2</x:v>
      </x:c>
      <x:c r="J106" s="22" t="str">
        <x:v>P2</x:v>
      </x:c>
      <x:c r="K106" s="22" t="str">
        <x:v>验证与观测</x:v>
      </x:c>
      <x:c r="L106" s="22" t="str">
        <x:v>存储池/传输管理开发</x:v>
      </x:c>
      <x:c r="M106" s="22" t="str">
        <x:v>tests/transfer/orchestrator/pool_sched_test.cc + benchmarks/transfer/orchestrator/pool_sched_benchmark.cc</x:v>
      </x:c>
      <x:c r="N106" s="22" t="str">
        <x:v>POOLSCHEDTest / POOLSCHEDBenchmark</x:v>
      </x:c>
      <x:c r="O106" s="22" t="str">
        <x:v>新增正常、边界、并发、超时、stale metadata、迁移冲突、路径拥塞/故障与 feature-flag-off 用例；在 benchmark 中固定模型、tokenizer、prompt、并发、拓扑和 baseline，采集 lookup/load/attach、TTFT、TPOT、usable/abandoned hit、带宽/时延及 CPU/NPU 利用率。</x:v>
      </x:c>
      <x:c r="P106" s="22" t="str">
        <x:v>验收直接引用来源指标：“节点动态加入/退出时的缓存失效控制在局部范围内（遵循一致性哈希比例）。”；故障用例必须证明错误 KV 不被消费且 fallback reason 可追踪。</x:v>
      </x:c>
      <x:c r="Q106" s="22" t="str">
        <x:v>来源验收项全部自动化；性能报告包含 P50/P95/P99、置信区间与 baseline；失败门槛接入 CI；测试数据和命令可复现。</x:v>
      </x:c>
      <x:c r="R106" s="22" t="str">
        <x:v>./bin/kvcache_bench --case=pool_sched --baseline=native --report=json</x:v>
      </x:c>
      <x:c r="S106" s="22" t="str">
        <x:v>节点动态加入/退出时的缓存失效控制在局部范围内（遵循一致性哈希比例）。</x:v>
      </x:c>
      <x:c r="T106" s="22" t="str">
        <x:v>SR-01-04-03</x:v>
      </x:c>
      <x:c r="U106" s="22" t="str">
        <x:v>待认领</x:v>
      </x:c>
      <x:c r="V106" s="22" t="str"/>
      <x:c r="W106" s="22" t="str"/>
      <x:c r="X106" s="22" t="str">
        <x:f>IF(COUNTIF($A$5:$A$451,A106)=1,"PASS","FAIL")</x:f>
        <x:v>PASS</x:v>
      </x:c>
      <x:c r="Y106" s="22" t="str">
        <x:f>IF(COUNTIF('SR系统设计'!$A$5:$A$153,B106)+COUNTIF('追溯与覆盖'!$A$5:$A$153,C106)=2,"PASS","FAIL")</x:f>
        <x:v>PASS</x:v>
      </x:c>
    </x:row>
    <x:row r="107" ht="84" customHeight="1">
      <x:c r="A107" s="25" t="str">
        <x:v>AR-L3-LMC-PRFCH-ENGINE-001-01</x:v>
      </x:c>
      <x:c r="B107" s="25" t="str">
        <x:v>SR-01-04-04</x:v>
      </x:c>
      <x:c r="C107" s="25" t="str">
        <x:v>L3-LMC-PRFCH-ENGINE-001</x:v>
      </x:c>
      <x:c r="D107" s="25" t="str">
        <x:v>SF-01</x:v>
      </x:c>
      <x:c r="E107" s="25" t="str">
        <x:v>IR-01-04</x:v>
      </x:c>
      <x:c r="F107" s="22" t="str">
        <x:v>L3 传输管理层</x:v>
      </x:c>
      <x:c r="G107" s="22" t="str">
        <x:v>TM4</x:v>
      </x:c>
      <x:c r="H107" s="22" t="str">
        <x:v>传输编排与广播</x:v>
      </x:c>
      <x:c r="I107" s="22" t="str">
        <x:v>P2</x:v>
      </x:c>
      <x:c r="J107" s="22" t="str">
        <x:v>P2</x:v>
      </x:c>
      <x:c r="K107" s="22" t="str">
        <x:v>核心实现</x:v>
      </x:c>
      <x:c r="L107" s="22" t="str">
        <x:v>存储池/传输管理开发</x:v>
      </x:c>
      <x:c r="M107" s="22" t="str">
        <x:v>src/transfer/orchestrator/prfch_engine.{h,cc}</x:v>
      </x:c>
      <x:c r="N107" s="22" t="str">
        <x:v>PRFCHENGINEOrchestrator</x:v>
      </x:c>
      <x:c r="O107" s="22" t="str">
        <x:v>在 `src/transfer/orchestrator/prfch_engine.{h,cc}` 新增或重写 `PRFCHENGINEOrchestrator`，把“冷KVCache预取加热”落实为 L3 传输管理层 可调用主路径：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 输入必须显式消费 QueryPlan + BulkDescriptor + traffic class，输出 TransferTicket + completion/fence + per-target result，不得用全局单例或隐藏同步 I/O 绕开预算与状态机。</x:v>
      </x:c>
      <x:c r="P107" s="22" t="str">
        <x:v>实现 QueryPlan + BulkDescriptor + traffic class → TransferTicket + completion/fence + per-target result；遵守 部分目标失败时隔离重试；deadline到期取消未提交任务并按目标粒度回退</x:v>
      </x:c>
      <x:c r="Q107" s="22" t="str">
        <x:v>核心算法与状态转换完成；新增代码单测分支覆盖≥85%；线程安全/所有权明确；关闭 feature flag 时行为与 baseline 一致。</x:v>
      </x:c>
      <x:c r="R107" s="22" t="str">
        <x:v>ctest -R PRFCHENGINE --output-on-failure</x:v>
      </x:c>
      <x:c r="S107" s="22" t="str">
        <x:v>Prefix命中判定P99耗时 &lt; 200us；在Share-Prefix业务下，Usable Hit Rate提升≥15%。</x:v>
      </x:c>
      <x:c r="T107" s="22" t="str">
        <x:v>SR-01-04-04</x:v>
      </x:c>
      <x:c r="U107" s="22" t="str">
        <x:v>待认领</x:v>
      </x:c>
      <x:c r="V107" s="22" t="str"/>
      <x:c r="W107" s="22" t="str"/>
      <x:c r="X107" s="22" t="str">
        <x:f>IF(COUNTIF($A$5:$A$451,A107)=1,"PASS","FAIL")</x:f>
        <x:v>PASS</x:v>
      </x:c>
      <x:c r="Y107" s="22" t="str">
        <x:f>IF(COUNTIF('SR系统设计'!$A$5:$A$153,B107)+COUNTIF('追溯与覆盖'!$A$5:$A$153,C107)=2,"PASS","FAIL")</x:f>
        <x:v>PASS</x:v>
      </x:c>
    </x:row>
    <x:row r="108" ht="84" customHeight="1">
      <x:c r="A108" s="25" t="str">
        <x:v>AR-L3-LMC-PRFCH-ENGINE-001-02</x:v>
      </x:c>
      <x:c r="B108" s="25" t="str">
        <x:v>SR-01-04-04</x:v>
      </x:c>
      <x:c r="C108" s="25" t="str">
        <x:v>L3-LMC-PRFCH-ENGINE-001</x:v>
      </x:c>
      <x:c r="D108" s="25" t="str">
        <x:v>SF-01</x:v>
      </x:c>
      <x:c r="E108" s="25" t="str">
        <x:v>IR-01-04</x:v>
      </x:c>
      <x:c r="F108" s="22" t="str">
        <x:v>L3 传输管理层</x:v>
      </x:c>
      <x:c r="G108" s="22" t="str">
        <x:v>TM4</x:v>
      </x:c>
      <x:c r="H108" s="22" t="str">
        <x:v>传输编排与广播</x:v>
      </x:c>
      <x:c r="I108" s="22" t="str">
        <x:v>P2</x:v>
      </x:c>
      <x:c r="J108" s="22" t="str">
        <x:v>P2</x:v>
      </x:c>
      <x:c r="K108" s="22" t="str">
        <x:v>契约配置与降级</x:v>
      </x:c>
      <x:c r="L108" s="22" t="str">
        <x:v>存储池/传输管理开发</x:v>
      </x:c>
      <x:c r="M108" s="22" t="str">
        <x:v>api/kvcache/v1/prfch_engine.proto + config/runtime/prfch_engine.yaml</x:v>
      </x:c>
      <x:c r="N108" s="22" t="str">
        <x:v>PRFCHENGINEOptions / kvcache.prfch_engine.enabled</x:v>
      </x:c>
      <x:c r="O108" s="22" t="str">
        <x:v>为 `PRFCHENGINEOptions` 增加 `kvcache.prfch_engine.enabled`、deadline/容量/队列预算及版本字段；在调用点接入 typed error、decision_reason、fallback_reason，确保配置热更新、灰度关闭和向后兼容均可审计。</x:v>
      </x:c>
      <x:c r="P108" s="22" t="str">
        <x:v>IDL/配置 schema 有版本号、默认值、边界校验和错误码；状态/租约/ready 不满足时按 部分目标失败时隔离重试；deadline到期取消未提交任务并按目标粒度回退</x:v>
      </x:c>
      <x:c r="Q108" s="22" t="str">
        <x:v>配置样例、schema 校验、升级兼容测试和回退路径齐全；任何隐式 fallback 被移除；新增指标可关联 request_id/query_plan_id/object_id/path_id。</x:v>
      </x:c>
      <x:c r="R108" s="22" t="str">
        <x:v>ctest -R PRFCHENGINEConfig &amp;&amp; ./bin/kvcache_config_check --case=prfch_engine</x:v>
      </x:c>
      <x:c r="S108" s="22" t="str">
        <x:v>Prefix命中判定P99耗时 &lt; 200us；在Share-Prefix业务下，Usable Hit Rate提升≥15%。</x:v>
      </x:c>
      <x:c r="T108" s="22" t="str">
        <x:v>SR-01-04-04</x:v>
      </x:c>
      <x:c r="U108" s="22" t="str">
        <x:v>待认领</x:v>
      </x:c>
      <x:c r="V108" s="22" t="str"/>
      <x:c r="W108" s="22" t="str"/>
      <x:c r="X108" s="22" t="str">
        <x:f>IF(COUNTIF($A$5:$A$451,A108)=1,"PASS","FAIL")</x:f>
        <x:v>PASS</x:v>
      </x:c>
      <x:c r="Y108" s="22" t="str">
        <x:f>IF(COUNTIF('SR系统设计'!$A$5:$A$153,B108)+COUNTIF('追溯与覆盖'!$A$5:$A$153,C108)=2,"PASS","FAIL")</x:f>
        <x:v>PASS</x:v>
      </x:c>
    </x:row>
    <x:row r="109" ht="84" customHeight="1">
      <x:c r="A109" s="25" t="str">
        <x:v>AR-L3-LMC-PRFCH-ENGINE-001-03</x:v>
      </x:c>
      <x:c r="B109" s="25" t="str">
        <x:v>SR-01-04-04</x:v>
      </x:c>
      <x:c r="C109" s="25" t="str">
        <x:v>L3-LMC-PRFCH-ENGINE-001</x:v>
      </x:c>
      <x:c r="D109" s="25" t="str">
        <x:v>SF-01</x:v>
      </x:c>
      <x:c r="E109" s="25" t="str">
        <x:v>IR-01-04</x:v>
      </x:c>
      <x:c r="F109" s="22" t="str">
        <x:v>L3 传输管理层</x:v>
      </x:c>
      <x:c r="G109" s="22" t="str">
        <x:v>TM4</x:v>
      </x:c>
      <x:c r="H109" s="22" t="str">
        <x:v>传输编排与广播</x:v>
      </x:c>
      <x:c r="I109" s="22" t="str">
        <x:v>P2</x:v>
      </x:c>
      <x:c r="J109" s="22" t="str">
        <x:v>P2</x:v>
      </x:c>
      <x:c r="K109" s="22" t="str">
        <x:v>验证与观测</x:v>
      </x:c>
      <x:c r="L109" s="22" t="str">
        <x:v>存储池/传输管理开发</x:v>
      </x:c>
      <x:c r="M109" s="22" t="str">
        <x:v>tests/transfer/orchestrator/prfch_engine_test.cc + benchmarks/transfer/orchestrator/prfch_engine_benchmark.cc</x:v>
      </x:c>
      <x:c r="N109" s="22" t="str">
        <x:v>PRFCHENGINETest / PRFCHENGINEBenchmark</x:v>
      </x:c>
      <x:c r="O109" s="22" t="str">
        <x:v>新增正常、边界、并发、超时、stale metadata、迁移冲突、路径拥塞/故障与 feature-flag-off 用例；在 benchmark 中固定模型、tokenizer、prompt、并发、拓扑和 baseline，采集 lookup/load/attach、TTFT、TPOT、usable/abandoned hit、带宽/时延及 CPU/NPU 利用率。</x:v>
      </x:c>
      <x:c r="P109" s="22" t="str">
        <x:v>验收直接引用来源指标：“Prefix命中判定P99耗时 &lt; 200us；在Share-Prefix业务下，Usable Hit Rate提升≥15%。”；故障用例必须证明错误 KV 不被消费且 fallback reason 可追踪。</x:v>
      </x:c>
      <x:c r="Q109" s="22" t="str">
        <x:v>来源验收项全部自动化；性能报告包含 P50/P95/P99、置信区间与 baseline；失败门槛接入 CI；测试数据和命令可复现。</x:v>
      </x:c>
      <x:c r="R109" s="22" t="str">
        <x:v>./bin/kvcache_bench --case=prfch_engine --baseline=native --report=json</x:v>
      </x:c>
      <x:c r="S109" s="22" t="str">
        <x:v>Prefix命中判定P99耗时 &lt; 200us；在Share-Prefix业务下，Usable Hit Rate提升≥15%。</x:v>
      </x:c>
      <x:c r="T109" s="22" t="str">
        <x:v>SR-01-04-04</x:v>
      </x:c>
      <x:c r="U109" s="22" t="str">
        <x:v>待认领</x:v>
      </x:c>
      <x:c r="V109" s="22" t="str"/>
      <x:c r="W109" s="22" t="str"/>
      <x:c r="X109" s="22" t="str">
        <x:f>IF(COUNTIF($A$5:$A$451,A109)=1,"PASS","FAIL")</x:f>
        <x:v>PASS</x:v>
      </x:c>
      <x:c r="Y109" s="22" t="str">
        <x:f>IF(COUNTIF('SR系统设计'!$A$5:$A$153,B109)+COUNTIF('追溯与覆盖'!$A$5:$A$153,C109)=2,"PASS","FAIL")</x:f>
        <x:v>PASS</x:v>
      </x:c>
    </x:row>
    <x:row r="110" ht="84" customHeight="1">
      <x:c r="A110" s="25" t="str">
        <x:v>AR-L3-UB-TOPO-ROUTE-001-01</x:v>
      </x:c>
      <x:c r="B110" s="25" t="str">
        <x:v>SR-01-04-05</x:v>
      </x:c>
      <x:c r="C110" s="25" t="str">
        <x:v>L3-UB-TOPO-ROUTE-001</x:v>
      </x:c>
      <x:c r="D110" s="25" t="str">
        <x:v>SF-01</x:v>
      </x:c>
      <x:c r="E110" s="25" t="str">
        <x:v>IR-01-04</x:v>
      </x:c>
      <x:c r="F110" s="22" t="str">
        <x:v>L3 传输管理层</x:v>
      </x:c>
      <x:c r="G110" s="22" t="str">
        <x:v>TM4</x:v>
      </x:c>
      <x:c r="H110" s="22" t="str">
        <x:v>传输编排与广播</x:v>
      </x:c>
      <x:c r="I110" s="22" t="str">
        <x:v>P2</x:v>
      </x:c>
      <x:c r="J110" s="22" t="str">
        <x:v>P2</x:v>
      </x:c>
      <x:c r="K110" s="22" t="str">
        <x:v>核心实现</x:v>
      </x:c>
      <x:c r="L110" s="22" t="str">
        <x:v>存储池/传输管理开发</x:v>
      </x:c>
      <x:c r="M110" s="22" t="str">
        <x:v>src/transfer/orchestrator/topo_route.{h,cc}</x:v>
      </x:c>
      <x:c r="N110" s="22" t="str">
        <x:v>TOPOROUTEOrchestrator</x:v>
      </x:c>
      <x:c r="O110" s="22" t="str">
        <x:v>在 `src/transfer/orchestrator/topo_route.{h,cc}` 新增或重写 `TOPOROUTEOrchestrator`，把“机内NPU KVCache P2P高速传输”落实为 L3 传输管理层 可调用主路径：本需求要求集成拓扑发现，构建完整的UBLINK连通矩阵，在KVCache P2P传输决策时优先选择UBLINK路径（bandwidth优先），实现跨NPU直接内存映射和P2P ，在同节点8卡环境下实现KVCache P2P传输带宽≥700GB/s。 输入必须显式消费 QueryPlan + BulkDescriptor + traffic class，输出 TransferTicket + completion/fence + per-target result，不得用全局单例或隐藏同步 I/O 绕开预算与状态机。</x:v>
      </x:c>
      <x:c r="P110" s="22" t="str">
        <x:v>实现 QueryPlan + BulkDescriptor + traffic class → TransferTicket + completion/fence + per-target result；遵守 部分目标失败时隔离重试；deadline到期取消未提交任务并按目标粒度回退</x:v>
      </x:c>
      <x:c r="Q110" s="22" t="str">
        <x:v>核心算法与状态转换完成；新增代码单测分支覆盖≥85%；线程安全/所有权明确；关闭 feature flag 时行为与 baseline 一致。</x:v>
      </x:c>
      <x:c r="R110" s="22" t="str">
        <x:v>ctest -R TOPOROUTE --output-on-failure</x:v>
      </x:c>
      <x:c r="S110" s="22" t="str">
        <x:v>节点动态加入/退出时的缓存失效控制在局部范围内（遵循一致性哈希比例）。</x:v>
      </x:c>
      <x:c r="T110" s="22" t="str">
        <x:v>SR-01-04-05</x:v>
      </x:c>
      <x:c r="U110" s="22" t="str">
        <x:v>待认领</x:v>
      </x:c>
      <x:c r="V110" s="22" t="str"/>
      <x:c r="W110" s="22" t="str"/>
      <x:c r="X110" s="22" t="str">
        <x:f>IF(COUNTIF($A$5:$A$451,A110)=1,"PASS","FAIL")</x:f>
        <x:v>PASS</x:v>
      </x:c>
      <x:c r="Y110" s="22" t="str">
        <x:f>IF(COUNTIF('SR系统设计'!$A$5:$A$153,B110)+COUNTIF('追溯与覆盖'!$A$5:$A$153,C110)=2,"PASS","FAIL")</x:f>
        <x:v>PASS</x:v>
      </x:c>
    </x:row>
    <x:row r="111" ht="84" customHeight="1">
      <x:c r="A111" s="25" t="str">
        <x:v>AR-L3-UB-TOPO-ROUTE-001-02</x:v>
      </x:c>
      <x:c r="B111" s="25" t="str">
        <x:v>SR-01-04-05</x:v>
      </x:c>
      <x:c r="C111" s="25" t="str">
        <x:v>L3-UB-TOPO-ROUTE-001</x:v>
      </x:c>
      <x:c r="D111" s="25" t="str">
        <x:v>SF-01</x:v>
      </x:c>
      <x:c r="E111" s="25" t="str">
        <x:v>IR-01-04</x:v>
      </x:c>
      <x:c r="F111" s="22" t="str">
        <x:v>L3 传输管理层</x:v>
      </x:c>
      <x:c r="G111" s="22" t="str">
        <x:v>TM4</x:v>
      </x:c>
      <x:c r="H111" s="22" t="str">
        <x:v>传输编排与广播</x:v>
      </x:c>
      <x:c r="I111" s="22" t="str">
        <x:v>P2</x:v>
      </x:c>
      <x:c r="J111" s="22" t="str">
        <x:v>P2</x:v>
      </x:c>
      <x:c r="K111" s="22" t="str">
        <x:v>契约配置与降级</x:v>
      </x:c>
      <x:c r="L111" s="22" t="str">
        <x:v>存储池/传输管理开发</x:v>
      </x:c>
      <x:c r="M111" s="22" t="str">
        <x:v>api/kvcache/v1/topo_route.proto + config/runtime/topo_route.yaml</x:v>
      </x:c>
      <x:c r="N111" s="22" t="str">
        <x:v>TOPOROUTEOptions / kvcache.topo_route.enabled</x:v>
      </x:c>
      <x:c r="O111" s="22" t="str">
        <x:v>为 `TOPOROUTEOptions` 增加 `kvcache.topo_route.enabled`、deadline/容量/队列预算及版本字段；在调用点接入 typed error、decision_reason、fallback_reason，确保配置热更新、灰度关闭和向后兼容均可审计。</x:v>
      </x:c>
      <x:c r="P111" s="22" t="str">
        <x:v>IDL/配置 schema 有版本号、默认值、边界校验和错误码；状态/租约/ready 不满足时按 部分目标失败时隔离重试；deadline到期取消未提交任务并按目标粒度回退</x:v>
      </x:c>
      <x:c r="Q111" s="22" t="str">
        <x:v>配置样例、schema 校验、升级兼容测试和回退路径齐全；任何隐式 fallback 被移除；新增指标可关联 request_id/query_plan_id/object_id/path_id。</x:v>
      </x:c>
      <x:c r="R111" s="22" t="str">
        <x:v>ctest -R TOPOROUTEConfig &amp;&amp; ./bin/kvcache_config_check --case=topo_route</x:v>
      </x:c>
      <x:c r="S111" s="22" t="str">
        <x:v>节点动态加入/退出时的缓存失效控制在局部范围内（遵循一致性哈希比例）。</x:v>
      </x:c>
      <x:c r="T111" s="22" t="str">
        <x:v>SR-01-04-05</x:v>
      </x:c>
      <x:c r="U111" s="22" t="str">
        <x:v>待认领</x:v>
      </x:c>
      <x:c r="V111" s="22" t="str"/>
      <x:c r="W111" s="22" t="str"/>
      <x:c r="X111" s="22" t="str">
        <x:f>IF(COUNTIF($A$5:$A$451,A111)=1,"PASS","FAIL")</x:f>
        <x:v>PASS</x:v>
      </x:c>
      <x:c r="Y111" s="22" t="str">
        <x:f>IF(COUNTIF('SR系统设计'!$A$5:$A$153,B111)+COUNTIF('追溯与覆盖'!$A$5:$A$153,C111)=2,"PASS","FAIL")</x:f>
        <x:v>PASS</x:v>
      </x:c>
    </x:row>
    <x:row r="112" ht="84" customHeight="1">
      <x:c r="A112" s="25" t="str">
        <x:v>AR-L3-UB-TOPO-ROUTE-001-03</x:v>
      </x:c>
      <x:c r="B112" s="25" t="str">
        <x:v>SR-01-04-05</x:v>
      </x:c>
      <x:c r="C112" s="25" t="str">
        <x:v>L3-UB-TOPO-ROUTE-001</x:v>
      </x:c>
      <x:c r="D112" s="25" t="str">
        <x:v>SF-01</x:v>
      </x:c>
      <x:c r="E112" s="25" t="str">
        <x:v>IR-01-04</x:v>
      </x:c>
      <x:c r="F112" s="22" t="str">
        <x:v>L3 传输管理层</x:v>
      </x:c>
      <x:c r="G112" s="22" t="str">
        <x:v>TM4</x:v>
      </x:c>
      <x:c r="H112" s="22" t="str">
        <x:v>传输编排与广播</x:v>
      </x:c>
      <x:c r="I112" s="22" t="str">
        <x:v>P2</x:v>
      </x:c>
      <x:c r="J112" s="22" t="str">
        <x:v>P2</x:v>
      </x:c>
      <x:c r="K112" s="22" t="str">
        <x:v>验证与观测</x:v>
      </x:c>
      <x:c r="L112" s="22" t="str">
        <x:v>存储池/传输管理开发</x:v>
      </x:c>
      <x:c r="M112" s="22" t="str">
        <x:v>tests/transfer/orchestrator/topo_route_test.cc + benchmarks/transfer/orchestrator/topo_route_benchmark.cc</x:v>
      </x:c>
      <x:c r="N112" s="22" t="str">
        <x:v>TOPOROUTETest / TOPOROUTEBenchmark</x:v>
      </x:c>
      <x:c r="O112" s="22" t="str">
        <x:v>新增正常、边界、并发、超时、stale metadata、迁移冲突、路径拥塞/故障与 feature-flag-off 用例；在 benchmark 中固定模型、tokenizer、prompt、并发、拓扑和 baseline，采集 lookup/load/attach、TTFT、TPOT、usable/abandoned hit、带宽/时延及 CPU/NPU 利用率。</x:v>
      </x:c>
      <x:c r="P112" s="22" t="str">
        <x:v>验收直接引用来源指标：“节点动态加入/退出时的缓存失效控制在局部范围内（遵循一致性哈希比例）。”；故障用例必须证明错误 KV 不被消费且 fallback reason 可追踪。</x:v>
      </x:c>
      <x:c r="Q112" s="22" t="str">
        <x:v>来源验收项全部自动化；性能报告包含 P50/P95/P99、置信区间与 baseline；失败门槛接入 CI；测试数据和命令可复现。</x:v>
      </x:c>
      <x:c r="R112" s="22" t="str">
        <x:v>./bin/kvcache_bench --case=topo_route --baseline=native --report=json</x:v>
      </x:c>
      <x:c r="S112" s="22" t="str">
        <x:v>节点动态加入/退出时的缓存失效控制在局部范围内（遵循一致性哈希比例）。</x:v>
      </x:c>
      <x:c r="T112" s="22" t="str">
        <x:v>SR-01-04-05</x:v>
      </x:c>
      <x:c r="U112" s="22" t="str">
        <x:v>待认领</x:v>
      </x:c>
      <x:c r="V112" s="22" t="str"/>
      <x:c r="W112" s="22" t="str"/>
      <x:c r="X112" s="22" t="str">
        <x:f>IF(COUNTIF($A$5:$A$451,A112)=1,"PASS","FAIL")</x:f>
        <x:v>PASS</x:v>
      </x:c>
      <x:c r="Y112" s="22" t="str">
        <x:f>IF(COUNTIF('SR系统设计'!$A$5:$A$153,B112)+COUNTIF('追溯与覆盖'!$A$5:$A$153,C112)=2,"PASS","FAIL")</x:f>
        <x:v>PASS</x:v>
      </x:c>
    </x:row>
    <x:row r="113" ht="84" customHeight="1">
      <x:c r="A113" s="25" t="str">
        <x:v>AR-L3-TRANS-MUL-ENGINE-003-01</x:v>
      </x:c>
      <x:c r="B113" s="25" t="str">
        <x:v>SR-01-04-06</x:v>
      </x:c>
      <x:c r="C113" s="25" t="str">
        <x:v>L3-TRANS-MUL-ENGINE-003</x:v>
      </x:c>
      <x:c r="D113" s="25" t="str">
        <x:v>SF-01</x:v>
      </x:c>
      <x:c r="E113" s="25" t="str">
        <x:v>IR-01-04</x:v>
      </x:c>
      <x:c r="F113" s="22" t="str">
        <x:v>L3 传输管理层</x:v>
      </x:c>
      <x:c r="G113" s="22" t="str">
        <x:v>TM4</x:v>
      </x:c>
      <x:c r="H113" s="22" t="str">
        <x:v>传输编排与广播</x:v>
      </x:c>
      <x:c r="I113" s="22" t="str">
        <x:v>P3</x:v>
      </x:c>
      <x:c r="J113" s="22" t="str">
        <x:v>P3</x:v>
      </x:c>
      <x:c r="K113" s="22" t="str">
        <x:v>核心实现</x:v>
      </x:c>
      <x:c r="L113" s="22" t="str">
        <x:v>存储池/传输管理开发</x:v>
      </x:c>
      <x:c r="M113" s="22" t="str">
        <x:v>src/transfer/orchestrator/mul_engine.{h,cc}</x:v>
      </x:c>
      <x:c r="N113" s="22" t="str">
        <x:v>MULENGINEOrchestrator</x:v>
      </x:c>
      <x:c r="O113" s="22" t="str">
        <x:v>在 `src/transfer/orchestrator/mul_engine.{h,cc}` 新增或重写 `MULENGINEOrchestrator`，把“一对多KVCache高效分发”落实为 L3 传输管理层 可调用主路径：本需求要求实现1→N KVCache多播传输优化引擎，通过路由树构建（最大化局部性最小化跳数）和硬件UD组播+软件P2P relay混合模式，使Disaggregated Prefill场景下同一前缀KVCache多节点分发时发送端BW消耗为O(1)。 输入必须显式消费 QueryPlan + BulkDescriptor + traffic class，输出 TransferTicket + completion/fence + per-target result，不得用全局单例或隐藏同步 I/O 绕开预算与状态机。</x:v>
      </x:c>
      <x:c r="P113" s="22" t="str">
        <x:v>实现 QueryPlan + BulkDescriptor + traffic class → TransferTicket + completion/fence + per-target result；遵守 部分目标失败时隔离重试；deadline到期取消未提交任务并按目标粒度回退</x:v>
      </x:c>
      <x:c r="Q113" s="22" t="str">
        <x:v>核心算法与状态转换完成；新增代码单测分支覆盖≥85%；线程安全/所有权明确；关闭 feature flag 时行为与 baseline 一致。</x:v>
      </x:c>
      <x:c r="R113" s="22" t="str">
        <x:v>ctest -R MULENGINE --output-on-failure</x:v>
      </x:c>
      <x:c r="S113" s="22" t="str">
        <x:v>探索直接视图(direct view)、硬件多播及硬件原子页迁移等远期能力，避免 TPOT 被直接视图意外拖慢，不强求 &lt;500ns 等极端指标。</x:v>
      </x:c>
      <x:c r="T113" s="22" t="str">
        <x:v>SR-01-04-06</x:v>
      </x:c>
      <x:c r="U113" s="22" t="str">
        <x:v>待认领</x:v>
      </x:c>
      <x:c r="V113" s="22" t="str"/>
      <x:c r="W113" s="22" t="str"/>
      <x:c r="X113" s="22" t="str">
        <x:f>IF(COUNTIF($A$5:$A$451,A113)=1,"PASS","FAIL")</x:f>
        <x:v>PASS</x:v>
      </x:c>
      <x:c r="Y113" s="22" t="str">
        <x:f>IF(COUNTIF('SR系统设计'!$A$5:$A$153,B113)+COUNTIF('追溯与覆盖'!$A$5:$A$153,C113)=2,"PASS","FAIL")</x:f>
        <x:v>PASS</x:v>
      </x:c>
    </x:row>
    <x:row r="114" ht="84" customHeight="1">
      <x:c r="A114" s="25" t="str">
        <x:v>AR-L3-TRANS-MUL-ENGINE-003-02</x:v>
      </x:c>
      <x:c r="B114" s="25" t="str">
        <x:v>SR-01-04-06</x:v>
      </x:c>
      <x:c r="C114" s="25" t="str">
        <x:v>L3-TRANS-MUL-ENGINE-003</x:v>
      </x:c>
      <x:c r="D114" s="25" t="str">
        <x:v>SF-01</x:v>
      </x:c>
      <x:c r="E114" s="25" t="str">
        <x:v>IR-01-04</x:v>
      </x:c>
      <x:c r="F114" s="22" t="str">
        <x:v>L3 传输管理层</x:v>
      </x:c>
      <x:c r="G114" s="22" t="str">
        <x:v>TM4</x:v>
      </x:c>
      <x:c r="H114" s="22" t="str">
        <x:v>传输编排与广播</x:v>
      </x:c>
      <x:c r="I114" s="22" t="str">
        <x:v>P3</x:v>
      </x:c>
      <x:c r="J114" s="22" t="str">
        <x:v>P3</x:v>
      </x:c>
      <x:c r="K114" s="22" t="str">
        <x:v>契约配置与降级</x:v>
      </x:c>
      <x:c r="L114" s="22" t="str">
        <x:v>存储池/传输管理开发</x:v>
      </x:c>
      <x:c r="M114" s="22" t="str">
        <x:v>api/kvcache/v1/mul_engine.proto + config/runtime/mul_engine.yaml</x:v>
      </x:c>
      <x:c r="N114" s="22" t="str">
        <x:v>MULENGINEOptions / kvcache.mul_engine.enabled</x:v>
      </x:c>
      <x:c r="O114" s="22" t="str">
        <x:v>为 `MULENGINEOptions` 增加 `kvcache.mul_engine.enabled`、deadline/容量/队列预算及版本字段；在调用点接入 typed error、decision_reason、fallback_reason，确保配置热更新、灰度关闭和向后兼容均可审计。</x:v>
      </x:c>
      <x:c r="P114" s="22" t="str">
        <x:v>IDL/配置 schema 有版本号、默认值、边界校验和错误码；状态/租约/ready 不满足时按 部分目标失败时隔离重试；deadline到期取消未提交任务并按目标粒度回退</x:v>
      </x:c>
      <x:c r="Q114" s="22" t="str">
        <x:v>配置样例、schema 校验、升级兼容测试和回退路径齐全；任何隐式 fallback 被移除；新增指标可关联 request_id/query_plan_id/object_id/path_id。</x:v>
      </x:c>
      <x:c r="R114" s="22" t="str">
        <x:v>ctest -R MULENGINEConfig &amp;&amp; ./bin/kvcache_config_check --case=mul_engine</x:v>
      </x:c>
      <x:c r="S114" s="22" t="str">
        <x:v>探索直接视图(direct view)、硬件多播及硬件原子页迁移等远期能力，避免 TPOT 被直接视图意外拖慢，不强求 &lt;500ns 等极端指标。</x:v>
      </x:c>
      <x:c r="T114" s="22" t="str">
        <x:v>SR-01-04-06</x:v>
      </x:c>
      <x:c r="U114" s="22" t="str">
        <x:v>待认领</x:v>
      </x:c>
      <x:c r="V114" s="22" t="str"/>
      <x:c r="W114" s="22" t="str"/>
      <x:c r="X114" s="22" t="str">
        <x:f>IF(COUNTIF($A$5:$A$451,A114)=1,"PASS","FAIL")</x:f>
        <x:v>PASS</x:v>
      </x:c>
      <x:c r="Y114" s="22" t="str">
        <x:f>IF(COUNTIF('SR系统设计'!$A$5:$A$153,B114)+COUNTIF('追溯与覆盖'!$A$5:$A$153,C114)=2,"PASS","FAIL")</x:f>
        <x:v>PASS</x:v>
      </x:c>
    </x:row>
    <x:row r="115" ht="84" customHeight="1">
      <x:c r="A115" s="25" t="str">
        <x:v>AR-L3-TRANS-MUL-ENGINE-003-03</x:v>
      </x:c>
      <x:c r="B115" s="25" t="str">
        <x:v>SR-01-04-06</x:v>
      </x:c>
      <x:c r="C115" s="25" t="str">
        <x:v>L3-TRANS-MUL-ENGINE-003</x:v>
      </x:c>
      <x:c r="D115" s="25" t="str">
        <x:v>SF-01</x:v>
      </x:c>
      <x:c r="E115" s="25" t="str">
        <x:v>IR-01-04</x:v>
      </x:c>
      <x:c r="F115" s="22" t="str">
        <x:v>L3 传输管理层</x:v>
      </x:c>
      <x:c r="G115" s="22" t="str">
        <x:v>TM4</x:v>
      </x:c>
      <x:c r="H115" s="22" t="str">
        <x:v>传输编排与广播</x:v>
      </x:c>
      <x:c r="I115" s="22" t="str">
        <x:v>P3</x:v>
      </x:c>
      <x:c r="J115" s="22" t="str">
        <x:v>P3</x:v>
      </x:c>
      <x:c r="K115" s="22" t="str">
        <x:v>验证与观测</x:v>
      </x:c>
      <x:c r="L115" s="22" t="str">
        <x:v>存储池/传输管理开发</x:v>
      </x:c>
      <x:c r="M115" s="22" t="str">
        <x:v>tests/transfer/orchestrator/mul_engine_test.cc + benchmarks/transfer/orchestrator/mul_engine_benchmark.cc</x:v>
      </x:c>
      <x:c r="N115" s="22" t="str">
        <x:v>MULENGINETest / MULENGINEBenchmark</x:v>
      </x:c>
      <x:c r="O115" s="22" t="str">
        <x:v>新增正常、边界、并发、超时、stale metadata、迁移冲突、路径拥塞/故障与 feature-flag-off 用例；在 benchmark 中固定模型、tokenizer、prompt、并发、拓扑和 baseline，采集 lookup/load/attach、TTFT、TPOT、usable/abandoned hit、带宽/时延及 CPU/NPU 利用率。</x:v>
      </x:c>
      <x:c r="P115"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15" s="22" t="str">
        <x:v>来源验收项全部自动化；性能报告包含 P50/P95/P99、置信区间与 baseline；失败门槛接入 CI；测试数据和命令可复现。</x:v>
      </x:c>
      <x:c r="R115" s="22" t="str">
        <x:v>./bin/kvcache_bench --case=mul_engine --baseline=native --report=json</x:v>
      </x:c>
      <x:c r="S115" s="22" t="str">
        <x:v>探索直接视图(direct view)、硬件多播及硬件原子页迁移等远期能力，避免 TPOT 被直接视图意外拖慢，不强求 &lt;500ns 等极端指标。</x:v>
      </x:c>
      <x:c r="T115" s="22" t="str">
        <x:v>SR-01-04-06</x:v>
      </x:c>
      <x:c r="U115" s="22" t="str">
        <x:v>待认领</x:v>
      </x:c>
      <x:c r="V115" s="22" t="str"/>
      <x:c r="W115" s="22" t="str"/>
      <x:c r="X115" s="22" t="str">
        <x:f>IF(COUNTIF($A$5:$A$451,A115)=1,"PASS","FAIL")</x:f>
        <x:v>PASS</x:v>
      </x:c>
      <x:c r="Y115" s="22" t="str">
        <x:f>IF(COUNTIF('SR系统设计'!$A$5:$A$153,B115)+COUNTIF('追溯与覆盖'!$A$5:$A$153,C115)=2,"PASS","FAIL")</x:f>
        <x:v>PASS</x:v>
      </x:c>
    </x:row>
    <x:row r="116" ht="84" customHeight="1">
      <x:c r="A116" s="25" t="str">
        <x:v>AR-L2-CONN-TOPO-ROUTE-002-01</x:v>
      </x:c>
      <x:c r="B116" s="25" t="str">
        <x:v>SR-01-05-01</x:v>
      </x:c>
      <x:c r="C116" s="25" t="str">
        <x:v>L2-CONN-TOPO-ROUTE-002</x:v>
      </x:c>
      <x:c r="D116" s="25" t="str">
        <x:v>SF-01</x:v>
      </x:c>
      <x:c r="E116" s="25" t="str">
        <x:v>IR-01-05</x:v>
      </x:c>
      <x:c r="F116" s="22" t="str">
        <x:v>L2 KVConnector层</x:v>
      </x:c>
      <x:c r="G116" s="22" t="str">
        <x:v>TM1</x:v>
      </x:c>
      <x:c r="H116" s="22" t="str">
        <x:v>路径路由与能力探测</x:v>
      </x:c>
      <x:c r="I116" s="22" t="str">
        <x:v>P1</x:v>
      </x:c>
      <x:c r="J116" s="22" t="str">
        <x:v>P1</x:v>
      </x:c>
      <x:c r="K116" s="22" t="str">
        <x:v>核心实现</x:v>
      </x:c>
      <x:c r="L116" s="22" t="str">
        <x:v>Connector开发</x:v>
      </x:c>
      <x:c r="M116" s="22" t="str">
        <x:v>src/routing/capability/topo_route.{h,cc}</x:v>
      </x:c>
      <x:c r="N116" s="22" t="str">
        <x:v>TOPOROUTEResolver</x:v>
      </x:c>
      <x:c r="O116" s="22" t="str">
        <x:v>在 `src/routing/capability/topo_route.{h,cc}` 新增或重写 `TOPOROUTEResolver`，把“动态传输路径路由”落实为 L2 KVConnector层 可调用主路径：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 输入必须显式消费 topology + device capability + queue telemetry，输出 ranked path set + health state + cost，不得用全局单例或隐藏同步 I/O 绕开预算与状态机。</x:v>
      </x:c>
      <x:c r="P116" s="22" t="str">
        <x:v>实现 topology + device capability + queue telemetry → ranked path set + health state + cost；遵守 连续3次探测失败降权/摘除；无合格路径时返回明确不可达而非隐式慢路径</x:v>
      </x:c>
      <x:c r="Q116" s="22" t="str">
        <x:v>核心算法与状态转换完成；新增代码单测分支覆盖≥85%；线程安全/所有权明确；关闭 feature flag 时行为与 baseline 一致。</x:v>
      </x:c>
      <x:c r="R116" s="22" t="str">
        <x:v>ctest -R TOPOROUTE --output-on-failure</x:v>
      </x:c>
      <x:c r="S116" s="22" t="str">
        <x:v>同机架内本地及远端DDR命中率（Local Usable Hit Rate）提升≥30%。</x:v>
      </x:c>
      <x:c r="T116" s="22" t="str">
        <x:v>SR-01-05-01</x:v>
      </x:c>
      <x:c r="U116" s="22" t="str">
        <x:v>待认领</x:v>
      </x:c>
      <x:c r="V116" s="22" t="str"/>
      <x:c r="W116" s="22" t="str"/>
      <x:c r="X116" s="22" t="str">
        <x:f>IF(COUNTIF($A$5:$A$451,A116)=1,"PASS","FAIL")</x:f>
        <x:v>PASS</x:v>
      </x:c>
      <x:c r="Y116" s="22" t="str">
        <x:f>IF(COUNTIF('SR系统设计'!$A$5:$A$153,B116)+COUNTIF('追溯与覆盖'!$A$5:$A$153,C116)=2,"PASS","FAIL")</x:f>
        <x:v>PASS</x:v>
      </x:c>
    </x:row>
    <x:row r="117" ht="84" customHeight="1">
      <x:c r="A117" s="25" t="str">
        <x:v>AR-L2-CONN-TOPO-ROUTE-002-02</x:v>
      </x:c>
      <x:c r="B117" s="25" t="str">
        <x:v>SR-01-05-01</x:v>
      </x:c>
      <x:c r="C117" s="25" t="str">
        <x:v>L2-CONN-TOPO-ROUTE-002</x:v>
      </x:c>
      <x:c r="D117" s="25" t="str">
        <x:v>SF-01</x:v>
      </x:c>
      <x:c r="E117" s="25" t="str">
        <x:v>IR-01-05</x:v>
      </x:c>
      <x:c r="F117" s="22" t="str">
        <x:v>L2 KVConnector层</x:v>
      </x:c>
      <x:c r="G117" s="22" t="str">
        <x:v>TM1</x:v>
      </x:c>
      <x:c r="H117" s="22" t="str">
        <x:v>路径路由与能力探测</x:v>
      </x:c>
      <x:c r="I117" s="22" t="str">
        <x:v>P1</x:v>
      </x:c>
      <x:c r="J117" s="22" t="str">
        <x:v>P1</x:v>
      </x:c>
      <x:c r="K117" s="22" t="str">
        <x:v>契约配置与降级</x:v>
      </x:c>
      <x:c r="L117" s="22" t="str">
        <x:v>Connector开发</x:v>
      </x:c>
      <x:c r="M117" s="22" t="str">
        <x:v>api/kvcache/v1/topo_route.proto + config/runtime/topo_route.yaml</x:v>
      </x:c>
      <x:c r="N117" s="22" t="str">
        <x:v>TOPOROUTEOptions / kvcache.topo_route.enabled</x:v>
      </x:c>
      <x:c r="O117" s="22" t="str">
        <x:v>为 `TOPOROUTEOptions` 增加 `kvcache.topo_route.enabled`、deadline/容量/队列预算及版本字段；在调用点接入 typed error、decision_reason、fallback_reason，确保配置热更新、灰度关闭和向后兼容均可审计。</x:v>
      </x:c>
      <x:c r="P117" s="22" t="str">
        <x:v>IDL/配置 schema 有版本号、默认值、边界校验和错误码；状态/租约/ready 不满足时按 连续3次探测失败降权/摘除；无合格路径时返回明确不可达而非隐式慢路径</x:v>
      </x:c>
      <x:c r="Q117" s="22" t="str">
        <x:v>配置样例、schema 校验、升级兼容测试和回退路径齐全；任何隐式 fallback 被移除；新增指标可关联 request_id/query_plan_id/object_id/path_id。</x:v>
      </x:c>
      <x:c r="R117" s="22" t="str">
        <x:v>ctest -R TOPOROUTEConfig &amp;&amp; ./bin/kvcache_config_check --case=topo_route</x:v>
      </x:c>
      <x:c r="S117" s="22" t="str">
        <x:v>同机架内本地及远端DDR命中率（Local Usable Hit Rate）提升≥30%。</x:v>
      </x:c>
      <x:c r="T117" s="22" t="str">
        <x:v>SR-01-05-01</x:v>
      </x:c>
      <x:c r="U117" s="22" t="str">
        <x:v>待认领</x:v>
      </x:c>
      <x:c r="V117" s="22" t="str"/>
      <x:c r="W117" s="22" t="str"/>
      <x:c r="X117" s="22" t="str">
        <x:f>IF(COUNTIF($A$5:$A$451,A117)=1,"PASS","FAIL")</x:f>
        <x:v>PASS</x:v>
      </x:c>
      <x:c r="Y117" s="22" t="str">
        <x:f>IF(COUNTIF('SR系统设计'!$A$5:$A$153,B117)+COUNTIF('追溯与覆盖'!$A$5:$A$153,C117)=2,"PASS","FAIL")</x:f>
        <x:v>PASS</x:v>
      </x:c>
    </x:row>
    <x:row r="118" ht="84" customHeight="1">
      <x:c r="A118" s="25" t="str">
        <x:v>AR-L2-CONN-TOPO-ROUTE-002-03</x:v>
      </x:c>
      <x:c r="B118" s="25" t="str">
        <x:v>SR-01-05-01</x:v>
      </x:c>
      <x:c r="C118" s="25" t="str">
        <x:v>L2-CONN-TOPO-ROUTE-002</x:v>
      </x:c>
      <x:c r="D118" s="25" t="str">
        <x:v>SF-01</x:v>
      </x:c>
      <x:c r="E118" s="25" t="str">
        <x:v>IR-01-05</x:v>
      </x:c>
      <x:c r="F118" s="22" t="str">
        <x:v>L2 KVConnector层</x:v>
      </x:c>
      <x:c r="G118" s="22" t="str">
        <x:v>TM1</x:v>
      </x:c>
      <x:c r="H118" s="22" t="str">
        <x:v>路径路由与能力探测</x:v>
      </x:c>
      <x:c r="I118" s="22" t="str">
        <x:v>P1</x:v>
      </x:c>
      <x:c r="J118" s="22" t="str">
        <x:v>P1</x:v>
      </x:c>
      <x:c r="K118" s="22" t="str">
        <x:v>验证与观测</x:v>
      </x:c>
      <x:c r="L118" s="22" t="str">
        <x:v>Connector开发</x:v>
      </x:c>
      <x:c r="M118" s="22" t="str">
        <x:v>tests/routing/capability/topo_route_test.cc + benchmarks/routing/capability/topo_route_benchmark.cc</x:v>
      </x:c>
      <x:c r="N118" s="22" t="str">
        <x:v>TOPOROUTETest / TOPOROUTEBenchmark</x:v>
      </x:c>
      <x:c r="O118" s="22" t="str">
        <x:v>新增正常、边界、并发、超时、stale metadata、迁移冲突、路径拥塞/故障与 feature-flag-off 用例；在 benchmark 中固定模型、tokenizer、prompt、并发、拓扑和 baseline，采集 lookup/load/attach、TTFT、TPOT、usable/abandoned hit、带宽/时延及 CPU/NPU 利用率。</x:v>
      </x:c>
      <x:c r="P118" s="22" t="str">
        <x:v>验收直接引用来源指标：“同机架内本地及远端DDR命中率（Local Usable Hit Rate）提升≥30%。”；故障用例必须证明错误 KV 不被消费且 fallback reason 可追踪。</x:v>
      </x:c>
      <x:c r="Q118" s="22" t="str">
        <x:v>来源验收项全部自动化；性能报告包含 P50/P95/P99、置信区间与 baseline；失败门槛接入 CI；测试数据和命令可复现。</x:v>
      </x:c>
      <x:c r="R118" s="22" t="str">
        <x:v>./bin/kvcache_bench --case=topo_route --baseline=native --report=json</x:v>
      </x:c>
      <x:c r="S118" s="22" t="str">
        <x:v>同机架内本地及远端DDR命中率（Local Usable Hit Rate）提升≥30%。</x:v>
      </x:c>
      <x:c r="T118" s="22" t="str">
        <x:v>SR-01-05-01</x:v>
      </x:c>
      <x:c r="U118" s="22" t="str">
        <x:v>待认领</x:v>
      </x:c>
      <x:c r="V118" s="22" t="str"/>
      <x:c r="W118" s="22" t="str"/>
      <x:c r="X118" s="22" t="str">
        <x:f>IF(COUNTIF($A$5:$A$451,A118)=1,"PASS","FAIL")</x:f>
        <x:v>PASS</x:v>
      </x:c>
      <x:c r="Y118" s="22" t="str">
        <x:f>IF(COUNTIF('SR系统设计'!$A$5:$A$153,B118)+COUNTIF('追溯与覆盖'!$A$5:$A$153,C118)=2,"PASS","FAIL")</x:f>
        <x:v>PASS</x:v>
      </x:c>
    </x:row>
    <x:row r="119" ht="84" customHeight="1">
      <x:c r="A119" s="25" t="str">
        <x:v>AR-L2-CONN-WatermarkQuery-032-01</x:v>
      </x:c>
      <x:c r="B119" s="25" t="str">
        <x:v>SR-01-05-02</x:v>
      </x:c>
      <x:c r="C119" s="25" t="str">
        <x:v>L2-CONN-WatermarkQuery-032</x:v>
      </x:c>
      <x:c r="D119" s="25" t="str">
        <x:v>SF-01</x:v>
      </x:c>
      <x:c r="E119" s="25" t="str">
        <x:v>IR-01-05</x:v>
      </x:c>
      <x:c r="F119" s="22" t="str">
        <x:v>L2 KVConnector层</x:v>
      </x:c>
      <x:c r="G119" s="22" t="str">
        <x:v>TM1</x:v>
      </x:c>
      <x:c r="H119" s="22" t="str">
        <x:v>路径路由与能力探测</x:v>
      </x:c>
      <x:c r="I119" s="22" t="str">
        <x:v>P1</x:v>
      </x:c>
      <x:c r="J119" s="22" t="str">
        <x:v>P1</x:v>
      </x:c>
      <x:c r="K119" s="22" t="str">
        <x:v>核心实现</x:v>
      </x:c>
      <x:c r="L119" s="22" t="str">
        <x:v>Connector开发</x:v>
      </x:c>
      <x:c r="M119" s="22" t="str">
        <x:v>src/routing/capability/watermark_query.{h,cc}</x:v>
      </x:c>
      <x:c r="N119" s="22" t="str">
        <x:v>WatermarkQueryResolver</x:v>
      </x:c>
      <x:c r="O119" s="22" t="str">
        <x:v>在 `src/routing/capability/watermark_query.{h,cc}` 新增或重写 `WatermarkQueryResolver`，把“动态拓扑水位路径规避”落实为 L2 KVConnector层 可调用主路径：本需求要求 Connector 将节点内的容量水位提示（Watermark Hints）整合进路径质量探测流中。 输入必须显式消费 topology + device capability + queue telemetry，输出 ranked path set + health state + cost，不得用全局单例或隐藏同步 I/O 绕开预算与状态机。</x:v>
      </x:c>
      <x:c r="P119" s="22" t="str">
        <x:v>实现 topology + device capability + queue telemetry → ranked path set + health state + cost；遵守 连续3次探测失败降权/摘除；无合格路径时返回明确不可达而非隐式慢路径</x:v>
      </x:c>
      <x:c r="Q119" s="22" t="str">
        <x:v>核心算法与状态转换完成；新增代码单测分支覆盖≥85%；线程安全/所有权明确；关闭 feature flag 时行为与 baseline 一致。</x:v>
      </x:c>
      <x:c r="R119" s="22" t="str">
        <x:v>ctest -R WatermarkQuery --output-on-failure</x:v>
      </x:c>
      <x:c r="S119" s="22" t="str">
        <x:v>同机架内本地及远端DDR命中率（Local Usable Hit Rate）提升≥30%。</x:v>
      </x:c>
      <x:c r="T119" s="22" t="str">
        <x:v>SR-01-05-02</x:v>
      </x:c>
      <x:c r="U119" s="22" t="str">
        <x:v>待认领</x:v>
      </x:c>
      <x:c r="V119" s="22" t="str"/>
      <x:c r="W119" s="22" t="str"/>
      <x:c r="X119" s="22" t="str">
        <x:f>IF(COUNTIF($A$5:$A$451,A119)=1,"PASS","FAIL")</x:f>
        <x:v>PASS</x:v>
      </x:c>
      <x:c r="Y119" s="22" t="str">
        <x:f>IF(COUNTIF('SR系统设计'!$A$5:$A$153,B119)+COUNTIF('追溯与覆盖'!$A$5:$A$153,C119)=2,"PASS","FAIL")</x:f>
        <x:v>PASS</x:v>
      </x:c>
    </x:row>
    <x:row r="120" ht="84" customHeight="1">
      <x:c r="A120" s="25" t="str">
        <x:v>AR-L2-CONN-WatermarkQuery-032-02</x:v>
      </x:c>
      <x:c r="B120" s="25" t="str">
        <x:v>SR-01-05-02</x:v>
      </x:c>
      <x:c r="C120" s="25" t="str">
        <x:v>L2-CONN-WatermarkQuery-032</x:v>
      </x:c>
      <x:c r="D120" s="25" t="str">
        <x:v>SF-01</x:v>
      </x:c>
      <x:c r="E120" s="25" t="str">
        <x:v>IR-01-05</x:v>
      </x:c>
      <x:c r="F120" s="22" t="str">
        <x:v>L2 KVConnector层</x:v>
      </x:c>
      <x:c r="G120" s="22" t="str">
        <x:v>TM1</x:v>
      </x:c>
      <x:c r="H120" s="22" t="str">
        <x:v>路径路由与能力探测</x:v>
      </x:c>
      <x:c r="I120" s="22" t="str">
        <x:v>P1</x:v>
      </x:c>
      <x:c r="J120" s="22" t="str">
        <x:v>P1</x:v>
      </x:c>
      <x:c r="K120" s="22" t="str">
        <x:v>契约配置与降级</x:v>
      </x:c>
      <x:c r="L120" s="22" t="str">
        <x:v>Connector开发</x:v>
      </x:c>
      <x:c r="M120" s="22" t="str">
        <x:v>api/kvcache/v1/watermark_query.proto + config/runtime/watermark_query.yaml</x:v>
      </x:c>
      <x:c r="N120" s="22" t="str">
        <x:v>WatermarkQueryOptions / kvcache.watermark_query.enabled</x:v>
      </x:c>
      <x:c r="O120" s="22" t="str">
        <x:v>为 `WatermarkQueryOptions` 增加 `kvcache.watermark_query.enabled`、deadline/容量/队列预算及版本字段；在调用点接入 typed error、decision_reason、fallback_reason，确保配置热更新、灰度关闭和向后兼容均可审计。</x:v>
      </x:c>
      <x:c r="P120" s="22" t="str">
        <x:v>IDL/配置 schema 有版本号、默认值、边界校验和错误码；状态/租约/ready 不满足时按 连续3次探测失败降权/摘除；无合格路径时返回明确不可达而非隐式慢路径</x:v>
      </x:c>
      <x:c r="Q120" s="22" t="str">
        <x:v>配置样例、schema 校验、升级兼容测试和回退路径齐全；任何隐式 fallback 被移除；新增指标可关联 request_id/query_plan_id/object_id/path_id。</x:v>
      </x:c>
      <x:c r="R120" s="22" t="str">
        <x:v>ctest -R WatermarkQueryConfig &amp;&amp; ./bin/kvcache_config_check --case=watermark_query</x:v>
      </x:c>
      <x:c r="S120" s="22" t="str">
        <x:v>同机架内本地及远端DDR命中率（Local Usable Hit Rate）提升≥30%。</x:v>
      </x:c>
      <x:c r="T120" s="22" t="str">
        <x:v>SR-01-05-02</x:v>
      </x:c>
      <x:c r="U120" s="22" t="str">
        <x:v>待认领</x:v>
      </x:c>
      <x:c r="V120" s="22" t="str"/>
      <x:c r="W120" s="22" t="str"/>
      <x:c r="X120" s="22" t="str">
        <x:f>IF(COUNTIF($A$5:$A$451,A120)=1,"PASS","FAIL")</x:f>
        <x:v>PASS</x:v>
      </x:c>
      <x:c r="Y120" s="22" t="str">
        <x:f>IF(COUNTIF('SR系统设计'!$A$5:$A$153,B120)+COUNTIF('追溯与覆盖'!$A$5:$A$153,C120)=2,"PASS","FAIL")</x:f>
        <x:v>PASS</x:v>
      </x:c>
    </x:row>
    <x:row r="121" ht="84" customHeight="1">
      <x:c r="A121" s="25" t="str">
        <x:v>AR-L2-CONN-WatermarkQuery-032-03</x:v>
      </x:c>
      <x:c r="B121" s="25" t="str">
        <x:v>SR-01-05-02</x:v>
      </x:c>
      <x:c r="C121" s="25" t="str">
        <x:v>L2-CONN-WatermarkQuery-032</x:v>
      </x:c>
      <x:c r="D121" s="25" t="str">
        <x:v>SF-01</x:v>
      </x:c>
      <x:c r="E121" s="25" t="str">
        <x:v>IR-01-05</x:v>
      </x:c>
      <x:c r="F121" s="22" t="str">
        <x:v>L2 KVConnector层</x:v>
      </x:c>
      <x:c r="G121" s="22" t="str">
        <x:v>TM1</x:v>
      </x:c>
      <x:c r="H121" s="22" t="str">
        <x:v>路径路由与能力探测</x:v>
      </x:c>
      <x:c r="I121" s="22" t="str">
        <x:v>P1</x:v>
      </x:c>
      <x:c r="J121" s="22" t="str">
        <x:v>P1</x:v>
      </x:c>
      <x:c r="K121" s="22" t="str">
        <x:v>验证与观测</x:v>
      </x:c>
      <x:c r="L121" s="22" t="str">
        <x:v>Connector开发</x:v>
      </x:c>
      <x:c r="M121" s="22" t="str">
        <x:v>tests/routing/capability/watermark_query_test.cc + benchmarks/routing/capability/watermark_query_benchmark.cc</x:v>
      </x:c>
      <x:c r="N121" s="22" t="str">
        <x:v>WatermarkQueryTest / WatermarkQueryBenchmark</x:v>
      </x:c>
      <x:c r="O121" s="22" t="str">
        <x:v>新增正常、边界、并发、超时、stale metadata、迁移冲突、路径拥塞/故障与 feature-flag-off 用例；在 benchmark 中固定模型、tokenizer、prompt、并发、拓扑和 baseline，采集 lookup/load/attach、TTFT、TPOT、usable/abandoned hit、带宽/时延及 CPU/NPU 利用率。</x:v>
      </x:c>
      <x:c r="P121" s="22" t="str">
        <x:v>验收直接引用来源指标：“同机架内本地及远端DDR命中率（Local Usable Hit Rate）提升≥30%。”；故障用例必须证明错误 KV 不被消费且 fallback reason 可追踪。</x:v>
      </x:c>
      <x:c r="Q121" s="22" t="str">
        <x:v>来源验收项全部自动化；性能报告包含 P50/P95/P99、置信区间与 baseline；失败门槛接入 CI；测试数据和命令可复现。</x:v>
      </x:c>
      <x:c r="R121" s="22" t="str">
        <x:v>./bin/kvcache_bench --case=watermark_query --baseline=native --report=json</x:v>
      </x:c>
      <x:c r="S121" s="22" t="str">
        <x:v>同机架内本地及远端DDR命中率（Local Usable Hit Rate）提升≥30%。</x:v>
      </x:c>
      <x:c r="T121" s="22" t="str">
        <x:v>SR-01-05-02</x:v>
      </x:c>
      <x:c r="U121" s="22" t="str">
        <x:v>待认领</x:v>
      </x:c>
      <x:c r="V121" s="22" t="str"/>
      <x:c r="W121" s="22" t="str"/>
      <x:c r="X121" s="22" t="str">
        <x:f>IF(COUNTIF($A$5:$A$451,A121)=1,"PASS","FAIL")</x:f>
        <x:v>PASS</x:v>
      </x:c>
      <x:c r="Y121" s="22" t="str">
        <x:f>IF(COUNTIF('SR系统设计'!$A$5:$A$153,B121)+COUNTIF('追溯与覆盖'!$A$5:$A$153,C121)=2,"PASS","FAIL")</x:f>
        <x:v>PASS</x:v>
      </x:c>
    </x:row>
    <x:row r="122" ht="84" customHeight="1">
      <x:c r="A122" s="25" t="str">
        <x:v>AR-L4-OL-RegisteredPool-053-01</x:v>
      </x:c>
      <x:c r="B122" s="25" t="str">
        <x:v>SR-01-06-01</x:v>
      </x:c>
      <x:c r="C122" s="25" t="str">
        <x:v>L4-OL-RegisteredPool-053</x:v>
      </x:c>
      <x:c r="D122" s="25" t="str">
        <x:v>SF-01</x:v>
      </x:c>
      <x:c r="E122" s="25" t="str">
        <x:v>IR-01-06</x:v>
      </x:c>
      <x:c r="F122" s="22" t="str">
        <x:v>L4 底层传输层</x:v>
      </x:c>
      <x:c r="G122" s="22" t="str">
        <x:v>TM4</x:v>
      </x:c>
      <x:c r="H122" s="22" t="str">
        <x:v>RDMA与零拷贝传输</x:v>
      </x:c>
      <x:c r="I122" s="22" t="str">
        <x:v>P0</x:v>
      </x:c>
      <x:c r="J122" s="22" t="str">
        <x:v>P0</x:v>
      </x:c>
      <x:c r="K122" s="22" t="str">
        <x:v>核心实现</x:v>
      </x:c>
      <x:c r="L122" s="22" t="str">
        <x:v>驱动/硬件协同开发</x:v>
      </x:c>
      <x:c r="M122" s="22" t="str">
        <x:v>src/backends/rdma/registered_pool.{h,cc}</x:v>
      </x:c>
      <x:c r="N122" s="22" t="str">
        <x:v>RegisteredPoolBackend</x:v>
      </x:c>
      <x:c r="O122" s="22" t="str">
        <x:v>在 `src/backends/rdma/registered_pool.{h,cc}` 新增或重写 `RegisteredPoolBackend`，把“高频 KV 传输注册内存池化”落实为 L4 底层传输层 可调用主路径：本需求要求底层传输层建立长生命周期 registered memory pool：HBM、DDR、UB region 应预注册为大块可复用区域，通过 offset suballocation 供 RDMA/GDR/NIXL/Mooncake 使用，避免每次 KV block 传输临时注册。 输入必须显式消费 registered extent + remote handle + descriptor，输出 RDMA ticket + CQ completion + hardware error，不得用全局单例或隐藏同步 I/O 绕开预算与状态机。</x:v>
      </x:c>
      <x:c r="P122" s="22" t="str">
        <x:v>实现 registered extent + remote handle + descriptor → RDMA ticket + CQ completion + hardware error；遵守 注册失败、CQ超时或链路错误按策略切备用副本/URMA/TCP冷路径/重算</x:v>
      </x:c>
      <x:c r="Q122" s="22" t="str">
        <x:v>核心算法与状态转换完成；新增代码单测分支覆盖≥85%；线程安全/所有权明确；关闭 feature flag 时行为与 baseline 一致。</x:v>
      </x:c>
      <x:c r="R122" s="22" t="str">
        <x:v>ctest -R RegisteredPool --output-on-failure</x:v>
      </x:c>
      <x:c r="S122" s="22" t="str">
        <x:v>建立前置硬件能力矩阵和注册内存池机制，确保 KV block layout 不被碎片化，并能进行有效的硬件边界隔离。</x:v>
      </x:c>
      <x:c r="T122" s="22" t="str">
        <x:v>SR-01-06-01</x:v>
      </x:c>
      <x:c r="U122" s="22" t="str">
        <x:v>待认领</x:v>
      </x:c>
      <x:c r="V122" s="22" t="str"/>
      <x:c r="W122" s="22" t="str"/>
      <x:c r="X122" s="22" t="str">
        <x:f>IF(COUNTIF($A$5:$A$451,A122)=1,"PASS","FAIL")</x:f>
        <x:v>PASS</x:v>
      </x:c>
      <x:c r="Y122" s="22" t="str">
        <x:f>IF(COUNTIF('SR系统设计'!$A$5:$A$153,B122)+COUNTIF('追溯与覆盖'!$A$5:$A$153,C122)=2,"PASS","FAIL")</x:f>
        <x:v>PASS</x:v>
      </x:c>
    </x:row>
    <x:row r="123" ht="84" customHeight="1">
      <x:c r="A123" s="25" t="str">
        <x:v>AR-L4-OL-RegisteredPool-053-02</x:v>
      </x:c>
      <x:c r="B123" s="25" t="str">
        <x:v>SR-01-06-01</x:v>
      </x:c>
      <x:c r="C123" s="25" t="str">
        <x:v>L4-OL-RegisteredPool-053</x:v>
      </x:c>
      <x:c r="D123" s="25" t="str">
        <x:v>SF-01</x:v>
      </x:c>
      <x:c r="E123" s="25" t="str">
        <x:v>IR-01-06</x:v>
      </x:c>
      <x:c r="F123" s="22" t="str">
        <x:v>L4 底层传输层</x:v>
      </x:c>
      <x:c r="G123" s="22" t="str">
        <x:v>TM4</x:v>
      </x:c>
      <x:c r="H123" s="22" t="str">
        <x:v>RDMA与零拷贝传输</x:v>
      </x:c>
      <x:c r="I123" s="22" t="str">
        <x:v>P0</x:v>
      </x:c>
      <x:c r="J123" s="22" t="str">
        <x:v>P0</x:v>
      </x:c>
      <x:c r="K123" s="22" t="str">
        <x:v>契约配置与降级</x:v>
      </x:c>
      <x:c r="L123" s="22" t="str">
        <x:v>驱动/硬件协同开发</x:v>
      </x:c>
      <x:c r="M123" s="22" t="str">
        <x:v>cmake/KVCacheBackends.cmake + config/backends/registered_pool.yaml + src/backends/backend_registry.cc</x:v>
      </x:c>
      <x:c r="N123" s="22" t="str">
        <x:v>KVCACHE_ENABLE_REGISTERED_POOL / kvcache.registered_pool.enabled</x:v>
      </x:c>
      <x:c r="O123" s="22" t="str">
        <x:v>增加编译开关 `KVCACHE_ENABLE_REGISTERED_POOL`、运行时开关 `kvcache.registered_pool.enabled` 与 BackendRegistry 注册项；冻结 capability、descriptor、completion/fence、error mapping 与 per-path telemetry 字段，并实现“主路径→备路径→重算/冷路径”的有界 fallback。</x:v>
      </x:c>
      <x:c r="P123" s="22" t="str">
        <x:v>IDL/配置 schema 有版本号、默认值、边界校验和错误码；状态/租约/ready 不满足时按 注册失败、CQ超时或链路错误按策略切备用副本/URMA/TCP冷路径/重算</x:v>
      </x:c>
      <x:c r="Q123" s="22" t="str">
        <x:v>配置样例、schema 校验、升级兼容测试和回退路径齐全；任何隐式 fallback 被移除；新增指标可关联 request_id/query_plan_id/object_id/path_id。</x:v>
      </x:c>
      <x:c r="R123" s="22" t="str">
        <x:v>ctest -R RegisteredPoolConfig &amp;&amp; ./bin/kvcache_config_check --case=registered_pool</x:v>
      </x:c>
      <x:c r="S123" s="22" t="str">
        <x:v>建立前置硬件能力矩阵和注册内存池机制，确保 KV block layout 不被碎片化，并能进行有效的硬件边界隔离。</x:v>
      </x:c>
      <x:c r="T123" s="22" t="str">
        <x:v>SR-01-06-01</x:v>
      </x:c>
      <x:c r="U123" s="22" t="str">
        <x:v>待认领</x:v>
      </x:c>
      <x:c r="V123" s="22" t="str"/>
      <x:c r="W123" s="22" t="str"/>
      <x:c r="X123" s="22" t="str">
        <x:f>IF(COUNTIF($A$5:$A$451,A123)=1,"PASS","FAIL")</x:f>
        <x:v>PASS</x:v>
      </x:c>
      <x:c r="Y123" s="22" t="str">
        <x:f>IF(COUNTIF('SR系统设计'!$A$5:$A$153,B123)+COUNTIF('追溯与覆盖'!$A$5:$A$153,C123)=2,"PASS","FAIL")</x:f>
        <x:v>PASS</x:v>
      </x:c>
    </x:row>
    <x:row r="124" ht="84" customHeight="1">
      <x:c r="A124" s="25" t="str">
        <x:v>AR-L4-OL-RegisteredPool-053-03</x:v>
      </x:c>
      <x:c r="B124" s="25" t="str">
        <x:v>SR-01-06-01</x:v>
      </x:c>
      <x:c r="C124" s="25" t="str">
        <x:v>L4-OL-RegisteredPool-053</x:v>
      </x:c>
      <x:c r="D124" s="25" t="str">
        <x:v>SF-01</x:v>
      </x:c>
      <x:c r="E124" s="25" t="str">
        <x:v>IR-01-06</x:v>
      </x:c>
      <x:c r="F124" s="22" t="str">
        <x:v>L4 底层传输层</x:v>
      </x:c>
      <x:c r="G124" s="22" t="str">
        <x:v>TM4</x:v>
      </x:c>
      <x:c r="H124" s="22" t="str">
        <x:v>RDMA与零拷贝传输</x:v>
      </x:c>
      <x:c r="I124" s="22" t="str">
        <x:v>P0</x:v>
      </x:c>
      <x:c r="J124" s="22" t="str">
        <x:v>P0</x:v>
      </x:c>
      <x:c r="K124" s="22" t="str">
        <x:v>验证与观测</x:v>
      </x:c>
      <x:c r="L124" s="22" t="str">
        <x:v>驱动/硬件协同开发</x:v>
      </x:c>
      <x:c r="M124" s="22" t="str">
        <x:v>tests/backends/rdma/registered_pool_test.cc + benchmarks/backends/rdma/registered_pool_benchmark.cc</x:v>
      </x:c>
      <x:c r="N124" s="22" t="str">
        <x:v>RegisteredPoolTest / RegisteredPoolBenchmark</x:v>
      </x:c>
      <x:c r="O124" s="22" t="str">
        <x:v>新增正常、边界、并发、超时、stale metadata、迁移冲突、路径拥塞/故障与 feature-flag-off 用例；在 benchmark 中固定模型、tokenizer、prompt、并发、拓扑和 baseline，采集 lookup/load/attach、TTFT、TPOT、usable/abandoned hit、带宽/时延及 CPU/NPU 利用率。</x:v>
      </x:c>
      <x:c r="P124" s="22" t="str">
        <x:v>验收直接引用来源指标：“建立前置硬件能力矩阵和注册内存池机制，确保 KV block layout 不被碎片化，并能进行有效的硬件边界隔离。”；故障用例必须证明错误 KV 不被消费且 fallback reason 可追踪。</x:v>
      </x:c>
      <x:c r="Q124" s="22" t="str">
        <x:v>来源验收项全部自动化；性能报告包含 P50/P95/P99、置信区间与 baseline；失败门槛接入 CI；测试数据和命令可复现。</x:v>
      </x:c>
      <x:c r="R124" s="22" t="str">
        <x:v>./bin/kvcache_bench --case=registered_pool --baseline=native --report=json</x:v>
      </x:c>
      <x:c r="S124" s="22" t="str">
        <x:v>建立前置硬件能力矩阵和注册内存池机制，确保 KV block layout 不被碎片化，并能进行有效的硬件边界隔离。</x:v>
      </x:c>
      <x:c r="T124" s="22" t="str">
        <x:v>SR-01-06-01</x:v>
      </x:c>
      <x:c r="U124" s="22" t="str">
        <x:v>待认领</x:v>
      </x:c>
      <x:c r="V124" s="22" t="str"/>
      <x:c r="W124" s="22" t="str"/>
      <x:c r="X124" s="22" t="str">
        <x:f>IF(COUNTIF($A$5:$A$451,A124)=1,"PASS","FAIL")</x:f>
        <x:v>PASS</x:v>
      </x:c>
      <x:c r="Y124" s="22" t="str">
        <x:f>IF(COUNTIF('SR系统设计'!$A$5:$A$153,B124)+COUNTIF('追溯与覆盖'!$A$5:$A$153,C124)=2,"PASS","FAIL")</x:f>
        <x:v>PASS</x:v>
      </x:c>
    </x:row>
    <x:row r="125" ht="84" customHeight="1">
      <x:c r="A125" s="25" t="str">
        <x:v>AR-L4-RDMA-RemoteExtentHandle-071-01</x:v>
      </x:c>
      <x:c r="B125" s="25" t="str">
        <x:v>SR-01-06-02</x:v>
      </x:c>
      <x:c r="C125" s="25" t="str">
        <x:v>L4-RDMA-RemoteExtentHandle-071</x:v>
      </x:c>
      <x:c r="D125" s="25" t="str">
        <x:v>SF-01</x:v>
      </x:c>
      <x:c r="E125" s="25" t="str">
        <x:v>IR-01-06</x:v>
      </x:c>
      <x:c r="F125" s="22" t="str">
        <x:v>L4 底层传输层</x:v>
      </x:c>
      <x:c r="G125" s="22" t="str">
        <x:v>TM4</x:v>
      </x:c>
      <x:c r="H125" s="22" t="str">
        <x:v>RDMA与零拷贝传输</x:v>
      </x:c>
      <x:c r="I125" s="22" t="str">
        <x:v>P0</x:v>
      </x:c>
      <x:c r="J125" s="22" t="str">
        <x:v>P0</x:v>
      </x:c>
      <x:c r="K125" s="22" t="str">
        <x:v>核心实现</x:v>
      </x:c>
      <x:c r="L125" s="22" t="str">
        <x:v>驱动/硬件协同开发</x:v>
      </x:c>
      <x:c r="M125" s="22" t="str">
        <x:v>src/backends/rdma/remote_extent_handle.{h,cc}</x:v>
      </x:c>
      <x:c r="N125" s="22" t="str">
        <x:v>RemoteExtentHandleBackend</x:v>
      </x:c>
      <x:c r="O125" s="22" t="str">
        <x:v>在 `src/backends/rdma/remote_extent_handle.{h,cc}` 新增或重写 `RemoteExtentHandleBackend`，把“远端 KV 副本安全寻址”落实为 L4 底层传输层 可调用主路径：本需求要求 RDMA/accelerator-direct RDMA 路径暴露 RemoteExtentHandle，包含 rkey、remote_addr、length、node_id、device_id、registration_epoch、visibility_epoch 和 access permission； 输入必须显式消费 registered extent + remote handle + descriptor，输出 RDMA ticket + CQ completion + hardware error，不得用全局单例或隐藏同步 I/O 绕开预算与状态机。</x:v>
      </x:c>
      <x:c r="P125" s="22" t="str">
        <x:v>实现 registered extent + remote handle + descriptor → RDMA ticket + CQ completion + hardware error；遵守 注册失败、CQ超时或链路错误按策略切备用副本/URMA/TCP冷路径/重算</x:v>
      </x:c>
      <x:c r="Q125" s="22" t="str">
        <x:v>核心算法与状态转换完成；新增代码单测分支覆盖≥85%；线程安全/所有权明确；关闭 feature flag 时行为与 baseline 一致。</x:v>
      </x:c>
      <x:c r="R125" s="22" t="str">
        <x:v>ctest -R RemoteExtentHandle --output-on-failure</x:v>
      </x:c>
      <x:c r="S125" s="22" t="str">
        <x:v>全局内存利用率提升至≥85%，跨级冷热数据迁移过程中的TPOT抖动 &lt; 5%。</x:v>
      </x:c>
      <x:c r="T125" s="22" t="str">
        <x:v>SR-01-06-02</x:v>
      </x:c>
      <x:c r="U125" s="22" t="str">
        <x:v>待认领</x:v>
      </x:c>
      <x:c r="V125" s="22" t="str"/>
      <x:c r="W125" s="22" t="str"/>
      <x:c r="X125" s="22" t="str">
        <x:f>IF(COUNTIF($A$5:$A$451,A125)=1,"PASS","FAIL")</x:f>
        <x:v>PASS</x:v>
      </x:c>
      <x:c r="Y125" s="22" t="str">
        <x:f>IF(COUNTIF('SR系统设计'!$A$5:$A$153,B125)+COUNTIF('追溯与覆盖'!$A$5:$A$153,C125)=2,"PASS","FAIL")</x:f>
        <x:v>PASS</x:v>
      </x:c>
    </x:row>
    <x:row r="126" ht="84" customHeight="1">
      <x:c r="A126" s="25" t="str">
        <x:v>AR-L4-RDMA-RemoteExtentHandle-071-02</x:v>
      </x:c>
      <x:c r="B126" s="25" t="str">
        <x:v>SR-01-06-02</x:v>
      </x:c>
      <x:c r="C126" s="25" t="str">
        <x:v>L4-RDMA-RemoteExtentHandle-071</x:v>
      </x:c>
      <x:c r="D126" s="25" t="str">
        <x:v>SF-01</x:v>
      </x:c>
      <x:c r="E126" s="25" t="str">
        <x:v>IR-01-06</x:v>
      </x:c>
      <x:c r="F126" s="22" t="str">
        <x:v>L4 底层传输层</x:v>
      </x:c>
      <x:c r="G126" s="22" t="str">
        <x:v>TM4</x:v>
      </x:c>
      <x:c r="H126" s="22" t="str">
        <x:v>RDMA与零拷贝传输</x:v>
      </x:c>
      <x:c r="I126" s="22" t="str">
        <x:v>P0</x:v>
      </x:c>
      <x:c r="J126" s="22" t="str">
        <x:v>P0</x:v>
      </x:c>
      <x:c r="K126" s="22" t="str">
        <x:v>契约配置与降级</x:v>
      </x:c>
      <x:c r="L126" s="22" t="str">
        <x:v>驱动/硬件协同开发</x:v>
      </x:c>
      <x:c r="M126" s="22" t="str">
        <x:v>cmake/KVCacheBackends.cmake + config/backends/remote_extent_handle.yaml + src/backends/backend_registry.cc</x:v>
      </x:c>
      <x:c r="N126" s="22" t="str">
        <x:v>KVCACHE_ENABLE_REMOTE_EXTENT_HANDLE / kvcache.remote_extent_handle.enabled</x:v>
      </x:c>
      <x:c r="O126" s="22" t="str">
        <x:v>增加编译开关 `KVCACHE_ENABLE_REMOTE_EXTENT_HANDLE`、运行时开关 `kvcache.remote_extent_handle.enabled` 与 BackendRegistry 注册项；冻结 capability、descriptor、completion/fence、error mapping 与 per-path telemetry 字段，并实现“主路径→备路径→重算/冷路径”的有界 fallback。</x:v>
      </x:c>
      <x:c r="P126" s="22" t="str">
        <x:v>IDL/配置 schema 有版本号、默认值、边界校验和错误码；状态/租约/ready 不满足时按 注册失败、CQ超时或链路错误按策略切备用副本/URMA/TCP冷路径/重算</x:v>
      </x:c>
      <x:c r="Q126" s="22" t="str">
        <x:v>配置样例、schema 校验、升级兼容测试和回退路径齐全；任何隐式 fallback 被移除；新增指标可关联 request_id/query_plan_id/object_id/path_id。</x:v>
      </x:c>
      <x:c r="R126" s="22" t="str">
        <x:v>ctest -R RemoteExtentHandleConfig &amp;&amp; ./bin/kvcache_config_check --case=remote_extent_handle</x:v>
      </x:c>
      <x:c r="S126" s="22" t="str">
        <x:v>全局内存利用率提升至≥85%，跨级冷热数据迁移过程中的TPOT抖动 &lt; 5%。</x:v>
      </x:c>
      <x:c r="T126" s="22" t="str">
        <x:v>SR-01-06-02</x:v>
      </x:c>
      <x:c r="U126" s="22" t="str">
        <x:v>待认领</x:v>
      </x:c>
      <x:c r="V126" s="22" t="str"/>
      <x:c r="W126" s="22" t="str"/>
      <x:c r="X126" s="22" t="str">
        <x:f>IF(COUNTIF($A$5:$A$451,A126)=1,"PASS","FAIL")</x:f>
        <x:v>PASS</x:v>
      </x:c>
      <x:c r="Y126" s="22" t="str">
        <x:f>IF(COUNTIF('SR系统设计'!$A$5:$A$153,B126)+COUNTIF('追溯与覆盖'!$A$5:$A$153,C126)=2,"PASS","FAIL")</x:f>
        <x:v>PASS</x:v>
      </x:c>
    </x:row>
    <x:row r="127" ht="84" customHeight="1">
      <x:c r="A127" s="25" t="str">
        <x:v>AR-L4-RDMA-RemoteExtentHandle-071-03</x:v>
      </x:c>
      <x:c r="B127" s="25" t="str">
        <x:v>SR-01-06-02</x:v>
      </x:c>
      <x:c r="C127" s="25" t="str">
        <x:v>L4-RDMA-RemoteExtentHandle-071</x:v>
      </x:c>
      <x:c r="D127" s="25" t="str">
        <x:v>SF-01</x:v>
      </x:c>
      <x:c r="E127" s="25" t="str">
        <x:v>IR-01-06</x:v>
      </x:c>
      <x:c r="F127" s="22" t="str">
        <x:v>L4 底层传输层</x:v>
      </x:c>
      <x:c r="G127" s="22" t="str">
        <x:v>TM4</x:v>
      </x:c>
      <x:c r="H127" s="22" t="str">
        <x:v>RDMA与零拷贝传输</x:v>
      </x:c>
      <x:c r="I127" s="22" t="str">
        <x:v>P0</x:v>
      </x:c>
      <x:c r="J127" s="22" t="str">
        <x:v>P0</x:v>
      </x:c>
      <x:c r="K127" s="22" t="str">
        <x:v>验证与观测</x:v>
      </x:c>
      <x:c r="L127" s="22" t="str">
        <x:v>驱动/硬件协同开发</x:v>
      </x:c>
      <x:c r="M127" s="22" t="str">
        <x:v>tests/backends/rdma/remote_extent_handle_test.cc + benchmarks/backends/rdma/remote_extent_handle_benchmark.cc</x:v>
      </x:c>
      <x:c r="N127" s="22" t="str">
        <x:v>RemoteExtentHandleTest / RemoteExtentHandleBenchmark</x:v>
      </x:c>
      <x:c r="O127" s="22" t="str">
        <x:v>新增正常、边界、并发、超时、stale metadata、迁移冲突、路径拥塞/故障与 feature-flag-off 用例；在 benchmark 中固定模型、tokenizer、prompt、并发、拓扑和 baseline，采集 lookup/load/attach、TTFT、TPOT、usable/abandoned hit、带宽/时延及 CPU/NPU 利用率。</x:v>
      </x:c>
      <x:c r="P127" s="22" t="str">
        <x:v>验收直接引用来源指标：“全局内存利用率提升至≥85%，跨级冷热数据迁移过程中的TPOT抖动 &lt; 5%。”；故障用例必须证明错误 KV 不被消费且 fallback reason 可追踪。</x:v>
      </x:c>
      <x:c r="Q127" s="22" t="str">
        <x:v>来源验收项全部自动化；性能报告包含 P50/P95/P99、置信区间与 baseline；失败门槛接入 CI；测试数据和命令可复现。</x:v>
      </x:c>
      <x:c r="R127" s="22" t="str">
        <x:v>./bin/kvcache_bench --case=remote_extent_handle --baseline=native --report=json</x:v>
      </x:c>
      <x:c r="S127" s="22" t="str">
        <x:v>全局内存利用率提升至≥85%，跨级冷热数据迁移过程中的TPOT抖动 &lt; 5%。</x:v>
      </x:c>
      <x:c r="T127" s="22" t="str">
        <x:v>SR-01-06-02</x:v>
      </x:c>
      <x:c r="U127" s="22" t="str">
        <x:v>待认领</x:v>
      </x:c>
      <x:c r="V127" s="22" t="str"/>
      <x:c r="W127" s="22" t="str"/>
      <x:c r="X127" s="22" t="str">
        <x:f>IF(COUNTIF($A$5:$A$451,A127)=1,"PASS","FAIL")</x:f>
        <x:v>PASS</x:v>
      </x:c>
      <x:c r="Y127" s="22" t="str">
        <x:f>IF(COUNTIF('SR系统设计'!$A$5:$A$153,B127)+COUNTIF('追溯与覆盖'!$A$5:$A$153,C127)=2,"PASS","FAIL")</x:f>
        <x:v>PASS</x:v>
      </x:c>
    </x:row>
    <x:row r="128" ht="84" customHeight="1">
      <x:c r="A128" s="25" t="str">
        <x:v>AR-L4-RDMA-P2P-NPU-001-01</x:v>
      </x:c>
      <x:c r="B128" s="25" t="str">
        <x:v>SR-01-06-03</x:v>
      </x:c>
      <x:c r="C128" s="25" t="str">
        <x:v>L4-RDMA-P2P-NPU-001</x:v>
      </x:c>
      <x:c r="D128" s="25" t="str">
        <x:v>SF-01</x:v>
      </x:c>
      <x:c r="E128" s="25" t="str">
        <x:v>IR-01-06</x:v>
      </x:c>
      <x:c r="F128" s="22" t="str">
        <x:v>L4 底层传输层</x:v>
      </x:c>
      <x:c r="G128" s="22" t="str">
        <x:v>TM4</x:v>
      </x:c>
      <x:c r="H128" s="22" t="str">
        <x:v>RDMA与零拷贝传输</x:v>
      </x:c>
      <x:c r="I128" s="22" t="str">
        <x:v>P1</x:v>
      </x:c>
      <x:c r="J128" s="22" t="str">
        <x:v>P1</x:v>
      </x:c>
      <x:c r="K128" s="22" t="str">
        <x:v>核心实现</x:v>
      </x:c>
      <x:c r="L128" s="22" t="str">
        <x:v>驱动/硬件协同开发</x:v>
      </x:c>
      <x:c r="M128" s="22" t="str">
        <x:v>src/backends/rdma/p2_p_npu.{h,cc}</x:v>
      </x:c>
      <x:c r="N128" s="22" t="str">
        <x:v>P2PNPUBackend</x:v>
      </x:c>
      <x:c r="O128" s="22" t="str">
        <x:v>在 `src/backends/rdma/p2_p_npu.{h,cc}` 新增或重写 `P2PNPUBackend`，把“跨节点KVCache零拷贝传输”落实为 L4 底层传输层 可调用主路径：本需求要求集成NVIDIA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 输入必须显式消费 registered extent + remote handle + descriptor，输出 RDMA ticket + CQ completion + hardware error，不得用全局单例或隐藏同步 I/O 绕开预算与状态机。</x:v>
      </x:c>
      <x:c r="P128" s="22" t="str">
        <x:v>实现 registered extent + remote handle + descriptor → RDMA ticket + CQ completion + hardware error；遵守 注册失败、CQ超时或链路错误按策略切备用副本/URMA/TCP冷路径/重算</x:v>
      </x:c>
      <x:c r="Q128" s="22" t="str">
        <x:v>核心算法与状态转换完成；新增代码单测分支覆盖≥85%；线程安全/所有权明确；关闭 feature flag 时行为与 baseline 一致。</x:v>
      </x:c>
      <x:c r="R128" s="22" t="str">
        <x:v>ctest -R P2PNPU --output-on-failure</x:v>
      </x:c>
      <x:c r="S128" s="22" t="str">
        <x:v>传输端到端延迟降低≥40%，CPU占用率(System Load)下降。</x:v>
      </x:c>
      <x:c r="T128" s="22" t="str">
        <x:v>SR-01-06-03</x:v>
      </x:c>
      <x:c r="U128" s="22" t="str">
        <x:v>待认领</x:v>
      </x:c>
      <x:c r="V128" s="22" t="str"/>
      <x:c r="W128" s="22" t="str"/>
      <x:c r="X128" s="22" t="str">
        <x:f>IF(COUNTIF($A$5:$A$451,A128)=1,"PASS","FAIL")</x:f>
        <x:v>PASS</x:v>
      </x:c>
      <x:c r="Y128" s="22" t="str">
        <x:f>IF(COUNTIF('SR系统设计'!$A$5:$A$153,B128)+COUNTIF('追溯与覆盖'!$A$5:$A$153,C128)=2,"PASS","FAIL")</x:f>
        <x:v>PASS</x:v>
      </x:c>
    </x:row>
    <x:row r="129" ht="84" customHeight="1">
      <x:c r="A129" s="25" t="str">
        <x:v>AR-L4-RDMA-P2P-NPU-001-02</x:v>
      </x:c>
      <x:c r="B129" s="25" t="str">
        <x:v>SR-01-06-03</x:v>
      </x:c>
      <x:c r="C129" s="25" t="str">
        <x:v>L4-RDMA-P2P-NPU-001</x:v>
      </x:c>
      <x:c r="D129" s="25" t="str">
        <x:v>SF-01</x:v>
      </x:c>
      <x:c r="E129" s="25" t="str">
        <x:v>IR-01-06</x:v>
      </x:c>
      <x:c r="F129" s="22" t="str">
        <x:v>L4 底层传输层</x:v>
      </x:c>
      <x:c r="G129" s="22" t="str">
        <x:v>TM4</x:v>
      </x:c>
      <x:c r="H129" s="22" t="str">
        <x:v>RDMA与零拷贝传输</x:v>
      </x:c>
      <x:c r="I129" s="22" t="str">
        <x:v>P1</x:v>
      </x:c>
      <x:c r="J129" s="22" t="str">
        <x:v>P1</x:v>
      </x:c>
      <x:c r="K129" s="22" t="str">
        <x:v>契约配置与降级</x:v>
      </x:c>
      <x:c r="L129" s="22" t="str">
        <x:v>驱动/硬件协同开发</x:v>
      </x:c>
      <x:c r="M129" s="22" t="str">
        <x:v>cmake/KVCacheBackends.cmake + config/backends/p2_p_npu.yaml + src/backends/backend_registry.cc</x:v>
      </x:c>
      <x:c r="N129" s="22" t="str">
        <x:v>KVCACHE_ENABLE_P2_P_NPU / kvcache.p2_p_npu.enabled</x:v>
      </x:c>
      <x:c r="O129" s="22" t="str">
        <x:v>增加编译开关 `KVCACHE_ENABLE_P2_P_NPU`、运行时开关 `kvcache.p2_p_npu.enabled` 与 BackendRegistry 注册项；冻结 capability、descriptor、completion/fence、error mapping 与 per-path telemetry 字段，并实现“主路径→备路径→重算/冷路径”的有界 fallback。</x:v>
      </x:c>
      <x:c r="P129" s="22" t="str">
        <x:v>IDL/配置 schema 有版本号、默认值、边界校验和错误码；状态/租约/ready 不满足时按 注册失败、CQ超时或链路错误按策略切备用副本/URMA/TCP冷路径/重算</x:v>
      </x:c>
      <x:c r="Q129" s="22" t="str">
        <x:v>配置样例、schema 校验、升级兼容测试和回退路径齐全；任何隐式 fallback 被移除；新增指标可关联 request_id/query_plan_id/object_id/path_id。</x:v>
      </x:c>
      <x:c r="R129" s="22" t="str">
        <x:v>ctest -R P2PNPUConfig &amp;&amp; ./bin/kvcache_config_check --case=p2_p_npu</x:v>
      </x:c>
      <x:c r="S129" s="22" t="str">
        <x:v>传输端到端延迟降低≥40%，CPU占用率(System Load)下降。</x:v>
      </x:c>
      <x:c r="T129" s="22" t="str">
        <x:v>SR-01-06-03</x:v>
      </x:c>
      <x:c r="U129" s="22" t="str">
        <x:v>待认领</x:v>
      </x:c>
      <x:c r="V129" s="22" t="str"/>
      <x:c r="W129" s="22" t="str"/>
      <x:c r="X129" s="22" t="str">
        <x:f>IF(COUNTIF($A$5:$A$451,A129)=1,"PASS","FAIL")</x:f>
        <x:v>PASS</x:v>
      </x:c>
      <x:c r="Y129" s="22" t="str">
        <x:f>IF(COUNTIF('SR系统设计'!$A$5:$A$153,B129)+COUNTIF('追溯与覆盖'!$A$5:$A$153,C129)=2,"PASS","FAIL")</x:f>
        <x:v>PASS</x:v>
      </x:c>
    </x:row>
    <x:row r="130" ht="84" customHeight="1">
      <x:c r="A130" s="25" t="str">
        <x:v>AR-L4-RDMA-P2P-NPU-001-03</x:v>
      </x:c>
      <x:c r="B130" s="25" t="str">
        <x:v>SR-01-06-03</x:v>
      </x:c>
      <x:c r="C130" s="25" t="str">
        <x:v>L4-RDMA-P2P-NPU-001</x:v>
      </x:c>
      <x:c r="D130" s="25" t="str">
        <x:v>SF-01</x:v>
      </x:c>
      <x:c r="E130" s="25" t="str">
        <x:v>IR-01-06</x:v>
      </x:c>
      <x:c r="F130" s="22" t="str">
        <x:v>L4 底层传输层</x:v>
      </x:c>
      <x:c r="G130" s="22" t="str">
        <x:v>TM4</x:v>
      </x:c>
      <x:c r="H130" s="22" t="str">
        <x:v>RDMA与零拷贝传输</x:v>
      </x:c>
      <x:c r="I130" s="22" t="str">
        <x:v>P1</x:v>
      </x:c>
      <x:c r="J130" s="22" t="str">
        <x:v>P1</x:v>
      </x:c>
      <x:c r="K130" s="22" t="str">
        <x:v>验证与观测</x:v>
      </x:c>
      <x:c r="L130" s="22" t="str">
        <x:v>驱动/硬件协同开发</x:v>
      </x:c>
      <x:c r="M130" s="22" t="str">
        <x:v>tests/backends/rdma/p2_p_npu_test.cc + benchmarks/backends/rdma/p2_p_npu_benchmark.cc</x:v>
      </x:c>
      <x:c r="N130" s="22" t="str">
        <x:v>P2PNPUTest / P2PNPUBenchmark</x:v>
      </x:c>
      <x:c r="O130" s="22" t="str">
        <x:v>新增正常、边界、并发、超时、stale metadata、迁移冲突、路径拥塞/故障与 feature-flag-off 用例；在 benchmark 中固定模型、tokenizer、prompt、并发、拓扑和 baseline，采集 lookup/load/attach、TTFT、TPOT、usable/abandoned hit、带宽/时延及 CPU/NPU 利用率。</x:v>
      </x:c>
      <x:c r="P130" s="22" t="str">
        <x:v>验收直接引用来源指标：“传输端到端延迟降低≥40%，CPU占用率(System Load)下降。”；故障用例必须证明错误 KV 不被消费且 fallback reason 可追踪。</x:v>
      </x:c>
      <x:c r="Q130" s="22" t="str">
        <x:v>来源验收项全部自动化；性能报告包含 P50/P95/P99、置信区间与 baseline；失败门槛接入 CI；测试数据和命令可复现。</x:v>
      </x:c>
      <x:c r="R130" s="22" t="str">
        <x:v>./bin/kvcache_bench --case=p2_p_npu --baseline=native --report=json</x:v>
      </x:c>
      <x:c r="S130" s="22" t="str">
        <x:v>传输端到端延迟降低≥40%，CPU占用率(System Load)下降。</x:v>
      </x:c>
      <x:c r="T130" s="22" t="str">
        <x:v>SR-01-06-03</x:v>
      </x:c>
      <x:c r="U130" s="22" t="str">
        <x:v>待认领</x:v>
      </x:c>
      <x:c r="V130" s="22" t="str"/>
      <x:c r="W130" s="22" t="str"/>
      <x:c r="X130" s="22" t="str">
        <x:f>IF(COUNTIF($A$5:$A$451,A130)=1,"PASS","FAIL")</x:f>
        <x:v>PASS</x:v>
      </x:c>
      <x:c r="Y130" s="22" t="str">
        <x:f>IF(COUNTIF('SR系统设计'!$A$5:$A$153,B130)+COUNTIF('追溯与覆盖'!$A$5:$A$153,C130)=2,"PASS","FAIL")</x:f>
        <x:v>PASS</x:v>
      </x:c>
    </x:row>
    <x:row r="131" ht="84" customHeight="1">
      <x:c r="A131" s="25" t="str">
        <x:v>AR-L4-RDMA-MUL-FABRIC-002-01</x:v>
      </x:c>
      <x:c r="B131" s="25" t="str">
        <x:v>SR-01-06-04</x:v>
      </x:c>
      <x:c r="C131" s="25" t="str">
        <x:v>L4-RDMA-MUL-FABRIC-002</x:v>
      </x:c>
      <x:c r="D131" s="25" t="str">
        <x:v>SF-01</x:v>
      </x:c>
      <x:c r="E131" s="25" t="str">
        <x:v>IR-01-06</x:v>
      </x:c>
      <x:c r="F131" s="22" t="str">
        <x:v>L4 底层传输层</x:v>
      </x:c>
      <x:c r="G131" s="22" t="str">
        <x:v>TM4</x:v>
      </x:c>
      <x:c r="H131" s="22" t="str">
        <x:v>RDMA与零拷贝传输</x:v>
      </x:c>
      <x:c r="I131" s="22" t="str">
        <x:v>P3</x:v>
      </x:c>
      <x:c r="J131" s="22" t="str">
        <x:v>P3</x:v>
      </x:c>
      <x:c r="K131" s="22" t="str">
        <x:v>核心实现</x:v>
      </x:c>
      <x:c r="L131" s="22" t="str">
        <x:v>驱动/硬件协同开发</x:v>
      </x:c>
      <x:c r="M131" s="22" t="str">
        <x:v>src/backends/rdma/mul_fabric.{h,cc}</x:v>
      </x:c>
      <x:c r="N131" s="22" t="str">
        <x:v>MULFABRICBackend</x:v>
      </x:c>
      <x:c r="O131" s="22" t="str">
        <x:v>在 `src/backends/rdma/mul_fabric.{h,cc}` 新增或重写 `MULFABRICBackend`，把“共享前缀KVCache批量广播”落实为 L4 底层传输层 可调用主路径：本需求要求实现KVCache的RDMA层1→N广播传输封装，使发送端带宽消耗O(1)（与接收方数量无关）。 输入必须显式消费 registered extent + remote handle + descriptor，输出 RDMA ticket + CQ completion + hardware error，不得用全局单例或隐藏同步 I/O 绕开预算与状态机。</x:v>
      </x:c>
      <x:c r="P131" s="22" t="str">
        <x:v>实现 registered extent + remote handle + descriptor → RDMA ticket + CQ completion + hardware error；遵守 注册失败、CQ超时或链路错误按策略切备用副本/URMA/TCP冷路径/重算</x:v>
      </x:c>
      <x:c r="Q131" s="22" t="str">
        <x:v>核心算法与状态转换完成；新增代码单测分支覆盖≥85%；线程安全/所有权明确；关闭 feature flag 时行为与 baseline 一致。</x:v>
      </x:c>
      <x:c r="R131" s="22" t="str">
        <x:v>ctest -R MULFABRIC --output-on-failure</x:v>
      </x:c>
      <x:c r="S131" s="22" t="str">
        <x:v>探索直接视图(direct view)、硬件多播及硬件原子页迁移等远期能力，避免 TPOT 被直接视图意外拖慢，不强求 &lt;500ns 等极端指标。</x:v>
      </x:c>
      <x:c r="T131" s="22" t="str">
        <x:v>SR-01-06-04</x:v>
      </x:c>
      <x:c r="U131" s="22" t="str">
        <x:v>待认领</x:v>
      </x:c>
      <x:c r="V131" s="22" t="str"/>
      <x:c r="W131" s="22" t="str"/>
      <x:c r="X131" s="22" t="str">
        <x:f>IF(COUNTIF($A$5:$A$451,A131)=1,"PASS","FAIL")</x:f>
        <x:v>PASS</x:v>
      </x:c>
      <x:c r="Y131" s="22" t="str">
        <x:f>IF(COUNTIF('SR系统设计'!$A$5:$A$153,B131)+COUNTIF('追溯与覆盖'!$A$5:$A$153,C131)=2,"PASS","FAIL")</x:f>
        <x:v>PASS</x:v>
      </x:c>
    </x:row>
    <x:row r="132" ht="84" customHeight="1">
      <x:c r="A132" s="25" t="str">
        <x:v>AR-L4-RDMA-MUL-FABRIC-002-02</x:v>
      </x:c>
      <x:c r="B132" s="25" t="str">
        <x:v>SR-01-06-04</x:v>
      </x:c>
      <x:c r="C132" s="25" t="str">
        <x:v>L4-RDMA-MUL-FABRIC-002</x:v>
      </x:c>
      <x:c r="D132" s="25" t="str">
        <x:v>SF-01</x:v>
      </x:c>
      <x:c r="E132" s="25" t="str">
        <x:v>IR-01-06</x:v>
      </x:c>
      <x:c r="F132" s="22" t="str">
        <x:v>L4 底层传输层</x:v>
      </x:c>
      <x:c r="G132" s="22" t="str">
        <x:v>TM4</x:v>
      </x:c>
      <x:c r="H132" s="22" t="str">
        <x:v>RDMA与零拷贝传输</x:v>
      </x:c>
      <x:c r="I132" s="22" t="str">
        <x:v>P3</x:v>
      </x:c>
      <x:c r="J132" s="22" t="str">
        <x:v>P3</x:v>
      </x:c>
      <x:c r="K132" s="22" t="str">
        <x:v>契约配置与降级</x:v>
      </x:c>
      <x:c r="L132" s="22" t="str">
        <x:v>驱动/硬件协同开发</x:v>
      </x:c>
      <x:c r="M132" s="22" t="str">
        <x:v>cmake/KVCacheBackends.cmake + config/backends/mul_fabric.yaml + src/backends/backend_registry.cc</x:v>
      </x:c>
      <x:c r="N132" s="22" t="str">
        <x:v>KVCACHE_ENABLE_MUL_FABRIC / kvcache.mul_fabric.enabled</x:v>
      </x:c>
      <x:c r="O132" s="22" t="str">
        <x:v>增加编译开关 `KVCACHE_ENABLE_MUL_FABRIC`、运行时开关 `kvcache.mul_fabric.enabled` 与 BackendRegistry 注册项；冻结 capability、descriptor、completion/fence、error mapping 与 per-path telemetry 字段，并实现“主路径→备路径→重算/冷路径”的有界 fallback。</x:v>
      </x:c>
      <x:c r="P132" s="22" t="str">
        <x:v>IDL/配置 schema 有版本号、默认值、边界校验和错误码；状态/租约/ready 不满足时按 注册失败、CQ超时或链路错误按策略切备用副本/URMA/TCP冷路径/重算</x:v>
      </x:c>
      <x:c r="Q132" s="22" t="str">
        <x:v>配置样例、schema 校验、升级兼容测试和回退路径齐全；任何隐式 fallback 被移除；新增指标可关联 request_id/query_plan_id/object_id/path_id。</x:v>
      </x:c>
      <x:c r="R132" s="22" t="str">
        <x:v>ctest -R MULFABRICConfig &amp;&amp; ./bin/kvcache_config_check --case=mul_fabric</x:v>
      </x:c>
      <x:c r="S132" s="22" t="str">
        <x:v>探索直接视图(direct view)、硬件多播及硬件原子页迁移等远期能力，避免 TPOT 被直接视图意外拖慢，不强求 &lt;500ns 等极端指标。</x:v>
      </x:c>
      <x:c r="T132" s="22" t="str">
        <x:v>SR-01-06-04</x:v>
      </x:c>
      <x:c r="U132" s="22" t="str">
        <x:v>待认领</x:v>
      </x:c>
      <x:c r="V132" s="22" t="str"/>
      <x:c r="W132" s="22" t="str"/>
      <x:c r="X132" s="22" t="str">
        <x:f>IF(COUNTIF($A$5:$A$451,A132)=1,"PASS","FAIL")</x:f>
        <x:v>PASS</x:v>
      </x:c>
      <x:c r="Y132" s="22" t="str">
        <x:f>IF(COUNTIF('SR系统设计'!$A$5:$A$153,B132)+COUNTIF('追溯与覆盖'!$A$5:$A$153,C132)=2,"PASS","FAIL")</x:f>
        <x:v>PASS</x:v>
      </x:c>
    </x:row>
    <x:row r="133" ht="84" customHeight="1">
      <x:c r="A133" s="25" t="str">
        <x:v>AR-L4-RDMA-MUL-FABRIC-002-03</x:v>
      </x:c>
      <x:c r="B133" s="25" t="str">
        <x:v>SR-01-06-04</x:v>
      </x:c>
      <x:c r="C133" s="25" t="str">
        <x:v>L4-RDMA-MUL-FABRIC-002</x:v>
      </x:c>
      <x:c r="D133" s="25" t="str">
        <x:v>SF-01</x:v>
      </x:c>
      <x:c r="E133" s="25" t="str">
        <x:v>IR-01-06</x:v>
      </x:c>
      <x:c r="F133" s="22" t="str">
        <x:v>L4 底层传输层</x:v>
      </x:c>
      <x:c r="G133" s="22" t="str">
        <x:v>TM4</x:v>
      </x:c>
      <x:c r="H133" s="22" t="str">
        <x:v>RDMA与零拷贝传输</x:v>
      </x:c>
      <x:c r="I133" s="22" t="str">
        <x:v>P3</x:v>
      </x:c>
      <x:c r="J133" s="22" t="str">
        <x:v>P3</x:v>
      </x:c>
      <x:c r="K133" s="22" t="str">
        <x:v>验证与观测</x:v>
      </x:c>
      <x:c r="L133" s="22" t="str">
        <x:v>驱动/硬件协同开发</x:v>
      </x:c>
      <x:c r="M133" s="22" t="str">
        <x:v>tests/backends/rdma/mul_fabric_test.cc + benchmarks/backends/rdma/mul_fabric_benchmark.cc</x:v>
      </x:c>
      <x:c r="N133" s="22" t="str">
        <x:v>MULFABRICTest / MULFABRICBenchmark</x:v>
      </x:c>
      <x:c r="O133" s="22" t="str">
        <x:v>新增正常、边界、并发、超时、stale metadata、迁移冲突、路径拥塞/故障与 feature-flag-off 用例；在 benchmark 中固定模型、tokenizer、prompt、并发、拓扑和 baseline，采集 lookup/load/attach、TTFT、TPOT、usable/abandoned hit、带宽/时延及 CPU/NPU 利用率。</x:v>
      </x:c>
      <x:c r="P133"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33" s="22" t="str">
        <x:v>来源验收项全部自动化；性能报告包含 P50/P95/P99、置信区间与 baseline；失败门槛接入 CI；测试数据和命令可复现。</x:v>
      </x:c>
      <x:c r="R133" s="22" t="str">
        <x:v>./bin/kvcache_bench --case=mul_fabric --baseline=native --report=json</x:v>
      </x:c>
      <x:c r="S133" s="22" t="str">
        <x:v>探索直接视图(direct view)、硬件多播及硬件原子页迁移等远期能力，避免 TPOT 被直接视图意外拖慢，不强求 &lt;500ns 等极端指标。</x:v>
      </x:c>
      <x:c r="T133" s="22" t="str">
        <x:v>SR-01-06-04</x:v>
      </x:c>
      <x:c r="U133" s="22" t="str">
        <x:v>待认领</x:v>
      </x:c>
      <x:c r="V133" s="22" t="str"/>
      <x:c r="W133" s="22" t="str"/>
      <x:c r="X133" s="22" t="str">
        <x:f>IF(COUNTIF($A$5:$A$451,A133)=1,"PASS","FAIL")</x:f>
        <x:v>PASS</x:v>
      </x:c>
      <x:c r="Y133" s="22" t="str">
        <x:f>IF(COUNTIF('SR系统设计'!$A$5:$A$153,B133)+COUNTIF('追溯与覆盖'!$A$5:$A$153,C133)=2,"PASS","FAIL")</x:f>
        <x:v>PASS</x:v>
      </x:c>
    </x:row>
    <x:row r="134" ht="84" customHeight="1">
      <x:c r="A134" s="25" t="str">
        <x:v>AR-L4-UB-DirectViewGuard-072-01</x:v>
      </x:c>
      <x:c r="B134" s="25" t="str">
        <x:v>SR-01-07-01</x:v>
      </x:c>
      <x:c r="C134" s="25" t="str">
        <x:v>L4-UB-DirectViewGuard-072</x:v>
      </x:c>
      <x:c r="D134" s="25" t="str">
        <x:v>SF-01</x:v>
      </x:c>
      <x:c r="E134" s="25" t="str">
        <x:v>IR-01-07</x:v>
      </x:c>
      <x:c r="F134" s="22" t="str">
        <x:v>L4 底层传输层</x:v>
      </x:c>
      <x:c r="G134" s="22" t="str">
        <x:v>TM3</x:v>
      </x:c>
      <x:c r="H134" s="22" t="str">
        <x:v>统一内存与内存语义访问</x:v>
      </x:c>
      <x:c r="I134" s="22" t="str">
        <x:v>P0</x:v>
      </x:c>
      <x:c r="J134" s="22" t="str">
        <x:v>P0</x:v>
      </x:c>
      <x:c r="K134" s="22" t="str">
        <x:v>核心实现</x:v>
      </x:c>
      <x:c r="L134" s="22" t="str">
        <x:v>驱动/硬件协同开发</x:v>
      </x:c>
      <x:c r="M134" s="22" t="str">
        <x:v>src/backends/ubmem/direct_view_guard.{h,cc}</x:v>
      </x:c>
      <x:c r="N134" s="22" t="str">
        <x:v>DirectViewGuardProvider</x:v>
      </x:c>
      <x:c r="O134" s="22" t="str">
        <x:v>在 `src/backends/ubmem/direct_view_guard.{h,cc}` 新增或重写 `DirectViewGuardProvider`，把“近端/远端 memory view 安全消费”落实为 L4 底层传输层 可调用主路径：本需求要求 UB/C2C direct view 路径提供 view guard，支持 read-only mapping、lease-bound mapping、revocation、fault report 和 remote access counter； 输入必须显式消费 memory region + access mode hint + lease，输出 ViewHandle/CopyPlan + visibility evidence，不得用全局单例或隐藏同步 I/O 绕开预算与状态机。</x:v>
      </x:c>
      <x:c r="P134" s="22" t="str">
        <x:v>实现 memory region + access mode hint + lease → ViewHandle/CopyPlan + visibility evidence；遵守 能力不满足、租约失效或远端 stall 超阈值时撤销 view 并 copy-to-HBM/recompute</x:v>
      </x:c>
      <x:c r="Q134" s="22" t="str">
        <x:v>核心算法与状态转换完成；新增代码单测分支覆盖≥85%；线程安全/所有权明确；关闭 feature flag 时行为与 baseline 一致。</x:v>
      </x:c>
      <x:c r="R134" s="22" t="str">
        <x:v>ctest -R DirectViewGuard --output-on-failure</x:v>
      </x:c>
      <x:c r="S134" s="22" t="str">
        <x:v>高拥塞背景下，KVCache关键小包的P99延迟不随大流数据量线性增加。</x:v>
      </x:c>
      <x:c r="T134" s="22" t="str">
        <x:v>SR-01-07-01</x:v>
      </x:c>
      <x:c r="U134" s="22" t="str">
        <x:v>待认领</x:v>
      </x:c>
      <x:c r="V134" s="22" t="str"/>
      <x:c r="W134" s="22" t="str"/>
      <x:c r="X134" s="22" t="str">
        <x:f>IF(COUNTIF($A$5:$A$451,A134)=1,"PASS","FAIL")</x:f>
        <x:v>PASS</x:v>
      </x:c>
      <x:c r="Y134" s="22" t="str">
        <x:f>IF(COUNTIF('SR系统设计'!$A$5:$A$153,B134)+COUNTIF('追溯与覆盖'!$A$5:$A$153,C134)=2,"PASS","FAIL")</x:f>
        <x:v>PASS</x:v>
      </x:c>
    </x:row>
    <x:row r="135" ht="84" customHeight="1">
      <x:c r="A135" s="25" t="str">
        <x:v>AR-L4-UB-DirectViewGuard-072-02</x:v>
      </x:c>
      <x:c r="B135" s="25" t="str">
        <x:v>SR-01-07-01</x:v>
      </x:c>
      <x:c r="C135" s="25" t="str">
        <x:v>L4-UB-DirectViewGuard-072</x:v>
      </x:c>
      <x:c r="D135" s="25" t="str">
        <x:v>SF-01</x:v>
      </x:c>
      <x:c r="E135" s="25" t="str">
        <x:v>IR-01-07</x:v>
      </x:c>
      <x:c r="F135" s="22" t="str">
        <x:v>L4 底层传输层</x:v>
      </x:c>
      <x:c r="G135" s="22" t="str">
        <x:v>TM3</x:v>
      </x:c>
      <x:c r="H135" s="22" t="str">
        <x:v>统一内存与内存语义访问</x:v>
      </x:c>
      <x:c r="I135" s="22" t="str">
        <x:v>P0</x:v>
      </x:c>
      <x:c r="J135" s="22" t="str">
        <x:v>P0</x:v>
      </x:c>
      <x:c r="K135" s="22" t="str">
        <x:v>契约配置与降级</x:v>
      </x:c>
      <x:c r="L135" s="22" t="str">
        <x:v>驱动/硬件协同开发</x:v>
      </x:c>
      <x:c r="M135" s="22" t="str">
        <x:v>cmake/KVCacheBackends.cmake + config/backends/direct_view_guard.yaml + src/backends/backend_registry.cc</x:v>
      </x:c>
      <x:c r="N135" s="22" t="str">
        <x:v>KVCACHE_ENABLE_DIRECT_VIEW_GUARD / kvcache.direct_view_guard.enabled</x:v>
      </x:c>
      <x:c r="O135" s="22" t="str">
        <x:v>增加编译开关 `KVCACHE_ENABLE_DIRECT_VIEW_GUARD`、运行时开关 `kvcache.direct_view_guard.enabled` 与 BackendRegistry 注册项；冻结 capability、descriptor、completion/fence、error mapping 与 per-path telemetry 字段，并实现“主路径→备路径→重算/冷路径”的有界 fallback。</x:v>
      </x:c>
      <x:c r="P135" s="22" t="str">
        <x:v>IDL/配置 schema 有版本号、默认值、边界校验和错误码；状态/租约/ready 不满足时按 能力不满足、租约失效或远端 stall 超阈值时撤销 view 并 copy-to-HBM/recompute</x:v>
      </x:c>
      <x:c r="Q135" s="22" t="str">
        <x:v>配置样例、schema 校验、升级兼容测试和回退路径齐全；任何隐式 fallback 被移除；新增指标可关联 request_id/query_plan_id/object_id/path_id。</x:v>
      </x:c>
      <x:c r="R135" s="22" t="str">
        <x:v>ctest -R DirectViewGuardConfig &amp;&amp; ./bin/kvcache_config_check --case=direct_view_guard</x:v>
      </x:c>
      <x:c r="S135" s="22" t="str">
        <x:v>高拥塞背景下，KVCache关键小包的P99延迟不随大流数据量线性增加。</x:v>
      </x:c>
      <x:c r="T135" s="22" t="str">
        <x:v>SR-01-07-01</x:v>
      </x:c>
      <x:c r="U135" s="22" t="str">
        <x:v>待认领</x:v>
      </x:c>
      <x:c r="V135" s="22" t="str"/>
      <x:c r="W135" s="22" t="str"/>
      <x:c r="X135" s="22" t="str">
        <x:f>IF(COUNTIF($A$5:$A$451,A135)=1,"PASS","FAIL")</x:f>
        <x:v>PASS</x:v>
      </x:c>
      <x:c r="Y135" s="22" t="str">
        <x:f>IF(COUNTIF('SR系统设计'!$A$5:$A$153,B135)+COUNTIF('追溯与覆盖'!$A$5:$A$153,C135)=2,"PASS","FAIL")</x:f>
        <x:v>PASS</x:v>
      </x:c>
    </x:row>
    <x:row r="136" ht="84" customHeight="1">
      <x:c r="A136" s="25" t="str">
        <x:v>AR-L4-UB-DirectViewGuard-072-03</x:v>
      </x:c>
      <x:c r="B136" s="25" t="str">
        <x:v>SR-01-07-01</x:v>
      </x:c>
      <x:c r="C136" s="25" t="str">
        <x:v>L4-UB-DirectViewGuard-072</x:v>
      </x:c>
      <x:c r="D136" s="25" t="str">
        <x:v>SF-01</x:v>
      </x:c>
      <x:c r="E136" s="25" t="str">
        <x:v>IR-01-07</x:v>
      </x:c>
      <x:c r="F136" s="22" t="str">
        <x:v>L4 底层传输层</x:v>
      </x:c>
      <x:c r="G136" s="22" t="str">
        <x:v>TM3</x:v>
      </x:c>
      <x:c r="H136" s="22" t="str">
        <x:v>统一内存与内存语义访问</x:v>
      </x:c>
      <x:c r="I136" s="22" t="str">
        <x:v>P0</x:v>
      </x:c>
      <x:c r="J136" s="22" t="str">
        <x:v>P0</x:v>
      </x:c>
      <x:c r="K136" s="22" t="str">
        <x:v>验证与观测</x:v>
      </x:c>
      <x:c r="L136" s="22" t="str">
        <x:v>驱动/硬件协同开发</x:v>
      </x:c>
      <x:c r="M136" s="22" t="str">
        <x:v>tests/backends/ubmem/direct_view_guard_test.cc + benchmarks/backends/ubmem/direct_view_guard_benchmark.cc</x:v>
      </x:c>
      <x:c r="N136" s="22" t="str">
        <x:v>DirectViewGuardTest / DirectViewGuardBenchmark</x:v>
      </x:c>
      <x:c r="O136" s="22" t="str">
        <x:v>新增正常、边界、并发、超时、stale metadata、迁移冲突、路径拥塞/故障与 feature-flag-off 用例；在 benchmark 中固定模型、tokenizer、prompt、并发、拓扑和 baseline，采集 lookup/load/attach、TTFT、TPOT、usable/abandoned hit、带宽/时延及 CPU/NPU 利用率。</x:v>
      </x:c>
      <x:c r="P136" s="22" t="str">
        <x:v>验收直接引用来源指标：“高拥塞背景下，KVCache关键小包的P99延迟不随大流数据量线性增加。”；故障用例必须证明错误 KV 不被消费且 fallback reason 可追踪。</x:v>
      </x:c>
      <x:c r="Q136" s="22" t="str">
        <x:v>来源验收项全部自动化；性能报告包含 P50/P95/P99、置信区间与 baseline；失败门槛接入 CI；测试数据和命令可复现。</x:v>
      </x:c>
      <x:c r="R136" s="22" t="str">
        <x:v>./bin/kvcache_bench --case=direct_view_guard --baseline=native --report=json</x:v>
      </x:c>
      <x:c r="S136" s="22" t="str">
        <x:v>高拥塞背景下，KVCache关键小包的P99延迟不随大流数据量线性增加。</x:v>
      </x:c>
      <x:c r="T136" s="22" t="str">
        <x:v>SR-01-07-01</x:v>
      </x:c>
      <x:c r="U136" s="22" t="str">
        <x:v>待认领</x:v>
      </x:c>
      <x:c r="V136" s="22" t="str"/>
      <x:c r="W136" s="22" t="str"/>
      <x:c r="X136" s="22" t="str">
        <x:f>IF(COUNTIF($A$5:$A$451,A136)=1,"PASS","FAIL")</x:f>
        <x:v>PASS</x:v>
      </x:c>
      <x:c r="Y136" s="22" t="str">
        <x:f>IF(COUNTIF('SR系统设计'!$A$5:$A$153,B136)+COUNTIF('追溯与覆盖'!$A$5:$A$153,C136)=2,"PASS","FAIL")</x:f>
        <x:v>PASS</x:v>
      </x:c>
    </x:row>
    <x:row r="137" ht="84" customHeight="1">
      <x:c r="A137" s="25" t="str">
        <x:v>AR-L4-C2C-UNIFY-POOL-001-01</x:v>
      </x:c>
      <x:c r="B137" s="25" t="str">
        <x:v>SR-01-07-02</x:v>
      </x:c>
      <x:c r="C137" s="25" t="str">
        <x:v>L4-C2C-UNIFY-POOL-001</x:v>
      </x:c>
      <x:c r="D137" s="25" t="str">
        <x:v>SF-01</x:v>
      </x:c>
      <x:c r="E137" s="25" t="str">
        <x:v>IR-01-07</x:v>
      </x:c>
      <x:c r="F137" s="22" t="str">
        <x:v>L4 底层传输层</x:v>
      </x:c>
      <x:c r="G137" s="22" t="str">
        <x:v>TM3</x:v>
      </x:c>
      <x:c r="H137" s="22" t="str">
        <x:v>统一内存与内存语义访问</x:v>
      </x:c>
      <x:c r="I137" s="22" t="str">
        <x:v>P1</x:v>
      </x:c>
      <x:c r="J137" s="22" t="str">
        <x:v>P1</x:v>
      </x:c>
      <x:c r="K137" s="22" t="str">
        <x:v>核心实现</x:v>
      </x:c>
      <x:c r="L137" s="22" t="str">
        <x:v>驱动/硬件协同开发</x:v>
      </x:c>
      <x:c r="M137" s="22" t="str">
        <x:v>src/backends/ubmem/unify_pool.{h,cc}</x:v>
      </x:c>
      <x:c r="N137" s="22" t="str">
        <x:v>UNIFYPOOLProvider</x:v>
      </x:c>
      <x:c r="O137" s="22" t="str">
        <x:v>在 `src/backends/ubmem/unify_pool.{h,cc}` 新增或重写 `UNIFYPOOLProvider`，把“CPU/NPU统一内存池”落实为 L4 底层传输层 可调用主路径：本需求要求在Kunpeng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 输入必须显式消费 memory region + access mode hint + lease，输出 ViewHandle/CopyPlan + visibility evidence，不得用全局单例或隐藏同步 I/O 绕开预算与状态机。</x:v>
      </x:c>
      <x:c r="P137" s="22" t="str">
        <x:v>实现 memory region + access mode hint + lease → ViewHandle/CopyPlan + visibility evidence；遵守 能力不满足、租约失效或远端 stall 超阈值时撤销 view 并 copy-to-HBM/recompute</x:v>
      </x:c>
      <x:c r="Q137" s="22" t="str">
        <x:v>核心算法与状态转换完成；新增代码单测分支覆盖≥85%；线程安全/所有权明确；关闭 feature flag 时行为与 baseline 一致。</x:v>
      </x:c>
      <x:c r="R137" s="22" t="str">
        <x:v>ctest -R UNIFYPOOL --output-on-failure</x:v>
      </x:c>
      <x:c r="S137" s="22" t="str">
        <x:v>高拥塞背景下，KVCache关键小包的P99延迟不随大流数据量线性增加。</x:v>
      </x:c>
      <x:c r="T137" s="22" t="str">
        <x:v>SR-01-07-02</x:v>
      </x:c>
      <x:c r="U137" s="22" t="str">
        <x:v>待认领</x:v>
      </x:c>
      <x:c r="V137" s="22" t="str"/>
      <x:c r="W137" s="22" t="str"/>
      <x:c r="X137" s="22" t="str">
        <x:f>IF(COUNTIF($A$5:$A$451,A137)=1,"PASS","FAIL")</x:f>
        <x:v>PASS</x:v>
      </x:c>
      <x:c r="Y137" s="22" t="str">
        <x:f>IF(COUNTIF('SR系统设计'!$A$5:$A$153,B137)+COUNTIF('追溯与覆盖'!$A$5:$A$153,C137)=2,"PASS","FAIL")</x:f>
        <x:v>PASS</x:v>
      </x:c>
    </x:row>
    <x:row r="138" ht="84" customHeight="1">
      <x:c r="A138" s="25" t="str">
        <x:v>AR-L4-C2C-UNIFY-POOL-001-02</x:v>
      </x:c>
      <x:c r="B138" s="25" t="str">
        <x:v>SR-01-07-02</x:v>
      </x:c>
      <x:c r="C138" s="25" t="str">
        <x:v>L4-C2C-UNIFY-POOL-001</x:v>
      </x:c>
      <x:c r="D138" s="25" t="str">
        <x:v>SF-01</x:v>
      </x:c>
      <x:c r="E138" s="25" t="str">
        <x:v>IR-01-07</x:v>
      </x:c>
      <x:c r="F138" s="22" t="str">
        <x:v>L4 底层传输层</x:v>
      </x:c>
      <x:c r="G138" s="22" t="str">
        <x:v>TM3</x:v>
      </x:c>
      <x:c r="H138" s="22" t="str">
        <x:v>统一内存与内存语义访问</x:v>
      </x:c>
      <x:c r="I138" s="22" t="str">
        <x:v>P1</x:v>
      </x:c>
      <x:c r="J138" s="22" t="str">
        <x:v>P1</x:v>
      </x:c>
      <x:c r="K138" s="22" t="str">
        <x:v>契约配置与降级</x:v>
      </x:c>
      <x:c r="L138" s="22" t="str">
        <x:v>驱动/硬件协同开发</x:v>
      </x:c>
      <x:c r="M138" s="22" t="str">
        <x:v>cmake/KVCacheBackends.cmake + config/backends/unify_pool.yaml + src/backends/backend_registry.cc</x:v>
      </x:c>
      <x:c r="N138" s="22" t="str">
        <x:v>KVCACHE_ENABLE_UNIFY_POOL / kvcache.unify_pool.enabled</x:v>
      </x:c>
      <x:c r="O138" s="22" t="str">
        <x:v>增加编译开关 `KVCACHE_ENABLE_UNIFY_POOL`、运行时开关 `kvcache.unify_pool.enabled` 与 BackendRegistry 注册项；冻结 capability、descriptor、completion/fence、error mapping 与 per-path telemetry 字段，并实现“主路径→备路径→重算/冷路径”的有界 fallback。</x:v>
      </x:c>
      <x:c r="P138" s="22" t="str">
        <x:v>IDL/配置 schema 有版本号、默认值、边界校验和错误码；状态/租约/ready 不满足时按 能力不满足、租约失效或远端 stall 超阈值时撤销 view 并 copy-to-HBM/recompute</x:v>
      </x:c>
      <x:c r="Q138" s="22" t="str">
        <x:v>配置样例、schema 校验、升级兼容测试和回退路径齐全；任何隐式 fallback 被移除；新增指标可关联 request_id/query_plan_id/object_id/path_id。</x:v>
      </x:c>
      <x:c r="R138" s="22" t="str">
        <x:v>ctest -R UNIFYPOOLConfig &amp;&amp; ./bin/kvcache_config_check --case=unify_pool</x:v>
      </x:c>
      <x:c r="S138" s="22" t="str">
        <x:v>高拥塞背景下，KVCache关键小包的P99延迟不随大流数据量线性增加。</x:v>
      </x:c>
      <x:c r="T138" s="22" t="str">
        <x:v>SR-01-07-02</x:v>
      </x:c>
      <x:c r="U138" s="22" t="str">
        <x:v>待认领</x:v>
      </x:c>
      <x:c r="V138" s="22" t="str"/>
      <x:c r="W138" s="22" t="str"/>
      <x:c r="X138" s="22" t="str">
        <x:f>IF(COUNTIF($A$5:$A$451,A138)=1,"PASS","FAIL")</x:f>
        <x:v>PASS</x:v>
      </x:c>
      <x:c r="Y138" s="22" t="str">
        <x:f>IF(COUNTIF('SR系统设计'!$A$5:$A$153,B138)+COUNTIF('追溯与覆盖'!$A$5:$A$153,C138)=2,"PASS","FAIL")</x:f>
        <x:v>PASS</x:v>
      </x:c>
    </x:row>
    <x:row r="139" ht="84" customHeight="1">
      <x:c r="A139" s="25" t="str">
        <x:v>AR-L4-C2C-UNIFY-POOL-001-03</x:v>
      </x:c>
      <x:c r="B139" s="25" t="str">
        <x:v>SR-01-07-02</x:v>
      </x:c>
      <x:c r="C139" s="25" t="str">
        <x:v>L4-C2C-UNIFY-POOL-001</x:v>
      </x:c>
      <x:c r="D139" s="25" t="str">
        <x:v>SF-01</x:v>
      </x:c>
      <x:c r="E139" s="25" t="str">
        <x:v>IR-01-07</x:v>
      </x:c>
      <x:c r="F139" s="22" t="str">
        <x:v>L4 底层传输层</x:v>
      </x:c>
      <x:c r="G139" s="22" t="str">
        <x:v>TM3</x:v>
      </x:c>
      <x:c r="H139" s="22" t="str">
        <x:v>统一内存与内存语义访问</x:v>
      </x:c>
      <x:c r="I139" s="22" t="str">
        <x:v>P1</x:v>
      </x:c>
      <x:c r="J139" s="22" t="str">
        <x:v>P1</x:v>
      </x:c>
      <x:c r="K139" s="22" t="str">
        <x:v>验证与观测</x:v>
      </x:c>
      <x:c r="L139" s="22" t="str">
        <x:v>驱动/硬件协同开发</x:v>
      </x:c>
      <x:c r="M139" s="22" t="str">
        <x:v>tests/backends/ubmem/unify_pool_test.cc + benchmarks/backends/ubmem/unify_pool_benchmark.cc</x:v>
      </x:c>
      <x:c r="N139" s="22" t="str">
        <x:v>UNIFYPOOLTest / UNIFYPOOLBenchmark</x:v>
      </x:c>
      <x:c r="O139" s="22" t="str">
        <x:v>新增正常、边界、并发、超时、stale metadata、迁移冲突、路径拥塞/故障与 feature-flag-off 用例；在 benchmark 中固定模型、tokenizer、prompt、并发、拓扑和 baseline，采集 lookup/load/attach、TTFT、TPOT、usable/abandoned hit、带宽/时延及 CPU/NPU 利用率。</x:v>
      </x:c>
      <x:c r="P139" s="22" t="str">
        <x:v>验收直接引用来源指标：“高拥塞背景下，KVCache关键小包的P99延迟不随大流数据量线性增加。”；故障用例必须证明错误 KV 不被消费且 fallback reason 可追踪。</x:v>
      </x:c>
      <x:c r="Q139" s="22" t="str">
        <x:v>来源验收项全部自动化；性能报告包含 P50/P95/P99、置信区间与 baseline；失败门槛接入 CI；测试数据和命令可复现。</x:v>
      </x:c>
      <x:c r="R139" s="22" t="str">
        <x:v>./bin/kvcache_bench --case=unify_pool --baseline=native --report=json</x:v>
      </x:c>
      <x:c r="S139" s="22" t="str">
        <x:v>高拥塞背景下，KVCache关键小包的P99延迟不随大流数据量线性增加。</x:v>
      </x:c>
      <x:c r="T139" s="22" t="str">
        <x:v>SR-01-07-02</x:v>
      </x:c>
      <x:c r="U139" s="22" t="str">
        <x:v>待认领</x:v>
      </x:c>
      <x:c r="V139" s="22" t="str"/>
      <x:c r="W139" s="22" t="str"/>
      <x:c r="X139" s="22" t="str">
        <x:f>IF(COUNTIF($A$5:$A$451,A139)=1,"PASS","FAIL")</x:f>
        <x:v>PASS</x:v>
      </x:c>
      <x:c r="Y139" s="22" t="str">
        <x:f>IF(COUNTIF('SR系统设计'!$A$5:$A$153,B139)+COUNTIF('追溯与覆盖'!$A$5:$A$153,C139)=2,"PASS","FAIL")</x:f>
        <x:v>PASS</x:v>
      </x:c>
    </x:row>
    <x:row r="140" ht="84" customHeight="1">
      <x:c r="A140" s="25" t="str">
        <x:v>AR-L4-UB-C2C-UNIFY-002-01</x:v>
      </x:c>
      <x:c r="B140" s="25" t="str">
        <x:v>SR-01-07-03</x:v>
      </x:c>
      <x:c r="C140" s="25" t="str">
        <x:v>L4-UB-C2C-UNIFY-002</x:v>
      </x:c>
      <x:c r="D140" s="25" t="str">
        <x:v>SF-01</x:v>
      </x:c>
      <x:c r="E140" s="25" t="str">
        <x:v>IR-01-07</x:v>
      </x:c>
      <x:c r="F140" s="22" t="str">
        <x:v>L4 底层传输层</x:v>
      </x:c>
      <x:c r="G140" s="22" t="str">
        <x:v>TM3</x:v>
      </x:c>
      <x:c r="H140" s="22" t="str">
        <x:v>统一内存与内存语义访问</x:v>
      </x:c>
      <x:c r="I140" s="22" t="str">
        <x:v>P3</x:v>
      </x:c>
      <x:c r="J140" s="22" t="str">
        <x:v>P3</x:v>
      </x:c>
      <x:c r="K140" s="22" t="str">
        <x:v>核心实现</x:v>
      </x:c>
      <x:c r="L140" s="22" t="str">
        <x:v>驱动/硬件协同开发</x:v>
      </x:c>
      <x:c r="M140" s="22" t="str">
        <x:v>src/backends/ubmem/c2_c_unify.{h,cc}</x:v>
      </x:c>
      <x:c r="N140" s="22" t="str">
        <x:v>C2CUNIFYProvider</x:v>
      </x:c>
      <x:c r="O140" s="22" t="str">
        <x:v>在 `src/backends/ubmem/c2_c_unify.{h,cc}` 新增或重写 `C2CUNIFYProvider`，把“内存语义零拷贝KV访问”落实为 L4 底层传输层 可调用主路径：本需求要求在支持UBLink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 输入必须显式消费 memory region + access mode hint + lease，输出 ViewHandle/CopyPlan + visibility evidence，不得用全局单例或隐藏同步 I/O 绕开预算与状态机。</x:v>
      </x:c>
      <x:c r="P140" s="22" t="str">
        <x:v>实现 memory region + access mode hint + lease → ViewHandle/CopyPlan + visibility evidence；遵守 能力不满足、租约失效或远端 stall 超阈值时撤销 view 并 copy-to-HBM/recompute</x:v>
      </x:c>
      <x:c r="Q140" s="22" t="str">
        <x:v>核心算法与状态转换完成；新增代码单测分支覆盖≥85%；线程安全/所有权明确；关闭 feature flag 时行为与 baseline 一致。</x:v>
      </x:c>
      <x:c r="R140" s="22" t="str">
        <x:v>ctest -R C2CUNIFY --output-on-failure</x:v>
      </x:c>
      <x:c r="S140" s="22" t="str">
        <x:v>探索直接视图(direct view)、硬件多播及硬件原子页迁移等远期能力，避免 TPOT 被直接视图意外拖慢，不强求 &lt;500ns 等极端指标。</x:v>
      </x:c>
      <x:c r="T140" s="22" t="str">
        <x:v>SR-01-07-03</x:v>
      </x:c>
      <x:c r="U140" s="22" t="str">
        <x:v>待认领</x:v>
      </x:c>
      <x:c r="V140" s="22" t="str"/>
      <x:c r="W140" s="22" t="str"/>
      <x:c r="X140" s="22" t="str">
        <x:f>IF(COUNTIF($A$5:$A$451,A140)=1,"PASS","FAIL")</x:f>
        <x:v>PASS</x:v>
      </x:c>
      <x:c r="Y140" s="22" t="str">
        <x:f>IF(COUNTIF('SR系统设计'!$A$5:$A$153,B140)+COUNTIF('追溯与覆盖'!$A$5:$A$153,C140)=2,"PASS","FAIL")</x:f>
        <x:v>PASS</x:v>
      </x:c>
    </x:row>
    <x:row r="141" ht="84" customHeight="1">
      <x:c r="A141" s="25" t="str">
        <x:v>AR-L4-UB-C2C-UNIFY-002-02</x:v>
      </x:c>
      <x:c r="B141" s="25" t="str">
        <x:v>SR-01-07-03</x:v>
      </x:c>
      <x:c r="C141" s="25" t="str">
        <x:v>L4-UB-C2C-UNIFY-002</x:v>
      </x:c>
      <x:c r="D141" s="25" t="str">
        <x:v>SF-01</x:v>
      </x:c>
      <x:c r="E141" s="25" t="str">
        <x:v>IR-01-07</x:v>
      </x:c>
      <x:c r="F141" s="22" t="str">
        <x:v>L4 底层传输层</x:v>
      </x:c>
      <x:c r="G141" s="22" t="str">
        <x:v>TM3</x:v>
      </x:c>
      <x:c r="H141" s="22" t="str">
        <x:v>统一内存与内存语义访问</x:v>
      </x:c>
      <x:c r="I141" s="22" t="str">
        <x:v>P3</x:v>
      </x:c>
      <x:c r="J141" s="22" t="str">
        <x:v>P3</x:v>
      </x:c>
      <x:c r="K141" s="22" t="str">
        <x:v>契约配置与降级</x:v>
      </x:c>
      <x:c r="L141" s="22" t="str">
        <x:v>驱动/硬件协同开发</x:v>
      </x:c>
      <x:c r="M141" s="22" t="str">
        <x:v>cmake/KVCacheBackends.cmake + config/backends/c2_c_unify.yaml + src/backends/backend_registry.cc</x:v>
      </x:c>
      <x:c r="N141" s="22" t="str">
        <x:v>KVCACHE_ENABLE_C2_C_UNIFY / kvcache.c2_c_unify.enabled</x:v>
      </x:c>
      <x:c r="O141" s="22" t="str">
        <x:v>增加编译开关 `KVCACHE_ENABLE_C2_C_UNIFY`、运行时开关 `kvcache.c2_c_unify.enabled` 与 BackendRegistry 注册项；冻结 capability、descriptor、completion/fence、error mapping 与 per-path telemetry 字段，并实现“主路径→备路径→重算/冷路径”的有界 fallback。</x:v>
      </x:c>
      <x:c r="P141" s="22" t="str">
        <x:v>IDL/配置 schema 有版本号、默认值、边界校验和错误码；状态/租约/ready 不满足时按 能力不满足、租约失效或远端 stall 超阈值时撤销 view 并 copy-to-HBM/recompute</x:v>
      </x:c>
      <x:c r="Q141" s="22" t="str">
        <x:v>配置样例、schema 校验、升级兼容测试和回退路径齐全；任何隐式 fallback 被移除；新增指标可关联 request_id/query_plan_id/object_id/path_id。</x:v>
      </x:c>
      <x:c r="R141" s="22" t="str">
        <x:v>ctest -R C2CUNIFYConfig &amp;&amp; ./bin/kvcache_config_check --case=c2_c_unify</x:v>
      </x:c>
      <x:c r="S141" s="22" t="str">
        <x:v>探索直接视图(direct view)、硬件多播及硬件原子页迁移等远期能力，避免 TPOT 被直接视图意外拖慢，不强求 &lt;500ns 等极端指标。</x:v>
      </x:c>
      <x:c r="T141" s="22" t="str">
        <x:v>SR-01-07-03</x:v>
      </x:c>
      <x:c r="U141" s="22" t="str">
        <x:v>待认领</x:v>
      </x:c>
      <x:c r="V141" s="22" t="str"/>
      <x:c r="W141" s="22" t="str"/>
      <x:c r="X141" s="22" t="str">
        <x:f>IF(COUNTIF($A$5:$A$451,A141)=1,"PASS","FAIL")</x:f>
        <x:v>PASS</x:v>
      </x:c>
      <x:c r="Y141" s="22" t="str">
        <x:f>IF(COUNTIF('SR系统设计'!$A$5:$A$153,B141)+COUNTIF('追溯与覆盖'!$A$5:$A$153,C141)=2,"PASS","FAIL")</x:f>
        <x:v>PASS</x:v>
      </x:c>
    </x:row>
    <x:row r="142" ht="84" customHeight="1">
      <x:c r="A142" s="25" t="str">
        <x:v>AR-L4-UB-C2C-UNIFY-002-03</x:v>
      </x:c>
      <x:c r="B142" s="25" t="str">
        <x:v>SR-01-07-03</x:v>
      </x:c>
      <x:c r="C142" s="25" t="str">
        <x:v>L4-UB-C2C-UNIFY-002</x:v>
      </x:c>
      <x:c r="D142" s="25" t="str">
        <x:v>SF-01</x:v>
      </x:c>
      <x:c r="E142" s="25" t="str">
        <x:v>IR-01-07</x:v>
      </x:c>
      <x:c r="F142" s="22" t="str">
        <x:v>L4 底层传输层</x:v>
      </x:c>
      <x:c r="G142" s="22" t="str">
        <x:v>TM3</x:v>
      </x:c>
      <x:c r="H142" s="22" t="str">
        <x:v>统一内存与内存语义访问</x:v>
      </x:c>
      <x:c r="I142" s="22" t="str">
        <x:v>P3</x:v>
      </x:c>
      <x:c r="J142" s="22" t="str">
        <x:v>P3</x:v>
      </x:c>
      <x:c r="K142" s="22" t="str">
        <x:v>验证与观测</x:v>
      </x:c>
      <x:c r="L142" s="22" t="str">
        <x:v>驱动/硬件协同开发</x:v>
      </x:c>
      <x:c r="M142" s="22" t="str">
        <x:v>tests/backends/ubmem/c2_c_unify_test.cc + benchmarks/backends/ubmem/c2_c_unify_benchmark.cc</x:v>
      </x:c>
      <x:c r="N142" s="22" t="str">
        <x:v>C2CUNIFYTest / C2CUNIFYBenchmark</x:v>
      </x:c>
      <x:c r="O142" s="22" t="str">
        <x:v>新增正常、边界、并发、超时、stale metadata、迁移冲突、路径拥塞/故障与 feature-flag-off 用例；在 benchmark 中固定模型、tokenizer、prompt、并发、拓扑和 baseline，采集 lookup/load/attach、TTFT、TPOT、usable/abandoned hit、带宽/时延及 CPU/NPU 利用率。</x:v>
      </x:c>
      <x:c r="P142"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42" s="22" t="str">
        <x:v>来源验收项全部自动化；性能报告包含 P50/P95/P99、置信区间与 baseline；失败门槛接入 CI；测试数据和命令可复现。</x:v>
      </x:c>
      <x:c r="R142" s="22" t="str">
        <x:v>./bin/kvcache_bench --case=c2_c_unify --baseline=native --report=json</x:v>
      </x:c>
      <x:c r="S142" s="22" t="str">
        <x:v>探索直接视图(direct view)、硬件多播及硬件原子页迁移等远期能力，避免 TPOT 被直接视图意外拖慢，不强求 &lt;500ns 等极端指标。</x:v>
      </x:c>
      <x:c r="T142" s="22" t="str">
        <x:v>SR-01-07-03</x:v>
      </x:c>
      <x:c r="U142" s="22" t="str">
        <x:v>待认领</x:v>
      </x:c>
      <x:c r="V142" s="22" t="str"/>
      <x:c r="W142" s="22" t="str"/>
      <x:c r="X142" s="22" t="str">
        <x:f>IF(COUNTIF($A$5:$A$451,A142)=1,"PASS","FAIL")</x:f>
        <x:v>PASS</x:v>
      </x:c>
      <x:c r="Y142" s="22" t="str">
        <x:f>IF(COUNTIF('SR系统设计'!$A$5:$A$153,B142)+COUNTIF('追溯与覆盖'!$A$5:$A$153,C142)=2,"PASS","FAIL")</x:f>
        <x:v>PASS</x:v>
      </x:c>
    </x:row>
    <x:row r="143" ht="84" customHeight="1">
      <x:c r="A143" s="25" t="str">
        <x:v>AR-L4-UB-P2P-FABRIC-003-01</x:v>
      </x:c>
      <x:c r="B143" s="25" t="str">
        <x:v>SR-01-07-04</x:v>
      </x:c>
      <x:c r="C143" s="25" t="str">
        <x:v>L4-UB-P2P-FABRIC-003</x:v>
      </x:c>
      <x:c r="D143" s="25" t="str">
        <x:v>SF-01</x:v>
      </x:c>
      <x:c r="E143" s="25" t="str">
        <x:v>IR-01-07</x:v>
      </x:c>
      <x:c r="F143" s="22" t="str">
        <x:v>L4 底层传输层</x:v>
      </x:c>
      <x:c r="G143" s="22" t="str">
        <x:v>TM3</x:v>
      </x:c>
      <x:c r="H143" s="22" t="str">
        <x:v>统一内存与内存语义访问</x:v>
      </x:c>
      <x:c r="I143" s="22" t="str">
        <x:v>P3</x:v>
      </x:c>
      <x:c r="J143" s="22" t="str">
        <x:v>P3</x:v>
      </x:c>
      <x:c r="K143" s="22" t="str">
        <x:v>核心实现</x:v>
      </x:c>
      <x:c r="L143" s="22" t="str">
        <x:v>驱动/硬件协同开发</x:v>
      </x:c>
      <x:c r="M143" s="22" t="str">
        <x:v>src/backends/ubmem/p2_p_fabric.{h,cc}</x:v>
      </x:c>
      <x:c r="N143" s="22" t="str">
        <x:v>P2PFABRICProvider</x:v>
      </x:c>
      <x:c r="O143" s="22" t="str">
        <x:v>在 `src/backends/ubmem/p2_p_fabric.{h,cc}` 新增或重写 `P2PFABRICProvider`，把“跨节点内存语义KV访问”落实为 L4 底层传输层 可调用主路径：本需求要求对接UBFabric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 输入必须显式消费 memory region + access mode hint + lease，输出 ViewHandle/CopyPlan + visibility evidence，不得用全局单例或隐藏同步 I/O 绕开预算与状态机。</x:v>
      </x:c>
      <x:c r="P143" s="22" t="str">
        <x:v>实现 memory region + access mode hint + lease → ViewHandle/CopyPlan + visibility evidence；遵守 能力不满足、租约失效或远端 stall 超阈值时撤销 view 并 copy-to-HBM/recompute</x:v>
      </x:c>
      <x:c r="Q143" s="22" t="str">
        <x:v>核心算法与状态转换完成；新增代码单测分支覆盖≥85%；线程安全/所有权明确；关闭 feature flag 时行为与 baseline 一致。</x:v>
      </x:c>
      <x:c r="R143" s="22" t="str">
        <x:v>ctest -R P2PFABRIC --output-on-failure</x:v>
      </x:c>
      <x:c r="S143" s="22" t="str">
        <x:v>探索直接视图(direct view)、硬件多播及硬件原子页迁移等远期能力，避免 TPOT 被直接视图意外拖慢，不强求 &lt;500ns 等极端指标。</x:v>
      </x:c>
      <x:c r="T143" s="22" t="str">
        <x:v>SR-01-07-04</x:v>
      </x:c>
      <x:c r="U143" s="22" t="str">
        <x:v>待认领</x:v>
      </x:c>
      <x:c r="V143" s="22" t="str"/>
      <x:c r="W143" s="22" t="str"/>
      <x:c r="X143" s="22" t="str">
        <x:f>IF(COUNTIF($A$5:$A$451,A143)=1,"PASS","FAIL")</x:f>
        <x:v>PASS</x:v>
      </x:c>
      <x:c r="Y143" s="22" t="str">
        <x:f>IF(COUNTIF('SR系统设计'!$A$5:$A$153,B143)+COUNTIF('追溯与覆盖'!$A$5:$A$153,C143)=2,"PASS","FAIL")</x:f>
        <x:v>PASS</x:v>
      </x:c>
    </x:row>
    <x:row r="144" ht="84" customHeight="1">
      <x:c r="A144" s="25" t="str">
        <x:v>AR-L4-UB-P2P-FABRIC-003-02</x:v>
      </x:c>
      <x:c r="B144" s="25" t="str">
        <x:v>SR-01-07-04</x:v>
      </x:c>
      <x:c r="C144" s="25" t="str">
        <x:v>L4-UB-P2P-FABRIC-003</x:v>
      </x:c>
      <x:c r="D144" s="25" t="str">
        <x:v>SF-01</x:v>
      </x:c>
      <x:c r="E144" s="25" t="str">
        <x:v>IR-01-07</x:v>
      </x:c>
      <x:c r="F144" s="22" t="str">
        <x:v>L4 底层传输层</x:v>
      </x:c>
      <x:c r="G144" s="22" t="str">
        <x:v>TM3</x:v>
      </x:c>
      <x:c r="H144" s="22" t="str">
        <x:v>统一内存与内存语义访问</x:v>
      </x:c>
      <x:c r="I144" s="22" t="str">
        <x:v>P3</x:v>
      </x:c>
      <x:c r="J144" s="22" t="str">
        <x:v>P3</x:v>
      </x:c>
      <x:c r="K144" s="22" t="str">
        <x:v>契约配置与降级</x:v>
      </x:c>
      <x:c r="L144" s="22" t="str">
        <x:v>驱动/硬件协同开发</x:v>
      </x:c>
      <x:c r="M144" s="22" t="str">
        <x:v>cmake/KVCacheBackends.cmake + config/backends/p2_p_fabric.yaml + src/backends/backend_registry.cc</x:v>
      </x:c>
      <x:c r="N144" s="22" t="str">
        <x:v>KVCACHE_ENABLE_P2_P_FABRIC / kvcache.p2_p_fabric.enabled</x:v>
      </x:c>
      <x:c r="O144" s="22" t="str">
        <x:v>增加编译开关 `KVCACHE_ENABLE_P2_P_FABRIC`、运行时开关 `kvcache.p2_p_fabric.enabled` 与 BackendRegistry 注册项；冻结 capability、descriptor、completion/fence、error mapping 与 per-path telemetry 字段，并实现“主路径→备路径→重算/冷路径”的有界 fallback。</x:v>
      </x:c>
      <x:c r="P144" s="22" t="str">
        <x:v>IDL/配置 schema 有版本号、默认值、边界校验和错误码；状态/租约/ready 不满足时按 能力不满足、租约失效或远端 stall 超阈值时撤销 view 并 copy-to-HBM/recompute</x:v>
      </x:c>
      <x:c r="Q144" s="22" t="str">
        <x:v>配置样例、schema 校验、升级兼容测试和回退路径齐全；任何隐式 fallback 被移除；新增指标可关联 request_id/query_plan_id/object_id/path_id。</x:v>
      </x:c>
      <x:c r="R144" s="22" t="str">
        <x:v>ctest -R P2PFABRICConfig &amp;&amp; ./bin/kvcache_config_check --case=p2_p_fabric</x:v>
      </x:c>
      <x:c r="S144" s="22" t="str">
        <x:v>探索直接视图(direct view)、硬件多播及硬件原子页迁移等远期能力，避免 TPOT 被直接视图意外拖慢，不强求 &lt;500ns 等极端指标。</x:v>
      </x:c>
      <x:c r="T144" s="22" t="str">
        <x:v>SR-01-07-04</x:v>
      </x:c>
      <x:c r="U144" s="22" t="str">
        <x:v>待认领</x:v>
      </x:c>
      <x:c r="V144" s="22" t="str"/>
      <x:c r="W144" s="22" t="str"/>
      <x:c r="X144" s="22" t="str">
        <x:f>IF(COUNTIF($A$5:$A$451,A144)=1,"PASS","FAIL")</x:f>
        <x:v>PASS</x:v>
      </x:c>
      <x:c r="Y144" s="22" t="str">
        <x:f>IF(COUNTIF('SR系统设计'!$A$5:$A$153,B144)+COUNTIF('追溯与覆盖'!$A$5:$A$153,C144)=2,"PASS","FAIL")</x:f>
        <x:v>PASS</x:v>
      </x:c>
    </x:row>
    <x:row r="145" ht="84" customHeight="1">
      <x:c r="A145" s="25" t="str">
        <x:v>AR-L4-UB-P2P-FABRIC-003-03</x:v>
      </x:c>
      <x:c r="B145" s="25" t="str">
        <x:v>SR-01-07-04</x:v>
      </x:c>
      <x:c r="C145" s="25" t="str">
        <x:v>L4-UB-P2P-FABRIC-003</x:v>
      </x:c>
      <x:c r="D145" s="25" t="str">
        <x:v>SF-01</x:v>
      </x:c>
      <x:c r="E145" s="25" t="str">
        <x:v>IR-01-07</x:v>
      </x:c>
      <x:c r="F145" s="22" t="str">
        <x:v>L4 底层传输层</x:v>
      </x:c>
      <x:c r="G145" s="22" t="str">
        <x:v>TM3</x:v>
      </x:c>
      <x:c r="H145" s="22" t="str">
        <x:v>统一内存与内存语义访问</x:v>
      </x:c>
      <x:c r="I145" s="22" t="str">
        <x:v>P3</x:v>
      </x:c>
      <x:c r="J145" s="22" t="str">
        <x:v>P3</x:v>
      </x:c>
      <x:c r="K145" s="22" t="str">
        <x:v>验证与观测</x:v>
      </x:c>
      <x:c r="L145" s="22" t="str">
        <x:v>驱动/硬件协同开发</x:v>
      </x:c>
      <x:c r="M145" s="22" t="str">
        <x:v>tests/backends/ubmem/p2_p_fabric_test.cc + benchmarks/backends/ubmem/p2_p_fabric_benchmark.cc</x:v>
      </x:c>
      <x:c r="N145" s="22" t="str">
        <x:v>P2PFABRICTest / P2PFABRICBenchmark</x:v>
      </x:c>
      <x:c r="O145" s="22" t="str">
        <x:v>新增正常、边界、并发、超时、stale metadata、迁移冲突、路径拥塞/故障与 feature-flag-off 用例；在 benchmark 中固定模型、tokenizer、prompt、并发、拓扑和 baseline，采集 lookup/load/attach、TTFT、TPOT、usable/abandoned hit、带宽/时延及 CPU/NPU 利用率。</x:v>
      </x:c>
      <x:c r="P145"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45" s="22" t="str">
        <x:v>来源验收项全部自动化；性能报告包含 P50/P95/P99、置信区间与 baseline；失败门槛接入 CI；测试数据和命令可复现。</x:v>
      </x:c>
      <x:c r="R145" s="22" t="str">
        <x:v>./bin/kvcache_bench --case=p2_p_fabric --baseline=native --report=json</x:v>
      </x:c>
      <x:c r="S145" s="22" t="str">
        <x:v>探索直接视图(direct view)、硬件多播及硬件原子页迁移等远期能力，避免 TPOT 被直接视图意外拖慢，不强求 &lt;500ns 等极端指标。</x:v>
      </x:c>
      <x:c r="T145" s="22" t="str">
        <x:v>SR-01-07-04</x:v>
      </x:c>
      <x:c r="U145" s="22" t="str">
        <x:v>待认领</x:v>
      </x:c>
      <x:c r="V145" s="22" t="str"/>
      <x:c r="W145" s="22" t="str"/>
      <x:c r="X145" s="22" t="str">
        <x:f>IF(COUNTIF($A$5:$A$451,A145)=1,"PASS","FAIL")</x:f>
        <x:v>PASS</x:v>
      </x:c>
      <x:c r="Y145" s="22" t="str">
        <x:f>IF(COUNTIF('SR系统设计'!$A$5:$A$153,B145)+COUNTIF('追溯与覆盖'!$A$5:$A$153,C145)=2,"PASS","FAIL")</x:f>
        <x:v>PASS</x:v>
      </x:c>
    </x:row>
    <x:row r="146" ht="84" customHeight="1">
      <x:c r="A146" s="25" t="str">
        <x:v>AR-L4-MC-PersistentExtentHandle-070-01</x:v>
      </x:c>
      <x:c r="B146" s="25" t="str">
        <x:v>SR-01-08-01</x:v>
      </x:c>
      <x:c r="C146" s="25" t="str">
        <x:v>L4-MC-PersistentExtentHandle-070</x:v>
      </x:c>
      <x:c r="D146" s="25" t="str">
        <x:v>SF-01</x:v>
      </x:c>
      <x:c r="E146" s="25" t="str">
        <x:v>IR-01-08</x:v>
      </x:c>
      <x:c r="F146" s="22" t="str">
        <x:v>L4 底层传输层</x:v>
      </x:c>
      <x:c r="G146" s="22" t="str">
        <x:v>TM4</x:v>
      </x:c>
      <x:c r="H146" s="22" t="str">
        <x:v>DPU卸载与分层存储I/O</x:v>
      </x:c>
      <x:c r="I146" s="22" t="str">
        <x:v>P1</x:v>
      </x:c>
      <x:c r="J146" s="22" t="str">
        <x:v>P1</x:v>
      </x:c>
      <x:c r="K146" s="22" t="str">
        <x:v>核心实现</x:v>
      </x:c>
      <x:c r="L146" s="22" t="str">
        <x:v>驱动/硬件协同开发</x:v>
      </x:c>
      <x:c r="M146" s="22" t="str">
        <x:v>src/backends/storage/persistent_extent_handle.{h,cc}</x:v>
      </x:c>
      <x:c r="N146" s="22" t="str">
        <x:v>PersistentExtentHandleBackend</x:v>
      </x:c>
      <x:c r="O146" s="22" t="str">
        <x:v>在 `src/backends/storage/persistent_extent_handle.{h,cc}` 新增或重写 `PersistentExtentHandleBackend`，把“SSD/object KV 副本统一寻址”落实为 L4 底层传输层 可调用主路径：本需求要求 SSD/GDS/object tier 中的 KV segment 暴露 PersistentExtentHandle，记录 file/object key、offset、length、alignment、checksum、layout 和 durability state，使 L3 manifest 可以统一描述内存副本与持久化副本。 输入必须显式消费 persistent extent + object key + slack budget，输出 I/O ticket + durability/checksum evidence，不得用全局单例或隐藏同步 I/O 绕开预算与状态机。</x:v>
      </x:c>
      <x:c r="P146" s="22" t="str">
        <x:v>实现 persistent extent + object key + slack budget → I/O ticket + durability/checksum evidence；遵守 tiny I/O合并失败或Direct能力不可用时显式 staged path；冷路径限流且不抢占TTFT队列</x:v>
      </x:c>
      <x:c r="Q146" s="22" t="str">
        <x:v>核心算法与状态转换完成；新增代码单测分支覆盖≥85%；线程安全/所有权明确；关闭 feature flag 时行为与 baseline 一致。</x:v>
      </x:c>
      <x:c r="R146" s="22" t="str">
        <x:v>ctest -R PersistentExtentHandle --output-on-failure</x:v>
      </x:c>
      <x:c r="S146" s="22" t="str">
        <x:v>高拥塞背景下，KVCache关键小包的P99延迟不随大流数据量线性增加。</x:v>
      </x:c>
      <x:c r="T146" s="22" t="str">
        <x:v>SR-01-08-01</x:v>
      </x:c>
      <x:c r="U146" s="22" t="str">
        <x:v>待认领</x:v>
      </x:c>
      <x:c r="V146" s="22" t="str"/>
      <x:c r="W146" s="22" t="str"/>
      <x:c r="X146" s="22" t="str">
        <x:f>IF(COUNTIF($A$5:$A$451,A146)=1,"PASS","FAIL")</x:f>
        <x:v>PASS</x:v>
      </x:c>
      <x:c r="Y146" s="22" t="str">
        <x:f>IF(COUNTIF('SR系统设计'!$A$5:$A$153,B146)+COUNTIF('追溯与覆盖'!$A$5:$A$153,C146)=2,"PASS","FAIL")</x:f>
        <x:v>PASS</x:v>
      </x:c>
    </x:row>
    <x:row r="147" ht="84" customHeight="1">
      <x:c r="A147" s="25" t="str">
        <x:v>AR-L4-MC-PersistentExtentHandle-070-02</x:v>
      </x:c>
      <x:c r="B147" s="25" t="str">
        <x:v>SR-01-08-01</x:v>
      </x:c>
      <x:c r="C147" s="25" t="str">
        <x:v>L4-MC-PersistentExtentHandle-070</x:v>
      </x:c>
      <x:c r="D147" s="25" t="str">
        <x:v>SF-01</x:v>
      </x:c>
      <x:c r="E147" s="25" t="str">
        <x:v>IR-01-08</x:v>
      </x:c>
      <x:c r="F147" s="22" t="str">
        <x:v>L4 底层传输层</x:v>
      </x:c>
      <x:c r="G147" s="22" t="str">
        <x:v>TM4</x:v>
      </x:c>
      <x:c r="H147" s="22" t="str">
        <x:v>DPU卸载与分层存储I/O</x:v>
      </x:c>
      <x:c r="I147" s="22" t="str">
        <x:v>P1</x:v>
      </x:c>
      <x:c r="J147" s="22" t="str">
        <x:v>P1</x:v>
      </x:c>
      <x:c r="K147" s="22" t="str">
        <x:v>契约配置与降级</x:v>
      </x:c>
      <x:c r="L147" s="22" t="str">
        <x:v>驱动/硬件协同开发</x:v>
      </x:c>
      <x:c r="M147" s="22" t="str">
        <x:v>cmake/KVCacheBackends.cmake + config/backends/persistent_extent_handle.yaml + src/backends/backend_registry.cc</x:v>
      </x:c>
      <x:c r="N147" s="22" t="str">
        <x:v>KVCACHE_ENABLE_PERSISTENT_EXTENT_HANDLE / kvcache.persistent_extent_handle.enabled</x:v>
      </x:c>
      <x:c r="O147" s="22" t="str">
        <x:v>增加编译开关 `KVCACHE_ENABLE_PERSISTENT_EXTENT_HANDLE`、运行时开关 `kvcache.persistent_extent_handle.enabled` 与 BackendRegistry 注册项；冻结 capability、descriptor、completion/fence、error mapping 与 per-path telemetry 字段，并实现“主路径→备路径→重算/冷路径”的有界 fallback。</x:v>
      </x:c>
      <x:c r="P147" s="22" t="str">
        <x:v>IDL/配置 schema 有版本号、默认值、边界校验和错误码；状态/租约/ready 不满足时按 tiny I/O合并失败或Direct能力不可用时显式 staged path；冷路径限流且不抢占TTFT队列</x:v>
      </x:c>
      <x:c r="Q147" s="22" t="str">
        <x:v>配置样例、schema 校验、升级兼容测试和回退路径齐全；任何隐式 fallback 被移除；新增指标可关联 request_id/query_plan_id/object_id/path_id。</x:v>
      </x:c>
      <x:c r="R147" s="22" t="str">
        <x:v>ctest -R PersistentExtentHandleConfig &amp;&amp; ./bin/kvcache_config_check --case=persistent_extent_handle</x:v>
      </x:c>
      <x:c r="S147" s="22" t="str">
        <x:v>高拥塞背景下，KVCache关键小包的P99延迟不随大流数据量线性增加。</x:v>
      </x:c>
      <x:c r="T147" s="22" t="str">
        <x:v>SR-01-08-01</x:v>
      </x:c>
      <x:c r="U147" s="22" t="str">
        <x:v>待认领</x:v>
      </x:c>
      <x:c r="V147" s="22" t="str"/>
      <x:c r="W147" s="22" t="str"/>
      <x:c r="X147" s="22" t="str">
        <x:f>IF(COUNTIF($A$5:$A$451,A147)=1,"PASS","FAIL")</x:f>
        <x:v>PASS</x:v>
      </x:c>
      <x:c r="Y147" s="22" t="str">
        <x:f>IF(COUNTIF('SR系统设计'!$A$5:$A$153,B147)+COUNTIF('追溯与覆盖'!$A$5:$A$153,C147)=2,"PASS","FAIL")</x:f>
        <x:v>PASS</x:v>
      </x:c>
    </x:row>
    <x:row r="148" ht="84" customHeight="1">
      <x:c r="A148" s="25" t="str">
        <x:v>AR-L4-MC-PersistentExtentHandle-070-03</x:v>
      </x:c>
      <x:c r="B148" s="25" t="str">
        <x:v>SR-01-08-01</x:v>
      </x:c>
      <x:c r="C148" s="25" t="str">
        <x:v>L4-MC-PersistentExtentHandle-070</x:v>
      </x:c>
      <x:c r="D148" s="25" t="str">
        <x:v>SF-01</x:v>
      </x:c>
      <x:c r="E148" s="25" t="str">
        <x:v>IR-01-08</x:v>
      </x:c>
      <x:c r="F148" s="22" t="str">
        <x:v>L4 底层传输层</x:v>
      </x:c>
      <x:c r="G148" s="22" t="str">
        <x:v>TM4</x:v>
      </x:c>
      <x:c r="H148" s="22" t="str">
        <x:v>DPU卸载与分层存储I/O</x:v>
      </x:c>
      <x:c r="I148" s="22" t="str">
        <x:v>P1</x:v>
      </x:c>
      <x:c r="J148" s="22" t="str">
        <x:v>P1</x:v>
      </x:c>
      <x:c r="K148" s="22" t="str">
        <x:v>验证与观测</x:v>
      </x:c>
      <x:c r="L148" s="22" t="str">
        <x:v>驱动/硬件协同开发</x:v>
      </x:c>
      <x:c r="M148" s="22" t="str">
        <x:v>tests/backends/storage/persistent_extent_handle_test.cc + benchmarks/backends/storage/persistent_extent_handle_benchmark.cc</x:v>
      </x:c>
      <x:c r="N148" s="22" t="str">
        <x:v>PersistentExtentHandleTest / PersistentExtentHandleBenchmark</x:v>
      </x:c>
      <x:c r="O148" s="22" t="str">
        <x:v>新增正常、边界、并发、超时、stale metadata、迁移冲突、路径拥塞/故障与 feature-flag-off 用例；在 benchmark 中固定模型、tokenizer、prompt、并发、拓扑和 baseline，采集 lookup/load/attach、TTFT、TPOT、usable/abandoned hit、带宽/时延及 CPU/NPU 利用率。</x:v>
      </x:c>
      <x:c r="P148" s="22" t="str">
        <x:v>验收直接引用来源指标：“高拥塞背景下，KVCache关键小包的P99延迟不随大流数据量线性增加。”；故障用例必须证明错误 KV 不被消费且 fallback reason 可追踪。</x:v>
      </x:c>
      <x:c r="Q148" s="22" t="str">
        <x:v>来源验收项全部自动化；性能报告包含 P50/P95/P99、置信区间与 baseline；失败门槛接入 CI；测试数据和命令可复现。</x:v>
      </x:c>
      <x:c r="R148" s="22" t="str">
        <x:v>./bin/kvcache_bench --case=persistent_extent_handle --baseline=native --report=json</x:v>
      </x:c>
      <x:c r="S148" s="22" t="str">
        <x:v>高拥塞背景下，KVCache关键小包的P99延迟不随大流数据量线性增加。</x:v>
      </x:c>
      <x:c r="T148" s="22" t="str">
        <x:v>SR-01-08-01</x:v>
      </x:c>
      <x:c r="U148" s="22" t="str">
        <x:v>待认领</x:v>
      </x:c>
      <x:c r="V148" s="22" t="str"/>
      <x:c r="W148" s="22" t="str"/>
      <x:c r="X148" s="22" t="str">
        <x:f>IF(COUNTIF($A$5:$A$451,A148)=1,"PASS","FAIL")</x:f>
        <x:v>PASS</x:v>
      </x:c>
      <x:c r="Y148" s="22" t="str">
        <x:f>IF(COUNTIF('SR系统设计'!$A$5:$A$153,B148)+COUNTIF('追溯与覆盖'!$A$5:$A$153,C148)=2,"PASS","FAIL")</x:f>
        <x:v>PASS</x:v>
      </x:c>
    </x:row>
    <x:row r="149" ht="84" customHeight="1">
      <x:c r="A149" s="25" t="str">
        <x:v>AR-L4-MC-HIER-STORE-001-01</x:v>
      </x:c>
      <x:c r="B149" s="25" t="str">
        <x:v>SR-01-08-02</x:v>
      </x:c>
      <x:c r="C149" s="25" t="str">
        <x:v>L4-MC-HIER-STORE-001</x:v>
      </x:c>
      <x:c r="D149" s="25" t="str">
        <x:v>SF-01</x:v>
      </x:c>
      <x:c r="E149" s="25" t="str">
        <x:v>IR-01-08</x:v>
      </x:c>
      <x:c r="F149" s="22" t="str">
        <x:v>L4 底层传输层</x:v>
      </x:c>
      <x:c r="G149" s="22" t="str">
        <x:v>TM4</x:v>
      </x:c>
      <x:c r="H149" s="22" t="str">
        <x:v>DPU卸载与分层存储I/O</x:v>
      </x:c>
      <x:c r="I149" s="22" t="str">
        <x:v>P2</x:v>
      </x:c>
      <x:c r="J149" s="22" t="str">
        <x:v>P2</x:v>
      </x:c>
      <x:c r="K149" s="22" t="str">
        <x:v>核心实现</x:v>
      </x:c>
      <x:c r="L149" s="22" t="str">
        <x:v>驱动/硬件协同开发</x:v>
      </x:c>
      <x:c r="M149" s="22" t="str">
        <x:v>src/backends/storage/hier_store.{h,cc}</x:v>
      </x:c>
      <x:c r="N149" s="22" t="str">
        <x:v>HIERSTOREBackend</x:v>
      </x:c>
      <x:c r="O149" s="22" t="str">
        <x:v>在 `src/backends/storage/hier_store.{h,cc}` 新增或重写 `HIERSTOREBackend`，把“KVCache多层异构架构”落实为 L4 底层传输层 可调用主路径：本需求要求实现KVCache三层分级直出，实现NPU直接访问本地SSD（NPUDirectSSD）、NPU直接出网卡（NPUDirectNIC），提升KVCache在不同介质、不同节点之间的流动效率。 输入必须显式消费 persistent extent + object key + slack budget，输出 I/O ticket + durability/checksum evidence，不得用全局单例或隐藏同步 I/O 绕开预算与状态机。</x:v>
      </x:c>
      <x:c r="P149" s="22" t="str">
        <x:v>实现 persistent extent + object key + slack budget → I/O ticket + durability/checksum evidence；遵守 tiny I/O合并失败或Direct能力不可用时显式 staged path；冷路径限流且不抢占TTFT队列</x:v>
      </x:c>
      <x:c r="Q149" s="22" t="str">
        <x:v>核心算法与状态转换完成；新增代码单测分支覆盖≥85%；线程安全/所有权明确；关闭 feature flag 时行为与 baseline 一致。</x:v>
      </x:c>
      <x:c r="R149" s="22" t="str">
        <x:v>ctest -R HIERSTORE --output-on-failure</x:v>
      </x:c>
      <x:c r="S149" s="22" t="str">
        <x:v>高拥塞背景下，KVCache关键小包的P99延迟不随大流数据量线性增加。</x:v>
      </x:c>
      <x:c r="T149" s="22" t="str">
        <x:v>SR-01-08-02</x:v>
      </x:c>
      <x:c r="U149" s="22" t="str">
        <x:v>待认领</x:v>
      </x:c>
      <x:c r="V149" s="22" t="str"/>
      <x:c r="W149" s="22" t="str"/>
      <x:c r="X149" s="22" t="str">
        <x:f>IF(COUNTIF($A$5:$A$451,A149)=1,"PASS","FAIL")</x:f>
        <x:v>PASS</x:v>
      </x:c>
      <x:c r="Y149" s="22" t="str">
        <x:f>IF(COUNTIF('SR系统设计'!$A$5:$A$153,B149)+COUNTIF('追溯与覆盖'!$A$5:$A$153,C149)=2,"PASS","FAIL")</x:f>
        <x:v>PASS</x:v>
      </x:c>
    </x:row>
    <x:row r="150" ht="84" customHeight="1">
      <x:c r="A150" s="25" t="str">
        <x:v>AR-L4-MC-HIER-STORE-001-02</x:v>
      </x:c>
      <x:c r="B150" s="25" t="str">
        <x:v>SR-01-08-02</x:v>
      </x:c>
      <x:c r="C150" s="25" t="str">
        <x:v>L4-MC-HIER-STORE-001</x:v>
      </x:c>
      <x:c r="D150" s="25" t="str">
        <x:v>SF-01</x:v>
      </x:c>
      <x:c r="E150" s="25" t="str">
        <x:v>IR-01-08</x:v>
      </x:c>
      <x:c r="F150" s="22" t="str">
        <x:v>L4 底层传输层</x:v>
      </x:c>
      <x:c r="G150" s="22" t="str">
        <x:v>TM4</x:v>
      </x:c>
      <x:c r="H150" s="22" t="str">
        <x:v>DPU卸载与分层存储I/O</x:v>
      </x:c>
      <x:c r="I150" s="22" t="str">
        <x:v>P2</x:v>
      </x:c>
      <x:c r="J150" s="22" t="str">
        <x:v>P2</x:v>
      </x:c>
      <x:c r="K150" s="22" t="str">
        <x:v>契约配置与降级</x:v>
      </x:c>
      <x:c r="L150" s="22" t="str">
        <x:v>驱动/硬件协同开发</x:v>
      </x:c>
      <x:c r="M150" s="22" t="str">
        <x:v>cmake/KVCacheBackends.cmake + config/backends/hier_store.yaml + src/backends/backend_registry.cc</x:v>
      </x:c>
      <x:c r="N150" s="22" t="str">
        <x:v>KVCACHE_ENABLE_HIER_STORE / kvcache.hier_store.enabled</x:v>
      </x:c>
      <x:c r="O150" s="22" t="str">
        <x:v>增加编译开关 `KVCACHE_ENABLE_HIER_STORE`、运行时开关 `kvcache.hier_store.enabled` 与 BackendRegistry 注册项；冻结 capability、descriptor、completion/fence、error mapping 与 per-path telemetry 字段，并实现“主路径→备路径→重算/冷路径”的有界 fallback。</x:v>
      </x:c>
      <x:c r="P150" s="22" t="str">
        <x:v>IDL/配置 schema 有版本号、默认值、边界校验和错误码；状态/租约/ready 不满足时按 tiny I/O合并失败或Direct能力不可用时显式 staged path；冷路径限流且不抢占TTFT队列</x:v>
      </x:c>
      <x:c r="Q150" s="22" t="str">
        <x:v>配置样例、schema 校验、升级兼容测试和回退路径齐全；任何隐式 fallback 被移除；新增指标可关联 request_id/query_plan_id/object_id/path_id。</x:v>
      </x:c>
      <x:c r="R150" s="22" t="str">
        <x:v>ctest -R HIERSTOREConfig &amp;&amp; ./bin/kvcache_config_check --case=hier_store</x:v>
      </x:c>
      <x:c r="S150" s="22" t="str">
        <x:v>高拥塞背景下，KVCache关键小包的P99延迟不随大流数据量线性增加。</x:v>
      </x:c>
      <x:c r="T150" s="22" t="str">
        <x:v>SR-01-08-02</x:v>
      </x:c>
      <x:c r="U150" s="22" t="str">
        <x:v>待认领</x:v>
      </x:c>
      <x:c r="V150" s="22" t="str"/>
      <x:c r="W150" s="22" t="str"/>
      <x:c r="X150" s="22" t="str">
        <x:f>IF(COUNTIF($A$5:$A$451,A150)=1,"PASS","FAIL")</x:f>
        <x:v>PASS</x:v>
      </x:c>
      <x:c r="Y150" s="22" t="str">
        <x:f>IF(COUNTIF('SR系统设计'!$A$5:$A$153,B150)+COUNTIF('追溯与覆盖'!$A$5:$A$153,C150)=2,"PASS","FAIL")</x:f>
        <x:v>PASS</x:v>
      </x:c>
    </x:row>
    <x:row r="151" ht="84" customHeight="1">
      <x:c r="A151" s="25" t="str">
        <x:v>AR-L4-MC-HIER-STORE-001-03</x:v>
      </x:c>
      <x:c r="B151" s="25" t="str">
        <x:v>SR-01-08-02</x:v>
      </x:c>
      <x:c r="C151" s="25" t="str">
        <x:v>L4-MC-HIER-STORE-001</x:v>
      </x:c>
      <x:c r="D151" s="25" t="str">
        <x:v>SF-01</x:v>
      </x:c>
      <x:c r="E151" s="25" t="str">
        <x:v>IR-01-08</x:v>
      </x:c>
      <x:c r="F151" s="22" t="str">
        <x:v>L4 底层传输层</x:v>
      </x:c>
      <x:c r="G151" s="22" t="str">
        <x:v>TM4</x:v>
      </x:c>
      <x:c r="H151" s="22" t="str">
        <x:v>DPU卸载与分层存储I/O</x:v>
      </x:c>
      <x:c r="I151" s="22" t="str">
        <x:v>P2</x:v>
      </x:c>
      <x:c r="J151" s="22" t="str">
        <x:v>P2</x:v>
      </x:c>
      <x:c r="K151" s="22" t="str">
        <x:v>验证与观测</x:v>
      </x:c>
      <x:c r="L151" s="22" t="str">
        <x:v>驱动/硬件协同开发</x:v>
      </x:c>
      <x:c r="M151" s="22" t="str">
        <x:v>tests/backends/storage/hier_store_test.cc + benchmarks/backends/storage/hier_store_benchmark.cc</x:v>
      </x:c>
      <x:c r="N151" s="22" t="str">
        <x:v>HIERSTORETest / HIERSTOREBenchmark</x:v>
      </x:c>
      <x:c r="O151" s="22" t="str">
        <x:v>新增正常、边界、并发、超时、stale metadata、迁移冲突、路径拥塞/故障与 feature-flag-off 用例；在 benchmark 中固定模型、tokenizer、prompt、并发、拓扑和 baseline，采集 lookup/load/attach、TTFT、TPOT、usable/abandoned hit、带宽/时延及 CPU/NPU 利用率。</x:v>
      </x:c>
      <x:c r="P151" s="22" t="str">
        <x:v>验收直接引用来源指标：“高拥塞背景下，KVCache关键小包的P99延迟不随大流数据量线性增加。”；故障用例必须证明错误 KV 不被消费且 fallback reason 可追踪。</x:v>
      </x:c>
      <x:c r="Q151" s="22" t="str">
        <x:v>来源验收项全部自动化；性能报告包含 P50/P95/P99、置信区间与 baseline；失败门槛接入 CI；测试数据和命令可复现。</x:v>
      </x:c>
      <x:c r="R151" s="22" t="str">
        <x:v>./bin/kvcache_bench --case=hier_store --baseline=native --report=json</x:v>
      </x:c>
      <x:c r="S151" s="22" t="str">
        <x:v>高拥塞背景下，KVCache关键小包的P99延迟不随大流数据量线性增加。</x:v>
      </x:c>
      <x:c r="T151" s="22" t="str">
        <x:v>SR-01-08-02</x:v>
      </x:c>
      <x:c r="U151" s="22" t="str">
        <x:v>待认领</x:v>
      </x:c>
      <x:c r="V151" s="22" t="str"/>
      <x:c r="W151" s="22" t="str"/>
      <x:c r="X151" s="22" t="str">
        <x:f>IF(COUNTIF($A$5:$A$451,A151)=1,"PASS","FAIL")</x:f>
        <x:v>PASS</x:v>
      </x:c>
      <x:c r="Y151" s="22" t="str">
        <x:f>IF(COUNTIF('SR系统设计'!$A$5:$A$153,B151)+COUNTIF('追溯与覆盖'!$A$5:$A$153,C151)=2,"PASS","FAIL")</x:f>
        <x:v>PASS</x:v>
      </x:c>
    </x:row>
    <x:row r="152" ht="84" customHeight="1">
      <x:c r="A152" s="25" t="str">
        <x:v>AR-L4-MC-HIER-STORE-002-01</x:v>
      </x:c>
      <x:c r="B152" s="25" t="str">
        <x:v>SR-01-08-03</x:v>
      </x:c>
      <x:c r="C152" s="25" t="str">
        <x:v>L4-MC-HIER-STORE-002</x:v>
      </x:c>
      <x:c r="D152" s="25" t="str">
        <x:v>SF-01</x:v>
      </x:c>
      <x:c r="E152" s="25" t="str">
        <x:v>IR-01-08</x:v>
      </x:c>
      <x:c r="F152" s="22" t="str">
        <x:v>L4 底层传输层</x:v>
      </x:c>
      <x:c r="G152" s="22" t="str">
        <x:v>TM4</x:v>
      </x:c>
      <x:c r="H152" s="22" t="str">
        <x:v>DPU卸载与分层存储I/O</x:v>
      </x:c>
      <x:c r="I152" s="22" t="str">
        <x:v>P3</x:v>
      </x:c>
      <x:c r="J152" s="22" t="str">
        <x:v>P3</x:v>
      </x:c>
      <x:c r="K152" s="22" t="str">
        <x:v>核心实现</x:v>
      </x:c>
      <x:c r="L152" s="22" t="str">
        <x:v>驱动/硬件协同开发</x:v>
      </x:c>
      <x:c r="M152" s="22" t="str">
        <x:v>src/backends/storage/hier_store.{h,cc}</x:v>
      </x:c>
      <x:c r="N152" s="22" t="str">
        <x:v>HIERSTOREBackend</x:v>
      </x:c>
      <x:c r="O152" s="22" t="str">
        <x:v>在 `src/backends/storage/hier_store.{h,cc}` 新增或重写 `HIERSTOREBackend`，把“KVCache多层异构架构”落实为 L4 底层传输层 可调用主路径：本需求要求实现KVCache on-the-fly 压缩功能，在从NPU卸载到DDR或SSD时，提供on-the-fly无刷压缩功能。 输入必须显式消费 persistent extent + object key + slack budget，输出 I/O ticket + durability/checksum evidence，不得用全局单例或隐藏同步 I/O 绕开预算与状态机。</x:v>
      </x:c>
      <x:c r="P152" s="22" t="str">
        <x:v>实现 persistent extent + object key + slack budget → I/O ticket + durability/checksum evidence；遵守 tiny I/O合并失败或Direct能力不可用时显式 staged path；冷路径限流且不抢占TTFT队列</x:v>
      </x:c>
      <x:c r="Q152" s="22" t="str">
        <x:v>核心算法与状态转换完成；新增代码单测分支覆盖≥85%；线程安全/所有权明确；关闭 feature flag 时行为与 baseline 一致。</x:v>
      </x:c>
      <x:c r="R152" s="22" t="str">
        <x:v>ctest -R HIERSTORE --output-on-failure</x:v>
      </x:c>
      <x:c r="S152" s="22" t="str">
        <x:v>高拥塞背景下，KVCache关键小包的P99延迟不随大流数据量线性增加。</x:v>
      </x:c>
      <x:c r="T152" s="22" t="str">
        <x:v>SR-01-08-03</x:v>
      </x:c>
      <x:c r="U152" s="22" t="str">
        <x:v>待认领</x:v>
      </x:c>
      <x:c r="V152" s="22" t="str"/>
      <x:c r="W152" s="22" t="str"/>
      <x:c r="X152" s="22" t="str">
        <x:f>IF(COUNTIF($A$5:$A$451,A152)=1,"PASS","FAIL")</x:f>
        <x:v>PASS</x:v>
      </x:c>
      <x:c r="Y152" s="22" t="str">
        <x:f>IF(COUNTIF('SR系统设计'!$A$5:$A$153,B152)+COUNTIF('追溯与覆盖'!$A$5:$A$153,C152)=2,"PASS","FAIL")</x:f>
        <x:v>PASS</x:v>
      </x:c>
    </x:row>
    <x:row r="153" ht="84" customHeight="1">
      <x:c r="A153" s="25" t="str">
        <x:v>AR-L4-MC-HIER-STORE-002-02</x:v>
      </x:c>
      <x:c r="B153" s="25" t="str">
        <x:v>SR-01-08-03</x:v>
      </x:c>
      <x:c r="C153" s="25" t="str">
        <x:v>L4-MC-HIER-STORE-002</x:v>
      </x:c>
      <x:c r="D153" s="25" t="str">
        <x:v>SF-01</x:v>
      </x:c>
      <x:c r="E153" s="25" t="str">
        <x:v>IR-01-08</x:v>
      </x:c>
      <x:c r="F153" s="22" t="str">
        <x:v>L4 底层传输层</x:v>
      </x:c>
      <x:c r="G153" s="22" t="str">
        <x:v>TM4</x:v>
      </x:c>
      <x:c r="H153" s="22" t="str">
        <x:v>DPU卸载与分层存储I/O</x:v>
      </x:c>
      <x:c r="I153" s="22" t="str">
        <x:v>P3</x:v>
      </x:c>
      <x:c r="J153" s="22" t="str">
        <x:v>P3</x:v>
      </x:c>
      <x:c r="K153" s="22" t="str">
        <x:v>契约配置与降级</x:v>
      </x:c>
      <x:c r="L153" s="22" t="str">
        <x:v>驱动/硬件协同开发</x:v>
      </x:c>
      <x:c r="M153" s="22" t="str">
        <x:v>cmake/KVCacheBackends.cmake + config/backends/hier_store.yaml + src/backends/backend_registry.cc</x:v>
      </x:c>
      <x:c r="N153" s="22" t="str">
        <x:v>KVCACHE_ENABLE_HIER_STORE / kvcache.hier_store.enabled</x:v>
      </x:c>
      <x:c r="O153" s="22" t="str">
        <x:v>增加编译开关 `KVCACHE_ENABLE_HIER_STORE`、运行时开关 `kvcache.hier_store.enabled` 与 BackendRegistry 注册项；冻结 capability、descriptor、completion/fence、error mapping 与 per-path telemetry 字段，并实现“主路径→备路径→重算/冷路径”的有界 fallback。</x:v>
      </x:c>
      <x:c r="P153" s="22" t="str">
        <x:v>IDL/配置 schema 有版本号、默认值、边界校验和错误码；状态/租约/ready 不满足时按 tiny I/O合并失败或Direct能力不可用时显式 staged path；冷路径限流且不抢占TTFT队列</x:v>
      </x:c>
      <x:c r="Q153" s="22" t="str">
        <x:v>配置样例、schema 校验、升级兼容测试和回退路径齐全；任何隐式 fallback 被移除；新增指标可关联 request_id/query_plan_id/object_id/path_id。</x:v>
      </x:c>
      <x:c r="R153" s="22" t="str">
        <x:v>ctest -R HIERSTOREConfig &amp;&amp; ./bin/kvcache_config_check --case=hier_store</x:v>
      </x:c>
      <x:c r="S153" s="22" t="str">
        <x:v>高拥塞背景下，KVCache关键小包的P99延迟不随大流数据量线性增加。</x:v>
      </x:c>
      <x:c r="T153" s="22" t="str">
        <x:v>SR-01-08-03</x:v>
      </x:c>
      <x:c r="U153" s="22" t="str">
        <x:v>待认领</x:v>
      </x:c>
      <x:c r="V153" s="22" t="str"/>
      <x:c r="W153" s="22" t="str"/>
      <x:c r="X153" s="22" t="str">
        <x:f>IF(COUNTIF($A$5:$A$451,A153)=1,"PASS","FAIL")</x:f>
        <x:v>PASS</x:v>
      </x:c>
      <x:c r="Y153" s="22" t="str">
        <x:f>IF(COUNTIF('SR系统设计'!$A$5:$A$153,B153)+COUNTIF('追溯与覆盖'!$A$5:$A$153,C153)=2,"PASS","FAIL")</x:f>
        <x:v>PASS</x:v>
      </x:c>
    </x:row>
    <x:row r="154" ht="84" customHeight="1">
      <x:c r="A154" s="25" t="str">
        <x:v>AR-L4-MC-HIER-STORE-002-03</x:v>
      </x:c>
      <x:c r="B154" s="25" t="str">
        <x:v>SR-01-08-03</x:v>
      </x:c>
      <x:c r="C154" s="25" t="str">
        <x:v>L4-MC-HIER-STORE-002</x:v>
      </x:c>
      <x:c r="D154" s="25" t="str">
        <x:v>SF-01</x:v>
      </x:c>
      <x:c r="E154" s="25" t="str">
        <x:v>IR-01-08</x:v>
      </x:c>
      <x:c r="F154" s="22" t="str">
        <x:v>L4 底层传输层</x:v>
      </x:c>
      <x:c r="G154" s="22" t="str">
        <x:v>TM4</x:v>
      </x:c>
      <x:c r="H154" s="22" t="str">
        <x:v>DPU卸载与分层存储I/O</x:v>
      </x:c>
      <x:c r="I154" s="22" t="str">
        <x:v>P3</x:v>
      </x:c>
      <x:c r="J154" s="22" t="str">
        <x:v>P3</x:v>
      </x:c>
      <x:c r="K154" s="22" t="str">
        <x:v>验证与观测</x:v>
      </x:c>
      <x:c r="L154" s="22" t="str">
        <x:v>驱动/硬件协同开发</x:v>
      </x:c>
      <x:c r="M154" s="22" t="str">
        <x:v>tests/backends/storage/hier_store_test.cc + benchmarks/backends/storage/hier_store_benchmark.cc</x:v>
      </x:c>
      <x:c r="N154" s="22" t="str">
        <x:v>HIERSTORETest / HIERSTOREBenchmark</x:v>
      </x:c>
      <x:c r="O154" s="22" t="str">
        <x:v>新增正常、边界、并发、超时、stale metadata、迁移冲突、路径拥塞/故障与 feature-flag-off 用例；在 benchmark 中固定模型、tokenizer、prompt、并发、拓扑和 baseline，采集 lookup/load/attach、TTFT、TPOT、usable/abandoned hit、带宽/时延及 CPU/NPU 利用率。</x:v>
      </x:c>
      <x:c r="P154" s="22" t="str">
        <x:v>验收直接引用来源指标：“高拥塞背景下，KVCache关键小包的P99延迟不随大流数据量线性增加。”；故障用例必须证明错误 KV 不被消费且 fallback reason 可追踪。</x:v>
      </x:c>
      <x:c r="Q154" s="22" t="str">
        <x:v>来源验收项全部自动化；性能报告包含 P50/P95/P99、置信区间与 baseline；失败门槛接入 CI；测试数据和命令可复现。</x:v>
      </x:c>
      <x:c r="R154" s="22" t="str">
        <x:v>./bin/kvcache_bench --case=hier_store --baseline=native --report=json</x:v>
      </x:c>
      <x:c r="S154" s="22" t="str">
        <x:v>高拥塞背景下，KVCache关键小包的P99延迟不随大流数据量线性增加。</x:v>
      </x:c>
      <x:c r="T154" s="22" t="str">
        <x:v>SR-01-08-03</x:v>
      </x:c>
      <x:c r="U154" s="22" t="str">
        <x:v>待认领</x:v>
      </x:c>
      <x:c r="V154" s="22" t="str"/>
      <x:c r="W154" s="22" t="str"/>
      <x:c r="X154" s="22" t="str">
        <x:f>IF(COUNTIF($A$5:$A$451,A154)=1,"PASS","FAIL")</x:f>
        <x:v>PASS</x:v>
      </x:c>
      <x:c r="Y154" s="22" t="str">
        <x:f>IF(COUNTIF('SR系统设计'!$A$5:$A$153,B154)+COUNTIF('追溯与覆盖'!$A$5:$A$153,C154)=2,"PASS","FAIL")</x:f>
        <x:v>PASS</x:v>
      </x:c>
    </x:row>
    <x:row r="155" ht="84" customHeight="1">
      <x:c r="A155" s="25" t="str">
        <x:v>AR-L4-MC-HIER-STORE-003-01</x:v>
      </x:c>
      <x:c r="B155" s="25" t="str">
        <x:v>SR-01-08-04</x:v>
      </x:c>
      <x:c r="C155" s="25" t="str">
        <x:v>L4-MC-HIER-STORE-003</x:v>
      </x:c>
      <x:c r="D155" s="25" t="str">
        <x:v>SF-01</x:v>
      </x:c>
      <x:c r="E155" s="25" t="str">
        <x:v>IR-01-08</x:v>
      </x:c>
      <x:c r="F155" s="22" t="str">
        <x:v>L4 底层传输层</x:v>
      </x:c>
      <x:c r="G155" s="22" t="str">
        <x:v>TM4</x:v>
      </x:c>
      <x:c r="H155" s="22" t="str">
        <x:v>DPU卸载与分层存储I/O</x:v>
      </x:c>
      <x:c r="I155" s="22" t="str">
        <x:v>P3</x:v>
      </x:c>
      <x:c r="J155" s="22" t="str">
        <x:v>P3</x:v>
      </x:c>
      <x:c r="K155" s="22" t="str">
        <x:v>核心实现</x:v>
      </x:c>
      <x:c r="L155" s="22" t="str">
        <x:v>驱动/硬件协同开发</x:v>
      </x:c>
      <x:c r="M155" s="22" t="str">
        <x:v>src/backends/storage/hier_store.{h,cc}</x:v>
      </x:c>
      <x:c r="N155" s="22" t="str">
        <x:v>HIERSTOREBackend</x:v>
      </x:c>
      <x:c r="O155" s="22" t="str">
        <x:v>在 `src/backends/storage/hier_store.{h,cc}` 新增或重写 `HIERSTOREBackend`，把“KVCache多层异构架构”落实为 L4 底层传输层 可调用主路径：本需求要求实现KVCache on-the-fly 解压缩功能，在从DDR或SSD加载到NPU时，提供on-the-fly的解压缩功能。 输入必须显式消费 persistent extent + object key + slack budget，输出 I/O ticket + durability/checksum evidence，不得用全局单例或隐藏同步 I/O 绕开预算与状态机。</x:v>
      </x:c>
      <x:c r="P155" s="22" t="str">
        <x:v>实现 persistent extent + object key + slack budget → I/O ticket + durability/checksum evidence；遵守 tiny I/O合并失败或Direct能力不可用时显式 staged path；冷路径限流且不抢占TTFT队列</x:v>
      </x:c>
      <x:c r="Q155" s="22" t="str">
        <x:v>核心算法与状态转换完成；新增代码单测分支覆盖≥85%；线程安全/所有权明确；关闭 feature flag 时行为与 baseline 一致。</x:v>
      </x:c>
      <x:c r="R155" s="22" t="str">
        <x:v>ctest -R HIERSTORE --output-on-failure</x:v>
      </x:c>
      <x:c r="S155" s="22" t="str">
        <x:v>高拥塞背景下，KVCache关键小包的P99延迟不随大流数据量线性增加。</x:v>
      </x:c>
      <x:c r="T155" s="22" t="str">
        <x:v>SR-01-08-04</x:v>
      </x:c>
      <x:c r="U155" s="22" t="str">
        <x:v>待认领</x:v>
      </x:c>
      <x:c r="V155" s="22" t="str"/>
      <x:c r="W155" s="22" t="str"/>
      <x:c r="X155" s="22" t="str">
        <x:f>IF(COUNTIF($A$5:$A$451,A155)=1,"PASS","FAIL")</x:f>
        <x:v>PASS</x:v>
      </x:c>
      <x:c r="Y155" s="22" t="str">
        <x:f>IF(COUNTIF('SR系统设计'!$A$5:$A$153,B155)+COUNTIF('追溯与覆盖'!$A$5:$A$153,C155)=2,"PASS","FAIL")</x:f>
        <x:v>PASS</x:v>
      </x:c>
    </x:row>
    <x:row r="156" ht="84" customHeight="1">
      <x:c r="A156" s="25" t="str">
        <x:v>AR-L4-MC-HIER-STORE-003-02</x:v>
      </x:c>
      <x:c r="B156" s="25" t="str">
        <x:v>SR-01-08-04</x:v>
      </x:c>
      <x:c r="C156" s="25" t="str">
        <x:v>L4-MC-HIER-STORE-003</x:v>
      </x:c>
      <x:c r="D156" s="25" t="str">
        <x:v>SF-01</x:v>
      </x:c>
      <x:c r="E156" s="25" t="str">
        <x:v>IR-01-08</x:v>
      </x:c>
      <x:c r="F156" s="22" t="str">
        <x:v>L4 底层传输层</x:v>
      </x:c>
      <x:c r="G156" s="22" t="str">
        <x:v>TM4</x:v>
      </x:c>
      <x:c r="H156" s="22" t="str">
        <x:v>DPU卸载与分层存储I/O</x:v>
      </x:c>
      <x:c r="I156" s="22" t="str">
        <x:v>P3</x:v>
      </x:c>
      <x:c r="J156" s="22" t="str">
        <x:v>P3</x:v>
      </x:c>
      <x:c r="K156" s="22" t="str">
        <x:v>契约配置与降级</x:v>
      </x:c>
      <x:c r="L156" s="22" t="str">
        <x:v>驱动/硬件协同开发</x:v>
      </x:c>
      <x:c r="M156" s="22" t="str">
        <x:v>cmake/KVCacheBackends.cmake + config/backends/hier_store.yaml + src/backends/backend_registry.cc</x:v>
      </x:c>
      <x:c r="N156" s="22" t="str">
        <x:v>KVCACHE_ENABLE_HIER_STORE / kvcache.hier_store.enabled</x:v>
      </x:c>
      <x:c r="O156" s="22" t="str">
        <x:v>增加编译开关 `KVCACHE_ENABLE_HIER_STORE`、运行时开关 `kvcache.hier_store.enabled` 与 BackendRegistry 注册项；冻结 capability、descriptor、completion/fence、error mapping 与 per-path telemetry 字段，并实现“主路径→备路径→重算/冷路径”的有界 fallback。</x:v>
      </x:c>
      <x:c r="P156" s="22" t="str">
        <x:v>IDL/配置 schema 有版本号、默认值、边界校验和错误码；状态/租约/ready 不满足时按 tiny I/O合并失败或Direct能力不可用时显式 staged path；冷路径限流且不抢占TTFT队列</x:v>
      </x:c>
      <x:c r="Q156" s="22" t="str">
        <x:v>配置样例、schema 校验、升级兼容测试和回退路径齐全；任何隐式 fallback 被移除；新增指标可关联 request_id/query_plan_id/object_id/path_id。</x:v>
      </x:c>
      <x:c r="R156" s="22" t="str">
        <x:v>ctest -R HIERSTOREConfig &amp;&amp; ./bin/kvcache_config_check --case=hier_store</x:v>
      </x:c>
      <x:c r="S156" s="22" t="str">
        <x:v>高拥塞背景下，KVCache关键小包的P99延迟不随大流数据量线性增加。</x:v>
      </x:c>
      <x:c r="T156" s="22" t="str">
        <x:v>SR-01-08-04</x:v>
      </x:c>
      <x:c r="U156" s="22" t="str">
        <x:v>待认领</x:v>
      </x:c>
      <x:c r="V156" s="22" t="str"/>
      <x:c r="W156" s="22" t="str"/>
      <x:c r="X156" s="22" t="str">
        <x:f>IF(COUNTIF($A$5:$A$451,A156)=1,"PASS","FAIL")</x:f>
        <x:v>PASS</x:v>
      </x:c>
      <x:c r="Y156" s="22" t="str">
        <x:f>IF(COUNTIF('SR系统设计'!$A$5:$A$153,B156)+COUNTIF('追溯与覆盖'!$A$5:$A$153,C156)=2,"PASS","FAIL")</x:f>
        <x:v>PASS</x:v>
      </x:c>
    </x:row>
    <x:row r="157" ht="84" customHeight="1">
      <x:c r="A157" s="25" t="str">
        <x:v>AR-L4-MC-HIER-STORE-003-03</x:v>
      </x:c>
      <x:c r="B157" s="25" t="str">
        <x:v>SR-01-08-04</x:v>
      </x:c>
      <x:c r="C157" s="25" t="str">
        <x:v>L4-MC-HIER-STORE-003</x:v>
      </x:c>
      <x:c r="D157" s="25" t="str">
        <x:v>SF-01</x:v>
      </x:c>
      <x:c r="E157" s="25" t="str">
        <x:v>IR-01-08</x:v>
      </x:c>
      <x:c r="F157" s="22" t="str">
        <x:v>L4 底层传输层</x:v>
      </x:c>
      <x:c r="G157" s="22" t="str">
        <x:v>TM4</x:v>
      </x:c>
      <x:c r="H157" s="22" t="str">
        <x:v>DPU卸载与分层存储I/O</x:v>
      </x:c>
      <x:c r="I157" s="22" t="str">
        <x:v>P3</x:v>
      </x:c>
      <x:c r="J157" s="22" t="str">
        <x:v>P3</x:v>
      </x:c>
      <x:c r="K157" s="22" t="str">
        <x:v>验证与观测</x:v>
      </x:c>
      <x:c r="L157" s="22" t="str">
        <x:v>驱动/硬件协同开发</x:v>
      </x:c>
      <x:c r="M157" s="22" t="str">
        <x:v>tests/backends/storage/hier_store_test.cc + benchmarks/backends/storage/hier_store_benchmark.cc</x:v>
      </x:c>
      <x:c r="N157" s="22" t="str">
        <x:v>HIERSTORETest / HIERSTOREBenchmark</x:v>
      </x:c>
      <x:c r="O157" s="22" t="str">
        <x:v>新增正常、边界、并发、超时、stale metadata、迁移冲突、路径拥塞/故障与 feature-flag-off 用例；在 benchmark 中固定模型、tokenizer、prompt、并发、拓扑和 baseline，采集 lookup/load/attach、TTFT、TPOT、usable/abandoned hit、带宽/时延及 CPU/NPU 利用率。</x:v>
      </x:c>
      <x:c r="P157" s="22" t="str">
        <x:v>验收直接引用来源指标：“高拥塞背景下，KVCache关键小包的P99延迟不随大流数据量线性增加。”；故障用例必须证明错误 KV 不被消费且 fallback reason 可追踪。</x:v>
      </x:c>
      <x:c r="Q157" s="22" t="str">
        <x:v>来源验收项全部自动化；性能报告包含 P50/P95/P99、置信区间与 baseline；失败门槛接入 CI；测试数据和命令可复现。</x:v>
      </x:c>
      <x:c r="R157" s="22" t="str">
        <x:v>./bin/kvcache_bench --case=hier_store --baseline=native --report=json</x:v>
      </x:c>
      <x:c r="S157" s="22" t="str">
        <x:v>高拥塞背景下，KVCache关键小包的P99延迟不随大流数据量线性增加。</x:v>
      </x:c>
      <x:c r="T157" s="22" t="str">
        <x:v>SR-01-08-04</x:v>
      </x:c>
      <x:c r="U157" s="22" t="str">
        <x:v>待认领</x:v>
      </x:c>
      <x:c r="V157" s="22" t="str"/>
      <x:c r="W157" s="22" t="str"/>
      <x:c r="X157" s="22" t="str">
        <x:f>IF(COUNTIF($A$5:$A$451,A157)=1,"PASS","FAIL")</x:f>
        <x:v>PASS</x:v>
      </x:c>
      <x:c r="Y157" s="22" t="str">
        <x:f>IF(COUNTIF('SR系统设计'!$A$5:$A$153,B157)+COUNTIF('追溯与覆盖'!$A$5:$A$153,C157)=2,"PASS","FAIL")</x:f>
        <x:v>PASS</x:v>
      </x:c>
    </x:row>
    <x:row r="158" ht="84" customHeight="1">
      <x:c r="A158" s="25" t="str">
        <x:v>AR-L4-NET-OFFLOAD-DPU-001-01</x:v>
      </x:c>
      <x:c r="B158" s="25" t="str">
        <x:v>SR-01-08-05</x:v>
      </x:c>
      <x:c r="C158" s="25" t="str">
        <x:v>L4-NET-OFFLOAD-DPU-001</x:v>
      </x:c>
      <x:c r="D158" s="25" t="str">
        <x:v>SF-01</x:v>
      </x:c>
      <x:c r="E158" s="25" t="str">
        <x:v>IR-01-08</x:v>
      </x:c>
      <x:c r="F158" s="22" t="str">
        <x:v>L4 底层传输层</x:v>
      </x:c>
      <x:c r="G158" s="22" t="str">
        <x:v>TM4</x:v>
      </x:c>
      <x:c r="H158" s="22" t="str">
        <x:v>DPU卸载与分层存储I/O</x:v>
      </x:c>
      <x:c r="I158" s="22" t="str">
        <x:v>P3</x:v>
      </x:c>
      <x:c r="J158" s="22" t="str">
        <x:v>P3</x:v>
      </x:c>
      <x:c r="K158" s="22" t="str">
        <x:v>核心实现</x:v>
      </x:c>
      <x:c r="L158" s="22" t="str">
        <x:v>驱动/硬件协同开发</x:v>
      </x:c>
      <x:c r="M158" s="22" t="str">
        <x:v>src/backends/storage/offload_dpu.{h,cc}</x:v>
      </x:c>
      <x:c r="N158" s="22" t="str">
        <x:v>OFFLOADDPUBackend</x:v>
      </x:c>
      <x:c r="O158" s="22" t="str">
        <x:v>在 `src/backends/storage/offload_dpu.{h,cc}` 新增或重写 `OFFLOADDPUBackend`，把“传输数据路径CPU卸载”落实为 L4 底层传输层 可调用主路径：本需求要求将KVCache RDMA传输的控制路径（CQ轮询与完成中断通知Host）、数据路径（INT8量化卸载到DPU FPGA）和路由决策（Mooncake路由表本地化到DPU）卸载至 DPU，使Host CPU的KVCache传输相关开销降低≥70%。 输入必须显式消费 persistent extent + object key + slack budget，输出 I/O ticket + durability/checksum evidence，不得用全局单例或隐藏同步 I/O 绕开预算与状态机。</x:v>
      </x:c>
      <x:c r="P158" s="22" t="str">
        <x:v>实现 persistent extent + object key + slack budget → I/O ticket + durability/checksum evidence；遵守 tiny I/O合并失败或Direct能力不可用时显式 staged path；冷路径限流且不抢占TTFT队列</x:v>
      </x:c>
      <x:c r="Q158" s="22" t="str">
        <x:v>核心算法与状态转换完成；新增代码单测分支覆盖≥85%；线程安全/所有权明确；关闭 feature flag 时行为与 baseline 一致。</x:v>
      </x:c>
      <x:c r="R158" s="22" t="str">
        <x:v>ctest -R OFFLOADDPU --output-on-failure</x:v>
      </x:c>
      <x:c r="S158" s="22" t="str">
        <x:v>作为平台补充能力，在支持 DPU 卸载的硬件上验证数据面/控制面卸载效果，P99 延迟不显著恶化。</x:v>
      </x:c>
      <x:c r="T158" s="22" t="str">
        <x:v>SR-01-08-05</x:v>
      </x:c>
      <x:c r="U158" s="22" t="str">
        <x:v>待认领</x:v>
      </x:c>
      <x:c r="V158" s="22" t="str"/>
      <x:c r="W158" s="22" t="str"/>
      <x:c r="X158" s="22" t="str">
        <x:f>IF(COUNTIF($A$5:$A$451,A158)=1,"PASS","FAIL")</x:f>
        <x:v>PASS</x:v>
      </x:c>
      <x:c r="Y158" s="22" t="str">
        <x:f>IF(COUNTIF('SR系统设计'!$A$5:$A$153,B158)+COUNTIF('追溯与覆盖'!$A$5:$A$153,C158)=2,"PASS","FAIL")</x:f>
        <x:v>PASS</x:v>
      </x:c>
    </x:row>
    <x:row r="159" ht="84" customHeight="1">
      <x:c r="A159" s="25" t="str">
        <x:v>AR-L4-NET-OFFLOAD-DPU-001-02</x:v>
      </x:c>
      <x:c r="B159" s="25" t="str">
        <x:v>SR-01-08-05</x:v>
      </x:c>
      <x:c r="C159" s="25" t="str">
        <x:v>L4-NET-OFFLOAD-DPU-001</x:v>
      </x:c>
      <x:c r="D159" s="25" t="str">
        <x:v>SF-01</x:v>
      </x:c>
      <x:c r="E159" s="25" t="str">
        <x:v>IR-01-08</x:v>
      </x:c>
      <x:c r="F159" s="22" t="str">
        <x:v>L4 底层传输层</x:v>
      </x:c>
      <x:c r="G159" s="22" t="str">
        <x:v>TM4</x:v>
      </x:c>
      <x:c r="H159" s="22" t="str">
        <x:v>DPU卸载与分层存储I/O</x:v>
      </x:c>
      <x:c r="I159" s="22" t="str">
        <x:v>P3</x:v>
      </x:c>
      <x:c r="J159" s="22" t="str">
        <x:v>P3</x:v>
      </x:c>
      <x:c r="K159" s="22" t="str">
        <x:v>契约配置与降级</x:v>
      </x:c>
      <x:c r="L159" s="22" t="str">
        <x:v>驱动/硬件协同开发</x:v>
      </x:c>
      <x:c r="M159" s="22" t="str">
        <x:v>cmake/KVCacheBackends.cmake + config/backends/offload_dpu.yaml + src/backends/backend_registry.cc</x:v>
      </x:c>
      <x:c r="N159" s="22" t="str">
        <x:v>KVCACHE_ENABLE_OFFLOAD_DPU / kvcache.offload_dpu.enabled</x:v>
      </x:c>
      <x:c r="O159" s="22" t="str">
        <x:v>增加编译开关 `KVCACHE_ENABLE_OFFLOAD_DPU`、运行时开关 `kvcache.offload_dpu.enabled` 与 BackendRegistry 注册项；冻结 capability、descriptor、completion/fence、error mapping 与 per-path telemetry 字段，并实现“主路径→备路径→重算/冷路径”的有界 fallback。</x:v>
      </x:c>
      <x:c r="P159" s="22" t="str">
        <x:v>IDL/配置 schema 有版本号、默认值、边界校验和错误码；状态/租约/ready 不满足时按 tiny I/O合并失败或Direct能力不可用时显式 staged path；冷路径限流且不抢占TTFT队列</x:v>
      </x:c>
      <x:c r="Q159" s="22" t="str">
        <x:v>配置样例、schema 校验、升级兼容测试和回退路径齐全；任何隐式 fallback 被移除；新增指标可关联 request_id/query_plan_id/object_id/path_id。</x:v>
      </x:c>
      <x:c r="R159" s="22" t="str">
        <x:v>ctest -R OFFLOADDPUConfig &amp;&amp; ./bin/kvcache_config_check --case=offload_dpu</x:v>
      </x:c>
      <x:c r="S159" s="22" t="str">
        <x:v>作为平台补充能力，在支持 DPU 卸载的硬件上验证数据面/控制面卸载效果，P99 延迟不显著恶化。</x:v>
      </x:c>
      <x:c r="T159" s="22" t="str">
        <x:v>SR-01-08-05</x:v>
      </x:c>
      <x:c r="U159" s="22" t="str">
        <x:v>待认领</x:v>
      </x:c>
      <x:c r="V159" s="22" t="str"/>
      <x:c r="W159" s="22" t="str"/>
      <x:c r="X159" s="22" t="str">
        <x:f>IF(COUNTIF($A$5:$A$451,A159)=1,"PASS","FAIL")</x:f>
        <x:v>PASS</x:v>
      </x:c>
      <x:c r="Y159" s="22" t="str">
        <x:f>IF(COUNTIF('SR系统设计'!$A$5:$A$153,B159)+COUNTIF('追溯与覆盖'!$A$5:$A$153,C159)=2,"PASS","FAIL")</x:f>
        <x:v>PASS</x:v>
      </x:c>
    </x:row>
    <x:row r="160" ht="84" customHeight="1">
      <x:c r="A160" s="25" t="str">
        <x:v>AR-L4-NET-OFFLOAD-DPU-001-03</x:v>
      </x:c>
      <x:c r="B160" s="25" t="str">
        <x:v>SR-01-08-05</x:v>
      </x:c>
      <x:c r="C160" s="25" t="str">
        <x:v>L4-NET-OFFLOAD-DPU-001</x:v>
      </x:c>
      <x:c r="D160" s="25" t="str">
        <x:v>SF-01</x:v>
      </x:c>
      <x:c r="E160" s="25" t="str">
        <x:v>IR-01-08</x:v>
      </x:c>
      <x:c r="F160" s="22" t="str">
        <x:v>L4 底层传输层</x:v>
      </x:c>
      <x:c r="G160" s="22" t="str">
        <x:v>TM4</x:v>
      </x:c>
      <x:c r="H160" s="22" t="str">
        <x:v>DPU卸载与分层存储I/O</x:v>
      </x:c>
      <x:c r="I160" s="22" t="str">
        <x:v>P3</x:v>
      </x:c>
      <x:c r="J160" s="22" t="str">
        <x:v>P3</x:v>
      </x:c>
      <x:c r="K160" s="22" t="str">
        <x:v>验证与观测</x:v>
      </x:c>
      <x:c r="L160" s="22" t="str">
        <x:v>驱动/硬件协同开发</x:v>
      </x:c>
      <x:c r="M160" s="22" t="str">
        <x:v>tests/backends/storage/offload_dpu_test.cc + benchmarks/backends/storage/offload_dpu_benchmark.cc</x:v>
      </x:c>
      <x:c r="N160" s="22" t="str">
        <x:v>OFFLOADDPUTest / OFFLOADDPUBenchmark</x:v>
      </x:c>
      <x:c r="O160" s="22" t="str">
        <x:v>新增正常、边界、并发、超时、stale metadata、迁移冲突、路径拥塞/故障与 feature-flag-off 用例；在 benchmark 中固定模型、tokenizer、prompt、并发、拓扑和 baseline，采集 lookup/load/attach、TTFT、TPOT、usable/abandoned hit、带宽/时延及 CPU/NPU 利用率。</x:v>
      </x:c>
      <x:c r="P160" s="22" t="str">
        <x:v>验收直接引用来源指标：“作为平台补充能力，在支持 DPU 卸载的硬件上验证数据面/控制面卸载效果，P99 延迟不显著恶化。”；故障用例必须证明错误 KV 不被消费且 fallback reason 可追踪。</x:v>
      </x:c>
      <x:c r="Q160" s="22" t="str">
        <x:v>来源验收项全部自动化；性能报告包含 P50/P95/P99、置信区间与 baseline；失败门槛接入 CI；测试数据和命令可复现。</x:v>
      </x:c>
      <x:c r="R160" s="22" t="str">
        <x:v>./bin/kvcache_bench --case=offload_dpu --baseline=native --report=json</x:v>
      </x:c>
      <x:c r="S160" s="22" t="str">
        <x:v>作为平台补充能力，在支持 DPU 卸载的硬件上验证数据面/控制面卸载效果，P99 延迟不显著恶化。</x:v>
      </x:c>
      <x:c r="T160" s="22" t="str">
        <x:v>SR-01-08-05</x:v>
      </x:c>
      <x:c r="U160" s="22" t="str">
        <x:v>待认领</x:v>
      </x:c>
      <x:c r="V160" s="22" t="str"/>
      <x:c r="W160" s="22" t="str"/>
      <x:c r="X160" s="22" t="str">
        <x:f>IF(COUNTIF($A$5:$A$451,A160)=1,"PASS","FAIL")</x:f>
        <x:v>PASS</x:v>
      </x:c>
      <x:c r="Y160" s="22" t="str">
        <x:f>IF(COUNTIF('SR系统设计'!$A$5:$A$153,B160)+COUNTIF('追溯与覆盖'!$A$5:$A$153,C160)=2,"PASS","FAIL")</x:f>
        <x:v>PASS</x:v>
      </x:c>
    </x:row>
    <x:row r="161" ht="84" customHeight="1">
      <x:c r="A161" s="25" t="str">
        <x:v>AR-L4-FABRIC-ROUTER-001-01</x:v>
      </x:c>
      <x:c r="B161" s="25" t="str">
        <x:v>SR-01-09-01</x:v>
      </x:c>
      <x:c r="C161" s="25" t="str">
        <x:v>L4-FABRIC-ROUTER-001</x:v>
      </x:c>
      <x:c r="D161" s="25" t="str">
        <x:v>SF-01</x:v>
      </x:c>
      <x:c r="E161" s="25" t="str">
        <x:v>IR-01-09</x:v>
      </x:c>
      <x:c r="F161" s="22" t="str">
        <x:v>L4 底层传输层</x:v>
      </x:c>
      <x:c r="G161" s="22" t="str">
        <x:v>TM1</x:v>
      </x:c>
      <x:c r="H161" s="22" t="str">
        <x:v>Fabric能力与统一路由</x:v>
      </x:c>
      <x:c r="I161" s="22" t="str">
        <x:v>P0</x:v>
      </x:c>
      <x:c r="J161" s="22" t="str">
        <x:v>P0</x:v>
      </x:c>
      <x:c r="K161" s="22" t="str">
        <x:v>核心实现</x:v>
      </x:c>
      <x:c r="L161" s="22" t="str">
        <x:v>驱动/硬件协同开发</x:v>
      </x:c>
      <x:c r="M161" s="22" t="str">
        <x:v>src/backends/fabric/router.{h,cc}</x:v>
      </x:c>
      <x:c r="N161" s="22" t="str">
        <x:v>ROUTERRouter</x:v>
      </x:c>
      <x:c r="O161" s="22" t="str">
        <x:v>在 `src/backends/fabric/router.{h,cc}` 新增或重写 `ROUTERRouter`，把“多语义底层传输统一路由”落实为 L4 底层传输层 可调用主路径：本需求要求实现混合传输Fabric路由引擎（Fabric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 输入必须显式消费 device inventory + backend probe + layout constraint，输出 PathCapability + feature flags + telemetry schema，不得用全局单例或隐藏同步 I/O 绕开预算与状态机。</x:v>
      </x:c>
      <x:c r="P161" s="22" t="str">
        <x:v>实现 device inventory + backend probe + layout constraint → PathCapability + feature flags + telemetry schema；遵守 能力缺失即关闭对应 feature flag；不得静默降级为不可审计路径</x:v>
      </x:c>
      <x:c r="Q161" s="22" t="str">
        <x:v>核心算法与状态转换完成；新增代码单测分支覆盖≥85%；线程安全/所有权明确；关闭 feature flag 时行为与 baseline 一致。</x:v>
      </x:c>
      <x:c r="R161" s="22" t="str">
        <x:v>ctest -R ROUTER --output-on-failure</x:v>
      </x:c>
      <x:c r="S161" s="22" t="str">
        <x:v>同机架内本地及远端DDR命中率（Local Usable Hit Rate）提升≥30%。</x:v>
      </x:c>
      <x:c r="T161" s="22" t="str">
        <x:v>SR-01-09-01</x:v>
      </x:c>
      <x:c r="U161" s="22" t="str">
        <x:v>待认领</x:v>
      </x:c>
      <x:c r="V161" s="22" t="str"/>
      <x:c r="W161" s="22" t="str"/>
      <x:c r="X161" s="22" t="str">
        <x:f>IF(COUNTIF($A$5:$A$451,A161)=1,"PASS","FAIL")</x:f>
        <x:v>PASS</x:v>
      </x:c>
      <x:c r="Y161" s="22" t="str">
        <x:f>IF(COUNTIF('SR系统设计'!$A$5:$A$153,B161)+COUNTIF('追溯与覆盖'!$A$5:$A$153,C161)=2,"PASS","FAIL")</x:f>
        <x:v>PASS</x:v>
      </x:c>
    </x:row>
    <x:row r="162" ht="84" customHeight="1">
      <x:c r="A162" s="25" t="str">
        <x:v>AR-L4-FABRIC-ROUTER-001-02</x:v>
      </x:c>
      <x:c r="B162" s="25" t="str">
        <x:v>SR-01-09-01</x:v>
      </x:c>
      <x:c r="C162" s="25" t="str">
        <x:v>L4-FABRIC-ROUTER-001</x:v>
      </x:c>
      <x:c r="D162" s="25" t="str">
        <x:v>SF-01</x:v>
      </x:c>
      <x:c r="E162" s="25" t="str">
        <x:v>IR-01-09</x:v>
      </x:c>
      <x:c r="F162" s="22" t="str">
        <x:v>L4 底层传输层</x:v>
      </x:c>
      <x:c r="G162" s="22" t="str">
        <x:v>TM1</x:v>
      </x:c>
      <x:c r="H162" s="22" t="str">
        <x:v>Fabric能力与统一路由</x:v>
      </x:c>
      <x:c r="I162" s="22" t="str">
        <x:v>P0</x:v>
      </x:c>
      <x:c r="J162" s="22" t="str">
        <x:v>P0</x:v>
      </x:c>
      <x:c r="K162" s="22" t="str">
        <x:v>契约配置与降级</x:v>
      </x:c>
      <x:c r="L162" s="22" t="str">
        <x:v>驱动/硬件协同开发</x:v>
      </x:c>
      <x:c r="M162" s="22" t="str">
        <x:v>cmake/KVCacheBackends.cmake + config/backends/router.yaml + src/backends/backend_registry.cc</x:v>
      </x:c>
      <x:c r="N162" s="22" t="str">
        <x:v>KVCACHE_ENABLE_ROUTER / kvcache.router.enabled</x:v>
      </x:c>
      <x:c r="O162" s="22" t="str">
        <x:v>增加编译开关 `KVCACHE_ENABLE_ROUTER`、运行时开关 `kvcache.router.enabled` 与 BackendRegistry 注册项；冻结 capability、descriptor、completion/fence、error mapping 与 per-path telemetry 字段，并实现“主路径→备路径→重算/冷路径”的有界 fallback。</x:v>
      </x:c>
      <x:c r="P162" s="22" t="str">
        <x:v>IDL/配置 schema 有版本号、默认值、边界校验和错误码；状态/租约/ready 不满足时按 能力缺失即关闭对应 feature flag；不得静默降级为不可审计路径</x:v>
      </x:c>
      <x:c r="Q162" s="22" t="str">
        <x:v>配置样例、schema 校验、升级兼容测试和回退路径齐全；任何隐式 fallback 被移除；新增指标可关联 request_id/query_plan_id/object_id/path_id。</x:v>
      </x:c>
      <x:c r="R162" s="22" t="str">
        <x:v>ctest -R ROUTERConfig &amp;&amp; ./bin/kvcache_config_check --case=router</x:v>
      </x:c>
      <x:c r="S162" s="22" t="str">
        <x:v>同机架内本地及远端DDR命中率（Local Usable Hit Rate）提升≥30%。</x:v>
      </x:c>
      <x:c r="T162" s="22" t="str">
        <x:v>SR-01-09-01</x:v>
      </x:c>
      <x:c r="U162" s="22" t="str">
        <x:v>待认领</x:v>
      </x:c>
      <x:c r="V162" s="22" t="str"/>
      <x:c r="W162" s="22" t="str"/>
      <x:c r="X162" s="22" t="str">
        <x:f>IF(COUNTIF($A$5:$A$451,A162)=1,"PASS","FAIL")</x:f>
        <x:v>PASS</x:v>
      </x:c>
      <x:c r="Y162" s="22" t="str">
        <x:f>IF(COUNTIF('SR系统设计'!$A$5:$A$153,B162)+COUNTIF('追溯与覆盖'!$A$5:$A$153,C162)=2,"PASS","FAIL")</x:f>
        <x:v>PASS</x:v>
      </x:c>
    </x:row>
    <x:row r="163" ht="84" customHeight="1">
      <x:c r="A163" s="25" t="str">
        <x:v>AR-L4-FABRIC-ROUTER-001-03</x:v>
      </x:c>
      <x:c r="B163" s="25" t="str">
        <x:v>SR-01-09-01</x:v>
      </x:c>
      <x:c r="C163" s="25" t="str">
        <x:v>L4-FABRIC-ROUTER-001</x:v>
      </x:c>
      <x:c r="D163" s="25" t="str">
        <x:v>SF-01</x:v>
      </x:c>
      <x:c r="E163" s="25" t="str">
        <x:v>IR-01-09</x:v>
      </x:c>
      <x:c r="F163" s="22" t="str">
        <x:v>L4 底层传输层</x:v>
      </x:c>
      <x:c r="G163" s="22" t="str">
        <x:v>TM1</x:v>
      </x:c>
      <x:c r="H163" s="22" t="str">
        <x:v>Fabric能力与统一路由</x:v>
      </x:c>
      <x:c r="I163" s="22" t="str">
        <x:v>P0</x:v>
      </x:c>
      <x:c r="J163" s="22" t="str">
        <x:v>P0</x:v>
      </x:c>
      <x:c r="K163" s="22" t="str">
        <x:v>验证与观测</x:v>
      </x:c>
      <x:c r="L163" s="22" t="str">
        <x:v>驱动/硬件协同开发</x:v>
      </x:c>
      <x:c r="M163" s="22" t="str">
        <x:v>tests/backends/fabric/router_test.cc + benchmarks/backends/fabric/router_benchmark.cc</x:v>
      </x:c>
      <x:c r="N163" s="22" t="str">
        <x:v>ROUTERTest / ROUTERBenchmark</x:v>
      </x:c>
      <x:c r="O163" s="22" t="str">
        <x:v>新增正常、边界、并发、超时、stale metadata、迁移冲突、路径拥塞/故障与 feature-flag-off 用例；在 benchmark 中固定模型、tokenizer、prompt、并发、拓扑和 baseline，采集 lookup/load/attach、TTFT、TPOT、usable/abandoned hit、带宽/时延及 CPU/NPU 利用率。</x:v>
      </x:c>
      <x:c r="P163" s="22" t="str">
        <x:v>验收直接引用来源指标：“同机架内本地及远端DDR命中率（Local Usable Hit Rate）提升≥30%。”；故障用例必须证明错误 KV 不被消费且 fallback reason 可追踪。</x:v>
      </x:c>
      <x:c r="Q163" s="22" t="str">
        <x:v>来源验收项全部自动化；性能报告包含 P50/P95/P99、置信区间与 baseline；失败门槛接入 CI；测试数据和命令可复现。</x:v>
      </x:c>
      <x:c r="R163" s="22" t="str">
        <x:v>./bin/kvcache_bench --case=router --baseline=native --report=json</x:v>
      </x:c>
      <x:c r="S163" s="22" t="str">
        <x:v>同机架内本地及远端DDR命中率（Local Usable Hit Rate）提升≥30%。</x:v>
      </x:c>
      <x:c r="T163" s="22" t="str">
        <x:v>SR-01-09-01</x:v>
      </x:c>
      <x:c r="U163" s="22" t="str">
        <x:v>待认领</x:v>
      </x:c>
      <x:c r="V163" s="22" t="str"/>
      <x:c r="W163" s="22" t="str"/>
      <x:c r="X163" s="22" t="str">
        <x:f>IF(COUNTIF($A$5:$A$451,A163)=1,"PASS","FAIL")</x:f>
        <x:v>PASS</x:v>
      </x:c>
      <x:c r="Y163" s="22" t="str">
        <x:f>IF(COUNTIF('SR系统设计'!$A$5:$A$153,B163)+COUNTIF('追溯与覆盖'!$A$5:$A$153,C163)=2,"PASS","FAIL")</x:f>
        <x:v>PASS</x:v>
      </x:c>
    </x:row>
    <x:row r="164" ht="84" customHeight="1">
      <x:c r="A164" s="25" t="str">
        <x:v>AR-L4-HW-HostPayloadTouchBudget-076-01</x:v>
      </x:c>
      <x:c r="B164" s="25" t="str">
        <x:v>SR-01-09-02</x:v>
      </x:c>
      <x:c r="C164" s="25" t="str">
        <x:v>L4-HW-HostPayloadTouchBudget-076</x:v>
      </x:c>
      <x:c r="D164" s="25" t="str">
        <x:v>SF-01</x:v>
      </x:c>
      <x:c r="E164" s="25" t="str">
        <x:v>IR-01-09</x:v>
      </x:c>
      <x:c r="F164" s="22" t="str">
        <x:v>L4 底层传输层</x:v>
      </x:c>
      <x:c r="G164" s="22" t="str">
        <x:v>TM4</x:v>
      </x:c>
      <x:c r="H164" s="22" t="str">
        <x:v>Fabric能力与统一路由</x:v>
      </x:c>
      <x:c r="I164" s="22" t="str">
        <x:v>P0</x:v>
      </x:c>
      <x:c r="J164" s="22" t="str">
        <x:v>P0</x:v>
      </x:c>
      <x:c r="K164" s="22" t="str">
        <x:v>核心实现</x:v>
      </x:c>
      <x:c r="L164" s="22" t="str">
        <x:v>驱动/硬件协同开发</x:v>
      </x:c>
      <x:c r="M164" s="22" t="str">
        <x:v>src/backends/fabric/host_payload_touch_budget.{h,cc}</x:v>
      </x:c>
      <x:c r="N164" s="22" t="str">
        <x:v>HostPayloadTouchBudgetRouter</x:v>
      </x:c>
      <x:c r="O164" s="22" t="str">
        <x:v>在 `src/backends/fabric/host_payload_touch_budget.{h,cc}` 新增或重写 `HostPayloadTouchBudgetRouter`，把“识别 direct 路径真实性，防止名义 direct 实际绕行 CPU/DDR”落实为 L4 底层传输层 可调用主路径：本需求要求底层 capability 与 telemetry 对每条 KV 数据路径声明 Host Payload touch 次数、CPU copy 次数、CPU cycles/GB、是否执行 CPU codec/CRC、DMA/存储引擎和队列。 输入必须显式消费 device inventory + backend probe + layout constraint，输出 PathCapability + feature flags + telemetry schema，不得用全局单例或隐藏同步 I/O 绕开预算与状态机。</x:v>
      </x:c>
      <x:c r="P164" s="22" t="str">
        <x:v>实现 device inventory + backend probe + layout constraint → PathCapability + feature flags + telemetry schema；遵守 能力缺失即关闭对应 feature flag；不得静默降级为不可审计路径</x:v>
      </x:c>
      <x:c r="Q164" s="22" t="str">
        <x:v>核心算法与状态转换完成；新增代码单测分支覆盖≥85%；线程安全/所有权明确；关闭 feature flag 时行为与 baseline 一致。</x:v>
      </x:c>
      <x:c r="R164" s="22" t="str">
        <x:v>ctest -R HostPayloadTouchBudget --output-on-failure</x:v>
      </x:c>
      <x:c r="S164" s="22" t="str">
        <x:v>路径报告可审计；默认主路径 CPU Payload touch=0，任何例外均可见、可禁用并进入成本模型。</x:v>
      </x:c>
      <x:c r="T164" s="22" t="str">
        <x:v>SR-01-09-02</x:v>
      </x:c>
      <x:c r="U164" s="22" t="str">
        <x:v>待认领</x:v>
      </x:c>
      <x:c r="V164" s="22" t="str"/>
      <x:c r="W164" s="22" t="str"/>
      <x:c r="X164" s="22" t="str">
        <x:f>IF(COUNTIF($A$5:$A$451,A164)=1,"PASS","FAIL")</x:f>
        <x:v>PASS</x:v>
      </x:c>
      <x:c r="Y164" s="22" t="str">
        <x:f>IF(COUNTIF('SR系统设计'!$A$5:$A$153,B164)+COUNTIF('追溯与覆盖'!$A$5:$A$153,C164)=2,"PASS","FAIL")</x:f>
        <x:v>PASS</x:v>
      </x:c>
    </x:row>
    <x:row r="165" ht="84" customHeight="1">
      <x:c r="A165" s="25" t="str">
        <x:v>AR-L4-HW-HostPayloadTouchBudget-076-02</x:v>
      </x:c>
      <x:c r="B165" s="25" t="str">
        <x:v>SR-01-09-02</x:v>
      </x:c>
      <x:c r="C165" s="25" t="str">
        <x:v>L4-HW-HostPayloadTouchBudget-076</x:v>
      </x:c>
      <x:c r="D165" s="25" t="str">
        <x:v>SF-01</x:v>
      </x:c>
      <x:c r="E165" s="25" t="str">
        <x:v>IR-01-09</x:v>
      </x:c>
      <x:c r="F165" s="22" t="str">
        <x:v>L4 底层传输层</x:v>
      </x:c>
      <x:c r="G165" s="22" t="str">
        <x:v>TM4</x:v>
      </x:c>
      <x:c r="H165" s="22" t="str">
        <x:v>Fabric能力与统一路由</x:v>
      </x:c>
      <x:c r="I165" s="22" t="str">
        <x:v>P0</x:v>
      </x:c>
      <x:c r="J165" s="22" t="str">
        <x:v>P0</x:v>
      </x:c>
      <x:c r="K165" s="22" t="str">
        <x:v>契约配置与降级</x:v>
      </x:c>
      <x:c r="L165" s="22" t="str">
        <x:v>驱动/硬件协同开发</x:v>
      </x:c>
      <x:c r="M165" s="22" t="str">
        <x:v>cmake/KVCacheBackends.cmake + config/backends/host_payload_touch_budget.yaml + src/backends/backend_registry.cc</x:v>
      </x:c>
      <x:c r="N165" s="22" t="str">
        <x:v>KVCACHE_ENABLE_HOST_PAYLOAD_TOUCH_BUDGET / kvcache.host_payload_touch_budget.enabled</x:v>
      </x:c>
      <x:c r="O165" s="22" t="str">
        <x:v>增加编译开关 `KVCACHE_ENABLE_HOST_PAYLOAD_TOUCH_BUDGET`、运行时开关 `kvcache.host_payload_touch_budget.enabled` 与 BackendRegistry 注册项；冻结 capability、descriptor、completion/fence、error mapping 与 per-path telemetry 字段，并实现“主路径→备路径→重算/冷路径”的有界 fallback。</x:v>
      </x:c>
      <x:c r="P165" s="22" t="str">
        <x:v>IDL/配置 schema 有版本号、默认值、边界校验和错误码；状态/租约/ready 不满足时按 能力缺失即关闭对应 feature flag；不得静默降级为不可审计路径</x:v>
      </x:c>
      <x:c r="Q165" s="22" t="str">
        <x:v>配置样例、schema 校验、升级兼容测试和回退路径齐全；任何隐式 fallback 被移除；新增指标可关联 request_id/query_plan_id/object_id/path_id。</x:v>
      </x:c>
      <x:c r="R165" s="22" t="str">
        <x:v>ctest -R HostPayloadTouchBudgetConfig &amp;&amp; ./bin/kvcache_config_check --case=host_payload_touch_budget</x:v>
      </x:c>
      <x:c r="S165" s="22" t="str">
        <x:v>路径报告可审计；默认主路径 CPU Payload touch=0，任何例外均可见、可禁用并进入成本模型。</x:v>
      </x:c>
      <x:c r="T165" s="22" t="str">
        <x:v>SR-01-09-02</x:v>
      </x:c>
      <x:c r="U165" s="22" t="str">
        <x:v>待认领</x:v>
      </x:c>
      <x:c r="V165" s="22" t="str"/>
      <x:c r="W165" s="22" t="str"/>
      <x:c r="X165" s="22" t="str">
        <x:f>IF(COUNTIF($A$5:$A$451,A165)=1,"PASS","FAIL")</x:f>
        <x:v>PASS</x:v>
      </x:c>
      <x:c r="Y165" s="22" t="str">
        <x:f>IF(COUNTIF('SR系统设计'!$A$5:$A$153,B165)+COUNTIF('追溯与覆盖'!$A$5:$A$153,C165)=2,"PASS","FAIL")</x:f>
        <x:v>PASS</x:v>
      </x:c>
    </x:row>
    <x:row r="166" ht="84" customHeight="1">
      <x:c r="A166" s="25" t="str">
        <x:v>AR-L4-HW-HostPayloadTouchBudget-076-03</x:v>
      </x:c>
      <x:c r="B166" s="25" t="str">
        <x:v>SR-01-09-02</x:v>
      </x:c>
      <x:c r="C166" s="25" t="str">
        <x:v>L4-HW-HostPayloadTouchBudget-076</x:v>
      </x:c>
      <x:c r="D166" s="25" t="str">
        <x:v>SF-01</x:v>
      </x:c>
      <x:c r="E166" s="25" t="str">
        <x:v>IR-01-09</x:v>
      </x:c>
      <x:c r="F166" s="22" t="str">
        <x:v>L4 底层传输层</x:v>
      </x:c>
      <x:c r="G166" s="22" t="str">
        <x:v>TM4</x:v>
      </x:c>
      <x:c r="H166" s="22" t="str">
        <x:v>Fabric能力与统一路由</x:v>
      </x:c>
      <x:c r="I166" s="22" t="str">
        <x:v>P0</x:v>
      </x:c>
      <x:c r="J166" s="22" t="str">
        <x:v>P0</x:v>
      </x:c>
      <x:c r="K166" s="22" t="str">
        <x:v>验证与观测</x:v>
      </x:c>
      <x:c r="L166" s="22" t="str">
        <x:v>驱动/硬件协同开发</x:v>
      </x:c>
      <x:c r="M166" s="22" t="str">
        <x:v>tests/backends/fabric/host_payload_touch_budget_test.cc + benchmarks/backends/fabric/host_payload_touch_budget_benchmark.cc</x:v>
      </x:c>
      <x:c r="N166" s="22" t="str">
        <x:v>HostPayloadTouchBudgetTest / HostPayloadTouchBudgetBenchmark</x:v>
      </x:c>
      <x:c r="O166" s="22" t="str">
        <x:v>新增正常、边界、并发、超时、stale metadata、迁移冲突、路径拥塞/故障与 feature-flag-off 用例；在 benchmark 中固定模型、tokenizer、prompt、并发、拓扑和 baseline，采集 lookup/load/attach、TTFT、TPOT、usable/abandoned hit、带宽/时延及 CPU/NPU 利用率。</x:v>
      </x:c>
      <x:c r="P166" s="22" t="str">
        <x:v>验收直接引用来源指标：“路径报告可审计；默认主路径 CPU Payload touch=0，任何例外均可见、可禁用并进入成本模型。”；故障用例必须证明错误 KV 不被消费且 fallback reason 可追踪。</x:v>
      </x:c>
      <x:c r="Q166" s="22" t="str">
        <x:v>来源验收项全部自动化；性能报告包含 P50/P95/P99、置信区间与 baseline；失败门槛接入 CI；测试数据和命令可复现。</x:v>
      </x:c>
      <x:c r="R166" s="22" t="str">
        <x:v>./bin/kvcache_bench --case=host_payload_touch_budget --baseline=native --report=json</x:v>
      </x:c>
      <x:c r="S166" s="22" t="str">
        <x:v>路径报告可审计；默认主路径 CPU Payload touch=0，任何例外均可见、可禁用并进入成本模型。</x:v>
      </x:c>
      <x:c r="T166" s="22" t="str">
        <x:v>SR-01-09-02</x:v>
      </x:c>
      <x:c r="U166" s="22" t="str">
        <x:v>待认领</x:v>
      </x:c>
      <x:c r="V166" s="22" t="str"/>
      <x:c r="W166" s="22" t="str"/>
      <x:c r="X166" s="22" t="str">
        <x:f>IF(COUNTIF($A$5:$A$451,A166)=1,"PASS","FAIL")</x:f>
        <x:v>PASS</x:v>
      </x:c>
      <x:c r="Y166" s="22" t="str">
        <x:f>IF(COUNTIF('SR系统设计'!$A$5:$A$153,B166)+COUNTIF('追溯与覆盖'!$A$5:$A$153,C166)=2,"PASS","FAIL")</x:f>
        <x:v>PASS</x:v>
      </x:c>
    </x:row>
    <x:row r="167" ht="84" customHeight="1">
      <x:c r="A167" s="25" t="str">
        <x:v>AR-L4-HW-SemCapTable-050-01</x:v>
      </x:c>
      <x:c r="B167" s="25" t="str">
        <x:v>SR-01-09-03</x:v>
      </x:c>
      <x:c r="C167" s="25" t="str">
        <x:v>L4-HW-SemCapTable-050</x:v>
      </x:c>
      <x:c r="D167" s="25" t="str">
        <x:v>SF-01</x:v>
      </x:c>
      <x:c r="E167" s="25" t="str">
        <x:v>IR-01-09</x:v>
      </x:c>
      <x:c r="F167" s="22" t="str">
        <x:v>L4 底层传输层</x:v>
      </x:c>
      <x:c r="G167" s="22" t="str">
        <x:v>TM1</x:v>
      </x:c>
      <x:c r="H167" s="22" t="str">
        <x:v>Fabric能力与统一路由</x:v>
      </x:c>
      <x:c r="I167" s="22" t="str">
        <x:v>P0</x:v>
      </x:c>
      <x:c r="J167" s="22" t="str">
        <x:v>P0</x:v>
      </x:c>
      <x:c r="K167" s="22" t="str">
        <x:v>核心实现</x:v>
      </x:c>
      <x:c r="L167" s="22" t="str">
        <x:v>驱动/硬件协同开发</x:v>
      </x:c>
      <x:c r="M167" s="22" t="str">
        <x:v>src/backends/fabric/sem_cap_table.{h,cc}</x:v>
      </x:c>
      <x:c r="N167" s="22" t="str">
        <x:v>SemCapTableRouter</x:v>
      </x:c>
      <x:c r="O167" s="22" t="str">
        <x:v>在 `src/backends/fabric/sem_cap_table.{h,cc}` 新增或重写 `SemCapTableRouter`，把“异构 KV 传输硬件能力建模”落实为 L4 底层传输层 可调用主路径：本需求要求硬件抽象层输出 semantic capability table：对每条路径声明可支持的链路类型，支持 coherent memory view、atomic、DMA、RDMA、GDS、TCP stream、QoS、fence、persistent visibility、NPU DMA，使上层不会误把所有路径当作普通 read/write。 输入必须显式消费 device inventory + backend probe + layout constraint，输出 PathCapability + feature flags + telemetry schema，不得用全局单例或隐藏同步 I/O 绕开预算与状态机。</x:v>
      </x:c>
      <x:c r="P167" s="22" t="str">
        <x:v>实现 device inventory + backend probe + layout constraint → PathCapability + feature flags + telemetry schema；遵守 能力缺失即关闭对应 feature flag；不得静默降级为不可审计路径</x:v>
      </x:c>
      <x:c r="Q167" s="22" t="str">
        <x:v>核心算法与状态转换完成；新增代码单测分支覆盖≥85%；线程安全/所有权明确；关闭 feature flag 时行为与 baseline 一致。</x:v>
      </x:c>
      <x:c r="R167" s="22" t="str">
        <x:v>ctest -R SemCapTable --output-on-failure</x:v>
      </x:c>
      <x:c r="S167" s="22" t="str">
        <x:v>建立前置硬件能力矩阵和注册内存池机制，确保 KV block layout 不被碎片化，并能进行有效的硬件边界隔离。</x:v>
      </x:c>
      <x:c r="T167" s="22" t="str">
        <x:v>SR-01-09-03</x:v>
      </x:c>
      <x:c r="U167" s="22" t="str">
        <x:v>待认领</x:v>
      </x:c>
      <x:c r="V167" s="22" t="str"/>
      <x:c r="W167" s="22" t="str"/>
      <x:c r="X167" s="22" t="str">
        <x:f>IF(COUNTIF($A$5:$A$451,A167)=1,"PASS","FAIL")</x:f>
        <x:v>PASS</x:v>
      </x:c>
      <x:c r="Y167" s="22" t="str">
        <x:f>IF(COUNTIF('SR系统设计'!$A$5:$A$153,B167)+COUNTIF('追溯与覆盖'!$A$5:$A$153,C167)=2,"PASS","FAIL")</x:f>
        <x:v>PASS</x:v>
      </x:c>
    </x:row>
    <x:row r="168" ht="84" customHeight="1">
      <x:c r="A168" s="25" t="str">
        <x:v>AR-L4-HW-SemCapTable-050-02</x:v>
      </x:c>
      <x:c r="B168" s="25" t="str">
        <x:v>SR-01-09-03</x:v>
      </x:c>
      <x:c r="C168" s="25" t="str">
        <x:v>L4-HW-SemCapTable-050</x:v>
      </x:c>
      <x:c r="D168" s="25" t="str">
        <x:v>SF-01</x:v>
      </x:c>
      <x:c r="E168" s="25" t="str">
        <x:v>IR-01-09</x:v>
      </x:c>
      <x:c r="F168" s="22" t="str">
        <x:v>L4 底层传输层</x:v>
      </x:c>
      <x:c r="G168" s="22" t="str">
        <x:v>TM1</x:v>
      </x:c>
      <x:c r="H168" s="22" t="str">
        <x:v>Fabric能力与统一路由</x:v>
      </x:c>
      <x:c r="I168" s="22" t="str">
        <x:v>P0</x:v>
      </x:c>
      <x:c r="J168" s="22" t="str">
        <x:v>P0</x:v>
      </x:c>
      <x:c r="K168" s="22" t="str">
        <x:v>契约配置与降级</x:v>
      </x:c>
      <x:c r="L168" s="22" t="str">
        <x:v>驱动/硬件协同开发</x:v>
      </x:c>
      <x:c r="M168" s="22" t="str">
        <x:v>cmake/KVCacheBackends.cmake + config/backends/sem_cap_table.yaml + src/backends/backend_registry.cc</x:v>
      </x:c>
      <x:c r="N168" s="22" t="str">
        <x:v>KVCACHE_ENABLE_SEM_CAP_TABLE / kvcache.sem_cap_table.enabled</x:v>
      </x:c>
      <x:c r="O168" s="22" t="str">
        <x:v>增加编译开关 `KVCACHE_ENABLE_SEM_CAP_TABLE`、运行时开关 `kvcache.sem_cap_table.enabled` 与 BackendRegistry 注册项；冻结 capability、descriptor、completion/fence、error mapping 与 per-path telemetry 字段，并实现“主路径→备路径→重算/冷路径”的有界 fallback。</x:v>
      </x:c>
      <x:c r="P168" s="22" t="str">
        <x:v>IDL/配置 schema 有版本号、默认值、边界校验和错误码；状态/租约/ready 不满足时按 能力缺失即关闭对应 feature flag；不得静默降级为不可审计路径</x:v>
      </x:c>
      <x:c r="Q168" s="22" t="str">
        <x:v>配置样例、schema 校验、升级兼容测试和回退路径齐全；任何隐式 fallback 被移除；新增指标可关联 request_id/query_plan_id/object_id/path_id。</x:v>
      </x:c>
      <x:c r="R168" s="22" t="str">
        <x:v>ctest -R SemCapTableConfig &amp;&amp; ./bin/kvcache_config_check --case=sem_cap_table</x:v>
      </x:c>
      <x:c r="S168" s="22" t="str">
        <x:v>建立前置硬件能力矩阵和注册内存池机制，确保 KV block layout 不被碎片化，并能进行有效的硬件边界隔离。</x:v>
      </x:c>
      <x:c r="T168" s="22" t="str">
        <x:v>SR-01-09-03</x:v>
      </x:c>
      <x:c r="U168" s="22" t="str">
        <x:v>待认领</x:v>
      </x:c>
      <x:c r="V168" s="22" t="str"/>
      <x:c r="W168" s="22" t="str"/>
      <x:c r="X168" s="22" t="str">
        <x:f>IF(COUNTIF($A$5:$A$451,A168)=1,"PASS","FAIL")</x:f>
        <x:v>PASS</x:v>
      </x:c>
      <x:c r="Y168" s="22" t="str">
        <x:f>IF(COUNTIF('SR系统设计'!$A$5:$A$153,B168)+COUNTIF('追溯与覆盖'!$A$5:$A$153,C168)=2,"PASS","FAIL")</x:f>
        <x:v>PASS</x:v>
      </x:c>
    </x:row>
    <x:row r="169" ht="84" customHeight="1">
      <x:c r="A169" s="25" t="str">
        <x:v>AR-L4-HW-SemCapTable-050-03</x:v>
      </x:c>
      <x:c r="B169" s="25" t="str">
        <x:v>SR-01-09-03</x:v>
      </x:c>
      <x:c r="C169" s="25" t="str">
        <x:v>L4-HW-SemCapTable-050</x:v>
      </x:c>
      <x:c r="D169" s="25" t="str">
        <x:v>SF-01</x:v>
      </x:c>
      <x:c r="E169" s="25" t="str">
        <x:v>IR-01-09</x:v>
      </x:c>
      <x:c r="F169" s="22" t="str">
        <x:v>L4 底层传输层</x:v>
      </x:c>
      <x:c r="G169" s="22" t="str">
        <x:v>TM1</x:v>
      </x:c>
      <x:c r="H169" s="22" t="str">
        <x:v>Fabric能力与统一路由</x:v>
      </x:c>
      <x:c r="I169" s="22" t="str">
        <x:v>P0</x:v>
      </x:c>
      <x:c r="J169" s="22" t="str">
        <x:v>P0</x:v>
      </x:c>
      <x:c r="K169" s="22" t="str">
        <x:v>验证与观测</x:v>
      </x:c>
      <x:c r="L169" s="22" t="str">
        <x:v>驱动/硬件协同开发</x:v>
      </x:c>
      <x:c r="M169" s="22" t="str">
        <x:v>tests/backends/fabric/sem_cap_table_test.cc + benchmarks/backends/fabric/sem_cap_table_benchmark.cc</x:v>
      </x:c>
      <x:c r="N169" s="22" t="str">
        <x:v>SemCapTableTest / SemCapTableBenchmark</x:v>
      </x:c>
      <x:c r="O169" s="22" t="str">
        <x:v>新增正常、边界、并发、超时、stale metadata、迁移冲突、路径拥塞/故障与 feature-flag-off 用例；在 benchmark 中固定模型、tokenizer、prompt、并发、拓扑和 baseline，采集 lookup/load/attach、TTFT、TPOT、usable/abandoned hit、带宽/时延及 CPU/NPU 利用率。</x:v>
      </x:c>
      <x:c r="P169" s="22" t="str">
        <x:v>验收直接引用来源指标：“建立前置硬件能力矩阵和注册内存池机制，确保 KV block layout 不被碎片化，并能进行有效的硬件边界隔离。”；故障用例必须证明错误 KV 不被消费且 fallback reason 可追踪。</x:v>
      </x:c>
      <x:c r="Q169" s="22" t="str">
        <x:v>来源验收项全部自动化；性能报告包含 P50/P95/P99、置信区间与 baseline；失败门槛接入 CI；测试数据和命令可复现。</x:v>
      </x:c>
      <x:c r="R169" s="22" t="str">
        <x:v>./bin/kvcache_bench --case=sem_cap_table --baseline=native --report=json</x:v>
      </x:c>
      <x:c r="S169" s="22" t="str">
        <x:v>建立前置硬件能力矩阵和注册内存池机制，确保 KV block layout 不被碎片化，并能进行有效的硬件边界隔离。</x:v>
      </x:c>
      <x:c r="T169" s="22" t="str">
        <x:v>SR-01-09-03</x:v>
      </x:c>
      <x:c r="U169" s="22" t="str">
        <x:v>待认领</x:v>
      </x:c>
      <x:c r="V169" s="22" t="str"/>
      <x:c r="W169" s="22" t="str"/>
      <x:c r="X169" s="22" t="str">
        <x:f>IF(COUNTIF($A$5:$A$451,A169)=1,"PASS","FAIL")</x:f>
        <x:v>PASS</x:v>
      </x:c>
      <x:c r="Y169" s="22" t="str">
        <x:f>IF(COUNTIF('SR系统设计'!$A$5:$A$153,B169)+COUNTIF('追溯与覆盖'!$A$5:$A$153,C169)=2,"PASS","FAIL")</x:f>
        <x:v>PASS</x:v>
      </x:c>
    </x:row>
    <x:row r="170" ht="84" customHeight="1">
      <x:c r="A170" s="25" t="str">
        <x:v>AR-L4-HW-StorageLayoutCapability-067-01</x:v>
      </x:c>
      <x:c r="B170" s="25" t="str">
        <x:v>SR-01-09-04</x:v>
      </x:c>
      <x:c r="C170" s="25" t="str">
        <x:v>L4-HW-StorageLayoutCapability-067</x:v>
      </x:c>
      <x:c r="D170" s="25" t="str">
        <x:v>SF-01</x:v>
      </x:c>
      <x:c r="E170" s="25" t="str">
        <x:v>IR-01-09</x:v>
      </x:c>
      <x:c r="F170" s="22" t="str">
        <x:v>L4 底层传输层</x:v>
      </x:c>
      <x:c r="G170" s="22" t="str">
        <x:v>TM1</x:v>
      </x:c>
      <x:c r="H170" s="22" t="str">
        <x:v>Fabric能力与统一路由</x:v>
      </x:c>
      <x:c r="I170" s="22" t="str">
        <x:v>P0</x:v>
      </x:c>
      <x:c r="J170" s="22" t="str">
        <x:v>P0</x:v>
      </x:c>
      <x:c r="K170" s="22" t="str">
        <x:v>核心实现</x:v>
      </x:c>
      <x:c r="L170" s="22" t="str">
        <x:v>驱动/硬件协同开发</x:v>
      </x:c>
      <x:c r="M170" s="22" t="str">
        <x:v>src/backends/fabric/storage_layout_capability.{h,cc}</x:v>
      </x:c>
      <x:c r="N170" s="22" t="str">
        <x:v>StorageLayoutCapabilityRouter</x:v>
      </x:c>
      <x:c r="O170" s="22" t="str">
        <x:v>在 `src/backends/fabric/storage_layout_capability.{h,cc}` 新增或重写 `StorageLayoutCapabilityRouter`，把“KV 存储布局与底层能力匹配”落实为 L4 底层传输层 可调用主路径：本需求要求底层能力表声明各后端对 extent layout 的约束，包括 alignment、max_sg_entries、max_segment_size、registration granularity、direct-IO granularity、page size、cross-layer block support、zero-copy view support，使 L3 生成的 manifest 和 descriptor 不违… 输入必须显式消费 device inventory + backend probe + layout constraint，输出 PathCapability + feature flags + telemetry schema，不得用全局单例或隐藏同步 I/O 绕开预算与状态机。</x:v>
      </x:c>
      <x:c r="P170" s="22" t="str">
        <x:v>实现 device inventory + backend probe + layout constraint → PathCapability + feature flags + telemetry schema；遵守 能力缺失即关闭对应 feature flag；不得静默降级为不可审计路径</x:v>
      </x:c>
      <x:c r="Q170" s="22" t="str">
        <x:v>核心算法与状态转换完成；新增代码单测分支覆盖≥85%；线程安全/所有权明确；关闭 feature flag 时行为与 baseline 一致。</x:v>
      </x:c>
      <x:c r="R170" s="22" t="str">
        <x:v>ctest -R StorageLayoutCapability --output-on-failure</x:v>
      </x:c>
      <x:c r="S170" s="22" t="str">
        <x:v>建立前置硬件能力矩阵和注册内存池机制，确保 KV block layout 不被碎片化，并能进行有效的硬件边界隔离。</x:v>
      </x:c>
      <x:c r="T170" s="22" t="str">
        <x:v>SR-01-09-04</x:v>
      </x:c>
      <x:c r="U170" s="22" t="str">
        <x:v>待认领</x:v>
      </x:c>
      <x:c r="V170" s="22" t="str"/>
      <x:c r="W170" s="22" t="str"/>
      <x:c r="X170" s="22" t="str">
        <x:f>IF(COUNTIF($A$5:$A$451,A170)=1,"PASS","FAIL")</x:f>
        <x:v>PASS</x:v>
      </x:c>
      <x:c r="Y170" s="22" t="str">
        <x:f>IF(COUNTIF('SR系统设计'!$A$5:$A$153,B170)+COUNTIF('追溯与覆盖'!$A$5:$A$153,C170)=2,"PASS","FAIL")</x:f>
        <x:v>PASS</x:v>
      </x:c>
    </x:row>
    <x:row r="171" ht="84" customHeight="1">
      <x:c r="A171" s="25" t="str">
        <x:v>AR-L4-HW-StorageLayoutCapability-067-02</x:v>
      </x:c>
      <x:c r="B171" s="25" t="str">
        <x:v>SR-01-09-04</x:v>
      </x:c>
      <x:c r="C171" s="25" t="str">
        <x:v>L4-HW-StorageLayoutCapability-067</x:v>
      </x:c>
      <x:c r="D171" s="25" t="str">
        <x:v>SF-01</x:v>
      </x:c>
      <x:c r="E171" s="25" t="str">
        <x:v>IR-01-09</x:v>
      </x:c>
      <x:c r="F171" s="22" t="str">
        <x:v>L4 底层传输层</x:v>
      </x:c>
      <x:c r="G171" s="22" t="str">
        <x:v>TM1</x:v>
      </x:c>
      <x:c r="H171" s="22" t="str">
        <x:v>Fabric能力与统一路由</x:v>
      </x:c>
      <x:c r="I171" s="22" t="str">
        <x:v>P0</x:v>
      </x:c>
      <x:c r="J171" s="22" t="str">
        <x:v>P0</x:v>
      </x:c>
      <x:c r="K171" s="22" t="str">
        <x:v>契约配置与降级</x:v>
      </x:c>
      <x:c r="L171" s="22" t="str">
        <x:v>驱动/硬件协同开发</x:v>
      </x:c>
      <x:c r="M171" s="22" t="str">
        <x:v>cmake/KVCacheBackends.cmake + config/backends/storage_layout_capability.yaml + src/backends/backend_registry.cc</x:v>
      </x:c>
      <x:c r="N171" s="22" t="str">
        <x:v>KVCACHE_ENABLE_STORAGE_LAYOUT_CAPABILITY / kvcache.storage_layout_capability.enabled</x:v>
      </x:c>
      <x:c r="O171" s="22" t="str">
        <x:v>增加编译开关 `KVCACHE_ENABLE_STORAGE_LAYOUT_CAPABILITY`、运行时开关 `kvcache.storage_layout_capability.enabled` 与 BackendRegistry 注册项；冻结 capability、descriptor、completion/fence、error mapping 与 per-path telemetry 字段，并实现“主路径→备路径→重算/冷路径”的有界 fallback。</x:v>
      </x:c>
      <x:c r="P171" s="22" t="str">
        <x:v>IDL/配置 schema 有版本号、默认值、边界校验和错误码；状态/租约/ready 不满足时按 能力缺失即关闭对应 feature flag；不得静默降级为不可审计路径</x:v>
      </x:c>
      <x:c r="Q171" s="22" t="str">
        <x:v>配置样例、schema 校验、升级兼容测试和回退路径齐全；任何隐式 fallback 被移除；新增指标可关联 request_id/query_plan_id/object_id/path_id。</x:v>
      </x:c>
      <x:c r="R171" s="22" t="str">
        <x:v>ctest -R StorageLayoutCapabilityConfig &amp;&amp; ./bin/kvcache_config_check --case=storage_layout_capability</x:v>
      </x:c>
      <x:c r="S171" s="22" t="str">
        <x:v>建立前置硬件能力矩阵和注册内存池机制，确保 KV block layout 不被碎片化，并能进行有效的硬件边界隔离。</x:v>
      </x:c>
      <x:c r="T171" s="22" t="str">
        <x:v>SR-01-09-04</x:v>
      </x:c>
      <x:c r="U171" s="22" t="str">
        <x:v>待认领</x:v>
      </x:c>
      <x:c r="V171" s="22" t="str"/>
      <x:c r="W171" s="22" t="str"/>
      <x:c r="X171" s="22" t="str">
        <x:f>IF(COUNTIF($A$5:$A$451,A171)=1,"PASS","FAIL")</x:f>
        <x:v>PASS</x:v>
      </x:c>
      <x:c r="Y171" s="22" t="str">
        <x:f>IF(COUNTIF('SR系统设计'!$A$5:$A$153,B171)+COUNTIF('追溯与覆盖'!$A$5:$A$153,C171)=2,"PASS","FAIL")</x:f>
        <x:v>PASS</x:v>
      </x:c>
    </x:row>
    <x:row r="172" ht="84" customHeight="1">
      <x:c r="A172" s="25" t="str">
        <x:v>AR-L4-HW-StorageLayoutCapability-067-03</x:v>
      </x:c>
      <x:c r="B172" s="25" t="str">
        <x:v>SR-01-09-04</x:v>
      </x:c>
      <x:c r="C172" s="25" t="str">
        <x:v>L4-HW-StorageLayoutCapability-067</x:v>
      </x:c>
      <x:c r="D172" s="25" t="str">
        <x:v>SF-01</x:v>
      </x:c>
      <x:c r="E172" s="25" t="str">
        <x:v>IR-01-09</x:v>
      </x:c>
      <x:c r="F172" s="22" t="str">
        <x:v>L4 底层传输层</x:v>
      </x:c>
      <x:c r="G172" s="22" t="str">
        <x:v>TM1</x:v>
      </x:c>
      <x:c r="H172" s="22" t="str">
        <x:v>Fabric能力与统一路由</x:v>
      </x:c>
      <x:c r="I172" s="22" t="str">
        <x:v>P0</x:v>
      </x:c>
      <x:c r="J172" s="22" t="str">
        <x:v>P0</x:v>
      </x:c>
      <x:c r="K172" s="22" t="str">
        <x:v>验证与观测</x:v>
      </x:c>
      <x:c r="L172" s="22" t="str">
        <x:v>驱动/硬件协同开发</x:v>
      </x:c>
      <x:c r="M172" s="22" t="str">
        <x:v>tests/backends/fabric/storage_layout_capability_test.cc + benchmarks/backends/fabric/storage_layout_capability_benchmark.cc</x:v>
      </x:c>
      <x:c r="N172" s="22" t="str">
        <x:v>StorageLayoutCapabilityTest / StorageLayoutCapabilityBenchmark</x:v>
      </x:c>
      <x:c r="O172" s="22" t="str">
        <x:v>新增正常、边界、并发、超时、stale metadata、迁移冲突、路径拥塞/故障与 feature-flag-off 用例；在 benchmark 中固定模型、tokenizer、prompt、并发、拓扑和 baseline，采集 lookup/load/attach、TTFT、TPOT、usable/abandoned hit、带宽/时延及 CPU/NPU 利用率。</x:v>
      </x:c>
      <x:c r="P172" s="22" t="str">
        <x:v>验收直接引用来源指标：“建立前置硬件能力矩阵和注册内存池机制，确保 KV block layout 不被碎片化，并能进行有效的硬件边界隔离。”；故障用例必须证明错误 KV 不被消费且 fallback reason 可追踪。</x:v>
      </x:c>
      <x:c r="Q172" s="22" t="str">
        <x:v>来源验收项全部自动化；性能报告包含 P50/P95/P99、置信区间与 baseline；失败门槛接入 CI；测试数据和命令可复现。</x:v>
      </x:c>
      <x:c r="R172" s="22" t="str">
        <x:v>./bin/kvcache_bench --case=storage_layout_capability --baseline=native --report=json</x:v>
      </x:c>
      <x:c r="S172" s="22" t="str">
        <x:v>建立前置硬件能力矩阵和注册内存池机制，确保 KV block layout 不被碎片化，并能进行有效的硬件边界隔离。</x:v>
      </x:c>
      <x:c r="T172" s="22" t="str">
        <x:v>SR-01-09-04</x:v>
      </x:c>
      <x:c r="U172" s="22" t="str">
        <x:v>待认领</x:v>
      </x:c>
      <x:c r="V172" s="22" t="str"/>
      <x:c r="W172" s="22" t="str"/>
      <x:c r="X172" s="22" t="str">
        <x:f>IF(COUNTIF($A$5:$A$451,A172)=1,"PASS","FAIL")</x:f>
        <x:v>PASS</x:v>
      </x:c>
      <x:c r="Y172" s="22" t="str">
        <x:f>IF(COUNTIF('SR系统设计'!$A$5:$A$153,B172)+COUNTIF('追溯与覆盖'!$A$5:$A$153,C172)=2,"PASS","FAIL")</x:f>
        <x:v>PASS</x:v>
      </x:c>
    </x:row>
    <x:row r="173" ht="84" customHeight="1">
      <x:c r="A173" s="25" t="str">
        <x:v>AR-L4-HW-AddrTrans-051-01</x:v>
      </x:c>
      <x:c r="B173" s="25" t="str">
        <x:v>SR-01-09-05</x:v>
      </x:c>
      <x:c r="C173" s="25" t="str">
        <x:v>L4-HW-AddrTrans-051</x:v>
      </x:c>
      <x:c r="D173" s="25" t="str">
        <x:v>SF-01</x:v>
      </x:c>
      <x:c r="E173" s="25" t="str">
        <x:v>IR-01-09</x:v>
      </x:c>
      <x:c r="F173" s="22" t="str">
        <x:v>L4 底层传输层</x:v>
      </x:c>
      <x:c r="G173" s="22" t="str">
        <x:v>TM1</x:v>
      </x:c>
      <x:c r="H173" s="22" t="str">
        <x:v>Fabric能力与统一路由</x:v>
      </x:c>
      <x:c r="I173" s="22" t="str">
        <x:v>P1</x:v>
      </x:c>
      <x:c r="J173" s="22" t="str">
        <x:v>P1</x:v>
      </x:c>
      <x:c r="K173" s="22" t="str">
        <x:v>核心实现</x:v>
      </x:c>
      <x:c r="L173" s="22" t="str">
        <x:v>驱动/硬件协同开发</x:v>
      </x:c>
      <x:c r="M173" s="22" t="str">
        <x:v>src/backends/fabric/addr_trans.{h,cc}</x:v>
      </x:c>
      <x:c r="N173" s="22" t="str">
        <x:v>AddrTransRouter</x:v>
      </x:c>
      <x:c r="O173" s="22" t="str">
        <x:v>在 `src/backends/fabric/addr_trans.{h,cc}` 新增或重写 `AddrTransRouter`，把“共享内存 KV 访问地址转换优化”落实为 L4 底层传输层 可调用主路径：本需求要求硬件层为 UB/C2C/NPU/NPU memory view 暴露地址翻译 telemetry，包括 IOMMU/ATS/SMMU/TLB miss、page fault、shootdown、page size 和 first-touch 代价，使 direct view 的尾延迟可观测、可优化。 输入必须显式消费 device inventory + backend probe + layout constraint，输出 PathCapability + feature flags + telemetry schema，不得用全局单例或隐藏同步 I/O 绕开预算与状态机。</x:v>
      </x:c>
      <x:c r="P173" s="22" t="str">
        <x:v>实现 device inventory + backend probe + layout constraint → PathCapability + feature flags + telemetry schema；遵守 能力缺失即关闭对应 feature flag；不得静默降级为不可审计路径</x:v>
      </x:c>
      <x:c r="Q173" s="22" t="str">
        <x:v>核心算法与状态转换完成；新增代码单测分支覆盖≥85%；线程安全/所有权明确；关闭 feature flag 时行为与 baseline 一致。</x:v>
      </x:c>
      <x:c r="R173" s="22" t="str">
        <x:v>ctest -R AddrTrans --output-on-failure</x:v>
      </x:c>
      <x:c r="S173" s="22" t="str">
        <x:v>direct view p99 可解释；</x:v>
      </x:c>
      <x:c r="T173" s="22" t="str">
        <x:v>SR-01-09-05</x:v>
      </x:c>
      <x:c r="U173" s="22" t="str">
        <x:v>待认领</x:v>
      </x:c>
      <x:c r="V173" s="22" t="str"/>
      <x:c r="W173" s="22" t="str"/>
      <x:c r="X173" s="22" t="str">
        <x:f>IF(COUNTIF($A$5:$A$451,A173)=1,"PASS","FAIL")</x:f>
        <x:v>PASS</x:v>
      </x:c>
      <x:c r="Y173" s="22" t="str">
        <x:f>IF(COUNTIF('SR系统设计'!$A$5:$A$153,B173)+COUNTIF('追溯与覆盖'!$A$5:$A$153,C173)=2,"PASS","FAIL")</x:f>
        <x:v>PASS</x:v>
      </x:c>
    </x:row>
    <x:row r="174" ht="84" customHeight="1">
      <x:c r="A174" s="25" t="str">
        <x:v>AR-L4-HW-AddrTrans-051-02</x:v>
      </x:c>
      <x:c r="B174" s="25" t="str">
        <x:v>SR-01-09-05</x:v>
      </x:c>
      <x:c r="C174" s="25" t="str">
        <x:v>L4-HW-AddrTrans-051</x:v>
      </x:c>
      <x:c r="D174" s="25" t="str">
        <x:v>SF-01</x:v>
      </x:c>
      <x:c r="E174" s="25" t="str">
        <x:v>IR-01-09</x:v>
      </x:c>
      <x:c r="F174" s="22" t="str">
        <x:v>L4 底层传输层</x:v>
      </x:c>
      <x:c r="G174" s="22" t="str">
        <x:v>TM1</x:v>
      </x:c>
      <x:c r="H174" s="22" t="str">
        <x:v>Fabric能力与统一路由</x:v>
      </x:c>
      <x:c r="I174" s="22" t="str">
        <x:v>P1</x:v>
      </x:c>
      <x:c r="J174" s="22" t="str">
        <x:v>P1</x:v>
      </x:c>
      <x:c r="K174" s="22" t="str">
        <x:v>契约配置与降级</x:v>
      </x:c>
      <x:c r="L174" s="22" t="str">
        <x:v>驱动/硬件协同开发</x:v>
      </x:c>
      <x:c r="M174" s="22" t="str">
        <x:v>cmake/KVCacheBackends.cmake + config/backends/addr_trans.yaml + src/backends/backend_registry.cc</x:v>
      </x:c>
      <x:c r="N174" s="22" t="str">
        <x:v>KVCACHE_ENABLE_ADDR_TRANS / kvcache.addr_trans.enabled</x:v>
      </x:c>
      <x:c r="O174" s="22" t="str">
        <x:v>增加编译开关 `KVCACHE_ENABLE_ADDR_TRANS`、运行时开关 `kvcache.addr_trans.enabled` 与 BackendRegistry 注册项；冻结 capability、descriptor、completion/fence、error mapping 与 per-path telemetry 字段，并实现“主路径→备路径→重算/冷路径”的有界 fallback。</x:v>
      </x:c>
      <x:c r="P174" s="22" t="str">
        <x:v>IDL/配置 schema 有版本号、默认值、边界校验和错误码；状态/租约/ready 不满足时按 能力缺失即关闭对应 feature flag；不得静默降级为不可审计路径</x:v>
      </x:c>
      <x:c r="Q174" s="22" t="str">
        <x:v>配置样例、schema 校验、升级兼容测试和回退路径齐全；任何隐式 fallback 被移除；新增指标可关联 request_id/query_plan_id/object_id/path_id。</x:v>
      </x:c>
      <x:c r="R174" s="22" t="str">
        <x:v>ctest -R AddrTransConfig &amp;&amp; ./bin/kvcache_config_check --case=addr_trans</x:v>
      </x:c>
      <x:c r="S174" s="22" t="str">
        <x:v>direct view p99 可解释；</x:v>
      </x:c>
      <x:c r="T174" s="22" t="str">
        <x:v>SR-01-09-05</x:v>
      </x:c>
      <x:c r="U174" s="22" t="str">
        <x:v>待认领</x:v>
      </x:c>
      <x:c r="V174" s="22" t="str"/>
      <x:c r="W174" s="22" t="str"/>
      <x:c r="X174" s="22" t="str">
        <x:f>IF(COUNTIF($A$5:$A$451,A174)=1,"PASS","FAIL")</x:f>
        <x:v>PASS</x:v>
      </x:c>
      <x:c r="Y174" s="22" t="str">
        <x:f>IF(COUNTIF('SR系统设计'!$A$5:$A$153,B174)+COUNTIF('追溯与覆盖'!$A$5:$A$153,C174)=2,"PASS","FAIL")</x:f>
        <x:v>PASS</x:v>
      </x:c>
    </x:row>
    <x:row r="175" ht="84" customHeight="1">
      <x:c r="A175" s="25" t="str">
        <x:v>AR-L4-HW-AddrTrans-051-03</x:v>
      </x:c>
      <x:c r="B175" s="25" t="str">
        <x:v>SR-01-09-05</x:v>
      </x:c>
      <x:c r="C175" s="25" t="str">
        <x:v>L4-HW-AddrTrans-051</x:v>
      </x:c>
      <x:c r="D175" s="25" t="str">
        <x:v>SF-01</x:v>
      </x:c>
      <x:c r="E175" s="25" t="str">
        <x:v>IR-01-09</x:v>
      </x:c>
      <x:c r="F175" s="22" t="str">
        <x:v>L4 底层传输层</x:v>
      </x:c>
      <x:c r="G175" s="22" t="str">
        <x:v>TM1</x:v>
      </x:c>
      <x:c r="H175" s="22" t="str">
        <x:v>Fabric能力与统一路由</x:v>
      </x:c>
      <x:c r="I175" s="22" t="str">
        <x:v>P1</x:v>
      </x:c>
      <x:c r="J175" s="22" t="str">
        <x:v>P1</x:v>
      </x:c>
      <x:c r="K175" s="22" t="str">
        <x:v>验证与观测</x:v>
      </x:c>
      <x:c r="L175" s="22" t="str">
        <x:v>驱动/硬件协同开发</x:v>
      </x:c>
      <x:c r="M175" s="22" t="str">
        <x:v>tests/backends/fabric/addr_trans_test.cc + benchmarks/backends/fabric/addr_trans_benchmark.cc</x:v>
      </x:c>
      <x:c r="N175" s="22" t="str">
        <x:v>AddrTransTest / AddrTransBenchmark</x:v>
      </x:c>
      <x:c r="O175" s="22" t="str">
        <x:v>新增正常、边界、并发、超时、stale metadata、迁移冲突、路径拥塞/故障与 feature-flag-off 用例；在 benchmark 中固定模型、tokenizer、prompt、并发、拓扑和 baseline，采集 lookup/load/attach、TTFT、TPOT、usable/abandoned hit、带宽/时延及 CPU/NPU 利用率。</x:v>
      </x:c>
      <x:c r="P175" s="22" t="str">
        <x:v>验收直接引用来源指标：“direct view p99 可解释；”；故障用例必须证明错误 KV 不被消费且 fallback reason 可追踪。</x:v>
      </x:c>
      <x:c r="Q175" s="22" t="str">
        <x:v>来源验收项全部自动化；性能报告包含 P50/P95/P99、置信区间与 baseline；失败门槛接入 CI；测试数据和命令可复现。</x:v>
      </x:c>
      <x:c r="R175" s="22" t="str">
        <x:v>./bin/kvcache_bench --case=addr_trans --baseline=native --report=json</x:v>
      </x:c>
      <x:c r="S175" s="22" t="str">
        <x:v>direct view p99 可解释；</x:v>
      </x:c>
      <x:c r="T175" s="22" t="str">
        <x:v>SR-01-09-05</x:v>
      </x:c>
      <x:c r="U175" s="22" t="str">
        <x:v>待认领</x:v>
      </x:c>
      <x:c r="V175" s="22" t="str"/>
      <x:c r="W175" s="22" t="str"/>
      <x:c r="X175" s="22" t="str">
        <x:f>IF(COUNTIF($A$5:$A$451,A175)=1,"PASS","FAIL")</x:f>
        <x:v>PASS</x:v>
      </x:c>
      <x:c r="Y175" s="22" t="str">
        <x:f>IF(COUNTIF('SR系统设计'!$A$5:$A$153,B175)+COUNTIF('追溯与覆盖'!$A$5:$A$153,C175)=2,"PASS","FAIL")</x:f>
        <x:v>PASS</x:v>
      </x:c>
    </x:row>
    <x:row r="176" ht="84" customHeight="1">
      <x:c r="A176" s="25" t="str">
        <x:v>AR-L4-HW-NICSpecConstraint-075-01</x:v>
      </x:c>
      <x:c r="B176" s="25" t="str">
        <x:v>SR-01-09-06</x:v>
      </x:c>
      <x:c r="C176" s="25" t="str">
        <x:v>L4-HW-NICSpecConstraint-075</x:v>
      </x:c>
      <x:c r="D176" s="25" t="str">
        <x:v>SF-01</x:v>
      </x:c>
      <x:c r="E176" s="25" t="str">
        <x:v>IR-01-09</x:v>
      </x:c>
      <x:c r="F176" s="22" t="str">
        <x:v>L4 底层传输层</x:v>
      </x:c>
      <x:c r="G176" s="22" t="str">
        <x:v>TM1</x:v>
      </x:c>
      <x:c r="H176" s="22" t="str">
        <x:v>Fabric能力与统一路由</x:v>
      </x:c>
      <x:c r="I176" s="22" t="str">
        <x:v>P3</x:v>
      </x:c>
      <x:c r="J176" s="22" t="str">
        <x:v>P3</x:v>
      </x:c>
      <x:c r="K176" s="22" t="str">
        <x:v>核心实现</x:v>
      </x:c>
      <x:c r="L176" s="22" t="str">
        <x:v>驱动/硬件协同开发</x:v>
      </x:c>
      <x:c r="M176" s="22" t="str">
        <x:v>src/backends/fabric/nicspec_constraint.{h,cc}</x:v>
      </x:c>
      <x:c r="N176" s="22" t="str">
        <x:v>NICSpecConstraintRouter</x:v>
      </x:c>
      <x:c r="O176" s="22" t="str">
        <x:v>在 `src/backends/fabric/nicspec_constraint.{h,cc}` 新增或重写 `NICSpecConstraintRouter`，把“大规模集群网络软硬件协同性能兜底”落实为 L4 底层传输层 可调用主路径：本需求要求针对底层传输层所依赖的高性能网卡（RNIC）和 DPU 提出硬性硬件规格诉求：支持硬件级 SR-IOV 虚拟通道，且单硬件端口必须提供不少于 4 个具备独立硬件速率限制（Hardware Rate Limiting）的硬件队列对（QP）； 输入必须显式消费 device inventory + backend probe + layout constraint，输出 PathCapability + feature flags + telemetry schema，不得用全局单例或隐藏同步 I/O 绕开预算与状态机。</x:v>
      </x:c>
      <x:c r="P176" s="22" t="str">
        <x:v>实现 device inventory + backend probe + layout constraint → PathCapability + feature flags + telemetry schema；遵守 能力缺失即关闭对应 feature flag；不得静默降级为不可审计路径</x:v>
      </x:c>
      <x:c r="Q176" s="22" t="str">
        <x:v>核心算法与状态转换完成；新增代码单测分支覆盖≥85%；线程安全/所有权明确；关闭 feature flag 时行为与 baseline 一致。</x:v>
      </x:c>
      <x:c r="R176" s="22" t="str">
        <x:v>ctest -R NICSpecConstraint --output-on-failure</x:v>
      </x:c>
      <x:c r="S176" s="22" t="str">
        <x:v>在极高并发下OOM、非法内存访问(Segfault)、租户数据串模率为0。</x:v>
      </x:c>
      <x:c r="T176" s="22" t="str">
        <x:v>SR-01-09-06</x:v>
      </x:c>
      <x:c r="U176" s="22" t="str">
        <x:v>待认领</x:v>
      </x:c>
      <x:c r="V176" s="22" t="str"/>
      <x:c r="W176" s="22" t="str"/>
      <x:c r="X176" s="22" t="str">
        <x:f>IF(COUNTIF($A$5:$A$451,A176)=1,"PASS","FAIL")</x:f>
        <x:v>PASS</x:v>
      </x:c>
      <x:c r="Y176" s="22" t="str">
        <x:f>IF(COUNTIF('SR系统设计'!$A$5:$A$153,B176)+COUNTIF('追溯与覆盖'!$A$5:$A$153,C176)=2,"PASS","FAIL")</x:f>
        <x:v>PASS</x:v>
      </x:c>
    </x:row>
    <x:row r="177" ht="84" customHeight="1">
      <x:c r="A177" s="25" t="str">
        <x:v>AR-L4-HW-NICSpecConstraint-075-02</x:v>
      </x:c>
      <x:c r="B177" s="25" t="str">
        <x:v>SR-01-09-06</x:v>
      </x:c>
      <x:c r="C177" s="25" t="str">
        <x:v>L4-HW-NICSpecConstraint-075</x:v>
      </x:c>
      <x:c r="D177" s="25" t="str">
        <x:v>SF-01</x:v>
      </x:c>
      <x:c r="E177" s="25" t="str">
        <x:v>IR-01-09</x:v>
      </x:c>
      <x:c r="F177" s="22" t="str">
        <x:v>L4 底层传输层</x:v>
      </x:c>
      <x:c r="G177" s="22" t="str">
        <x:v>TM1</x:v>
      </x:c>
      <x:c r="H177" s="22" t="str">
        <x:v>Fabric能力与统一路由</x:v>
      </x:c>
      <x:c r="I177" s="22" t="str">
        <x:v>P3</x:v>
      </x:c>
      <x:c r="J177" s="22" t="str">
        <x:v>P3</x:v>
      </x:c>
      <x:c r="K177" s="22" t="str">
        <x:v>契约配置与降级</x:v>
      </x:c>
      <x:c r="L177" s="22" t="str">
        <x:v>驱动/硬件协同开发</x:v>
      </x:c>
      <x:c r="M177" s="22" t="str">
        <x:v>cmake/KVCacheBackends.cmake + config/backends/nicspec_constraint.yaml + src/backends/backend_registry.cc</x:v>
      </x:c>
      <x:c r="N177" s="22" t="str">
        <x:v>KVCACHE_ENABLE_NICSPEC_CONSTRAINT / kvcache.nicspec_constraint.enabled</x:v>
      </x:c>
      <x:c r="O177" s="22" t="str">
        <x:v>增加编译开关 `KVCACHE_ENABLE_NICSPEC_CONSTRAINT`、运行时开关 `kvcache.nicspec_constraint.enabled` 与 BackendRegistry 注册项；冻结 capability、descriptor、completion/fence、error mapping 与 per-path telemetry 字段，并实现“主路径→备路径→重算/冷路径”的有界 fallback。</x:v>
      </x:c>
      <x:c r="P177" s="22" t="str">
        <x:v>IDL/配置 schema 有版本号、默认值、边界校验和错误码；状态/租约/ready 不满足时按 能力缺失即关闭对应 feature flag；不得静默降级为不可审计路径</x:v>
      </x:c>
      <x:c r="Q177" s="22" t="str">
        <x:v>配置样例、schema 校验、升级兼容测试和回退路径齐全；任何隐式 fallback 被移除；新增指标可关联 request_id/query_plan_id/object_id/path_id。</x:v>
      </x:c>
      <x:c r="R177" s="22" t="str">
        <x:v>ctest -R NICSpecConstraintConfig &amp;&amp; ./bin/kvcache_config_check --case=nicspec_constraint</x:v>
      </x:c>
      <x:c r="S177" s="22" t="str">
        <x:v>在极高并发下OOM、非法内存访问(Segfault)、租户数据串模率为0。</x:v>
      </x:c>
      <x:c r="T177" s="22" t="str">
        <x:v>SR-01-09-06</x:v>
      </x:c>
      <x:c r="U177" s="22" t="str">
        <x:v>待认领</x:v>
      </x:c>
      <x:c r="V177" s="22" t="str"/>
      <x:c r="W177" s="22" t="str"/>
      <x:c r="X177" s="22" t="str">
        <x:f>IF(COUNTIF($A$5:$A$451,A177)=1,"PASS","FAIL")</x:f>
        <x:v>PASS</x:v>
      </x:c>
      <x:c r="Y177" s="22" t="str">
        <x:f>IF(COUNTIF('SR系统设计'!$A$5:$A$153,B177)+COUNTIF('追溯与覆盖'!$A$5:$A$153,C177)=2,"PASS","FAIL")</x:f>
        <x:v>PASS</x:v>
      </x:c>
    </x:row>
    <x:row r="178" ht="84" customHeight="1">
      <x:c r="A178" s="25" t="str">
        <x:v>AR-L4-HW-NICSpecConstraint-075-03</x:v>
      </x:c>
      <x:c r="B178" s="25" t="str">
        <x:v>SR-01-09-06</x:v>
      </x:c>
      <x:c r="C178" s="25" t="str">
        <x:v>L4-HW-NICSpecConstraint-075</x:v>
      </x:c>
      <x:c r="D178" s="25" t="str">
        <x:v>SF-01</x:v>
      </x:c>
      <x:c r="E178" s="25" t="str">
        <x:v>IR-01-09</x:v>
      </x:c>
      <x:c r="F178" s="22" t="str">
        <x:v>L4 底层传输层</x:v>
      </x:c>
      <x:c r="G178" s="22" t="str">
        <x:v>TM1</x:v>
      </x:c>
      <x:c r="H178" s="22" t="str">
        <x:v>Fabric能力与统一路由</x:v>
      </x:c>
      <x:c r="I178" s="22" t="str">
        <x:v>P3</x:v>
      </x:c>
      <x:c r="J178" s="22" t="str">
        <x:v>P3</x:v>
      </x:c>
      <x:c r="K178" s="22" t="str">
        <x:v>验证与观测</x:v>
      </x:c>
      <x:c r="L178" s="22" t="str">
        <x:v>驱动/硬件协同开发</x:v>
      </x:c>
      <x:c r="M178" s="22" t="str">
        <x:v>tests/backends/fabric/nicspec_constraint_test.cc + benchmarks/backends/fabric/nicspec_constraint_benchmark.cc</x:v>
      </x:c>
      <x:c r="N178" s="22" t="str">
        <x:v>NICSpecConstraintTest / NICSpecConstraintBenchmark</x:v>
      </x:c>
      <x:c r="O178" s="22" t="str">
        <x:v>新增正常、边界、并发、超时、stale metadata、迁移冲突、路径拥塞/故障与 feature-flag-off 用例；在 benchmark 中固定模型、tokenizer、prompt、并发、拓扑和 baseline，采集 lookup/load/attach、TTFT、TPOT、usable/abandoned hit、带宽/时延及 CPU/NPU 利用率。</x:v>
      </x:c>
      <x:c r="P178" s="22" t="str">
        <x:v>验收直接引用来源指标：“在极高并发下OOM、非法内存访问(Segfault)、租户数据串模率为0。”；故障用例必须证明错误 KV 不被消费且 fallback reason 可追踪。</x:v>
      </x:c>
      <x:c r="Q178" s="22" t="str">
        <x:v>来源验收项全部自动化；性能报告包含 P50/P95/P99、置信区间与 baseline；失败门槛接入 CI；测试数据和命令可复现。</x:v>
      </x:c>
      <x:c r="R178" s="22" t="str">
        <x:v>./bin/kvcache_bench --case=nicspec_constraint --baseline=native --report=json</x:v>
      </x:c>
      <x:c r="S178" s="22" t="str">
        <x:v>在极高并发下OOM、非法内存访问(Segfault)、租户数据串模率为0。</x:v>
      </x:c>
      <x:c r="T178" s="22" t="str">
        <x:v>SR-01-09-06</x:v>
      </x:c>
      <x:c r="U178" s="22" t="str">
        <x:v>待认领</x:v>
      </x:c>
      <x:c r="V178" s="22" t="str"/>
      <x:c r="W178" s="22" t="str"/>
      <x:c r="X178" s="22" t="str">
        <x:f>IF(COUNTIF($A$5:$A$451,A178)=1,"PASS","FAIL")</x:f>
        <x:v>PASS</x:v>
      </x:c>
      <x:c r="Y178" s="22" t="str">
        <x:f>IF(COUNTIF('SR系统设计'!$A$5:$A$153,B178)+COUNTIF('追溯与覆盖'!$A$5:$A$153,C178)=2,"PASS","FAIL")</x:f>
        <x:v>PASS</x:v>
      </x:c>
    </x:row>
    <x:row r="179" ht="84" customHeight="1">
      <x:c r="A179" s="25" t="str">
        <x:v>AR-L2-FT-FallbackContract-029-01</x:v>
      </x:c>
      <x:c r="B179" s="25" t="str">
        <x:v>SR-01-10-01</x:v>
      </x:c>
      <x:c r="C179" s="25" t="str">
        <x:v>L2-FT-FallbackContract-029</x:v>
      </x:c>
      <x:c r="D179" s="25" t="str">
        <x:v>SF-01</x:v>
      </x:c>
      <x:c r="E179" s="25" t="str">
        <x:v>IR-01-10</x:v>
      </x:c>
      <x:c r="F179" s="22" t="str">
        <x:v>L2 KVConnector层</x:v>
      </x:c>
      <x:c r="G179" s="22" t="str">
        <x:v>TM6</x:v>
      </x:c>
      <x:c r="H179" s="22" t="str">
        <x:v>共享访问与故障控制</x:v>
      </x:c>
      <x:c r="I179" s="22" t="str">
        <x:v>P0</x:v>
      </x:c>
      <x:c r="J179" s="22" t="str">
        <x:v>P0</x:v>
      </x:c>
      <x:c r="K179" s="22" t="str">
        <x:v>核心实现</x:v>
      </x:c>
      <x:c r="L179" s="22" t="str">
        <x:v>Connector开发</x:v>
      </x:c>
      <x:c r="M179" s="22" t="str">
        <x:v>src/consistency/lease/fallback_contract.{h,cc}</x:v>
      </x:c>
      <x:c r="N179" s="22" t="str">
        <x:v>FallbackContractGuard</x:v>
      </x:c>
      <x:c r="O179" s="22" t="str">
        <x:v>在 `src/consistency/lease/fallback_contract.{h,cc}` 新增或重写 `FallbackContractGuard`，把“KV 加载失败快速降级恢复”落实为 L2 KVConnector层 可调用主路径：本需求要求 Connector 严格执行 fallback contract：若上层 intent 禁止 TCP、SSD 或 object fallback，则 Connector 不得内部静默降级； 输入必须显式消费 AttachHandle + object version + consumer set，输出 lease/refcount transition + fallback result，不得用全局单例或隐藏同步 I/O 绕开预算与状态机。</x:v>
      </x:c>
      <x:c r="P179" s="22" t="str">
        <x:v>实现 AttachHandle + object version + consumer set → lease/refcount transition + fallback result；遵守 租约冲突或状态异常时阻断消费、quarantine 并按原因码执行备用副本或重算</x:v>
      </x:c>
      <x:c r="Q179" s="22" t="str">
        <x:v>核心算法与状态转换完成；新增代码单测分支覆盖≥85%；线程安全/所有权明确；关闭 feature flag 时行为与 baseline 一致。</x:v>
      </x:c>
      <x:c r="R179" s="22" t="str">
        <x:v>ctest -R FallbackContract --output-on-failure</x:v>
      </x:c>
      <x:c r="S179" s="22" t="str">
        <x:v>TTFT p99 outlier 降低 ≥30%；</x:v>
      </x:c>
      <x:c r="T179" s="22" t="str">
        <x:v>SR-01-10-01</x:v>
      </x:c>
      <x:c r="U179" s="22" t="str">
        <x:v>待认领</x:v>
      </x:c>
      <x:c r="V179" s="22" t="str"/>
      <x:c r="W179" s="22" t="str"/>
      <x:c r="X179" s="22" t="str">
        <x:f>IF(COUNTIF($A$5:$A$451,A179)=1,"PASS","FAIL")</x:f>
        <x:v>PASS</x:v>
      </x:c>
      <x:c r="Y179" s="22" t="str">
        <x:f>IF(COUNTIF('SR系统设计'!$A$5:$A$153,B179)+COUNTIF('追溯与覆盖'!$A$5:$A$153,C179)=2,"PASS","FAIL")</x:f>
        <x:v>PASS</x:v>
      </x:c>
    </x:row>
    <x:row r="180" ht="84" customHeight="1">
      <x:c r="A180" s="25" t="str">
        <x:v>AR-L2-FT-FallbackContract-029-02</x:v>
      </x:c>
      <x:c r="B180" s="25" t="str">
        <x:v>SR-01-10-01</x:v>
      </x:c>
      <x:c r="C180" s="25" t="str">
        <x:v>L2-FT-FallbackContract-029</x:v>
      </x:c>
      <x:c r="D180" s="25" t="str">
        <x:v>SF-01</x:v>
      </x:c>
      <x:c r="E180" s="25" t="str">
        <x:v>IR-01-10</x:v>
      </x:c>
      <x:c r="F180" s="22" t="str">
        <x:v>L2 KVConnector层</x:v>
      </x:c>
      <x:c r="G180" s="22" t="str">
        <x:v>TM6</x:v>
      </x:c>
      <x:c r="H180" s="22" t="str">
        <x:v>共享访问与故障控制</x:v>
      </x:c>
      <x:c r="I180" s="22" t="str">
        <x:v>P0</x:v>
      </x:c>
      <x:c r="J180" s="22" t="str">
        <x:v>P0</x:v>
      </x:c>
      <x:c r="K180" s="22" t="str">
        <x:v>契约配置与降级</x:v>
      </x:c>
      <x:c r="L180" s="22" t="str">
        <x:v>Connector开发</x:v>
      </x:c>
      <x:c r="M180" s="22" t="str">
        <x:v>api/kvcache/v1/fallback_contract.proto + config/runtime/fallback_contract.yaml</x:v>
      </x:c>
      <x:c r="N180" s="22" t="str">
        <x:v>FallbackContractOptions / kvcache.fallback_contract.enabled</x:v>
      </x:c>
      <x:c r="O180" s="22" t="str">
        <x:v>为 `FallbackContractOptions` 增加 `kvcache.fallback_contract.enabled`、deadline/容量/队列预算及版本字段；在调用点接入 typed error、decision_reason、fallback_reason，确保配置热更新、灰度关闭和向后兼容均可审计。</x:v>
      </x:c>
      <x:c r="P180" s="22" t="str">
        <x:v>IDL/配置 schema 有版本号、默认值、边界校验和错误码；状态/租约/ready 不满足时按 租约冲突或状态异常时阻断消费、quarantine 并按原因码执行备用副本或重算</x:v>
      </x:c>
      <x:c r="Q180" s="22" t="str">
        <x:v>配置样例、schema 校验、升级兼容测试和回退路径齐全；任何隐式 fallback 被移除；新增指标可关联 request_id/query_plan_id/object_id/path_id。</x:v>
      </x:c>
      <x:c r="R180" s="22" t="str">
        <x:v>ctest -R FallbackContractConfig &amp;&amp; ./bin/kvcache_config_check --case=fallback_contract</x:v>
      </x:c>
      <x:c r="S180" s="22" t="str">
        <x:v>TTFT p99 outlier 降低 ≥30%；</x:v>
      </x:c>
      <x:c r="T180" s="22" t="str">
        <x:v>SR-01-10-01</x:v>
      </x:c>
      <x:c r="U180" s="22" t="str">
        <x:v>待认领</x:v>
      </x:c>
      <x:c r="V180" s="22" t="str"/>
      <x:c r="W180" s="22" t="str"/>
      <x:c r="X180" s="22" t="str">
        <x:f>IF(COUNTIF($A$5:$A$451,A180)=1,"PASS","FAIL")</x:f>
        <x:v>PASS</x:v>
      </x:c>
      <x:c r="Y180" s="22" t="str">
        <x:f>IF(COUNTIF('SR系统设计'!$A$5:$A$153,B180)+COUNTIF('追溯与覆盖'!$A$5:$A$153,C180)=2,"PASS","FAIL")</x:f>
        <x:v>PASS</x:v>
      </x:c>
    </x:row>
    <x:row r="181" ht="84" customHeight="1">
      <x:c r="A181" s="25" t="str">
        <x:v>AR-L2-FT-FallbackContract-029-03</x:v>
      </x:c>
      <x:c r="B181" s="25" t="str">
        <x:v>SR-01-10-01</x:v>
      </x:c>
      <x:c r="C181" s="25" t="str">
        <x:v>L2-FT-FallbackContract-029</x:v>
      </x:c>
      <x:c r="D181" s="25" t="str">
        <x:v>SF-01</x:v>
      </x:c>
      <x:c r="E181" s="25" t="str">
        <x:v>IR-01-10</x:v>
      </x:c>
      <x:c r="F181" s="22" t="str">
        <x:v>L2 KVConnector层</x:v>
      </x:c>
      <x:c r="G181" s="22" t="str">
        <x:v>TM6</x:v>
      </x:c>
      <x:c r="H181" s="22" t="str">
        <x:v>共享访问与故障控制</x:v>
      </x:c>
      <x:c r="I181" s="22" t="str">
        <x:v>P0</x:v>
      </x:c>
      <x:c r="J181" s="22" t="str">
        <x:v>P0</x:v>
      </x:c>
      <x:c r="K181" s="22" t="str">
        <x:v>验证与观测</x:v>
      </x:c>
      <x:c r="L181" s="22" t="str">
        <x:v>Connector开发</x:v>
      </x:c>
      <x:c r="M181" s="22" t="str">
        <x:v>tests/consistency/lease/fallback_contract_test.cc + benchmarks/consistency/lease/fallback_contract_benchmark.cc</x:v>
      </x:c>
      <x:c r="N181" s="22" t="str">
        <x:v>FallbackContractTest / FallbackContractBenchmark</x:v>
      </x:c>
      <x:c r="O181" s="22" t="str">
        <x:v>新增正常、边界、并发、超时、stale metadata、迁移冲突、路径拥塞/故障与 feature-flag-off 用例；在 benchmark 中固定模型、tokenizer、prompt、并发、拓扑和 baseline，采集 lookup/load/attach、TTFT、TPOT、usable/abandoned hit、带宽/时延及 CPU/NPU 利用率。</x:v>
      </x:c>
      <x:c r="P181" s="22" t="str">
        <x:v>验收直接引用来源指标：“TTFT p99 outlier 降低 ≥30%；”；故障用例必须证明错误 KV 不被消费且 fallback reason 可追踪。</x:v>
      </x:c>
      <x:c r="Q181" s="22" t="str">
        <x:v>来源验收项全部自动化；性能报告包含 P50/P95/P99、置信区间与 baseline；失败门槛接入 CI；测试数据和命令可复现。</x:v>
      </x:c>
      <x:c r="R181" s="22" t="str">
        <x:v>./bin/kvcache_bench --case=fallback_contract --baseline=native --report=json</x:v>
      </x:c>
      <x:c r="S181" s="22" t="str">
        <x:v>TTFT p99 outlier 降低 ≥30%；</x:v>
      </x:c>
      <x:c r="T181" s="22" t="str">
        <x:v>SR-01-10-01</x:v>
      </x:c>
      <x:c r="U181" s="22" t="str">
        <x:v>待认领</x:v>
      </x:c>
      <x:c r="V181" s="22" t="str"/>
      <x:c r="W181" s="22" t="str"/>
      <x:c r="X181" s="22" t="str">
        <x:f>IF(COUNTIF($A$5:$A$451,A181)=1,"PASS","FAIL")</x:f>
        <x:v>PASS</x:v>
      </x:c>
      <x:c r="Y181" s="22" t="str">
        <x:f>IF(COUNTIF('SR系统设计'!$A$5:$A$153,B181)+COUNTIF('追溯与覆盖'!$A$5:$A$153,C181)=2,"PASS","FAIL")</x:f>
        <x:v>PASS</x:v>
      </x:c>
    </x:row>
    <x:row r="182" ht="84" customHeight="1">
      <x:c r="A182" s="25" t="str">
        <x:v>AR-L2-KV-AttachHandle-034-01</x:v>
      </x:c>
      <x:c r="B182" s="25" t="str">
        <x:v>SR-01-10-02</x:v>
      </x:c>
      <x:c r="C182" s="25" t="str">
        <x:v>L2-KV-AttachHandle-034</x:v>
      </x:c>
      <x:c r="D182" s="25" t="str">
        <x:v>SF-01</x:v>
      </x:c>
      <x:c r="E182" s="25" t="str">
        <x:v>IR-01-10</x:v>
      </x:c>
      <x:c r="F182" s="22" t="str">
        <x:v>L2 KVConnector层</x:v>
      </x:c>
      <x:c r="G182" s="22" t="str">
        <x:v>TM5</x:v>
      </x:c>
      <x:c r="H182" s="22" t="str">
        <x:v>共享访问与故障控制</x:v>
      </x:c>
      <x:c r="I182" s="22" t="str">
        <x:v>P0</x:v>
      </x:c>
      <x:c r="J182" s="22" t="str">
        <x:v>P0</x:v>
      </x:c>
      <x:c r="K182" s="22" t="str">
        <x:v>核心实现</x:v>
      </x:c>
      <x:c r="L182" s="22" t="str">
        <x:v>Connector开发</x:v>
      </x:c>
      <x:c r="M182" s="22" t="str">
        <x:v>src/consistency/lease/attach_handle.{h,cc}</x:v>
      </x:c>
      <x:c r="N182" s="22" t="str">
        <x:v>AttachHandleGuard</x:v>
      </x:c>
      <x:c r="O182" s="22" t="str">
        <x:v>在 `src/consistency/lease/attach_handle.{h,cc}` 新增或重写 `AttachHandleGuard`，把“前缀命中后 KV 安全消费”落实为 L2 KVConnector层 可调用主路径：本需求要求 Connector 返回标准 KVAttachHandle，而不是只返回 KV 数据位置； 输入必须显式消费 AttachHandle + object version + consumer set，输出 lease/refcount transition + fallback result，不得用全局单例或隐藏同步 I/O 绕开预算与状态机。</x:v>
      </x:c>
      <x:c r="P182" s="22" t="str">
        <x:v>实现 AttachHandle + object version + consumer set → lease/refcount transition + fallback result；遵守 租约冲突或状态异常时阻断消费、quarantine 并按原因码执行备用副本或重算</x:v>
      </x:c>
      <x:c r="Q182" s="22" t="str">
        <x:v>核心算法与状态转换完成；新增代码单测分支覆盖≥85%；线程安全/所有权明确；关闭 feature flag 时行为与 baseline 一致。</x:v>
      </x:c>
      <x:c r="R182" s="22" t="str">
        <x:v>ctest -R AttachHandle --output-on-failure</x:v>
      </x:c>
      <x:c r="S182" s="22" t="str">
        <x:v>Prefix命中判定P99耗时 &lt; 200us；在Share-Prefix业务下，Usable Hit Rate提升≥15%。</x:v>
      </x:c>
      <x:c r="T182" s="22" t="str">
        <x:v>SR-01-10-02</x:v>
      </x:c>
      <x:c r="U182" s="22" t="str">
        <x:v>待认领</x:v>
      </x:c>
      <x:c r="V182" s="22" t="str"/>
      <x:c r="W182" s="22" t="str"/>
      <x:c r="X182" s="22" t="str">
        <x:f>IF(COUNTIF($A$5:$A$451,A182)=1,"PASS","FAIL")</x:f>
        <x:v>PASS</x:v>
      </x:c>
      <x:c r="Y182" s="22" t="str">
        <x:f>IF(COUNTIF('SR系统设计'!$A$5:$A$153,B182)+COUNTIF('追溯与覆盖'!$A$5:$A$153,C182)=2,"PASS","FAIL")</x:f>
        <x:v>PASS</x:v>
      </x:c>
    </x:row>
    <x:row r="183" ht="84" customHeight="1">
      <x:c r="A183" s="25" t="str">
        <x:v>AR-L2-KV-AttachHandle-034-02</x:v>
      </x:c>
      <x:c r="B183" s="25" t="str">
        <x:v>SR-01-10-02</x:v>
      </x:c>
      <x:c r="C183" s="25" t="str">
        <x:v>L2-KV-AttachHandle-034</x:v>
      </x:c>
      <x:c r="D183" s="25" t="str">
        <x:v>SF-01</x:v>
      </x:c>
      <x:c r="E183" s="25" t="str">
        <x:v>IR-01-10</x:v>
      </x:c>
      <x:c r="F183" s="22" t="str">
        <x:v>L2 KVConnector层</x:v>
      </x:c>
      <x:c r="G183" s="22" t="str">
        <x:v>TM5</x:v>
      </x:c>
      <x:c r="H183" s="22" t="str">
        <x:v>共享访问与故障控制</x:v>
      </x:c>
      <x:c r="I183" s="22" t="str">
        <x:v>P0</x:v>
      </x:c>
      <x:c r="J183" s="22" t="str">
        <x:v>P0</x:v>
      </x:c>
      <x:c r="K183" s="22" t="str">
        <x:v>契约配置与降级</x:v>
      </x:c>
      <x:c r="L183" s="22" t="str">
        <x:v>Connector开发</x:v>
      </x:c>
      <x:c r="M183" s="22" t="str">
        <x:v>api/kvcache/v1/attach_handle.proto + config/runtime/attach_handle.yaml</x:v>
      </x:c>
      <x:c r="N183" s="22" t="str">
        <x:v>AttachHandleOptions / kvcache.attach_handle.enabled</x:v>
      </x:c>
      <x:c r="O183" s="22" t="str">
        <x:v>为 `AttachHandleOptions` 增加 `kvcache.attach_handle.enabled`、deadline/容量/队列预算及版本字段；在调用点接入 typed error、decision_reason、fallback_reason，确保配置热更新、灰度关闭和向后兼容均可审计。</x:v>
      </x:c>
      <x:c r="P183" s="22" t="str">
        <x:v>IDL/配置 schema 有版本号、默认值、边界校验和错误码；状态/租约/ready 不满足时按 租约冲突或状态异常时阻断消费、quarantine 并按原因码执行备用副本或重算</x:v>
      </x:c>
      <x:c r="Q183" s="22" t="str">
        <x:v>配置样例、schema 校验、升级兼容测试和回退路径齐全；任何隐式 fallback 被移除；新增指标可关联 request_id/query_plan_id/object_id/path_id。</x:v>
      </x:c>
      <x:c r="R183" s="22" t="str">
        <x:v>ctest -R AttachHandleConfig &amp;&amp; ./bin/kvcache_config_check --case=attach_handle</x:v>
      </x:c>
      <x:c r="S183" s="22" t="str">
        <x:v>Prefix命中判定P99耗时 &lt; 200us；在Share-Prefix业务下，Usable Hit Rate提升≥15%。</x:v>
      </x:c>
      <x:c r="T183" s="22" t="str">
        <x:v>SR-01-10-02</x:v>
      </x:c>
      <x:c r="U183" s="22" t="str">
        <x:v>待认领</x:v>
      </x:c>
      <x:c r="V183" s="22" t="str"/>
      <x:c r="W183" s="22" t="str"/>
      <x:c r="X183" s="22" t="str">
        <x:f>IF(COUNTIF($A$5:$A$451,A183)=1,"PASS","FAIL")</x:f>
        <x:v>PASS</x:v>
      </x:c>
      <x:c r="Y183" s="22" t="str">
        <x:f>IF(COUNTIF('SR系统设计'!$A$5:$A$153,B183)+COUNTIF('追溯与覆盖'!$A$5:$A$153,C183)=2,"PASS","FAIL")</x:f>
        <x:v>PASS</x:v>
      </x:c>
    </x:row>
    <x:row r="184" ht="84" customHeight="1">
      <x:c r="A184" s="25" t="str">
        <x:v>AR-L2-KV-AttachHandle-034-03</x:v>
      </x:c>
      <x:c r="B184" s="25" t="str">
        <x:v>SR-01-10-02</x:v>
      </x:c>
      <x:c r="C184" s="25" t="str">
        <x:v>L2-KV-AttachHandle-034</x:v>
      </x:c>
      <x:c r="D184" s="25" t="str">
        <x:v>SF-01</x:v>
      </x:c>
      <x:c r="E184" s="25" t="str">
        <x:v>IR-01-10</x:v>
      </x:c>
      <x:c r="F184" s="22" t="str">
        <x:v>L2 KVConnector层</x:v>
      </x:c>
      <x:c r="G184" s="22" t="str">
        <x:v>TM5</x:v>
      </x:c>
      <x:c r="H184" s="22" t="str">
        <x:v>共享访问与故障控制</x:v>
      </x:c>
      <x:c r="I184" s="22" t="str">
        <x:v>P0</x:v>
      </x:c>
      <x:c r="J184" s="22" t="str">
        <x:v>P0</x:v>
      </x:c>
      <x:c r="K184" s="22" t="str">
        <x:v>验证与观测</x:v>
      </x:c>
      <x:c r="L184" s="22" t="str">
        <x:v>Connector开发</x:v>
      </x:c>
      <x:c r="M184" s="22" t="str">
        <x:v>tests/consistency/lease/attach_handle_test.cc + benchmarks/consistency/lease/attach_handle_benchmark.cc</x:v>
      </x:c>
      <x:c r="N184" s="22" t="str">
        <x:v>AttachHandleTest / AttachHandleBenchmark</x:v>
      </x:c>
      <x:c r="O184" s="22" t="str">
        <x:v>新增正常、边界、并发、超时、stale metadata、迁移冲突、路径拥塞/故障与 feature-flag-off 用例；在 benchmark 中固定模型、tokenizer、prompt、并发、拓扑和 baseline，采集 lookup/load/attach、TTFT、TPOT、usable/abandoned hit、带宽/时延及 CPU/NPU 利用率。</x:v>
      </x:c>
      <x:c r="P184" s="22" t="str">
        <x:v>验收直接引用来源指标：“Prefix命中判定P99耗时 &lt; 200us；在Share-Prefix业务下，Usable Hit Rate提升≥15%。”；故障用例必须证明错误 KV 不被消费且 fallback reason 可追踪。</x:v>
      </x:c>
      <x:c r="Q184" s="22" t="str">
        <x:v>来源验收项全部自动化；性能报告包含 P50/P95/P99、置信区间与 baseline；失败门槛接入 CI；测试数据和命令可复现。</x:v>
      </x:c>
      <x:c r="R184" s="22" t="str">
        <x:v>./bin/kvcache_bench --case=attach_handle --baseline=native --report=json</x:v>
      </x:c>
      <x:c r="S184" s="22" t="str">
        <x:v>Prefix命中判定P99耗时 &lt; 200us；在Share-Prefix业务下，Usable Hit Rate提升≥15%。</x:v>
      </x:c>
      <x:c r="T184" s="22" t="str">
        <x:v>SR-01-10-02</x:v>
      </x:c>
      <x:c r="U184" s="22" t="str">
        <x:v>待认领</x:v>
      </x:c>
      <x:c r="V184" s="22" t="str"/>
      <x:c r="W184" s="22" t="str"/>
      <x:c r="X184" s="22" t="str">
        <x:f>IF(COUNTIF($A$5:$A$451,A184)=1,"PASS","FAIL")</x:f>
        <x:v>PASS</x:v>
      </x:c>
      <x:c r="Y184" s="22" t="str">
        <x:f>IF(COUNTIF('SR系统设计'!$A$5:$A$153,B184)+COUNTIF('追溯与覆盖'!$A$5:$A$153,C184)=2,"PASS","FAIL")</x:f>
        <x:v>PASS</x:v>
      </x:c>
    </x:row>
    <x:row r="185" ht="84" customHeight="1">
      <x:c r="A185" s="25" t="str">
        <x:v>AR-L2-KV-StateErrorCode-037-01</x:v>
      </x:c>
      <x:c r="B185" s="25" t="str">
        <x:v>SR-01-10-03</x:v>
      </x:c>
      <x:c r="C185" s="25" t="str">
        <x:v>L2-KV-StateErrorCode-037</x:v>
      </x:c>
      <x:c r="D185" s="25" t="str">
        <x:v>SF-01</x:v>
      </x:c>
      <x:c r="E185" s="25" t="str">
        <x:v>IR-01-10</x:v>
      </x:c>
      <x:c r="F185" s="22" t="str">
        <x:v>L2 KVConnector层</x:v>
      </x:c>
      <x:c r="G185" s="22" t="str">
        <x:v>TM6</x:v>
      </x:c>
      <x:c r="H185" s="22" t="str">
        <x:v>共享访问与故障控制</x:v>
      </x:c>
      <x:c r="I185" s="22" t="str">
        <x:v>P0</x:v>
      </x:c>
      <x:c r="J185" s="22" t="str">
        <x:v>P0</x:v>
      </x:c>
      <x:c r="K185" s="22" t="str">
        <x:v>核心实现</x:v>
      </x:c>
      <x:c r="L185" s="22" t="str">
        <x:v>Connector开发</x:v>
      </x:c>
      <x:c r="M185" s="22" t="str">
        <x:v>src/consistency/lease/state_error_code.{h,cc}</x:v>
      </x:c>
      <x:c r="N185" s="22" t="str">
        <x:v>StateErrorCodeGuard</x:v>
      </x:c>
      <x:c r="O185" s="22" t="str">
        <x:v>在 `src/consistency/lease/state_error_code.{h,cc}` 新增或重写 `StateErrorCodeGuard`，把“KV 状态复杂场景下的快速降级与恢复”落实为 L2 KVConnector层 可调用主路径：本需求要求 Connector 层定义统一状态错误码，将 L3/L4 返回的 MIGRATING、LEASE_CONFLICT、STALE_VERSION、VISIBILITY_TIMEOUT、REPLICA_DEGRADED、CHECKSUM_FAILED、QUOTA_BLOCKED、BACKEND_BUSY 等状态转换为上层可执行的 retry、wait、load、copy、recompute、partial hit 或 miss… 输入必须显式消费 AttachHandle + object version + consumer set，输出 lease/refcount transition + fallback result，不得用全局单例或隐藏同步 I/O 绕开预算与状态机。</x:v>
      </x:c>
      <x:c r="P185" s="22" t="str">
        <x:v>实现 AttachHandle + object version + consumer set → lease/refcount transition + fallback result；遵守 租约冲突或状态异常时阻断消费、quarantine 并按原因码执行备用副本或重算</x:v>
      </x:c>
      <x:c r="Q185" s="22" t="str">
        <x:v>核心算法与状态转换完成；新增代码单测分支覆盖≥85%；线程安全/所有权明确；关闭 feature flag 时行为与 baseline 一致。</x:v>
      </x:c>
      <x:c r="R185" s="22" t="str">
        <x:v>ctest -R StateErrorCode --output-on-failure</x:v>
      </x:c>
      <x:c r="S185" s="22" t="str">
        <x:v>元数据转换和序列化开销降低至&lt;200ns/次。</x:v>
      </x:c>
      <x:c r="T185" s="22" t="str">
        <x:v>SR-01-10-03</x:v>
      </x:c>
      <x:c r="U185" s="22" t="str">
        <x:v>待认领</x:v>
      </x:c>
      <x:c r="V185" s="22" t="str"/>
      <x:c r="W185" s="22" t="str"/>
      <x:c r="X185" s="22" t="str">
        <x:f>IF(COUNTIF($A$5:$A$451,A185)=1,"PASS","FAIL")</x:f>
        <x:v>PASS</x:v>
      </x:c>
      <x:c r="Y185" s="22" t="str">
        <x:f>IF(COUNTIF('SR系统设计'!$A$5:$A$153,B185)+COUNTIF('追溯与覆盖'!$A$5:$A$153,C185)=2,"PASS","FAIL")</x:f>
        <x:v>PASS</x:v>
      </x:c>
    </x:row>
    <x:row r="186" ht="84" customHeight="1">
      <x:c r="A186" s="25" t="str">
        <x:v>AR-L2-KV-StateErrorCode-037-02</x:v>
      </x:c>
      <x:c r="B186" s="25" t="str">
        <x:v>SR-01-10-03</x:v>
      </x:c>
      <x:c r="C186" s="25" t="str">
        <x:v>L2-KV-StateErrorCode-037</x:v>
      </x:c>
      <x:c r="D186" s="25" t="str">
        <x:v>SF-01</x:v>
      </x:c>
      <x:c r="E186" s="25" t="str">
        <x:v>IR-01-10</x:v>
      </x:c>
      <x:c r="F186" s="22" t="str">
        <x:v>L2 KVConnector层</x:v>
      </x:c>
      <x:c r="G186" s="22" t="str">
        <x:v>TM6</x:v>
      </x:c>
      <x:c r="H186" s="22" t="str">
        <x:v>共享访问与故障控制</x:v>
      </x:c>
      <x:c r="I186" s="22" t="str">
        <x:v>P0</x:v>
      </x:c>
      <x:c r="J186" s="22" t="str">
        <x:v>P0</x:v>
      </x:c>
      <x:c r="K186" s="22" t="str">
        <x:v>契约配置与降级</x:v>
      </x:c>
      <x:c r="L186" s="22" t="str">
        <x:v>Connector开发</x:v>
      </x:c>
      <x:c r="M186" s="22" t="str">
        <x:v>api/kvcache/v1/state_error_code.proto + config/runtime/state_error_code.yaml</x:v>
      </x:c>
      <x:c r="N186" s="22" t="str">
        <x:v>StateErrorCodeOptions / kvcache.state_error_code.enabled</x:v>
      </x:c>
      <x:c r="O186" s="22" t="str">
        <x:v>为 `StateErrorCodeOptions` 增加 `kvcache.state_error_code.enabled`、deadline/容量/队列预算及版本字段；在调用点接入 typed error、decision_reason、fallback_reason，确保配置热更新、灰度关闭和向后兼容均可审计。</x:v>
      </x:c>
      <x:c r="P186" s="22" t="str">
        <x:v>IDL/配置 schema 有版本号、默认值、边界校验和错误码；状态/租约/ready 不满足时按 租约冲突或状态异常时阻断消费、quarantine 并按原因码执行备用副本或重算</x:v>
      </x:c>
      <x:c r="Q186" s="22" t="str">
        <x:v>配置样例、schema 校验、升级兼容测试和回退路径齐全；任何隐式 fallback 被移除；新增指标可关联 request_id/query_plan_id/object_id/path_id。</x:v>
      </x:c>
      <x:c r="R186" s="22" t="str">
        <x:v>ctest -R StateErrorCodeConfig &amp;&amp; ./bin/kvcache_config_check --case=state_error_code</x:v>
      </x:c>
      <x:c r="S186" s="22" t="str">
        <x:v>元数据转换和序列化开销降低至&lt;200ns/次。</x:v>
      </x:c>
      <x:c r="T186" s="22" t="str">
        <x:v>SR-01-10-03</x:v>
      </x:c>
      <x:c r="U186" s="22" t="str">
        <x:v>待认领</x:v>
      </x:c>
      <x:c r="V186" s="22" t="str"/>
      <x:c r="W186" s="22" t="str"/>
      <x:c r="X186" s="22" t="str">
        <x:f>IF(COUNTIF($A$5:$A$451,A186)=1,"PASS","FAIL")</x:f>
        <x:v>PASS</x:v>
      </x:c>
      <x:c r="Y186" s="22" t="str">
        <x:f>IF(COUNTIF('SR系统设计'!$A$5:$A$153,B186)+COUNTIF('追溯与覆盖'!$A$5:$A$153,C186)=2,"PASS","FAIL")</x:f>
        <x:v>PASS</x:v>
      </x:c>
    </x:row>
    <x:row r="187" ht="84" customHeight="1">
      <x:c r="A187" s="25" t="str">
        <x:v>AR-L2-KV-StateErrorCode-037-03</x:v>
      </x:c>
      <x:c r="B187" s="25" t="str">
        <x:v>SR-01-10-03</x:v>
      </x:c>
      <x:c r="C187" s="25" t="str">
        <x:v>L2-KV-StateErrorCode-037</x:v>
      </x:c>
      <x:c r="D187" s="25" t="str">
        <x:v>SF-01</x:v>
      </x:c>
      <x:c r="E187" s="25" t="str">
        <x:v>IR-01-10</x:v>
      </x:c>
      <x:c r="F187" s="22" t="str">
        <x:v>L2 KVConnector层</x:v>
      </x:c>
      <x:c r="G187" s="22" t="str">
        <x:v>TM6</x:v>
      </x:c>
      <x:c r="H187" s="22" t="str">
        <x:v>共享访问与故障控制</x:v>
      </x:c>
      <x:c r="I187" s="22" t="str">
        <x:v>P0</x:v>
      </x:c>
      <x:c r="J187" s="22" t="str">
        <x:v>P0</x:v>
      </x:c>
      <x:c r="K187" s="22" t="str">
        <x:v>验证与观测</x:v>
      </x:c>
      <x:c r="L187" s="22" t="str">
        <x:v>Connector开发</x:v>
      </x:c>
      <x:c r="M187" s="22" t="str">
        <x:v>tests/consistency/lease/state_error_code_test.cc + benchmarks/consistency/lease/state_error_code_benchmark.cc</x:v>
      </x:c>
      <x:c r="N187" s="22" t="str">
        <x:v>StateErrorCodeTest / StateErrorCodeBenchmark</x:v>
      </x:c>
      <x:c r="O187" s="22" t="str">
        <x:v>新增正常、边界、并发、超时、stale metadata、迁移冲突、路径拥塞/故障与 feature-flag-off 用例；在 benchmark 中固定模型、tokenizer、prompt、并发、拓扑和 baseline，采集 lookup/load/attach、TTFT、TPOT、usable/abandoned hit、带宽/时延及 CPU/NPU 利用率。</x:v>
      </x:c>
      <x:c r="P187" s="22" t="str">
        <x:v>验收直接引用来源指标：“元数据转换和序列化开销降低至&lt;200ns/次。”；故障用例必须证明错误 KV 不被消费且 fallback reason 可追踪。</x:v>
      </x:c>
      <x:c r="Q187" s="22" t="str">
        <x:v>来源验收项全部自动化；性能报告包含 P50/P95/P99、置信区间与 baseline；失败门槛接入 CI；测试数据和命令可复现。</x:v>
      </x:c>
      <x:c r="R187" s="22" t="str">
        <x:v>./bin/kvcache_bench --case=state_error_code --baseline=native --report=json</x:v>
      </x:c>
      <x:c r="S187" s="22" t="str">
        <x:v>元数据转换和序列化开销降低至&lt;200ns/次。</x:v>
      </x:c>
      <x:c r="T187" s="22" t="str">
        <x:v>SR-01-10-03</x:v>
      </x:c>
      <x:c r="U187" s="22" t="str">
        <x:v>待认领</x:v>
      </x:c>
      <x:c r="V187" s="22" t="str"/>
      <x:c r="W187" s="22" t="str"/>
      <x:c r="X187" s="22" t="str">
        <x:f>IF(COUNTIF($A$5:$A$451,A187)=1,"PASS","FAIL")</x:f>
        <x:v>PASS</x:v>
      </x:c>
      <x:c r="Y187" s="22" t="str">
        <x:f>IF(COUNTIF('SR系统设计'!$A$5:$A$153,B187)+COUNTIF('追溯与覆盖'!$A$5:$A$153,C187)=2,"PASS","FAIL")</x:f>
        <x:v>PASS</x:v>
      </x:c>
    </x:row>
    <x:row r="188" ht="84" customHeight="1">
      <x:c r="A188" s="25" t="str">
        <x:v>AR-L2-MM-ViewLease-028-01</x:v>
      </x:c>
      <x:c r="B188" s="25" t="str">
        <x:v>SR-01-10-04</x:v>
      </x:c>
      <x:c r="C188" s="25" t="str">
        <x:v>L2-MM-ViewLease-028</x:v>
      </x:c>
      <x:c r="D188" s="25" t="str">
        <x:v>SF-01</x:v>
      </x:c>
      <x:c r="E188" s="25" t="str">
        <x:v>IR-01-10</x:v>
      </x:c>
      <x:c r="F188" s="22" t="str">
        <x:v>L2 KVConnector层</x:v>
      </x:c>
      <x:c r="G188" s="22" t="str">
        <x:v>TM5</x:v>
      </x:c>
      <x:c r="H188" s="22" t="str">
        <x:v>共享访问与故障控制</x:v>
      </x:c>
      <x:c r="I188" s="22" t="str">
        <x:v>P0</x:v>
      </x:c>
      <x:c r="J188" s="22" t="str">
        <x:v>P0</x:v>
      </x:c>
      <x:c r="K188" s="22" t="str">
        <x:v>核心实现</x:v>
      </x:c>
      <x:c r="L188" s="22" t="str">
        <x:v>Connector开发</x:v>
      </x:c>
      <x:c r="M188" s="22" t="str">
        <x:v>src/consistency/lease/view_lease.{h,cc}</x:v>
      </x:c>
      <x:c r="N188" s="22" t="str">
        <x:v>ViewLeaseGuard</x:v>
      </x:c>
      <x:c r="O188" s="22" t="str">
        <x:v>在 `src/consistency/lease/view_lease.{h,cc}` 新增或重写 `ViewLeaseGuard`，把“共享内存 KVCache 安全租约访问”落实为 L2 KVConnector层 可调用主路径：本需求要求 memory-view 访问必须以 lease handle 形式暴露，handle 必须携带 epoch、version、refcount、expiry、revocation callback； 输入必须显式消费 AttachHandle + object version + consumer set，输出 lease/refcount transition + fallback result，不得用全局单例或隐藏同步 I/O 绕开预算与状态机。</x:v>
      </x:c>
      <x:c r="P188" s="22" t="str">
        <x:v>实现 AttachHandle + object version + consumer set → lease/refcount transition + fallback result；遵守 租约冲突或状态异常时阻断消费、quarantine 并按原因码执行备用副本或重算</x:v>
      </x:c>
      <x:c r="Q188" s="22" t="str">
        <x:v>核心算法与状态转换完成；新增代码单测分支覆盖≥85%；线程安全/所有权明确；关闭 feature flag 时行为与 baseline 一致。</x:v>
      </x:c>
      <x:c r="R188" s="22" t="str">
        <x:v>ctest -R ViewLease --output-on-failure</x:v>
      </x:c>
      <x:c r="S188" s="22" t="str">
        <x:v>stale view fault = 0；</x:v>
      </x:c>
      <x:c r="T188" s="22" t="str">
        <x:v>SR-01-10-04</x:v>
      </x:c>
      <x:c r="U188" s="22" t="str">
        <x:v>待认领</x:v>
      </x:c>
      <x:c r="V188" s="22" t="str"/>
      <x:c r="W188" s="22" t="str"/>
      <x:c r="X188" s="22" t="str">
        <x:f>IF(COUNTIF($A$5:$A$451,A188)=1,"PASS","FAIL")</x:f>
        <x:v>PASS</x:v>
      </x:c>
      <x:c r="Y188" s="22" t="str">
        <x:f>IF(COUNTIF('SR系统设计'!$A$5:$A$153,B188)+COUNTIF('追溯与覆盖'!$A$5:$A$153,C188)=2,"PASS","FAIL")</x:f>
        <x:v>PASS</x:v>
      </x:c>
    </x:row>
    <x:row r="189" ht="84" customHeight="1">
      <x:c r="A189" s="25" t="str">
        <x:v>AR-L2-MM-ViewLease-028-02</x:v>
      </x:c>
      <x:c r="B189" s="25" t="str">
        <x:v>SR-01-10-04</x:v>
      </x:c>
      <x:c r="C189" s="25" t="str">
        <x:v>L2-MM-ViewLease-028</x:v>
      </x:c>
      <x:c r="D189" s="25" t="str">
        <x:v>SF-01</x:v>
      </x:c>
      <x:c r="E189" s="25" t="str">
        <x:v>IR-01-10</x:v>
      </x:c>
      <x:c r="F189" s="22" t="str">
        <x:v>L2 KVConnector层</x:v>
      </x:c>
      <x:c r="G189" s="22" t="str">
        <x:v>TM5</x:v>
      </x:c>
      <x:c r="H189" s="22" t="str">
        <x:v>共享访问与故障控制</x:v>
      </x:c>
      <x:c r="I189" s="22" t="str">
        <x:v>P0</x:v>
      </x:c>
      <x:c r="J189" s="22" t="str">
        <x:v>P0</x:v>
      </x:c>
      <x:c r="K189" s="22" t="str">
        <x:v>契约配置与降级</x:v>
      </x:c>
      <x:c r="L189" s="22" t="str">
        <x:v>Connector开发</x:v>
      </x:c>
      <x:c r="M189" s="22" t="str">
        <x:v>api/kvcache/v1/view_lease.proto + config/runtime/view_lease.yaml</x:v>
      </x:c>
      <x:c r="N189" s="22" t="str">
        <x:v>ViewLeaseOptions / kvcache.view_lease.enabled</x:v>
      </x:c>
      <x:c r="O189" s="22" t="str">
        <x:v>为 `ViewLeaseOptions` 增加 `kvcache.view_lease.enabled`、deadline/容量/队列预算及版本字段；在调用点接入 typed error、decision_reason、fallback_reason，确保配置热更新、灰度关闭和向后兼容均可审计。</x:v>
      </x:c>
      <x:c r="P189" s="22" t="str">
        <x:v>IDL/配置 schema 有版本号、默认值、边界校验和错误码；状态/租约/ready 不满足时按 租约冲突或状态异常时阻断消费、quarantine 并按原因码执行备用副本或重算</x:v>
      </x:c>
      <x:c r="Q189" s="22" t="str">
        <x:v>配置样例、schema 校验、升级兼容测试和回退路径齐全；任何隐式 fallback 被移除；新增指标可关联 request_id/query_plan_id/object_id/path_id。</x:v>
      </x:c>
      <x:c r="R189" s="22" t="str">
        <x:v>ctest -R ViewLeaseConfig &amp;&amp; ./bin/kvcache_config_check --case=view_lease</x:v>
      </x:c>
      <x:c r="S189" s="22" t="str">
        <x:v>stale view fault = 0；</x:v>
      </x:c>
      <x:c r="T189" s="22" t="str">
        <x:v>SR-01-10-04</x:v>
      </x:c>
      <x:c r="U189" s="22" t="str">
        <x:v>待认领</x:v>
      </x:c>
      <x:c r="V189" s="22" t="str"/>
      <x:c r="W189" s="22" t="str"/>
      <x:c r="X189" s="22" t="str">
        <x:f>IF(COUNTIF($A$5:$A$451,A189)=1,"PASS","FAIL")</x:f>
        <x:v>PASS</x:v>
      </x:c>
      <x:c r="Y189" s="22" t="str">
        <x:f>IF(COUNTIF('SR系统设计'!$A$5:$A$153,B189)+COUNTIF('追溯与覆盖'!$A$5:$A$153,C189)=2,"PASS","FAIL")</x:f>
        <x:v>PASS</x:v>
      </x:c>
    </x:row>
    <x:row r="190" ht="84" customHeight="1">
      <x:c r="A190" s="25" t="str">
        <x:v>AR-L2-MM-ViewLease-028-03</x:v>
      </x:c>
      <x:c r="B190" s="25" t="str">
        <x:v>SR-01-10-04</x:v>
      </x:c>
      <x:c r="C190" s="25" t="str">
        <x:v>L2-MM-ViewLease-028</x:v>
      </x:c>
      <x:c r="D190" s="25" t="str">
        <x:v>SF-01</x:v>
      </x:c>
      <x:c r="E190" s="25" t="str">
        <x:v>IR-01-10</x:v>
      </x:c>
      <x:c r="F190" s="22" t="str">
        <x:v>L2 KVConnector层</x:v>
      </x:c>
      <x:c r="G190" s="22" t="str">
        <x:v>TM5</x:v>
      </x:c>
      <x:c r="H190" s="22" t="str">
        <x:v>共享访问与故障控制</x:v>
      </x:c>
      <x:c r="I190" s="22" t="str">
        <x:v>P0</x:v>
      </x:c>
      <x:c r="J190" s="22" t="str">
        <x:v>P0</x:v>
      </x:c>
      <x:c r="K190" s="22" t="str">
        <x:v>验证与观测</x:v>
      </x:c>
      <x:c r="L190" s="22" t="str">
        <x:v>Connector开发</x:v>
      </x:c>
      <x:c r="M190" s="22" t="str">
        <x:v>tests/consistency/lease/view_lease_test.cc + benchmarks/consistency/lease/view_lease_benchmark.cc</x:v>
      </x:c>
      <x:c r="N190" s="22" t="str">
        <x:v>ViewLeaseTest / ViewLeaseBenchmark</x:v>
      </x:c>
      <x:c r="O190" s="22" t="str">
        <x:v>新增正常、边界、并发、超时、stale metadata、迁移冲突、路径拥塞/故障与 feature-flag-off 用例；在 benchmark 中固定模型、tokenizer、prompt、并发、拓扑和 baseline，采集 lookup/load/attach、TTFT、TPOT、usable/abandoned hit、带宽/时延及 CPU/NPU 利用率。</x:v>
      </x:c>
      <x:c r="P190" s="22" t="str">
        <x:v>验收直接引用来源指标：“stale view fault = 0；”；故障用例必须证明错误 KV 不被消费且 fallback reason 可追踪。</x:v>
      </x:c>
      <x:c r="Q190" s="22" t="str">
        <x:v>来源验收项全部自动化；性能报告包含 P50/P95/P99、置信区间与 baseline；失败门槛接入 CI；测试数据和命令可复现。</x:v>
      </x:c>
      <x:c r="R190" s="22" t="str">
        <x:v>./bin/kvcache_bench --case=view_lease --baseline=native --report=json</x:v>
      </x:c>
      <x:c r="S190" s="22" t="str">
        <x:v>stale view fault = 0；</x:v>
      </x:c>
      <x:c r="T190" s="22" t="str">
        <x:v>SR-01-10-04</x:v>
      </x:c>
      <x:c r="U190" s="22" t="str">
        <x:v>待认领</x:v>
      </x:c>
      <x:c r="V190" s="22" t="str"/>
      <x:c r="W190" s="22" t="str"/>
      <x:c r="X190" s="22" t="str">
        <x:f>IF(COUNTIF($A$5:$A$451,A190)=1,"PASS","FAIL")</x:f>
        <x:v>PASS</x:v>
      </x:c>
      <x:c r="Y190" s="22" t="str">
        <x:f>IF(COUNTIF('SR系统设计'!$A$5:$A$153,B190)+COUNTIF('追溯与覆盖'!$A$5:$A$153,C190)=2,"PASS","FAIL")</x:f>
        <x:v>PASS</x:v>
      </x:c>
    </x:row>
    <x:row r="191" ht="84" customHeight="1">
      <x:c r="A191" s="25" t="str">
        <x:v>AR-L2-CONN-DefragPause-031-01</x:v>
      </x:c>
      <x:c r="B191" s="25" t="str">
        <x:v>SR-01-10-05</x:v>
      </x:c>
      <x:c r="C191" s="25" t="str">
        <x:v>L2-CONN-DefragPause-031</x:v>
      </x:c>
      <x:c r="D191" s="25" t="str">
        <x:v>SF-01</x:v>
      </x:c>
      <x:c r="E191" s="25" t="str">
        <x:v>IR-01-10</x:v>
      </x:c>
      <x:c r="F191" s="22" t="str">
        <x:v>L2 KVConnector层</x:v>
      </x:c>
      <x:c r="G191" s="22" t="str">
        <x:v>TM5</x:v>
      </x:c>
      <x:c r="H191" s="22" t="str">
        <x:v>共享访问与故障控制</x:v>
      </x:c>
      <x:c r="I191" s="22" t="str">
        <x:v>P1</x:v>
      </x:c>
      <x:c r="J191" s="22" t="str">
        <x:v>P1</x:v>
      </x:c>
      <x:c r="K191" s="22" t="str">
        <x:v>核心实现</x:v>
      </x:c>
      <x:c r="L191" s="22" t="str">
        <x:v>Connector开发</x:v>
      </x:c>
      <x:c r="M191" s="22" t="str">
        <x:v>src/consistency/lease/defrag_pause.{h,cc}</x:v>
      </x:c>
      <x:c r="N191" s="22" t="str">
        <x:v>DefragPauseGuard</x:v>
      </x:c>
      <x:c r="O191" s="22" t="str">
        <x:v>在 `src/consistency/lease/defrag_pause.{h,cc}` 新增或重写 `DefragPauseGuard`，把“活跃租约下内存无感整理”落实为 L2 KVConnector层 可调用主路径：本需求要求 Connector 层实现租约感知的碎片整理暂停与无感原子更替：当底层执行内存块迁移时，若涉及活跃的 Lease 句柄，必须通过 RCU（Read-Copy-Update）无锁机制延迟迁移，或在 50μs 内原子更替虚拟到物理的指针映射。 输入必须显式消费 AttachHandle + object version + consumer set，输出 lease/refcount transition + fallback result，不得用全局单例或隐藏同步 I/O 绕开预算与状态机。</x:v>
      </x:c>
      <x:c r="P191" s="22" t="str">
        <x:v>实现 AttachHandle + object version + consumer set → lease/refcount transition + fallback result；遵守 租约冲突或状态异常时阻断消费、quarantine 并按原因码执行备用副本或重算</x:v>
      </x:c>
      <x:c r="Q191" s="22" t="str">
        <x:v>核心算法与状态转换完成；新增代码单测分支覆盖≥85%；线程安全/所有权明确；关闭 feature flag 时行为与 baseline 一致。</x:v>
      </x:c>
      <x:c r="R191" s="22" t="str">
        <x:v>ctest -R DefragPause --output-on-failure</x:v>
      </x:c>
      <x:c r="S191" s="22" t="str">
        <x:v>元数据转换和序列化开销降低至&lt;200ns/次。</x:v>
      </x:c>
      <x:c r="T191" s="22" t="str">
        <x:v>SR-01-10-05</x:v>
      </x:c>
      <x:c r="U191" s="22" t="str">
        <x:v>待认领</x:v>
      </x:c>
      <x:c r="V191" s="22" t="str"/>
      <x:c r="W191" s="22" t="str"/>
      <x:c r="X191" s="22" t="str">
        <x:f>IF(COUNTIF($A$5:$A$451,A191)=1,"PASS","FAIL")</x:f>
        <x:v>PASS</x:v>
      </x:c>
      <x:c r="Y191" s="22" t="str">
        <x:f>IF(COUNTIF('SR系统设计'!$A$5:$A$153,B191)+COUNTIF('追溯与覆盖'!$A$5:$A$153,C191)=2,"PASS","FAIL")</x:f>
        <x:v>PASS</x:v>
      </x:c>
    </x:row>
    <x:row r="192" ht="84" customHeight="1">
      <x:c r="A192" s="25" t="str">
        <x:v>AR-L2-CONN-DefragPause-031-02</x:v>
      </x:c>
      <x:c r="B192" s="25" t="str">
        <x:v>SR-01-10-05</x:v>
      </x:c>
      <x:c r="C192" s="25" t="str">
        <x:v>L2-CONN-DefragPause-031</x:v>
      </x:c>
      <x:c r="D192" s="25" t="str">
        <x:v>SF-01</x:v>
      </x:c>
      <x:c r="E192" s="25" t="str">
        <x:v>IR-01-10</x:v>
      </x:c>
      <x:c r="F192" s="22" t="str">
        <x:v>L2 KVConnector层</x:v>
      </x:c>
      <x:c r="G192" s="22" t="str">
        <x:v>TM5</x:v>
      </x:c>
      <x:c r="H192" s="22" t="str">
        <x:v>共享访问与故障控制</x:v>
      </x:c>
      <x:c r="I192" s="22" t="str">
        <x:v>P1</x:v>
      </x:c>
      <x:c r="J192" s="22" t="str">
        <x:v>P1</x:v>
      </x:c>
      <x:c r="K192" s="22" t="str">
        <x:v>契约配置与降级</x:v>
      </x:c>
      <x:c r="L192" s="22" t="str">
        <x:v>Connector开发</x:v>
      </x:c>
      <x:c r="M192" s="22" t="str">
        <x:v>api/kvcache/v1/defrag_pause.proto + config/runtime/defrag_pause.yaml</x:v>
      </x:c>
      <x:c r="N192" s="22" t="str">
        <x:v>DefragPauseOptions / kvcache.defrag_pause.enabled</x:v>
      </x:c>
      <x:c r="O192" s="22" t="str">
        <x:v>为 `DefragPauseOptions` 增加 `kvcache.defrag_pause.enabled`、deadline/容量/队列预算及版本字段；在调用点接入 typed error、decision_reason、fallback_reason，确保配置热更新、灰度关闭和向后兼容均可审计。</x:v>
      </x:c>
      <x:c r="P192" s="22" t="str">
        <x:v>IDL/配置 schema 有版本号、默认值、边界校验和错误码；状态/租约/ready 不满足时按 租约冲突或状态异常时阻断消费、quarantine 并按原因码执行备用副本或重算</x:v>
      </x:c>
      <x:c r="Q192" s="22" t="str">
        <x:v>配置样例、schema 校验、升级兼容测试和回退路径齐全；任何隐式 fallback 被移除；新增指标可关联 request_id/query_plan_id/object_id/path_id。</x:v>
      </x:c>
      <x:c r="R192" s="22" t="str">
        <x:v>ctest -R DefragPauseConfig &amp;&amp; ./bin/kvcache_config_check --case=defrag_pause</x:v>
      </x:c>
      <x:c r="S192" s="22" t="str">
        <x:v>元数据转换和序列化开销降低至&lt;200ns/次。</x:v>
      </x:c>
      <x:c r="T192" s="22" t="str">
        <x:v>SR-01-10-05</x:v>
      </x:c>
      <x:c r="U192" s="22" t="str">
        <x:v>待认领</x:v>
      </x:c>
      <x:c r="V192" s="22" t="str"/>
      <x:c r="W192" s="22" t="str"/>
      <x:c r="X192" s="22" t="str">
        <x:f>IF(COUNTIF($A$5:$A$451,A192)=1,"PASS","FAIL")</x:f>
        <x:v>PASS</x:v>
      </x:c>
      <x:c r="Y192" s="22" t="str">
        <x:f>IF(COUNTIF('SR系统设计'!$A$5:$A$153,B192)+COUNTIF('追溯与覆盖'!$A$5:$A$153,C192)=2,"PASS","FAIL")</x:f>
        <x:v>PASS</x:v>
      </x:c>
    </x:row>
    <x:row r="193" ht="84" customHeight="1">
      <x:c r="A193" s="25" t="str">
        <x:v>AR-L2-CONN-DefragPause-031-03</x:v>
      </x:c>
      <x:c r="B193" s="25" t="str">
        <x:v>SR-01-10-05</x:v>
      </x:c>
      <x:c r="C193" s="25" t="str">
        <x:v>L2-CONN-DefragPause-031</x:v>
      </x:c>
      <x:c r="D193" s="25" t="str">
        <x:v>SF-01</x:v>
      </x:c>
      <x:c r="E193" s="25" t="str">
        <x:v>IR-01-10</x:v>
      </x:c>
      <x:c r="F193" s="22" t="str">
        <x:v>L2 KVConnector层</x:v>
      </x:c>
      <x:c r="G193" s="22" t="str">
        <x:v>TM5</x:v>
      </x:c>
      <x:c r="H193" s="22" t="str">
        <x:v>共享访问与故障控制</x:v>
      </x:c>
      <x:c r="I193" s="22" t="str">
        <x:v>P1</x:v>
      </x:c>
      <x:c r="J193" s="22" t="str">
        <x:v>P1</x:v>
      </x:c>
      <x:c r="K193" s="22" t="str">
        <x:v>验证与观测</x:v>
      </x:c>
      <x:c r="L193" s="22" t="str">
        <x:v>Connector开发</x:v>
      </x:c>
      <x:c r="M193" s="22" t="str">
        <x:v>tests/consistency/lease/defrag_pause_test.cc + benchmarks/consistency/lease/defrag_pause_benchmark.cc</x:v>
      </x:c>
      <x:c r="N193" s="22" t="str">
        <x:v>DefragPauseTest / DefragPauseBenchmark</x:v>
      </x:c>
      <x:c r="O193" s="22" t="str">
        <x:v>新增正常、边界、并发、超时、stale metadata、迁移冲突、路径拥塞/故障与 feature-flag-off 用例；在 benchmark 中固定模型、tokenizer、prompt、并发、拓扑和 baseline，采集 lookup/load/attach、TTFT、TPOT、usable/abandoned hit、带宽/时延及 CPU/NPU 利用率。</x:v>
      </x:c>
      <x:c r="P193" s="22" t="str">
        <x:v>验收直接引用来源指标：“元数据转换和序列化开销降低至&lt;200ns/次。”；故障用例必须证明错误 KV 不被消费且 fallback reason 可追踪。</x:v>
      </x:c>
      <x:c r="Q193" s="22" t="str">
        <x:v>来源验收项全部自动化；性能报告包含 P50/P95/P99、置信区间与 baseline；失败门槛接入 CI；测试数据和命令可复现。</x:v>
      </x:c>
      <x:c r="R193" s="22" t="str">
        <x:v>./bin/kvcache_bench --case=defrag_pause --baseline=native --report=json</x:v>
      </x:c>
      <x:c r="S193" s="22" t="str">
        <x:v>元数据转换和序列化开销降低至&lt;200ns/次。</x:v>
      </x:c>
      <x:c r="T193" s="22" t="str">
        <x:v>SR-01-10-05</x:v>
      </x:c>
      <x:c r="U193" s="22" t="str">
        <x:v>待认领</x:v>
      </x:c>
      <x:c r="V193" s="22" t="str"/>
      <x:c r="W193" s="22" t="str"/>
      <x:c r="X193" s="22" t="str">
        <x:f>IF(COUNTIF($A$5:$A$451,A193)=1,"PASS","FAIL")</x:f>
        <x:v>PASS</x:v>
      </x:c>
      <x:c r="Y193" s="22" t="str">
        <x:f>IF(COUNTIF('SR系统设计'!$A$5:$A$153,B193)+COUNTIF('追溯与覆盖'!$A$5:$A$153,C193)=2,"PASS","FAIL")</x:f>
        <x:v>PASS</x:v>
      </x:c>
    </x:row>
    <x:row r="194" ht="84" customHeight="1">
      <x:c r="A194" s="25" t="str">
        <x:v>AR-L2-OB-PathTrace-030-01</x:v>
      </x:c>
      <x:c r="B194" s="25" t="str">
        <x:v>SR-01-10-06</x:v>
      </x:c>
      <x:c r="C194" s="25" t="str">
        <x:v>L2-OB-PathTrace-030</x:v>
      </x:c>
      <x:c r="D194" s="25" t="str">
        <x:v>SF-01</x:v>
      </x:c>
      <x:c r="E194" s="25" t="str">
        <x:v>IR-01-10</x:v>
      </x:c>
      <x:c r="F194" s="22" t="str">
        <x:v>L2 KVConnector层</x:v>
      </x:c>
      <x:c r="G194" s="22" t="str">
        <x:v>TM6</x:v>
      </x:c>
      <x:c r="H194" s="22" t="str">
        <x:v>共享访问与故障控制</x:v>
      </x:c>
      <x:c r="I194" s="22" t="str">
        <x:v>P1</x:v>
      </x:c>
      <x:c r="J194" s="22" t="str">
        <x:v>P1</x:v>
      </x:c>
      <x:c r="K194" s="22" t="str">
        <x:v>核心实现</x:v>
      </x:c>
      <x:c r="L194" s="22" t="str">
        <x:v>Connector开发</x:v>
      </x:c>
      <x:c r="M194" s="22" t="str">
        <x:v>src/consistency/lease/path_trace.{h,cc}</x:v>
      </x:c>
      <x:c r="N194" s="22" t="str">
        <x:v>PathTraceGuard</x:v>
      </x:c>
      <x:c r="O194" s="22" t="str">
        <x:v>在 `src/consistency/lease/path_trace.{h,cc}` 新增或重写 `PathTraceGuard`，把“KVCache 传输路径可追踪运维”落实为 L2 KVConnector层 可调用主路径：本需求要求 Connector 为每次 KV access 生成 path decision trace，记录 selected semantic、selected backend、source/destination tier、reason、fallback reason、latency breakdown、bytes 和 descriptor count，支持运维定位“命中了但变慢”的根因。 输入必须显式消费 AttachHandle + object version + consumer set，输出 lease/refcount transition + fallback result，不得用全局单例或隐藏同步 I/O 绕开预算与状态机。</x:v>
      </x:c>
      <x:c r="P194" s="22" t="str">
        <x:v>实现 AttachHandle + object version + consumer set → lease/refcount transition + fallback result；遵守 租约冲突或状态异常时阻断消费、quarantine 并按原因码执行备用副本或重算</x:v>
      </x:c>
      <x:c r="Q194" s="22" t="str">
        <x:v>核心算法与状态转换完成；新增代码单测分支覆盖≥85%；线程安全/所有权明确；关闭 feature flag 时行为与 baseline 一致。</x:v>
      </x:c>
      <x:c r="R194" s="22" t="str">
        <x:v>ctest -R PathTrace --output-on-failure</x:v>
      </x:c>
      <x:c r="S194" s="22" t="str">
        <x:v>线上问题定位时间降低；</x:v>
      </x:c>
      <x:c r="T194" s="22" t="str">
        <x:v>SR-01-10-06</x:v>
      </x:c>
      <x:c r="U194" s="22" t="str">
        <x:v>待认领</x:v>
      </x:c>
      <x:c r="V194" s="22" t="str"/>
      <x:c r="W194" s="22" t="str"/>
      <x:c r="X194" s="22" t="str">
        <x:f>IF(COUNTIF($A$5:$A$451,A194)=1,"PASS","FAIL")</x:f>
        <x:v>PASS</x:v>
      </x:c>
      <x:c r="Y194" s="22" t="str">
        <x:f>IF(COUNTIF('SR系统设计'!$A$5:$A$153,B194)+COUNTIF('追溯与覆盖'!$A$5:$A$153,C194)=2,"PASS","FAIL")</x:f>
        <x:v>PASS</x:v>
      </x:c>
    </x:row>
    <x:row r="195" ht="84" customHeight="1">
      <x:c r="A195" s="25" t="str">
        <x:v>AR-L2-OB-PathTrace-030-02</x:v>
      </x:c>
      <x:c r="B195" s="25" t="str">
        <x:v>SR-01-10-06</x:v>
      </x:c>
      <x:c r="C195" s="25" t="str">
        <x:v>L2-OB-PathTrace-030</x:v>
      </x:c>
      <x:c r="D195" s="25" t="str">
        <x:v>SF-01</x:v>
      </x:c>
      <x:c r="E195" s="25" t="str">
        <x:v>IR-01-10</x:v>
      </x:c>
      <x:c r="F195" s="22" t="str">
        <x:v>L2 KVConnector层</x:v>
      </x:c>
      <x:c r="G195" s="22" t="str">
        <x:v>TM6</x:v>
      </x:c>
      <x:c r="H195" s="22" t="str">
        <x:v>共享访问与故障控制</x:v>
      </x:c>
      <x:c r="I195" s="22" t="str">
        <x:v>P1</x:v>
      </x:c>
      <x:c r="J195" s="22" t="str">
        <x:v>P1</x:v>
      </x:c>
      <x:c r="K195" s="22" t="str">
        <x:v>契约配置与降级</x:v>
      </x:c>
      <x:c r="L195" s="22" t="str">
        <x:v>Connector开发</x:v>
      </x:c>
      <x:c r="M195" s="22" t="str">
        <x:v>api/kvcache/v1/path_trace.proto + config/runtime/path_trace.yaml</x:v>
      </x:c>
      <x:c r="N195" s="22" t="str">
        <x:v>PathTraceOptions / kvcache.path_trace.enabled</x:v>
      </x:c>
      <x:c r="O195" s="22" t="str">
        <x:v>为 `PathTraceOptions` 增加 `kvcache.path_trace.enabled`、deadline/容量/队列预算及版本字段；在调用点接入 typed error、decision_reason、fallback_reason，确保配置热更新、灰度关闭和向后兼容均可审计。</x:v>
      </x:c>
      <x:c r="P195" s="22" t="str">
        <x:v>IDL/配置 schema 有版本号、默认值、边界校验和错误码；状态/租约/ready 不满足时按 租约冲突或状态异常时阻断消费、quarantine 并按原因码执行备用副本或重算</x:v>
      </x:c>
      <x:c r="Q195" s="22" t="str">
        <x:v>配置样例、schema 校验、升级兼容测试和回退路径齐全；任何隐式 fallback 被移除；新增指标可关联 request_id/query_plan_id/object_id/path_id。</x:v>
      </x:c>
      <x:c r="R195" s="22" t="str">
        <x:v>ctest -R PathTraceConfig &amp;&amp; ./bin/kvcache_config_check --case=path_trace</x:v>
      </x:c>
      <x:c r="S195" s="22" t="str">
        <x:v>线上问题定位时间降低；</x:v>
      </x:c>
      <x:c r="T195" s="22" t="str">
        <x:v>SR-01-10-06</x:v>
      </x:c>
      <x:c r="U195" s="22" t="str">
        <x:v>待认领</x:v>
      </x:c>
      <x:c r="V195" s="22" t="str"/>
      <x:c r="W195" s="22" t="str"/>
      <x:c r="X195" s="22" t="str">
        <x:f>IF(COUNTIF($A$5:$A$451,A195)=1,"PASS","FAIL")</x:f>
        <x:v>PASS</x:v>
      </x:c>
      <x:c r="Y195" s="22" t="str">
        <x:f>IF(COUNTIF('SR系统设计'!$A$5:$A$153,B195)+COUNTIF('追溯与覆盖'!$A$5:$A$153,C195)=2,"PASS","FAIL")</x:f>
        <x:v>PASS</x:v>
      </x:c>
    </x:row>
    <x:row r="196" ht="84" customHeight="1">
      <x:c r="A196" s="25" t="str">
        <x:v>AR-L2-OB-PathTrace-030-03</x:v>
      </x:c>
      <x:c r="B196" s="25" t="str">
        <x:v>SR-01-10-06</x:v>
      </x:c>
      <x:c r="C196" s="25" t="str">
        <x:v>L2-OB-PathTrace-030</x:v>
      </x:c>
      <x:c r="D196" s="25" t="str">
        <x:v>SF-01</x:v>
      </x:c>
      <x:c r="E196" s="25" t="str">
        <x:v>IR-01-10</x:v>
      </x:c>
      <x:c r="F196" s="22" t="str">
        <x:v>L2 KVConnector层</x:v>
      </x:c>
      <x:c r="G196" s="22" t="str">
        <x:v>TM6</x:v>
      </x:c>
      <x:c r="H196" s="22" t="str">
        <x:v>共享访问与故障控制</x:v>
      </x:c>
      <x:c r="I196" s="22" t="str">
        <x:v>P1</x:v>
      </x:c>
      <x:c r="J196" s="22" t="str">
        <x:v>P1</x:v>
      </x:c>
      <x:c r="K196" s="22" t="str">
        <x:v>验证与观测</x:v>
      </x:c>
      <x:c r="L196" s="22" t="str">
        <x:v>Connector开发</x:v>
      </x:c>
      <x:c r="M196" s="22" t="str">
        <x:v>tests/consistency/lease/path_trace_test.cc + benchmarks/consistency/lease/path_trace_benchmark.cc</x:v>
      </x:c>
      <x:c r="N196" s="22" t="str">
        <x:v>PathTraceTest / PathTraceBenchmark</x:v>
      </x:c>
      <x:c r="O196" s="22" t="str">
        <x:v>新增正常、边界、并发、超时、stale metadata、迁移冲突、路径拥塞/故障与 feature-flag-off 用例；在 benchmark 中固定模型、tokenizer、prompt、并发、拓扑和 baseline，采集 lookup/load/attach、TTFT、TPOT、usable/abandoned hit、带宽/时延及 CPU/NPU 利用率。</x:v>
      </x:c>
      <x:c r="P196" s="22" t="str">
        <x:v>验收直接引用来源指标：“线上问题定位时间降低；”；故障用例必须证明错误 KV 不被消费且 fallback reason 可追踪。</x:v>
      </x:c>
      <x:c r="Q196" s="22" t="str">
        <x:v>来源验收项全部自动化；性能报告包含 P50/P95/P99、置信区间与 baseline；失败门槛接入 CI；测试数据和命令可复现。</x:v>
      </x:c>
      <x:c r="R196" s="22" t="str">
        <x:v>./bin/kvcache_bench --case=path_trace --baseline=native --report=json</x:v>
      </x:c>
      <x:c r="S196" s="22" t="str">
        <x:v>线上问题定位时间降低；</x:v>
      </x:c>
      <x:c r="T196" s="22" t="str">
        <x:v>SR-01-10-06</x:v>
      </x:c>
      <x:c r="U196" s="22" t="str">
        <x:v>待认领</x:v>
      </x:c>
      <x:c r="V196" s="22" t="str"/>
      <x:c r="W196" s="22" t="str"/>
      <x:c r="X196" s="22" t="str">
        <x:f>IF(COUNTIF($A$5:$A$451,A196)=1,"PASS","FAIL")</x:f>
        <x:v>PASS</x:v>
      </x:c>
      <x:c r="Y196" s="22" t="str">
        <x:f>IF(COUNTIF('SR系统设计'!$A$5:$A$153,B196)+COUNTIF('追溯与覆盖'!$A$5:$A$153,C196)=2,"PASS","FAIL")</x:f>
        <x:v>PASS</x:v>
      </x:c>
    </x:row>
    <x:row r="197" ht="84" customHeight="1">
      <x:c r="A197" s="25" t="str">
        <x:v>AR-L2-MM-MultiConsumer-027-01</x:v>
      </x:c>
      <x:c r="B197" s="25" t="str">
        <x:v>SR-01-10-07</x:v>
      </x:c>
      <x:c r="C197" s="25" t="str">
        <x:v>L2-MM-MultiConsumer-027</x:v>
      </x:c>
      <x:c r="D197" s="25" t="str">
        <x:v>SF-01</x:v>
      </x:c>
      <x:c r="E197" s="25" t="str">
        <x:v>IR-01-10</x:v>
      </x:c>
      <x:c r="F197" s="22" t="str">
        <x:v>L2 KVConnector层</x:v>
      </x:c>
      <x:c r="G197" s="22" t="str">
        <x:v>TM5</x:v>
      </x:c>
      <x:c r="H197" s="22" t="str">
        <x:v>共享访问与故障控制</x:v>
      </x:c>
      <x:c r="I197" s="22" t="str">
        <x:v>P2</x:v>
      </x:c>
      <x:c r="J197" s="22" t="str">
        <x:v>P2</x:v>
      </x:c>
      <x:c r="K197" s="22" t="str">
        <x:v>核心实现</x:v>
      </x:c>
      <x:c r="L197" s="22" t="str">
        <x:v>Connector开发</x:v>
      </x:c>
      <x:c r="M197" s="22" t="str">
        <x:v>src/consistency/lease/multi_consumer.{h,cc}</x:v>
      </x:c>
      <x:c r="N197" s="22" t="str">
        <x:v>MultiConsumerGuard</x:v>
      </x:c>
      <x:c r="O197" s="22" t="str">
        <x:v>在 `src/consistency/lease/multi_consumer.{h,cc}` 新增或重写 `MultiConsumerGuard`，把“共享前缀 KVCache 批量广播”落实为 L2 KVConnector层 可调用主路径：本需求要求 Connector 支持 multi-consumer KV handle：同一 KV object 被多个 decode replica、TP rank 或请求消费时，应通过 refcount、consumer bitmap 和 shared visibility fence 共享一次加载结果，避免多消费者重复远端拉取。 输入必须显式消费 AttachHandle + object version + consumer set，输出 lease/refcount transition + fallback result，不得用全局单例或隐藏同步 I/O 绕开预算与状态机。</x:v>
      </x:c>
      <x:c r="P197" s="22" t="str">
        <x:v>实现 AttachHandle + object version + consumer set → lease/refcount transition + fallback result；遵守 租约冲突或状态异常时阻断消费、quarantine 并按原因码执行备用副本或重算</x:v>
      </x:c>
      <x:c r="Q197" s="22" t="str">
        <x:v>核心算法与状态转换完成；新增代码单测分支覆盖≥85%；线程安全/所有权明确；关闭 feature flag 时行为与 baseline 一致。</x:v>
      </x:c>
      <x:c r="R197" s="22" t="str">
        <x:v>ctest -R MultiConsumer --output-on-failure</x:v>
      </x:c>
      <x:c r="S197" s="22" t="str">
        <x:v>重复远端拉取次数降低 ≥50%；</x:v>
      </x:c>
      <x:c r="T197" s="22" t="str">
        <x:v>SR-01-10-07</x:v>
      </x:c>
      <x:c r="U197" s="22" t="str">
        <x:v>待认领</x:v>
      </x:c>
      <x:c r="V197" s="22" t="str"/>
      <x:c r="W197" s="22" t="str"/>
      <x:c r="X197" s="22" t="str">
        <x:f>IF(COUNTIF($A$5:$A$451,A197)=1,"PASS","FAIL")</x:f>
        <x:v>PASS</x:v>
      </x:c>
      <x:c r="Y197" s="22" t="str">
        <x:f>IF(COUNTIF('SR系统设计'!$A$5:$A$153,B197)+COUNTIF('追溯与覆盖'!$A$5:$A$153,C197)=2,"PASS","FAIL")</x:f>
        <x:v>PASS</x:v>
      </x:c>
    </x:row>
    <x:row r="198" ht="84" customHeight="1">
      <x:c r="A198" s="25" t="str">
        <x:v>AR-L2-MM-MultiConsumer-027-02</x:v>
      </x:c>
      <x:c r="B198" s="25" t="str">
        <x:v>SR-01-10-07</x:v>
      </x:c>
      <x:c r="C198" s="25" t="str">
        <x:v>L2-MM-MultiConsumer-027</x:v>
      </x:c>
      <x:c r="D198" s="25" t="str">
        <x:v>SF-01</x:v>
      </x:c>
      <x:c r="E198" s="25" t="str">
        <x:v>IR-01-10</x:v>
      </x:c>
      <x:c r="F198" s="22" t="str">
        <x:v>L2 KVConnector层</x:v>
      </x:c>
      <x:c r="G198" s="22" t="str">
        <x:v>TM5</x:v>
      </x:c>
      <x:c r="H198" s="22" t="str">
        <x:v>共享访问与故障控制</x:v>
      </x:c>
      <x:c r="I198" s="22" t="str">
        <x:v>P2</x:v>
      </x:c>
      <x:c r="J198" s="22" t="str">
        <x:v>P2</x:v>
      </x:c>
      <x:c r="K198" s="22" t="str">
        <x:v>契约配置与降级</x:v>
      </x:c>
      <x:c r="L198" s="22" t="str">
        <x:v>Connector开发</x:v>
      </x:c>
      <x:c r="M198" s="22" t="str">
        <x:v>api/kvcache/v1/multi_consumer.proto + config/runtime/multi_consumer.yaml</x:v>
      </x:c>
      <x:c r="N198" s="22" t="str">
        <x:v>MultiConsumerOptions / kvcache.multi_consumer.enabled</x:v>
      </x:c>
      <x:c r="O198" s="22" t="str">
        <x:v>为 `MultiConsumerOptions` 增加 `kvcache.multi_consumer.enabled`、deadline/容量/队列预算及版本字段；在调用点接入 typed error、decision_reason、fallback_reason，确保配置热更新、灰度关闭和向后兼容均可审计。</x:v>
      </x:c>
      <x:c r="P198" s="22" t="str">
        <x:v>IDL/配置 schema 有版本号、默认值、边界校验和错误码；状态/租约/ready 不满足时按 租约冲突或状态异常时阻断消费、quarantine 并按原因码执行备用副本或重算</x:v>
      </x:c>
      <x:c r="Q198" s="22" t="str">
        <x:v>配置样例、schema 校验、升级兼容测试和回退路径齐全；任何隐式 fallback 被移除；新增指标可关联 request_id/query_plan_id/object_id/path_id。</x:v>
      </x:c>
      <x:c r="R198" s="22" t="str">
        <x:v>ctest -R MultiConsumerConfig &amp;&amp; ./bin/kvcache_config_check --case=multi_consumer</x:v>
      </x:c>
      <x:c r="S198" s="22" t="str">
        <x:v>重复远端拉取次数降低 ≥50%；</x:v>
      </x:c>
      <x:c r="T198" s="22" t="str">
        <x:v>SR-01-10-07</x:v>
      </x:c>
      <x:c r="U198" s="22" t="str">
        <x:v>待认领</x:v>
      </x:c>
      <x:c r="V198" s="22" t="str"/>
      <x:c r="W198" s="22" t="str"/>
      <x:c r="X198" s="22" t="str">
        <x:f>IF(COUNTIF($A$5:$A$451,A198)=1,"PASS","FAIL")</x:f>
        <x:v>PASS</x:v>
      </x:c>
      <x:c r="Y198" s="22" t="str">
        <x:f>IF(COUNTIF('SR系统设计'!$A$5:$A$153,B198)+COUNTIF('追溯与覆盖'!$A$5:$A$153,C198)=2,"PASS","FAIL")</x:f>
        <x:v>PASS</x:v>
      </x:c>
    </x:row>
    <x:row r="199" ht="84" customHeight="1">
      <x:c r="A199" s="25" t="str">
        <x:v>AR-L2-MM-MultiConsumer-027-03</x:v>
      </x:c>
      <x:c r="B199" s="25" t="str">
        <x:v>SR-01-10-07</x:v>
      </x:c>
      <x:c r="C199" s="25" t="str">
        <x:v>L2-MM-MultiConsumer-027</x:v>
      </x:c>
      <x:c r="D199" s="25" t="str">
        <x:v>SF-01</x:v>
      </x:c>
      <x:c r="E199" s="25" t="str">
        <x:v>IR-01-10</x:v>
      </x:c>
      <x:c r="F199" s="22" t="str">
        <x:v>L2 KVConnector层</x:v>
      </x:c>
      <x:c r="G199" s="22" t="str">
        <x:v>TM5</x:v>
      </x:c>
      <x:c r="H199" s="22" t="str">
        <x:v>共享访问与故障控制</x:v>
      </x:c>
      <x:c r="I199" s="22" t="str">
        <x:v>P2</x:v>
      </x:c>
      <x:c r="J199" s="22" t="str">
        <x:v>P2</x:v>
      </x:c>
      <x:c r="K199" s="22" t="str">
        <x:v>验证与观测</x:v>
      </x:c>
      <x:c r="L199" s="22" t="str">
        <x:v>Connector开发</x:v>
      </x:c>
      <x:c r="M199" s="22" t="str">
        <x:v>tests/consistency/lease/multi_consumer_test.cc + benchmarks/consistency/lease/multi_consumer_benchmark.cc</x:v>
      </x:c>
      <x:c r="N199" s="22" t="str">
        <x:v>MultiConsumerTest / MultiConsumerBenchmark</x:v>
      </x:c>
      <x:c r="O199" s="22" t="str">
        <x:v>新增正常、边界、并发、超时、stale metadata、迁移冲突、路径拥塞/故障与 feature-flag-off 用例；在 benchmark 中固定模型、tokenizer、prompt、并发、拓扑和 baseline，采集 lookup/load/attach、TTFT、TPOT、usable/abandoned hit、带宽/时延及 CPU/NPU 利用率。</x:v>
      </x:c>
      <x:c r="P199" s="22" t="str">
        <x:v>验收直接引用来源指标：“重复远端拉取次数降低 ≥50%；”；故障用例必须证明错误 KV 不被消费且 fallback reason 可追踪。</x:v>
      </x:c>
      <x:c r="Q199" s="22" t="str">
        <x:v>来源验收项全部自动化；性能报告包含 P50/P95/P99、置信区间与 baseline；失败门槛接入 CI；测试数据和命令可复现。</x:v>
      </x:c>
      <x:c r="R199" s="22" t="str">
        <x:v>./bin/kvcache_bench --case=multi_consumer --baseline=native --report=json</x:v>
      </x:c>
      <x:c r="S199" s="22" t="str">
        <x:v>重复远端拉取次数降低 ≥50%；</x:v>
      </x:c>
      <x:c r="T199" s="22" t="str">
        <x:v>SR-01-10-07</x:v>
      </x:c>
      <x:c r="U199" s="22" t="str">
        <x:v>待认领</x:v>
      </x:c>
      <x:c r="V199" s="22" t="str"/>
      <x:c r="W199" s="22" t="str"/>
      <x:c r="X199" s="22" t="str">
        <x:f>IF(COUNTIF($A$5:$A$451,A199)=1,"PASS","FAIL")</x:f>
        <x:v>PASS</x:v>
      </x:c>
      <x:c r="Y199" s="22" t="str">
        <x:f>IF(COUNTIF('SR系统设计'!$A$5:$A$153,B199)+COUNTIF('追溯与覆盖'!$A$5:$A$153,C199)=2,"PASS","FAIL")</x:f>
        <x:v>PASS</x:v>
      </x:c>
    </x:row>
    <x:row r="200" ht="84" customHeight="1">
      <x:c r="A200" s="25" t="str">
        <x:v>AR-L3-CO-AttachDetachLease-063-01</x:v>
      </x:c>
      <x:c r="B200" s="25" t="str">
        <x:v>SR-01-11-01</x:v>
      </x:c>
      <x:c r="C200" s="25" t="str">
        <x:v>L3-CO-AttachDetachLease-063</x:v>
      </x:c>
      <x:c r="D200" s="25" t="str">
        <x:v>SF-01</x:v>
      </x:c>
      <x:c r="E200" s="25" t="str">
        <x:v>IR-01-11</x:v>
      </x:c>
      <x:c r="F200" s="22" t="str">
        <x:v>L3 传输管理层</x:v>
      </x:c>
      <x:c r="G200" s="22" t="str">
        <x:v>TM5</x:v>
      </x:c>
      <x:c r="H200" s="22" t="str">
        <x:v>一致性、隔离与QoS</x:v>
      </x:c>
      <x:c r="I200" s="22" t="str">
        <x:v>P0</x:v>
      </x:c>
      <x:c r="J200" s="22" t="str">
        <x:v>P0</x:v>
      </x:c>
      <x:c r="K200" s="22" t="str">
        <x:v>核心实现</x:v>
      </x:c>
      <x:c r="L200" s="22" t="str">
        <x:v>存储池/传输管理开发</x:v>
      </x:c>
      <x:c r="M200" s="22" t="str">
        <x:v>src/consistency/qos/attach_detach_lease.{h,cc}</x:v>
      </x:c>
      <x:c r="N200" s="22" t="str">
        <x:v>AttachDetachLeaseController</x:v>
      </x:c>
      <x:c r="O200" s="22" t="str">
        <x:v>在 `src/consistency/qos/attach_detach_lease.{h,cc}` 新增或重写 `AttachDetachLeaseController`，把“Decode 使用 KV 期间防止被迁移或释放”落实为 L3 传输管理层 可调用主路径：本需求要求统一 KV 内存池实现 attach/detach lease：KV 被消费前必须获取 read lease 或 attach lease，lease 期间禁止物理释放、非法覆盖或不可见迁移； 输入必须显式消费 object state + traffic class + tenant quota，输出 atomic visibility + scheduled transfer budget，不得用全局单例或隐藏同步 I/O 绕开预算与状态机。</x:v>
      </x:c>
      <x:c r="P200" s="22" t="str">
        <x:v>实现 object state + traffic class + tenant quota → atomic visibility + scheduled transfer budget；遵守 冲突对象进入等待/隔离；后台队列可暂停、drain 或限速；前台超预算直接重算</x:v>
      </x:c>
      <x:c r="Q200" s="22" t="str">
        <x:v>核心算法与状态转换完成；新增代码单测分支覆盖≥85%；线程安全/所有权明确；关闭 feature flag 时行为与 baseline 一致。</x:v>
      </x:c>
      <x:c r="R200" s="22" t="str">
        <x:v>ctest -R AttachDetachLease --output-on-failure</x:v>
      </x:c>
      <x:c r="S200" s="22" t="str">
        <x:v>节点动态加入/退出时的缓存失效控制在局部范围内（遵循一致性哈希比例）。</x:v>
      </x:c>
      <x:c r="T200" s="22" t="str">
        <x:v>SR-01-11-01</x:v>
      </x:c>
      <x:c r="U200" s="22" t="str">
        <x:v>待认领</x:v>
      </x:c>
      <x:c r="V200" s="22" t="str"/>
      <x:c r="W200" s="22" t="str"/>
      <x:c r="X200" s="22" t="str">
        <x:f>IF(COUNTIF($A$5:$A$451,A200)=1,"PASS","FAIL")</x:f>
        <x:v>PASS</x:v>
      </x:c>
      <x:c r="Y200" s="22" t="str">
        <x:f>IF(COUNTIF('SR系统设计'!$A$5:$A$153,B200)+COUNTIF('追溯与覆盖'!$A$5:$A$153,C200)=2,"PASS","FAIL")</x:f>
        <x:v>PASS</x:v>
      </x:c>
    </x:row>
    <x:row r="201" ht="84" customHeight="1">
      <x:c r="A201" s="25" t="str">
        <x:v>AR-L3-CO-AttachDetachLease-063-02</x:v>
      </x:c>
      <x:c r="B201" s="25" t="str">
        <x:v>SR-01-11-01</x:v>
      </x:c>
      <x:c r="C201" s="25" t="str">
        <x:v>L3-CO-AttachDetachLease-063</x:v>
      </x:c>
      <x:c r="D201" s="25" t="str">
        <x:v>SF-01</x:v>
      </x:c>
      <x:c r="E201" s="25" t="str">
        <x:v>IR-01-11</x:v>
      </x:c>
      <x:c r="F201" s="22" t="str">
        <x:v>L3 传输管理层</x:v>
      </x:c>
      <x:c r="G201" s="22" t="str">
        <x:v>TM5</x:v>
      </x:c>
      <x:c r="H201" s="22" t="str">
        <x:v>一致性、隔离与QoS</x:v>
      </x:c>
      <x:c r="I201" s="22" t="str">
        <x:v>P0</x:v>
      </x:c>
      <x:c r="J201" s="22" t="str">
        <x:v>P0</x:v>
      </x:c>
      <x:c r="K201" s="22" t="str">
        <x:v>契约配置与降级</x:v>
      </x:c>
      <x:c r="L201" s="22" t="str">
        <x:v>存储池/传输管理开发</x:v>
      </x:c>
      <x:c r="M201" s="22" t="str">
        <x:v>api/kvcache/v1/attach_detach_lease.proto + config/runtime/attach_detach_lease.yaml</x:v>
      </x:c>
      <x:c r="N201" s="22" t="str">
        <x:v>AttachDetachLeaseOptions / kvcache.attach_detach_lease.enabled</x:v>
      </x:c>
      <x:c r="O201" s="22" t="str">
        <x:v>为 `AttachDetachLeaseOptions` 增加 `kvcache.attach_detach_lease.enabled`、deadline/容量/队列预算及版本字段；在调用点接入 typed error、decision_reason、fallback_reason，确保配置热更新、灰度关闭和向后兼容均可审计。</x:v>
      </x:c>
      <x:c r="P201" s="22" t="str">
        <x:v>IDL/配置 schema 有版本号、默认值、边界校验和错误码；状态/租约/ready 不满足时按 冲突对象进入等待/隔离；后台队列可暂停、drain 或限速；前台超预算直接重算</x:v>
      </x:c>
      <x:c r="Q201" s="22" t="str">
        <x:v>配置样例、schema 校验、升级兼容测试和回退路径齐全；任何隐式 fallback 被移除；新增指标可关联 request_id/query_plan_id/object_id/path_id。</x:v>
      </x:c>
      <x:c r="R201" s="22" t="str">
        <x:v>ctest -R AttachDetachLeaseConfig &amp;&amp; ./bin/kvcache_config_check --case=attach_detach_lease</x:v>
      </x:c>
      <x:c r="S201" s="22" t="str">
        <x:v>节点动态加入/退出时的缓存失效控制在局部范围内（遵循一致性哈希比例）。</x:v>
      </x:c>
      <x:c r="T201" s="22" t="str">
        <x:v>SR-01-11-01</x:v>
      </x:c>
      <x:c r="U201" s="22" t="str">
        <x:v>待认领</x:v>
      </x:c>
      <x:c r="V201" s="22" t="str"/>
      <x:c r="W201" s="22" t="str"/>
      <x:c r="X201" s="22" t="str">
        <x:f>IF(COUNTIF($A$5:$A$451,A201)=1,"PASS","FAIL")</x:f>
        <x:v>PASS</x:v>
      </x:c>
      <x:c r="Y201" s="22" t="str">
        <x:f>IF(COUNTIF('SR系统设计'!$A$5:$A$153,B201)+COUNTIF('追溯与覆盖'!$A$5:$A$153,C201)=2,"PASS","FAIL")</x:f>
        <x:v>PASS</x:v>
      </x:c>
    </x:row>
    <x:row r="202" ht="84" customHeight="1">
      <x:c r="A202" s="25" t="str">
        <x:v>AR-L3-CO-AttachDetachLease-063-03</x:v>
      </x:c>
      <x:c r="B202" s="25" t="str">
        <x:v>SR-01-11-01</x:v>
      </x:c>
      <x:c r="C202" s="25" t="str">
        <x:v>L3-CO-AttachDetachLease-063</x:v>
      </x:c>
      <x:c r="D202" s="25" t="str">
        <x:v>SF-01</x:v>
      </x:c>
      <x:c r="E202" s="25" t="str">
        <x:v>IR-01-11</x:v>
      </x:c>
      <x:c r="F202" s="22" t="str">
        <x:v>L3 传输管理层</x:v>
      </x:c>
      <x:c r="G202" s="22" t="str">
        <x:v>TM5</x:v>
      </x:c>
      <x:c r="H202" s="22" t="str">
        <x:v>一致性、隔离与QoS</x:v>
      </x:c>
      <x:c r="I202" s="22" t="str">
        <x:v>P0</x:v>
      </x:c>
      <x:c r="J202" s="22" t="str">
        <x:v>P0</x:v>
      </x:c>
      <x:c r="K202" s="22" t="str">
        <x:v>验证与观测</x:v>
      </x:c>
      <x:c r="L202" s="22" t="str">
        <x:v>存储池/传输管理开发</x:v>
      </x:c>
      <x:c r="M202" s="22" t="str">
        <x:v>tests/consistency/qos/attach_detach_lease_test.cc + benchmarks/consistency/qos/attach_detach_lease_benchmark.cc</x:v>
      </x:c>
      <x:c r="N202" s="22" t="str">
        <x:v>AttachDetachLeaseTest / AttachDetachLeaseBenchmark</x:v>
      </x:c>
      <x:c r="O202" s="22" t="str">
        <x:v>新增正常、边界、并发、超时、stale metadata、迁移冲突、路径拥塞/故障与 feature-flag-off 用例；在 benchmark 中固定模型、tokenizer、prompt、并发、拓扑和 baseline，采集 lookup/load/attach、TTFT、TPOT、usable/abandoned hit、带宽/时延及 CPU/NPU 利用率。</x:v>
      </x:c>
      <x:c r="P202" s="22" t="str">
        <x:v>验收直接引用来源指标：“节点动态加入/退出时的缓存失效控制在局部范围内（遵循一致性哈希比例）。”；故障用例必须证明错误 KV 不被消费且 fallback reason 可追踪。</x:v>
      </x:c>
      <x:c r="Q202" s="22" t="str">
        <x:v>来源验收项全部自动化；性能报告包含 P50/P95/P99、置信区间与 baseline；失败门槛接入 CI；测试数据和命令可复现。</x:v>
      </x:c>
      <x:c r="R202" s="22" t="str">
        <x:v>./bin/kvcache_bench --case=attach_detach_lease --baseline=native --report=json</x:v>
      </x:c>
      <x:c r="S202" s="22" t="str">
        <x:v>节点动态加入/退出时的缓存失效控制在局部范围内（遵循一致性哈希比例）。</x:v>
      </x:c>
      <x:c r="T202" s="22" t="str">
        <x:v>SR-01-11-01</x:v>
      </x:c>
      <x:c r="U202" s="22" t="str">
        <x:v>待认领</x:v>
      </x:c>
      <x:c r="V202" s="22" t="str"/>
      <x:c r="W202" s="22" t="str"/>
      <x:c r="X202" s="22" t="str">
        <x:f>IF(COUNTIF($A$5:$A$451,A202)=1,"PASS","FAIL")</x:f>
        <x:v>PASS</x:v>
      </x:c>
      <x:c r="Y202" s="22" t="str">
        <x:f>IF(COUNTIF('SR系统设计'!$A$5:$A$153,B202)+COUNTIF('追溯与覆盖'!$A$5:$A$153,C202)=2,"PASS","FAIL")</x:f>
        <x:v>PASS</x:v>
      </x:c>
    </x:row>
    <x:row r="203" ht="84" customHeight="1">
      <x:c r="A203" s="25" t="str">
        <x:v>AR-L3-CO-KVOwnershipGC-080-01</x:v>
      </x:c>
      <x:c r="B203" s="25" t="str">
        <x:v>SR-01-11-02</x:v>
      </x:c>
      <x:c r="C203" s="25" t="str">
        <x:v>L3-CO-KVOwnershipGC-080</x:v>
      </x:c>
      <x:c r="D203" s="25" t="str">
        <x:v>SF-01</x:v>
      </x:c>
      <x:c r="E203" s="25" t="str">
        <x:v>IR-01-11</x:v>
      </x:c>
      <x:c r="F203" s="22" t="str">
        <x:v>L3 传输管理层</x:v>
      </x:c>
      <x:c r="G203" s="22" t="str">
        <x:v>TM5</x:v>
      </x:c>
      <x:c r="H203" s="22" t="str">
        <x:v>一致性、隔离与QoS</x:v>
      </x:c>
      <x:c r="I203" s="22" t="str">
        <x:v>P0</x:v>
      </x:c>
      <x:c r="J203" s="22" t="str">
        <x:v>P0</x:v>
      </x:c>
      <x:c r="K203" s="22" t="str">
        <x:v>核心实现</x:v>
      </x:c>
      <x:c r="L203" s="22" t="str">
        <x:v>存储池/传输管理开发</x:v>
      </x:c>
      <x:c r="M203" s="22" t="str">
        <x:v>src/consistency/qos/kvownership_gc.{h,cc}</x:v>
      </x:c>
      <x:c r="N203" s="22" t="str">
        <x:v>KVOwnershipGCController</x:v>
      </x:c>
      <x:c r="O203" s="22" t="str">
        <x:v>在 `src/consistency/qos/kvownership_gc.{h,cc}` 新增或重写 `KVOwnershipGCController`，把“KV 对象所有权与异常回收”落实为 L3 传输管理层 可调用主路径：本需求要求统一 KV 内存池维护 KV object owner、producer、consumer、lease holder、replica owner 和 GC owner； 输入必须显式消费 object state + traffic class + tenant quota，输出 atomic visibility + scheduled transfer budget，不得用全局单例或隐藏同步 I/O 绕开预算与状态机。</x:v>
      </x:c>
      <x:c r="P203" s="22" t="str">
        <x:v>实现 object state + traffic class + tenant quota → atomic visibility + scheduled transfer budget；遵守 冲突对象进入等待/隔离；后台队列可暂停、drain 或限速；前台超预算直接重算</x:v>
      </x:c>
      <x:c r="Q203" s="22" t="str">
        <x:v>核心算法与状态转换完成；新增代码单测分支覆盖≥85%；线程安全/所有权明确；关闭 feature flag 时行为与 baseline 一致。</x:v>
      </x:c>
      <x:c r="R203" s="22" t="str">
        <x:v>ctest -R KVOwnershipGC --output-on-failure</x:v>
      </x:c>
      <x:c r="S203" s="22" t="str">
        <x:v>节点动态加入/退出时的缓存失效控制在局部范围内（遵循一致性哈希比例）。</x:v>
      </x:c>
      <x:c r="T203" s="22" t="str">
        <x:v>SR-01-11-02</x:v>
      </x:c>
      <x:c r="U203" s="22" t="str">
        <x:v>待认领</x:v>
      </x:c>
      <x:c r="V203" s="22" t="str"/>
      <x:c r="W203" s="22" t="str"/>
      <x:c r="X203" s="22" t="str">
        <x:f>IF(COUNTIF($A$5:$A$451,A203)=1,"PASS","FAIL")</x:f>
        <x:v>PASS</x:v>
      </x:c>
      <x:c r="Y203" s="22" t="str">
        <x:f>IF(COUNTIF('SR系统设计'!$A$5:$A$153,B203)+COUNTIF('追溯与覆盖'!$A$5:$A$153,C203)=2,"PASS","FAIL")</x:f>
        <x:v>PASS</x:v>
      </x:c>
    </x:row>
    <x:row r="204" ht="84" customHeight="1">
      <x:c r="A204" s="25" t="str">
        <x:v>AR-L3-CO-KVOwnershipGC-080-02</x:v>
      </x:c>
      <x:c r="B204" s="25" t="str">
        <x:v>SR-01-11-02</x:v>
      </x:c>
      <x:c r="C204" s="25" t="str">
        <x:v>L3-CO-KVOwnershipGC-080</x:v>
      </x:c>
      <x:c r="D204" s="25" t="str">
        <x:v>SF-01</x:v>
      </x:c>
      <x:c r="E204" s="25" t="str">
        <x:v>IR-01-11</x:v>
      </x:c>
      <x:c r="F204" s="22" t="str">
        <x:v>L3 传输管理层</x:v>
      </x:c>
      <x:c r="G204" s="22" t="str">
        <x:v>TM5</x:v>
      </x:c>
      <x:c r="H204" s="22" t="str">
        <x:v>一致性、隔离与QoS</x:v>
      </x:c>
      <x:c r="I204" s="22" t="str">
        <x:v>P0</x:v>
      </x:c>
      <x:c r="J204" s="22" t="str">
        <x:v>P0</x:v>
      </x:c>
      <x:c r="K204" s="22" t="str">
        <x:v>契约配置与降级</x:v>
      </x:c>
      <x:c r="L204" s="22" t="str">
        <x:v>存储池/传输管理开发</x:v>
      </x:c>
      <x:c r="M204" s="22" t="str">
        <x:v>api/kvcache/v1/kvownership_gc.proto + config/runtime/kvownership_gc.yaml</x:v>
      </x:c>
      <x:c r="N204" s="22" t="str">
        <x:v>KVOwnershipGCOptions / kvcache.kvownership_gc.enabled</x:v>
      </x:c>
      <x:c r="O204" s="22" t="str">
        <x:v>为 `KVOwnershipGCOptions` 增加 `kvcache.kvownership_gc.enabled`、deadline/容量/队列预算及版本字段；在调用点接入 typed error、decision_reason、fallback_reason，确保配置热更新、灰度关闭和向后兼容均可审计。</x:v>
      </x:c>
      <x:c r="P204" s="22" t="str">
        <x:v>IDL/配置 schema 有版本号、默认值、边界校验和错误码；状态/租约/ready 不满足时按 冲突对象进入等待/隔离；后台队列可暂停、drain 或限速；前台超预算直接重算</x:v>
      </x:c>
      <x:c r="Q204" s="22" t="str">
        <x:v>配置样例、schema 校验、升级兼容测试和回退路径齐全；任何隐式 fallback 被移除；新增指标可关联 request_id/query_plan_id/object_id/path_id。</x:v>
      </x:c>
      <x:c r="R204" s="22" t="str">
        <x:v>ctest -R KVOwnershipGCConfig &amp;&amp; ./bin/kvcache_config_check --case=kvownership_gc</x:v>
      </x:c>
      <x:c r="S204" s="22" t="str">
        <x:v>节点动态加入/退出时的缓存失效控制在局部范围内（遵循一致性哈希比例）。</x:v>
      </x:c>
      <x:c r="T204" s="22" t="str">
        <x:v>SR-01-11-02</x:v>
      </x:c>
      <x:c r="U204" s="22" t="str">
        <x:v>待认领</x:v>
      </x:c>
      <x:c r="V204" s="22" t="str"/>
      <x:c r="W204" s="22" t="str"/>
      <x:c r="X204" s="22" t="str">
        <x:f>IF(COUNTIF($A$5:$A$451,A204)=1,"PASS","FAIL")</x:f>
        <x:v>PASS</x:v>
      </x:c>
      <x:c r="Y204" s="22" t="str">
        <x:f>IF(COUNTIF('SR系统设计'!$A$5:$A$153,B204)+COUNTIF('追溯与覆盖'!$A$5:$A$153,C204)=2,"PASS","FAIL")</x:f>
        <x:v>PASS</x:v>
      </x:c>
    </x:row>
    <x:row r="205" ht="84" customHeight="1">
      <x:c r="A205" s="25" t="str">
        <x:v>AR-L3-CO-KVOwnershipGC-080-03</x:v>
      </x:c>
      <x:c r="B205" s="25" t="str">
        <x:v>SR-01-11-02</x:v>
      </x:c>
      <x:c r="C205" s="25" t="str">
        <x:v>L3-CO-KVOwnershipGC-080</x:v>
      </x:c>
      <x:c r="D205" s="25" t="str">
        <x:v>SF-01</x:v>
      </x:c>
      <x:c r="E205" s="25" t="str">
        <x:v>IR-01-11</x:v>
      </x:c>
      <x:c r="F205" s="22" t="str">
        <x:v>L3 传输管理层</x:v>
      </x:c>
      <x:c r="G205" s="22" t="str">
        <x:v>TM5</x:v>
      </x:c>
      <x:c r="H205" s="22" t="str">
        <x:v>一致性、隔离与QoS</x:v>
      </x:c>
      <x:c r="I205" s="22" t="str">
        <x:v>P0</x:v>
      </x:c>
      <x:c r="J205" s="22" t="str">
        <x:v>P0</x:v>
      </x:c>
      <x:c r="K205" s="22" t="str">
        <x:v>验证与观测</x:v>
      </x:c>
      <x:c r="L205" s="22" t="str">
        <x:v>存储池/传输管理开发</x:v>
      </x:c>
      <x:c r="M205" s="22" t="str">
        <x:v>tests/consistency/qos/kvownership_gc_test.cc + benchmarks/consistency/qos/kvownership_gc_benchmark.cc</x:v>
      </x:c>
      <x:c r="N205" s="22" t="str">
        <x:v>KVOwnershipGCTest / KVOwnershipGCBenchmark</x:v>
      </x:c>
      <x:c r="O205" s="22" t="str">
        <x:v>新增正常、边界、并发、超时、stale metadata、迁移冲突、路径拥塞/故障与 feature-flag-off 用例；在 benchmark 中固定模型、tokenizer、prompt、并发、拓扑和 baseline，采集 lookup/load/attach、TTFT、TPOT、usable/abandoned hit、带宽/时延及 CPU/NPU 利用率。</x:v>
      </x:c>
      <x:c r="P205" s="22" t="str">
        <x:v>验收直接引用来源指标：“节点动态加入/退出时的缓存失效控制在局部范围内（遵循一致性哈希比例）。”；故障用例必须证明错误 KV 不被消费且 fallback reason 可追踪。</x:v>
      </x:c>
      <x:c r="Q205" s="22" t="str">
        <x:v>来源验收项全部自动化；性能报告包含 P50/P95/P99、置信区间与 baseline；失败门槛接入 CI；测试数据和命令可复现。</x:v>
      </x:c>
      <x:c r="R205" s="22" t="str">
        <x:v>./bin/kvcache_bench --case=kvownership_gc --baseline=native --report=json</x:v>
      </x:c>
      <x:c r="S205" s="22" t="str">
        <x:v>节点动态加入/退出时的缓存失效控制在局部范围内（遵循一致性哈希比例）。</x:v>
      </x:c>
      <x:c r="T205" s="22" t="str">
        <x:v>SR-01-11-02</x:v>
      </x:c>
      <x:c r="U205" s="22" t="str">
        <x:v>待认领</x:v>
      </x:c>
      <x:c r="V205" s="22" t="str"/>
      <x:c r="W205" s="22" t="str"/>
      <x:c r="X205" s="22" t="str">
        <x:f>IF(COUNTIF($A$5:$A$451,A205)=1,"PASS","FAIL")</x:f>
        <x:v>PASS</x:v>
      </x:c>
      <x:c r="Y205" s="22" t="str">
        <x:f>IF(COUNTIF('SR系统设计'!$A$5:$A$153,B205)+COUNTIF('追溯与覆盖'!$A$5:$A$153,C205)=2,"PASS","FAIL")</x:f>
        <x:v>PASS</x:v>
      </x:c>
    </x:row>
    <x:row r="206" ht="84" customHeight="1">
      <x:c r="A206" s="25" t="str">
        <x:v>AR-L3-CO-PublishCommitLog-065-01</x:v>
      </x:c>
      <x:c r="B206" s="25" t="str">
        <x:v>SR-01-11-03</x:v>
      </x:c>
      <x:c r="C206" s="25" t="str">
        <x:v>L3-CO-PublishCommitLog-065</x:v>
      </x:c>
      <x:c r="D206" s="25" t="str">
        <x:v>SF-01</x:v>
      </x:c>
      <x:c r="E206" s="25" t="str">
        <x:v>IR-01-11</x:v>
      </x:c>
      <x:c r="F206" s="22" t="str">
        <x:v>L3 传输管理层</x:v>
      </x:c>
      <x:c r="G206" s="22" t="str">
        <x:v>TM5</x:v>
      </x:c>
      <x:c r="H206" s="22" t="str">
        <x:v>一致性、隔离与QoS</x:v>
      </x:c>
      <x:c r="I206" s="22" t="str">
        <x:v>P0</x:v>
      </x:c>
      <x:c r="J206" s="22" t="str">
        <x:v>P0</x:v>
      </x:c>
      <x:c r="K206" s="22" t="str">
        <x:v>核心实现</x:v>
      </x:c>
      <x:c r="L206" s="22" t="str">
        <x:v>存储池/传输管理开发</x:v>
      </x:c>
      <x:c r="M206" s="22" t="str">
        <x:v>src/consistency/qos/publish_commit_log.{h,cc}</x:v>
      </x:c>
      <x:c r="N206" s="22" t="str">
        <x:v>PublishCommitLogController</x:v>
      </x:c>
      <x:c r="O206" s="22" t="str">
        <x:v>在 `src/consistency/qos/publish_commit_log.{h,cc}` 新增或重写 `PublishCommitLogController`，把“KV 发布过程异常恢复”落实为 L3 传输管理层 可调用主路径：本需求要求统一 KV 内存池实现 KV publish commit log：KV data 写入、metadata 写入、ready bitmap 更新、checksum 生成、version 发布、directory 可见化必须按可恢复顺序执行； 输入必须显式消费 object state + traffic class + tenant quota，输出 atomic visibility + scheduled transfer budget，不得用全局单例或隐藏同步 I/O 绕开预算与状态机。</x:v>
      </x:c>
      <x:c r="P206" s="22" t="str">
        <x:v>实现 object state + traffic class + tenant quota → atomic visibility + scheduled transfer budget；遵守 冲突对象进入等待/隔离；后台队列可暂停、drain 或限速；前台超预算直接重算</x:v>
      </x:c>
      <x:c r="Q206" s="22" t="str">
        <x:v>核心算法与状态转换完成；新增代码单测分支覆盖≥85%；线程安全/所有权明确；关闭 feature flag 时行为与 baseline 一致。</x:v>
      </x:c>
      <x:c r="R206" s="22" t="str">
        <x:v>ctest -R PublishCommitLog --output-on-failure</x:v>
      </x:c>
      <x:c r="S206" s="22" t="str">
        <x:v>节点动态加入/退出时的缓存失效控制在局部范围内（遵循一致性哈希比例）。</x:v>
      </x:c>
      <x:c r="T206" s="22" t="str">
        <x:v>SR-01-11-03</x:v>
      </x:c>
      <x:c r="U206" s="22" t="str">
        <x:v>待认领</x:v>
      </x:c>
      <x:c r="V206" s="22" t="str"/>
      <x:c r="W206" s="22" t="str"/>
      <x:c r="X206" s="22" t="str">
        <x:f>IF(COUNTIF($A$5:$A$451,A206)=1,"PASS","FAIL")</x:f>
        <x:v>PASS</x:v>
      </x:c>
      <x:c r="Y206" s="22" t="str">
        <x:f>IF(COUNTIF('SR系统设计'!$A$5:$A$153,B206)+COUNTIF('追溯与覆盖'!$A$5:$A$153,C206)=2,"PASS","FAIL")</x:f>
        <x:v>PASS</x:v>
      </x:c>
    </x:row>
    <x:row r="207" ht="84" customHeight="1">
      <x:c r="A207" s="25" t="str">
        <x:v>AR-L3-CO-PublishCommitLog-065-02</x:v>
      </x:c>
      <x:c r="B207" s="25" t="str">
        <x:v>SR-01-11-03</x:v>
      </x:c>
      <x:c r="C207" s="25" t="str">
        <x:v>L3-CO-PublishCommitLog-065</x:v>
      </x:c>
      <x:c r="D207" s="25" t="str">
        <x:v>SF-01</x:v>
      </x:c>
      <x:c r="E207" s="25" t="str">
        <x:v>IR-01-11</x:v>
      </x:c>
      <x:c r="F207" s="22" t="str">
        <x:v>L3 传输管理层</x:v>
      </x:c>
      <x:c r="G207" s="22" t="str">
        <x:v>TM5</x:v>
      </x:c>
      <x:c r="H207" s="22" t="str">
        <x:v>一致性、隔离与QoS</x:v>
      </x:c>
      <x:c r="I207" s="22" t="str">
        <x:v>P0</x:v>
      </x:c>
      <x:c r="J207" s="22" t="str">
        <x:v>P0</x:v>
      </x:c>
      <x:c r="K207" s="22" t="str">
        <x:v>契约配置与降级</x:v>
      </x:c>
      <x:c r="L207" s="22" t="str">
        <x:v>存储池/传输管理开发</x:v>
      </x:c>
      <x:c r="M207" s="22" t="str">
        <x:v>api/kvcache/v1/publish_commit_log.proto + config/runtime/publish_commit_log.yaml</x:v>
      </x:c>
      <x:c r="N207" s="22" t="str">
        <x:v>PublishCommitLogOptions / kvcache.publish_commit_log.enabled</x:v>
      </x:c>
      <x:c r="O207" s="22" t="str">
        <x:v>为 `PublishCommitLogOptions` 增加 `kvcache.publish_commit_log.enabled`、deadline/容量/队列预算及版本字段；在调用点接入 typed error、decision_reason、fallback_reason，确保配置热更新、灰度关闭和向后兼容均可审计。</x:v>
      </x:c>
      <x:c r="P207" s="22" t="str">
        <x:v>IDL/配置 schema 有版本号、默认值、边界校验和错误码；状态/租约/ready 不满足时按 冲突对象进入等待/隔离；后台队列可暂停、drain 或限速；前台超预算直接重算</x:v>
      </x:c>
      <x:c r="Q207" s="22" t="str">
        <x:v>配置样例、schema 校验、升级兼容测试和回退路径齐全；任何隐式 fallback 被移除；新增指标可关联 request_id/query_plan_id/object_id/path_id。</x:v>
      </x:c>
      <x:c r="R207" s="22" t="str">
        <x:v>ctest -R PublishCommitLogConfig &amp;&amp; ./bin/kvcache_config_check --case=publish_commit_log</x:v>
      </x:c>
      <x:c r="S207" s="22" t="str">
        <x:v>节点动态加入/退出时的缓存失效控制在局部范围内（遵循一致性哈希比例）。</x:v>
      </x:c>
      <x:c r="T207" s="22" t="str">
        <x:v>SR-01-11-03</x:v>
      </x:c>
      <x:c r="U207" s="22" t="str">
        <x:v>待认领</x:v>
      </x:c>
      <x:c r="V207" s="22" t="str"/>
      <x:c r="W207" s="22" t="str"/>
      <x:c r="X207" s="22" t="str">
        <x:f>IF(COUNTIF($A$5:$A$451,A207)=1,"PASS","FAIL")</x:f>
        <x:v>PASS</x:v>
      </x:c>
      <x:c r="Y207" s="22" t="str">
        <x:f>IF(COUNTIF('SR系统设计'!$A$5:$A$153,B207)+COUNTIF('追溯与覆盖'!$A$5:$A$153,C207)=2,"PASS","FAIL")</x:f>
        <x:v>PASS</x:v>
      </x:c>
    </x:row>
    <x:row r="208" ht="84" customHeight="1">
      <x:c r="A208" s="25" t="str">
        <x:v>AR-L3-CO-PublishCommitLog-065-03</x:v>
      </x:c>
      <x:c r="B208" s="25" t="str">
        <x:v>SR-01-11-03</x:v>
      </x:c>
      <x:c r="C208" s="25" t="str">
        <x:v>L3-CO-PublishCommitLog-065</x:v>
      </x:c>
      <x:c r="D208" s="25" t="str">
        <x:v>SF-01</x:v>
      </x:c>
      <x:c r="E208" s="25" t="str">
        <x:v>IR-01-11</x:v>
      </x:c>
      <x:c r="F208" s="22" t="str">
        <x:v>L3 传输管理层</x:v>
      </x:c>
      <x:c r="G208" s="22" t="str">
        <x:v>TM5</x:v>
      </x:c>
      <x:c r="H208" s="22" t="str">
        <x:v>一致性、隔离与QoS</x:v>
      </x:c>
      <x:c r="I208" s="22" t="str">
        <x:v>P0</x:v>
      </x:c>
      <x:c r="J208" s="22" t="str">
        <x:v>P0</x:v>
      </x:c>
      <x:c r="K208" s="22" t="str">
        <x:v>验证与观测</x:v>
      </x:c>
      <x:c r="L208" s="22" t="str">
        <x:v>存储池/传输管理开发</x:v>
      </x:c>
      <x:c r="M208" s="22" t="str">
        <x:v>tests/consistency/qos/publish_commit_log_test.cc + benchmarks/consistency/qos/publish_commit_log_benchmark.cc</x:v>
      </x:c>
      <x:c r="N208" s="22" t="str">
        <x:v>PublishCommitLogTest / PublishCommitLogBenchmark</x:v>
      </x:c>
      <x:c r="O208" s="22" t="str">
        <x:v>新增正常、边界、并发、超时、stale metadata、迁移冲突、路径拥塞/故障与 feature-flag-off 用例；在 benchmark 中固定模型、tokenizer、prompt、并发、拓扑和 baseline，采集 lookup/load/attach、TTFT、TPOT、usable/abandoned hit、带宽/时延及 CPU/NPU 利用率。</x:v>
      </x:c>
      <x:c r="P208" s="22" t="str">
        <x:v>验收直接引用来源指标：“节点动态加入/退出时的缓存失效控制在局部范围内（遵循一致性哈希比例）。”；故障用例必须证明错误 KV 不被消费且 fallback reason 可追踪。</x:v>
      </x:c>
      <x:c r="Q208" s="22" t="str">
        <x:v>来源验收项全部自动化；性能报告包含 P50/P95/P99、置信区间与 baseline；失败门槛接入 CI；测试数据和命令可复现。</x:v>
      </x:c>
      <x:c r="R208" s="22" t="str">
        <x:v>./bin/kvcache_bench --case=publish_commit_log --baseline=native --report=json</x:v>
      </x:c>
      <x:c r="S208" s="22" t="str">
        <x:v>节点动态加入/退出时的缓存失效控制在局部范围内（遵循一致性哈希比例）。</x:v>
      </x:c>
      <x:c r="T208" s="22" t="str">
        <x:v>SR-01-11-03</x:v>
      </x:c>
      <x:c r="U208" s="22" t="str">
        <x:v>待认领</x:v>
      </x:c>
      <x:c r="V208" s="22" t="str"/>
      <x:c r="W208" s="22" t="str"/>
      <x:c r="X208" s="22" t="str">
        <x:f>IF(COUNTIF($A$5:$A$451,A208)=1,"PASS","FAIL")</x:f>
        <x:v>PASS</x:v>
      </x:c>
      <x:c r="Y208" s="22" t="str">
        <x:f>IF(COUNTIF('SR系统设计'!$A$5:$A$153,B208)+COUNTIF('追溯与覆盖'!$A$5:$A$153,C208)=2,"PASS","FAIL")</x:f>
        <x:v>PASS</x:v>
      </x:c>
    </x:row>
    <x:row r="209" ht="84" customHeight="1">
      <x:c r="A209" s="25" t="str">
        <x:v>AR-L3-CO-RefCountLifecycle-086-01</x:v>
      </x:c>
      <x:c r="B209" s="25" t="str">
        <x:v>SR-01-11-04</x:v>
      </x:c>
      <x:c r="C209" s="25" t="str">
        <x:v>L3-CO-RefCountLifecycle-086</x:v>
      </x:c>
      <x:c r="D209" s="25" t="str">
        <x:v>SF-01</x:v>
      </x:c>
      <x:c r="E209" s="25" t="str">
        <x:v>IR-01-11</x:v>
      </x:c>
      <x:c r="F209" s="22" t="str">
        <x:v>L3 传输管理层</x:v>
      </x:c>
      <x:c r="G209" s="22" t="str">
        <x:v>TM5</x:v>
      </x:c>
      <x:c r="H209" s="22" t="str">
        <x:v>一致性、隔离与QoS</x:v>
      </x:c>
      <x:c r="I209" s="22" t="str">
        <x:v>P0</x:v>
      </x:c>
      <x:c r="J209" s="22" t="str">
        <x:v>P0</x:v>
      </x:c>
      <x:c r="K209" s="22" t="str">
        <x:v>核心实现</x:v>
      </x:c>
      <x:c r="L209" s="22" t="str">
        <x:v>存储池/传输管理开发</x:v>
      </x:c>
      <x:c r="M209" s="22" t="str">
        <x:v>src/consistency/qos/ref_count_lifecycle.{h,cc}</x:v>
      </x:c>
      <x:c r="N209" s="22" t="str">
        <x:v>RefCountLifecycleController</x:v>
      </x:c>
      <x:c r="O209" s="22" t="str">
        <x:v>在 `src/consistency/qos/ref_count_lifecycle.{h,cc}` 新增或重写 `RefCountLifecycleController`，把“活动计算流中 KVCache 块的驱逐保护”落实为 L3 传输管理层 可调用主路径：本需求要求统一存储池的分层流转与驱逐引擎必须复用或集成上层推理框架的活跃引用计数（Active Reference Count）机制。 输入必须显式消费 object state + traffic class + tenant quota，输出 atomic visibility + scheduled transfer budget，不得用全局单例或隐藏同步 I/O 绕开预算与状态机。</x:v>
      </x:c>
      <x:c r="P209" s="22" t="str">
        <x:v>实现 object state + traffic class + tenant quota → atomic visibility + scheduled transfer budget；遵守 冲突对象进入等待/隔离；后台队列可暂停、drain 或限速；前台超预算直接重算</x:v>
      </x:c>
      <x:c r="Q209" s="22" t="str">
        <x:v>核心算法与状态转换完成；新增代码单测分支覆盖≥85%；线程安全/所有权明确；关闭 feature flag 时行为与 baseline 一致。</x:v>
      </x:c>
      <x:c r="R209" s="22" t="str">
        <x:v>ctest -R RefCountLifecycle --output-on-failure</x:v>
      </x:c>
      <x:c r="S209" s="22" t="str">
        <x:v>全局内存利用率提升至≥85%，跨级冷热数据迁移过程中的TPOT抖动 &lt; 5%。</x:v>
      </x:c>
      <x:c r="T209" s="22" t="str">
        <x:v>SR-01-11-04</x:v>
      </x:c>
      <x:c r="U209" s="22" t="str">
        <x:v>待认领</x:v>
      </x:c>
      <x:c r="V209" s="22" t="str"/>
      <x:c r="W209" s="22" t="str"/>
      <x:c r="X209" s="22" t="str">
        <x:f>IF(COUNTIF($A$5:$A$451,A209)=1,"PASS","FAIL")</x:f>
        <x:v>PASS</x:v>
      </x:c>
      <x:c r="Y209" s="22" t="str">
        <x:f>IF(COUNTIF('SR系统设计'!$A$5:$A$153,B209)+COUNTIF('追溯与覆盖'!$A$5:$A$153,C209)=2,"PASS","FAIL")</x:f>
        <x:v>PASS</x:v>
      </x:c>
    </x:row>
    <x:row r="210" ht="84" customHeight="1">
      <x:c r="A210" s="25" t="str">
        <x:v>AR-L3-CO-RefCountLifecycle-086-02</x:v>
      </x:c>
      <x:c r="B210" s="25" t="str">
        <x:v>SR-01-11-04</x:v>
      </x:c>
      <x:c r="C210" s="25" t="str">
        <x:v>L3-CO-RefCountLifecycle-086</x:v>
      </x:c>
      <x:c r="D210" s="25" t="str">
        <x:v>SF-01</x:v>
      </x:c>
      <x:c r="E210" s="25" t="str">
        <x:v>IR-01-11</x:v>
      </x:c>
      <x:c r="F210" s="22" t="str">
        <x:v>L3 传输管理层</x:v>
      </x:c>
      <x:c r="G210" s="22" t="str">
        <x:v>TM5</x:v>
      </x:c>
      <x:c r="H210" s="22" t="str">
        <x:v>一致性、隔离与QoS</x:v>
      </x:c>
      <x:c r="I210" s="22" t="str">
        <x:v>P0</x:v>
      </x:c>
      <x:c r="J210" s="22" t="str">
        <x:v>P0</x:v>
      </x:c>
      <x:c r="K210" s="22" t="str">
        <x:v>契约配置与降级</x:v>
      </x:c>
      <x:c r="L210" s="22" t="str">
        <x:v>存储池/传输管理开发</x:v>
      </x:c>
      <x:c r="M210" s="22" t="str">
        <x:v>api/kvcache/v1/ref_count_lifecycle.proto + config/runtime/ref_count_lifecycle.yaml</x:v>
      </x:c>
      <x:c r="N210" s="22" t="str">
        <x:v>RefCountLifecycleOptions / kvcache.ref_count_lifecycle.enabled</x:v>
      </x:c>
      <x:c r="O210" s="22" t="str">
        <x:v>为 `RefCountLifecycleOptions` 增加 `kvcache.ref_count_lifecycle.enabled`、deadline/容量/队列预算及版本字段；在调用点接入 typed error、decision_reason、fallback_reason，确保配置热更新、灰度关闭和向后兼容均可审计。</x:v>
      </x:c>
      <x:c r="P210" s="22" t="str">
        <x:v>IDL/配置 schema 有版本号、默认值、边界校验和错误码；状态/租约/ready 不满足时按 冲突对象进入等待/隔离；后台队列可暂停、drain 或限速；前台超预算直接重算</x:v>
      </x:c>
      <x:c r="Q210" s="22" t="str">
        <x:v>配置样例、schema 校验、升级兼容测试和回退路径齐全；任何隐式 fallback 被移除；新增指标可关联 request_id/query_plan_id/object_id/path_id。</x:v>
      </x:c>
      <x:c r="R210" s="22" t="str">
        <x:v>ctest -R RefCountLifecycleConfig &amp;&amp; ./bin/kvcache_config_check --case=ref_count_lifecycle</x:v>
      </x:c>
      <x:c r="S210" s="22" t="str">
        <x:v>全局内存利用率提升至≥85%，跨级冷热数据迁移过程中的TPOT抖动 &lt; 5%。</x:v>
      </x:c>
      <x:c r="T210" s="22" t="str">
        <x:v>SR-01-11-04</x:v>
      </x:c>
      <x:c r="U210" s="22" t="str">
        <x:v>待认领</x:v>
      </x:c>
      <x:c r="V210" s="22" t="str"/>
      <x:c r="W210" s="22" t="str"/>
      <x:c r="X210" s="22" t="str">
        <x:f>IF(COUNTIF($A$5:$A$451,A210)=1,"PASS","FAIL")</x:f>
        <x:v>PASS</x:v>
      </x:c>
      <x:c r="Y210" s="22" t="str">
        <x:f>IF(COUNTIF('SR系统设计'!$A$5:$A$153,B210)+COUNTIF('追溯与覆盖'!$A$5:$A$153,C210)=2,"PASS","FAIL")</x:f>
        <x:v>PASS</x:v>
      </x:c>
    </x:row>
    <x:row r="211" ht="84" customHeight="1">
      <x:c r="A211" s="25" t="str">
        <x:v>AR-L3-CO-RefCountLifecycle-086-03</x:v>
      </x:c>
      <x:c r="B211" s="25" t="str">
        <x:v>SR-01-11-04</x:v>
      </x:c>
      <x:c r="C211" s="25" t="str">
        <x:v>L3-CO-RefCountLifecycle-086</x:v>
      </x:c>
      <x:c r="D211" s="25" t="str">
        <x:v>SF-01</x:v>
      </x:c>
      <x:c r="E211" s="25" t="str">
        <x:v>IR-01-11</x:v>
      </x:c>
      <x:c r="F211" s="22" t="str">
        <x:v>L3 传输管理层</x:v>
      </x:c>
      <x:c r="G211" s="22" t="str">
        <x:v>TM5</x:v>
      </x:c>
      <x:c r="H211" s="22" t="str">
        <x:v>一致性、隔离与QoS</x:v>
      </x:c>
      <x:c r="I211" s="22" t="str">
        <x:v>P0</x:v>
      </x:c>
      <x:c r="J211" s="22" t="str">
        <x:v>P0</x:v>
      </x:c>
      <x:c r="K211" s="22" t="str">
        <x:v>验证与观测</x:v>
      </x:c>
      <x:c r="L211" s="22" t="str">
        <x:v>存储池/传输管理开发</x:v>
      </x:c>
      <x:c r="M211" s="22" t="str">
        <x:v>tests/consistency/qos/ref_count_lifecycle_test.cc + benchmarks/consistency/qos/ref_count_lifecycle_benchmark.cc</x:v>
      </x:c>
      <x:c r="N211" s="22" t="str">
        <x:v>RefCountLifecycleTest / RefCountLifecycleBenchmark</x:v>
      </x:c>
      <x:c r="O211" s="22" t="str">
        <x:v>新增正常、边界、并发、超时、stale metadata、迁移冲突、路径拥塞/故障与 feature-flag-off 用例；在 benchmark 中固定模型、tokenizer、prompt、并发、拓扑和 baseline，采集 lookup/load/attach、TTFT、TPOT、usable/abandoned hit、带宽/时延及 CPU/NPU 利用率。</x:v>
      </x:c>
      <x:c r="P211" s="22" t="str">
        <x:v>验收直接引用来源指标：“全局内存利用率提升至≥85%，跨级冷热数据迁移过程中的TPOT抖动 &lt; 5%。”；故障用例必须证明错误 KV 不被消费且 fallback reason 可追踪。</x:v>
      </x:c>
      <x:c r="Q211" s="22" t="str">
        <x:v>来源验收项全部自动化；性能报告包含 P50/P95/P99、置信区间与 baseline；失败门槛接入 CI；测试数据和命令可复现。</x:v>
      </x:c>
      <x:c r="R211" s="22" t="str">
        <x:v>./bin/kvcache_bench --case=ref_count_lifecycle --baseline=native --report=json</x:v>
      </x:c>
      <x:c r="S211" s="22" t="str">
        <x:v>全局内存利用率提升至≥85%，跨级冷热数据迁移过程中的TPOT抖动 &lt; 5%。</x:v>
      </x:c>
      <x:c r="T211" s="22" t="str">
        <x:v>SR-01-11-04</x:v>
      </x:c>
      <x:c r="U211" s="22" t="str">
        <x:v>待认领</x:v>
      </x:c>
      <x:c r="V211" s="22" t="str"/>
      <x:c r="W211" s="22" t="str"/>
      <x:c r="X211" s="22" t="str">
        <x:f>IF(COUNTIF($A$5:$A$451,A211)=1,"PASS","FAIL")</x:f>
        <x:v>PASS</x:v>
      </x:c>
      <x:c r="Y211" s="22" t="str">
        <x:f>IF(COUNTIF('SR系统设计'!$A$5:$A$153,B211)+COUNTIF('追溯与覆盖'!$A$5:$A$153,C211)=2,"PASS","FAIL")</x:f>
        <x:v>PASS</x:v>
      </x:c>
    </x:row>
    <x:row r="212" ht="84" customHeight="1">
      <x:c r="A212" s="25" t="str">
        <x:v>AR-L3-CO-VersionPublish-043-01</x:v>
      </x:c>
      <x:c r="B212" s="25" t="str">
        <x:v>SR-01-11-05</x:v>
      </x:c>
      <x:c r="C212" s="25" t="str">
        <x:v>L3-CO-VersionPublish-043</x:v>
      </x:c>
      <x:c r="D212" s="25" t="str">
        <x:v>SF-01</x:v>
      </x:c>
      <x:c r="E212" s="25" t="str">
        <x:v>IR-01-11</x:v>
      </x:c>
      <x:c r="F212" s="22" t="str">
        <x:v>L3 传输管理层</x:v>
      </x:c>
      <x:c r="G212" s="22" t="str">
        <x:v>TM5</x:v>
      </x:c>
      <x:c r="H212" s="22" t="str">
        <x:v>一致性、隔离与QoS</x:v>
      </x:c>
      <x:c r="I212" s="22" t="str">
        <x:v>P0</x:v>
      </x:c>
      <x:c r="J212" s="22" t="str">
        <x:v>P0</x:v>
      </x:c>
      <x:c r="K212" s="22" t="str">
        <x:v>核心实现</x:v>
      </x:c>
      <x:c r="L212" s="22" t="str">
        <x:v>存储池/传输管理开发</x:v>
      </x:c>
      <x:c r="M212" s="22" t="str">
        <x:v>src/consistency/qos/version_publish.{h,cc}</x:v>
      </x:c>
      <x:c r="N212" s="22" t="str">
        <x:v>VersionPublishController</x:v>
      </x:c>
      <x:c r="O212" s="22" t="str">
        <x:v>在 `src/consistency/qos/version_publish.{h,cc}` 新增或重写 `VersionPublishController`，把“KVCache 对象一致发布”落实为 L3 传输管理层 可调用主路径：本需求要求 KV object 发布必须保证数据完整性：统一暴露 completion/visibility contract：区分 local completion、remote visibility、GPU visibility、durable visibility； 输入必须显式消费 object state + traffic class + tenant quota，输出 atomic visibility + scheduled transfer budget，不得用全局单例或隐藏同步 I/O 绕开预算与状态机。</x:v>
      </x:c>
      <x:c r="P212" s="22" t="str">
        <x:v>实现 object state + traffic class + tenant quota → atomic visibility + scheduled transfer budget；遵守 冲突对象进入等待/隔离；后台队列可暂停、drain 或限速；前台超预算直接重算</x:v>
      </x:c>
      <x:c r="Q212" s="22" t="str">
        <x:v>核心算法与状态转换完成；新增代码单测分支覆盖≥85%；线程安全/所有权明确；关闭 feature flag 时行为与 baseline 一致。</x:v>
      </x:c>
      <x:c r="R212" s="22" t="str">
        <x:v>ctest -R VersionPublish --output-on-failure</x:v>
      </x:c>
      <x:c r="S212" s="22" t="str">
        <x:v>data corruption = 0；</x:v>
      </x:c>
      <x:c r="T212" s="22" t="str">
        <x:v>SR-01-11-05</x:v>
      </x:c>
      <x:c r="U212" s="22" t="str">
        <x:v>待认领</x:v>
      </x:c>
      <x:c r="V212" s="22" t="str"/>
      <x:c r="W212" s="22" t="str"/>
      <x:c r="X212" s="22" t="str">
        <x:f>IF(COUNTIF($A$5:$A$451,A212)=1,"PASS","FAIL")</x:f>
        <x:v>PASS</x:v>
      </x:c>
      <x:c r="Y212" s="22" t="str">
        <x:f>IF(COUNTIF('SR系统设计'!$A$5:$A$153,B212)+COUNTIF('追溯与覆盖'!$A$5:$A$153,C212)=2,"PASS","FAIL")</x:f>
        <x:v>PASS</x:v>
      </x:c>
    </x:row>
    <x:row r="213" ht="84" customHeight="1">
      <x:c r="A213" s="25" t="str">
        <x:v>AR-L3-CO-VersionPublish-043-02</x:v>
      </x:c>
      <x:c r="B213" s="25" t="str">
        <x:v>SR-01-11-05</x:v>
      </x:c>
      <x:c r="C213" s="25" t="str">
        <x:v>L3-CO-VersionPublish-043</x:v>
      </x:c>
      <x:c r="D213" s="25" t="str">
        <x:v>SF-01</x:v>
      </x:c>
      <x:c r="E213" s="25" t="str">
        <x:v>IR-01-11</x:v>
      </x:c>
      <x:c r="F213" s="22" t="str">
        <x:v>L3 传输管理层</x:v>
      </x:c>
      <x:c r="G213" s="22" t="str">
        <x:v>TM5</x:v>
      </x:c>
      <x:c r="H213" s="22" t="str">
        <x:v>一致性、隔离与QoS</x:v>
      </x:c>
      <x:c r="I213" s="22" t="str">
        <x:v>P0</x:v>
      </x:c>
      <x:c r="J213" s="22" t="str">
        <x:v>P0</x:v>
      </x:c>
      <x:c r="K213" s="22" t="str">
        <x:v>契约配置与降级</x:v>
      </x:c>
      <x:c r="L213" s="22" t="str">
        <x:v>存储池/传输管理开发</x:v>
      </x:c>
      <x:c r="M213" s="22" t="str">
        <x:v>api/kvcache/v1/version_publish.proto + config/runtime/version_publish.yaml</x:v>
      </x:c>
      <x:c r="N213" s="22" t="str">
        <x:v>VersionPublishOptions / kvcache.version_publish.enabled</x:v>
      </x:c>
      <x:c r="O213" s="22" t="str">
        <x:v>为 `VersionPublishOptions` 增加 `kvcache.version_publish.enabled`、deadline/容量/队列预算及版本字段；在调用点接入 typed error、decision_reason、fallback_reason，确保配置热更新、灰度关闭和向后兼容均可审计。</x:v>
      </x:c>
      <x:c r="P213" s="22" t="str">
        <x:v>IDL/配置 schema 有版本号、默认值、边界校验和错误码；状态/租约/ready 不满足时按 冲突对象进入等待/隔离；后台队列可暂停、drain 或限速；前台超预算直接重算</x:v>
      </x:c>
      <x:c r="Q213" s="22" t="str">
        <x:v>配置样例、schema 校验、升级兼容测试和回退路径齐全；任何隐式 fallback 被移除；新增指标可关联 request_id/query_plan_id/object_id/path_id。</x:v>
      </x:c>
      <x:c r="R213" s="22" t="str">
        <x:v>ctest -R VersionPublishConfig &amp;&amp; ./bin/kvcache_config_check --case=version_publish</x:v>
      </x:c>
      <x:c r="S213" s="22" t="str">
        <x:v>data corruption = 0；</x:v>
      </x:c>
      <x:c r="T213" s="22" t="str">
        <x:v>SR-01-11-05</x:v>
      </x:c>
      <x:c r="U213" s="22" t="str">
        <x:v>待认领</x:v>
      </x:c>
      <x:c r="V213" s="22" t="str"/>
      <x:c r="W213" s="22" t="str"/>
      <x:c r="X213" s="22" t="str">
        <x:f>IF(COUNTIF($A$5:$A$451,A213)=1,"PASS","FAIL")</x:f>
        <x:v>PASS</x:v>
      </x:c>
      <x:c r="Y213" s="22" t="str">
        <x:f>IF(COUNTIF('SR系统设计'!$A$5:$A$153,B213)+COUNTIF('追溯与覆盖'!$A$5:$A$153,C213)=2,"PASS","FAIL")</x:f>
        <x:v>PASS</x:v>
      </x:c>
    </x:row>
    <x:row r="214" ht="84" customHeight="1">
      <x:c r="A214" s="25" t="str">
        <x:v>AR-L3-CO-VersionPublish-043-03</x:v>
      </x:c>
      <x:c r="B214" s="25" t="str">
        <x:v>SR-01-11-05</x:v>
      </x:c>
      <x:c r="C214" s="25" t="str">
        <x:v>L3-CO-VersionPublish-043</x:v>
      </x:c>
      <x:c r="D214" s="25" t="str">
        <x:v>SF-01</x:v>
      </x:c>
      <x:c r="E214" s="25" t="str">
        <x:v>IR-01-11</x:v>
      </x:c>
      <x:c r="F214" s="22" t="str">
        <x:v>L3 传输管理层</x:v>
      </x:c>
      <x:c r="G214" s="22" t="str">
        <x:v>TM5</x:v>
      </x:c>
      <x:c r="H214" s="22" t="str">
        <x:v>一致性、隔离与QoS</x:v>
      </x:c>
      <x:c r="I214" s="22" t="str">
        <x:v>P0</x:v>
      </x:c>
      <x:c r="J214" s="22" t="str">
        <x:v>P0</x:v>
      </x:c>
      <x:c r="K214" s="22" t="str">
        <x:v>验证与观测</x:v>
      </x:c>
      <x:c r="L214" s="22" t="str">
        <x:v>存储池/传输管理开发</x:v>
      </x:c>
      <x:c r="M214" s="22" t="str">
        <x:v>tests/consistency/qos/version_publish_test.cc + benchmarks/consistency/qos/version_publish_benchmark.cc</x:v>
      </x:c>
      <x:c r="N214" s="22" t="str">
        <x:v>VersionPublishTest / VersionPublishBenchmark</x:v>
      </x:c>
      <x:c r="O214" s="22" t="str">
        <x:v>新增正常、边界、并发、超时、stale metadata、迁移冲突、路径拥塞/故障与 feature-flag-off 用例；在 benchmark 中固定模型、tokenizer、prompt、并发、拓扑和 baseline，采集 lookup/load/attach、TTFT、TPOT、usable/abandoned hit、带宽/时延及 CPU/NPU 利用率。</x:v>
      </x:c>
      <x:c r="P214" s="22" t="str">
        <x:v>验收直接引用来源指标：“data corruption = 0；”；故障用例必须证明错误 KV 不被消费且 fallback reason 可追踪。</x:v>
      </x:c>
      <x:c r="Q214" s="22" t="str">
        <x:v>来源验收项全部自动化；性能报告包含 P50/P95/P99、置信区间与 baseline；失败门槛接入 CI；测试数据和命令可复现。</x:v>
      </x:c>
      <x:c r="R214" s="22" t="str">
        <x:v>./bin/kvcache_bench --case=version_publish --baseline=native --report=json</x:v>
      </x:c>
      <x:c r="S214" s="22" t="str">
        <x:v>data corruption = 0；</x:v>
      </x:c>
      <x:c r="T214" s="22" t="str">
        <x:v>SR-01-11-05</x:v>
      </x:c>
      <x:c r="U214" s="22" t="str">
        <x:v>待认领</x:v>
      </x:c>
      <x:c r="V214" s="22" t="str"/>
      <x:c r="W214" s="22" t="str"/>
      <x:c r="X214" s="22" t="str">
        <x:f>IF(COUNTIF($A$5:$A$451,A214)=1,"PASS","FAIL")</x:f>
        <x:v>PASS</x:v>
      </x:c>
      <x:c r="Y214" s="22" t="str">
        <x:f>IF(COUNTIF('SR系统设计'!$A$5:$A$153,B214)+COUNTIF('追溯与覆盖'!$A$5:$A$153,C214)=2,"PASS","FAIL")</x:f>
        <x:v>PASS</x:v>
      </x:c>
    </x:row>
    <x:row r="215" ht="84" customHeight="1">
      <x:c r="A215" s="25" t="str">
        <x:v>AR-L3-CO-VisibilityReadyBitmap-064-01</x:v>
      </x:c>
      <x:c r="B215" s="25" t="str">
        <x:v>SR-01-11-06</x:v>
      </x:c>
      <x:c r="C215" s="25" t="str">
        <x:v>L3-CO-VisibilityReadyBitmap-064</x:v>
      </x:c>
      <x:c r="D215" s="25" t="str">
        <x:v>SF-01</x:v>
      </x:c>
      <x:c r="E215" s="25" t="str">
        <x:v>IR-01-11</x:v>
      </x:c>
      <x:c r="F215" s="22" t="str">
        <x:v>L3 传输管理层</x:v>
      </x:c>
      <x:c r="G215" s="22" t="str">
        <x:v>TM5</x:v>
      </x:c>
      <x:c r="H215" s="22" t="str">
        <x:v>一致性、隔离与QoS</x:v>
      </x:c>
      <x:c r="I215" s="22" t="str">
        <x:v>P0</x:v>
      </x:c>
      <x:c r="J215" s="22" t="str">
        <x:v>P0</x:v>
      </x:c>
      <x:c r="K215" s="22" t="str">
        <x:v>核心实现</x:v>
      </x:c>
      <x:c r="L215" s="22" t="str">
        <x:v>存储池/传输管理开发</x:v>
      </x:c>
      <x:c r="M215" s="22" t="str">
        <x:v>src/consistency/qos/visibility_ready_bitmap.{h,cc}</x:v>
      </x:c>
      <x:c r="N215" s="22" t="str">
        <x:v>VisibilityReadyBitmapController</x:v>
      </x:c>
      <x:c r="O215" s="22" t="str">
        <x:v>在 `src/consistency/qos/visibility_ready_bitmap.{h,cc}` 新增或重写 `VisibilityReadyBitmapController`，把“KV 写入完成与可见性边界控制”落实为 L3 传输管理层 可调用主路径：本需求要求每个 KV object 维护 layer/page/rank 粒度 ready bitmap 与 visibility state，区分 local write complete、device visible、remote visible、durable visible； 输入必须显式消费 object state + traffic class + tenant quota，输出 atomic visibility + scheduled transfer budget，不得用全局单例或隐藏同步 I/O 绕开预算与状态机。</x:v>
      </x:c>
      <x:c r="P215" s="22" t="str">
        <x:v>实现 object state + traffic class + tenant quota → atomic visibility + scheduled transfer budget；遵守 冲突对象进入等待/隔离；后台队列可暂停、drain 或限速；前台超预算直接重算</x:v>
      </x:c>
      <x:c r="Q215" s="22" t="str">
        <x:v>核心算法与状态转换完成；新增代码单测分支覆盖≥85%；线程安全/所有权明确；关闭 feature flag 时行为与 baseline 一致。</x:v>
      </x:c>
      <x:c r="R215" s="22" t="str">
        <x:v>ctest -R VisibilityReadyBitmap --output-on-failure</x:v>
      </x:c>
      <x:c r="S215" s="22" t="str">
        <x:v>节点动态加入/退出时的缓存失效控制在局部范围内（遵循一致性哈希比例）。</x:v>
      </x:c>
      <x:c r="T215" s="22" t="str">
        <x:v>SR-01-11-06</x:v>
      </x:c>
      <x:c r="U215" s="22" t="str">
        <x:v>待认领</x:v>
      </x:c>
      <x:c r="V215" s="22" t="str"/>
      <x:c r="W215" s="22" t="str"/>
      <x:c r="X215" s="22" t="str">
        <x:f>IF(COUNTIF($A$5:$A$451,A215)=1,"PASS","FAIL")</x:f>
        <x:v>PASS</x:v>
      </x:c>
      <x:c r="Y215" s="22" t="str">
        <x:f>IF(COUNTIF('SR系统设计'!$A$5:$A$153,B215)+COUNTIF('追溯与覆盖'!$A$5:$A$153,C215)=2,"PASS","FAIL")</x:f>
        <x:v>PASS</x:v>
      </x:c>
    </x:row>
    <x:row r="216" ht="84" customHeight="1">
      <x:c r="A216" s="25" t="str">
        <x:v>AR-L3-CO-VisibilityReadyBitmap-064-02</x:v>
      </x:c>
      <x:c r="B216" s="25" t="str">
        <x:v>SR-01-11-06</x:v>
      </x:c>
      <x:c r="C216" s="25" t="str">
        <x:v>L3-CO-VisibilityReadyBitmap-064</x:v>
      </x:c>
      <x:c r="D216" s="25" t="str">
        <x:v>SF-01</x:v>
      </x:c>
      <x:c r="E216" s="25" t="str">
        <x:v>IR-01-11</x:v>
      </x:c>
      <x:c r="F216" s="22" t="str">
        <x:v>L3 传输管理层</x:v>
      </x:c>
      <x:c r="G216" s="22" t="str">
        <x:v>TM5</x:v>
      </x:c>
      <x:c r="H216" s="22" t="str">
        <x:v>一致性、隔离与QoS</x:v>
      </x:c>
      <x:c r="I216" s="22" t="str">
        <x:v>P0</x:v>
      </x:c>
      <x:c r="J216" s="22" t="str">
        <x:v>P0</x:v>
      </x:c>
      <x:c r="K216" s="22" t="str">
        <x:v>契约配置与降级</x:v>
      </x:c>
      <x:c r="L216" s="22" t="str">
        <x:v>存储池/传输管理开发</x:v>
      </x:c>
      <x:c r="M216" s="22" t="str">
        <x:v>api/kvcache/v1/visibility_ready_bitmap.proto + config/runtime/visibility_ready_bitmap.yaml</x:v>
      </x:c>
      <x:c r="N216" s="22" t="str">
        <x:v>VisibilityReadyBitmapOptions / kvcache.visibility_ready_bitmap.enabled</x:v>
      </x:c>
      <x:c r="O216" s="22" t="str">
        <x:v>为 `VisibilityReadyBitmapOptions` 增加 `kvcache.visibility_ready_bitmap.enabled`、deadline/容量/队列预算及版本字段；在调用点接入 typed error、decision_reason、fallback_reason，确保配置热更新、灰度关闭和向后兼容均可审计。</x:v>
      </x:c>
      <x:c r="P216" s="22" t="str">
        <x:v>IDL/配置 schema 有版本号、默认值、边界校验和错误码；状态/租约/ready 不满足时按 冲突对象进入等待/隔离；后台队列可暂停、drain 或限速；前台超预算直接重算</x:v>
      </x:c>
      <x:c r="Q216" s="22" t="str">
        <x:v>配置样例、schema 校验、升级兼容测试和回退路径齐全；任何隐式 fallback 被移除；新增指标可关联 request_id/query_plan_id/object_id/path_id。</x:v>
      </x:c>
      <x:c r="R216" s="22" t="str">
        <x:v>ctest -R VisibilityReadyBitmapConfig &amp;&amp; ./bin/kvcache_config_check --case=visibility_ready_bitmap</x:v>
      </x:c>
      <x:c r="S216" s="22" t="str">
        <x:v>节点动态加入/退出时的缓存失效控制在局部范围内（遵循一致性哈希比例）。</x:v>
      </x:c>
      <x:c r="T216" s="22" t="str">
        <x:v>SR-01-11-06</x:v>
      </x:c>
      <x:c r="U216" s="22" t="str">
        <x:v>待认领</x:v>
      </x:c>
      <x:c r="V216" s="22" t="str"/>
      <x:c r="W216" s="22" t="str"/>
      <x:c r="X216" s="22" t="str">
        <x:f>IF(COUNTIF($A$5:$A$451,A216)=1,"PASS","FAIL")</x:f>
        <x:v>PASS</x:v>
      </x:c>
      <x:c r="Y216" s="22" t="str">
        <x:f>IF(COUNTIF('SR系统设计'!$A$5:$A$153,B216)+COUNTIF('追溯与覆盖'!$A$5:$A$153,C216)=2,"PASS","FAIL")</x:f>
        <x:v>PASS</x:v>
      </x:c>
    </x:row>
    <x:row r="217" ht="84" customHeight="1">
      <x:c r="A217" s="25" t="str">
        <x:v>AR-L3-CO-VisibilityReadyBitmap-064-03</x:v>
      </x:c>
      <x:c r="B217" s="25" t="str">
        <x:v>SR-01-11-06</x:v>
      </x:c>
      <x:c r="C217" s="25" t="str">
        <x:v>L3-CO-VisibilityReadyBitmap-064</x:v>
      </x:c>
      <x:c r="D217" s="25" t="str">
        <x:v>SF-01</x:v>
      </x:c>
      <x:c r="E217" s="25" t="str">
        <x:v>IR-01-11</x:v>
      </x:c>
      <x:c r="F217" s="22" t="str">
        <x:v>L3 传输管理层</x:v>
      </x:c>
      <x:c r="G217" s="22" t="str">
        <x:v>TM5</x:v>
      </x:c>
      <x:c r="H217" s="22" t="str">
        <x:v>一致性、隔离与QoS</x:v>
      </x:c>
      <x:c r="I217" s="22" t="str">
        <x:v>P0</x:v>
      </x:c>
      <x:c r="J217" s="22" t="str">
        <x:v>P0</x:v>
      </x:c>
      <x:c r="K217" s="22" t="str">
        <x:v>验证与观测</x:v>
      </x:c>
      <x:c r="L217" s="22" t="str">
        <x:v>存储池/传输管理开发</x:v>
      </x:c>
      <x:c r="M217" s="22" t="str">
        <x:v>tests/consistency/qos/visibility_ready_bitmap_test.cc + benchmarks/consistency/qos/visibility_ready_bitmap_benchmark.cc</x:v>
      </x:c>
      <x:c r="N217" s="22" t="str">
        <x:v>VisibilityReadyBitmapTest / VisibilityReadyBitmapBenchmark</x:v>
      </x:c>
      <x:c r="O217" s="22" t="str">
        <x:v>新增正常、边界、并发、超时、stale metadata、迁移冲突、路径拥塞/故障与 feature-flag-off 用例；在 benchmark 中固定模型、tokenizer、prompt、并发、拓扑和 baseline，采集 lookup/load/attach、TTFT、TPOT、usable/abandoned hit、带宽/时延及 CPU/NPU 利用率。</x:v>
      </x:c>
      <x:c r="P217" s="22" t="str">
        <x:v>验收直接引用来源指标：“节点动态加入/退出时的缓存失效控制在局部范围内（遵循一致性哈希比例）。”；故障用例必须证明错误 KV 不被消费且 fallback reason 可追踪。</x:v>
      </x:c>
      <x:c r="Q217" s="22" t="str">
        <x:v>来源验收项全部自动化；性能报告包含 P50/P95/P99、置信区间与 baseline；失败门槛接入 CI；测试数据和命令可复现。</x:v>
      </x:c>
      <x:c r="R217" s="22" t="str">
        <x:v>./bin/kvcache_bench --case=visibility_ready_bitmap --baseline=native --report=json</x:v>
      </x:c>
      <x:c r="S217" s="22" t="str">
        <x:v>节点动态加入/退出时的缓存失效控制在局部范围内（遵循一致性哈希比例）。</x:v>
      </x:c>
      <x:c r="T217" s="22" t="str">
        <x:v>SR-01-11-06</x:v>
      </x:c>
      <x:c r="U217" s="22" t="str">
        <x:v>待认领</x:v>
      </x:c>
      <x:c r="V217" s="22" t="str"/>
      <x:c r="W217" s="22" t="str"/>
      <x:c r="X217" s="22" t="str">
        <x:f>IF(COUNTIF($A$5:$A$451,A217)=1,"PASS","FAIL")</x:f>
        <x:v>PASS</x:v>
      </x:c>
      <x:c r="Y217" s="22" t="str">
        <x:f>IF(COUNTIF('SR系统设计'!$A$5:$A$153,B217)+COUNTIF('追溯与覆盖'!$A$5:$A$153,C217)=2,"PASS","FAIL")</x:f>
        <x:v>PASS</x:v>
      </x:c>
    </x:row>
    <x:row r="218" ht="84" customHeight="1">
      <x:c r="A218" s="25" t="str">
        <x:v>AR-L3-QO-SemanticQoS-045-01</x:v>
      </x:c>
      <x:c r="B218" s="25" t="str">
        <x:v>SR-01-11-07</x:v>
      </x:c>
      <x:c r="C218" s="25" t="str">
        <x:v>L3-QO-SemanticQoS-045</x:v>
      </x:c>
      <x:c r="D218" s="25" t="str">
        <x:v>SF-01</x:v>
      </x:c>
      <x:c r="E218" s="25" t="str">
        <x:v>IR-01-11</x:v>
      </x:c>
      <x:c r="F218" s="22" t="str">
        <x:v>L3 传输管理层</x:v>
      </x:c>
      <x:c r="G218" s="22" t="str">
        <x:v>TM5</x:v>
      </x:c>
      <x:c r="H218" s="22" t="str">
        <x:v>一致性、隔离与QoS</x:v>
      </x:c>
      <x:c r="I218" s="22" t="str">
        <x:v>P0</x:v>
      </x:c>
      <x:c r="J218" s="22" t="str">
        <x:v>P0</x:v>
      </x:c>
      <x:c r="K218" s="22" t="str">
        <x:v>核心实现</x:v>
      </x:c>
      <x:c r="L218" s="22" t="str">
        <x:v>存储池/传输管理开发</x:v>
      </x:c>
      <x:c r="M218" s="22" t="str">
        <x:v>src/consistency/qos/semantic_qo_s.{h,cc}</x:v>
      </x:c>
      <x:c r="N218" s="22" t="str">
        <x:v>SemanticQoSController</x:v>
      </x:c>
      <x:c r="O218" s="22" t="str">
        <x:v>在 `src/consistency/qos/semantic_qo_s.{h,cc}` 新增或重写 `SemanticQoSController`，把“前台推理与后台 KV 任务流量隔离”落实为 L3 传输管理层 可调用主路径：本需求要求 Transfer Manager 建立语义化 QoS 队列：metadata-critical、TTFT prefix load、decode-critical copy、prefetch、background writeback、cold restore 必须分队列、限速和优先级调度，避免后台流量影响前台 TTFT/TPOT。 输入必须显式消费 object state + traffic class + tenant quota，输出 atomic visibility + scheduled transfer budget，不得用全局单例或隐藏同步 I/O 绕开预算与状态机。</x:v>
      </x:c>
      <x:c r="P218" s="22" t="str">
        <x:v>实现 object state + traffic class + tenant quota → atomic visibility + scheduled transfer budget；遵守 冲突对象进入等待/隔离；后台队列可暂停、drain 或限速；前台超预算直接重算</x:v>
      </x:c>
      <x:c r="Q218" s="22" t="str">
        <x:v>核心算法与状态转换完成；新增代码单测分支覆盖≥85%；线程安全/所有权明确；关闭 feature flag 时行为与 baseline 一致。</x:v>
      </x:c>
      <x:c r="R218" s="22" t="str">
        <x:v>ctest -R SemanticQoS --output-on-failure</x:v>
      </x:c>
      <x:c r="S218" s="22" t="str">
        <x:v>p99 TTFT 降低 ≥25%；后台任务不影响 TPOT &gt;3%；</x:v>
      </x:c>
      <x:c r="T218" s="22" t="str">
        <x:v>SR-01-11-07</x:v>
      </x:c>
      <x:c r="U218" s="22" t="str">
        <x:v>待认领</x:v>
      </x:c>
      <x:c r="V218" s="22" t="str"/>
      <x:c r="W218" s="22" t="str"/>
      <x:c r="X218" s="22" t="str">
        <x:f>IF(COUNTIF($A$5:$A$451,A218)=1,"PASS","FAIL")</x:f>
        <x:v>PASS</x:v>
      </x:c>
      <x:c r="Y218" s="22" t="str">
        <x:f>IF(COUNTIF('SR系统设计'!$A$5:$A$153,B218)+COUNTIF('追溯与覆盖'!$A$5:$A$153,C218)=2,"PASS","FAIL")</x:f>
        <x:v>PASS</x:v>
      </x:c>
    </x:row>
    <x:row r="219" ht="84" customHeight="1">
      <x:c r="A219" s="25" t="str">
        <x:v>AR-L3-QO-SemanticQoS-045-02</x:v>
      </x:c>
      <x:c r="B219" s="25" t="str">
        <x:v>SR-01-11-07</x:v>
      </x:c>
      <x:c r="C219" s="25" t="str">
        <x:v>L3-QO-SemanticQoS-045</x:v>
      </x:c>
      <x:c r="D219" s="25" t="str">
        <x:v>SF-01</x:v>
      </x:c>
      <x:c r="E219" s="25" t="str">
        <x:v>IR-01-11</x:v>
      </x:c>
      <x:c r="F219" s="22" t="str">
        <x:v>L3 传输管理层</x:v>
      </x:c>
      <x:c r="G219" s="22" t="str">
        <x:v>TM5</x:v>
      </x:c>
      <x:c r="H219" s="22" t="str">
        <x:v>一致性、隔离与QoS</x:v>
      </x:c>
      <x:c r="I219" s="22" t="str">
        <x:v>P0</x:v>
      </x:c>
      <x:c r="J219" s="22" t="str">
        <x:v>P0</x:v>
      </x:c>
      <x:c r="K219" s="22" t="str">
        <x:v>契约配置与降级</x:v>
      </x:c>
      <x:c r="L219" s="22" t="str">
        <x:v>存储池/传输管理开发</x:v>
      </x:c>
      <x:c r="M219" s="22" t="str">
        <x:v>api/kvcache/v1/semantic_qo_s.proto + config/runtime/semantic_qo_s.yaml</x:v>
      </x:c>
      <x:c r="N219" s="22" t="str">
        <x:v>SemanticQoSOptions / kvcache.semantic_qo_s.enabled</x:v>
      </x:c>
      <x:c r="O219" s="22" t="str">
        <x:v>为 `SemanticQoSOptions` 增加 `kvcache.semantic_qo_s.enabled`、deadline/容量/队列预算及版本字段；在调用点接入 typed error、decision_reason、fallback_reason，确保配置热更新、灰度关闭和向后兼容均可审计。</x:v>
      </x:c>
      <x:c r="P219" s="22" t="str">
        <x:v>IDL/配置 schema 有版本号、默认值、边界校验和错误码；状态/租约/ready 不满足时按 冲突对象进入等待/隔离；后台队列可暂停、drain 或限速；前台超预算直接重算</x:v>
      </x:c>
      <x:c r="Q219" s="22" t="str">
        <x:v>配置样例、schema 校验、升级兼容测试和回退路径齐全；任何隐式 fallback 被移除；新增指标可关联 request_id/query_plan_id/object_id/path_id。</x:v>
      </x:c>
      <x:c r="R219" s="22" t="str">
        <x:v>ctest -R SemanticQoSConfig &amp;&amp; ./bin/kvcache_config_check --case=semantic_qo_s</x:v>
      </x:c>
      <x:c r="S219" s="22" t="str">
        <x:v>p99 TTFT 降低 ≥25%；后台任务不影响 TPOT &gt;3%；</x:v>
      </x:c>
      <x:c r="T219" s="22" t="str">
        <x:v>SR-01-11-07</x:v>
      </x:c>
      <x:c r="U219" s="22" t="str">
        <x:v>待认领</x:v>
      </x:c>
      <x:c r="V219" s="22" t="str"/>
      <x:c r="W219" s="22" t="str"/>
      <x:c r="X219" s="22" t="str">
        <x:f>IF(COUNTIF($A$5:$A$451,A219)=1,"PASS","FAIL")</x:f>
        <x:v>PASS</x:v>
      </x:c>
      <x:c r="Y219" s="22" t="str">
        <x:f>IF(COUNTIF('SR系统设计'!$A$5:$A$153,B219)+COUNTIF('追溯与覆盖'!$A$5:$A$153,C219)=2,"PASS","FAIL")</x:f>
        <x:v>PASS</x:v>
      </x:c>
    </x:row>
    <x:row r="220" ht="84" customHeight="1">
      <x:c r="A220" s="25" t="str">
        <x:v>AR-L3-QO-SemanticQoS-045-03</x:v>
      </x:c>
      <x:c r="B220" s="25" t="str">
        <x:v>SR-01-11-07</x:v>
      </x:c>
      <x:c r="C220" s="25" t="str">
        <x:v>L3-QO-SemanticQoS-045</x:v>
      </x:c>
      <x:c r="D220" s="25" t="str">
        <x:v>SF-01</x:v>
      </x:c>
      <x:c r="E220" s="25" t="str">
        <x:v>IR-01-11</x:v>
      </x:c>
      <x:c r="F220" s="22" t="str">
        <x:v>L3 传输管理层</x:v>
      </x:c>
      <x:c r="G220" s="22" t="str">
        <x:v>TM5</x:v>
      </x:c>
      <x:c r="H220" s="22" t="str">
        <x:v>一致性、隔离与QoS</x:v>
      </x:c>
      <x:c r="I220" s="22" t="str">
        <x:v>P0</x:v>
      </x:c>
      <x:c r="J220" s="22" t="str">
        <x:v>P0</x:v>
      </x:c>
      <x:c r="K220" s="22" t="str">
        <x:v>验证与观测</x:v>
      </x:c>
      <x:c r="L220" s="22" t="str">
        <x:v>存储池/传输管理开发</x:v>
      </x:c>
      <x:c r="M220" s="22" t="str">
        <x:v>tests/consistency/qos/semantic_qo_s_test.cc + benchmarks/consistency/qos/semantic_qo_s_benchmark.cc</x:v>
      </x:c>
      <x:c r="N220" s="22" t="str">
        <x:v>SemanticQoSTest / SemanticQoSBenchmark</x:v>
      </x:c>
      <x:c r="O220" s="22" t="str">
        <x:v>新增正常、边界、并发、超时、stale metadata、迁移冲突、路径拥塞/故障与 feature-flag-off 用例；在 benchmark 中固定模型、tokenizer、prompt、并发、拓扑和 baseline，采集 lookup/load/attach、TTFT、TPOT、usable/abandoned hit、带宽/时延及 CPU/NPU 利用率。</x:v>
      </x:c>
      <x:c r="P220" s="22" t="str">
        <x:v>验收直接引用来源指标：“p99 TTFT 降低 ≥25%；后台任务不影响 TPOT &gt;3%；”；故障用例必须证明错误 KV 不被消费且 fallback reason 可追踪。</x:v>
      </x:c>
      <x:c r="Q220" s="22" t="str">
        <x:v>来源验收项全部自动化；性能报告包含 P50/P95/P99、置信区间与 baseline；失败门槛接入 CI；测试数据和命令可复现。</x:v>
      </x:c>
      <x:c r="R220" s="22" t="str">
        <x:v>./bin/kvcache_bench --case=semantic_qo_s --baseline=native --report=json</x:v>
      </x:c>
      <x:c r="S220" s="22" t="str">
        <x:v>p99 TTFT 降低 ≥25%；后台任务不影响 TPOT &gt;3%；</x:v>
      </x:c>
      <x:c r="T220" s="22" t="str">
        <x:v>SR-01-11-07</x:v>
      </x:c>
      <x:c r="U220" s="22" t="str">
        <x:v>待认领</x:v>
      </x:c>
      <x:c r="V220" s="22" t="str"/>
      <x:c r="W220" s="22" t="str"/>
      <x:c r="X220" s="22" t="str">
        <x:f>IF(COUNTIF($A$5:$A$451,A220)=1,"PASS","FAIL")</x:f>
        <x:v>PASS</x:v>
      </x:c>
      <x:c r="Y220" s="22" t="str">
        <x:f>IF(COUNTIF('SR系统设计'!$A$5:$A$153,B220)+COUNTIF('追溯与覆盖'!$A$5:$A$153,C220)=2,"PASS","FAIL")</x:f>
        <x:v>PASS</x:v>
      </x:c>
    </x:row>
    <x:row r="221" ht="84" customHeight="1">
      <x:c r="A221" s="25" t="str">
        <x:v>AR-L3-SC-PoolIsolation-048-01</x:v>
      </x:c>
      <x:c r="B221" s="25" t="str">
        <x:v>SR-01-11-08</x:v>
      </x:c>
      <x:c r="C221" s="25" t="str">
        <x:v>L3-SC-PoolIsolation-048</x:v>
      </x:c>
      <x:c r="D221" s="25" t="str">
        <x:v>SF-01</x:v>
      </x:c>
      <x:c r="E221" s="25" t="str">
        <x:v>IR-01-11</x:v>
      </x:c>
      <x:c r="F221" s="22" t="str">
        <x:v>L3 传输管理层</x:v>
      </x:c>
      <x:c r="G221" s="22" t="str">
        <x:v>TM5</x:v>
      </x:c>
      <x:c r="H221" s="22" t="str">
        <x:v>一致性、隔离与QoS</x:v>
      </x:c>
      <x:c r="I221" s="22" t="str">
        <x:v>P0</x:v>
      </x:c>
      <x:c r="J221" s="22" t="str">
        <x:v>P0</x:v>
      </x:c>
      <x:c r="K221" s="22" t="str">
        <x:v>核心实现</x:v>
      </x:c>
      <x:c r="L221" s="22" t="str">
        <x:v>存储池/传输管理开发</x:v>
      </x:c>
      <x:c r="M221" s="22" t="str">
        <x:v>src/consistency/qos/pool_isolation.{h,cc}</x:v>
      </x:c>
      <x:c r="N221" s="22" t="str">
        <x:v>PoolIsolationController</x:v>
      </x:c>
      <x:c r="O221" s="22" t="str">
        <x:v>在 `src/consistency/qos/pool_isolation.{h,cc}` 新增或重写 `PoolIsolationController`，把“多租户统一 KV 存储池资源隔离”落实为 L3 传输管理层 可调用主路径：本需求要求多租户 KV pool 实现容量、带宽、metadata namespace、KV key namespace、encryption domain 和 audit log 隔离； 输入必须显式消费 object state + traffic class + tenant quota，输出 atomic visibility + scheduled transfer budget，不得用全局单例或隐藏同步 I/O 绕开预算与状态机。</x:v>
      </x:c>
      <x:c r="P221" s="22" t="str">
        <x:v>实现 object state + traffic class + tenant quota → atomic visibility + scheduled transfer budget；遵守 冲突对象进入等待/隔离；后台队列可暂停、drain 或限速；前台超预算直接重算</x:v>
      </x:c>
      <x:c r="Q221" s="22" t="str">
        <x:v>核心算法与状态转换完成；新增代码单测分支覆盖≥85%；线程安全/所有权明确；关闭 feature flag 时行为与 baseline 一致。</x:v>
      </x:c>
      <x:c r="R221" s="22" t="str">
        <x:v>ctest -R PoolIsolation --output-on-failure</x:v>
      </x:c>
      <x:c r="S221" s="22" t="str">
        <x:v>租户间干扰 &lt;5%；越权访问 = 0；</x:v>
      </x:c>
      <x:c r="T221" s="22" t="str">
        <x:v>SR-01-11-08</x:v>
      </x:c>
      <x:c r="U221" s="22" t="str">
        <x:v>待认领</x:v>
      </x:c>
      <x:c r="V221" s="22" t="str"/>
      <x:c r="W221" s="22" t="str"/>
      <x:c r="X221" s="22" t="str">
        <x:f>IF(COUNTIF($A$5:$A$451,A221)=1,"PASS","FAIL")</x:f>
        <x:v>PASS</x:v>
      </x:c>
      <x:c r="Y221" s="22" t="str">
        <x:f>IF(COUNTIF('SR系统设计'!$A$5:$A$153,B221)+COUNTIF('追溯与覆盖'!$A$5:$A$153,C221)=2,"PASS","FAIL")</x:f>
        <x:v>PASS</x:v>
      </x:c>
    </x:row>
    <x:row r="222" ht="84" customHeight="1">
      <x:c r="A222" s="25" t="str">
        <x:v>AR-L3-SC-PoolIsolation-048-02</x:v>
      </x:c>
      <x:c r="B222" s="25" t="str">
        <x:v>SR-01-11-08</x:v>
      </x:c>
      <x:c r="C222" s="25" t="str">
        <x:v>L3-SC-PoolIsolation-048</x:v>
      </x:c>
      <x:c r="D222" s="25" t="str">
        <x:v>SF-01</x:v>
      </x:c>
      <x:c r="E222" s="25" t="str">
        <x:v>IR-01-11</x:v>
      </x:c>
      <x:c r="F222" s="22" t="str">
        <x:v>L3 传输管理层</x:v>
      </x:c>
      <x:c r="G222" s="22" t="str">
        <x:v>TM5</x:v>
      </x:c>
      <x:c r="H222" s="22" t="str">
        <x:v>一致性、隔离与QoS</x:v>
      </x:c>
      <x:c r="I222" s="22" t="str">
        <x:v>P0</x:v>
      </x:c>
      <x:c r="J222" s="22" t="str">
        <x:v>P0</x:v>
      </x:c>
      <x:c r="K222" s="22" t="str">
        <x:v>契约配置与降级</x:v>
      </x:c>
      <x:c r="L222" s="22" t="str">
        <x:v>存储池/传输管理开发</x:v>
      </x:c>
      <x:c r="M222" s="22" t="str">
        <x:v>api/kvcache/v1/pool_isolation.proto + config/runtime/pool_isolation.yaml</x:v>
      </x:c>
      <x:c r="N222" s="22" t="str">
        <x:v>PoolIsolationOptions / kvcache.pool_isolation.enabled</x:v>
      </x:c>
      <x:c r="O222" s="22" t="str">
        <x:v>为 `PoolIsolationOptions` 增加 `kvcache.pool_isolation.enabled`、deadline/容量/队列预算及版本字段；在调用点接入 typed error、decision_reason、fallback_reason，确保配置热更新、灰度关闭和向后兼容均可审计。</x:v>
      </x:c>
      <x:c r="P222" s="22" t="str">
        <x:v>IDL/配置 schema 有版本号、默认值、边界校验和错误码；状态/租约/ready 不满足时按 冲突对象进入等待/隔离；后台队列可暂停、drain 或限速；前台超预算直接重算</x:v>
      </x:c>
      <x:c r="Q222" s="22" t="str">
        <x:v>配置样例、schema 校验、升级兼容测试和回退路径齐全；任何隐式 fallback 被移除；新增指标可关联 request_id/query_plan_id/object_id/path_id。</x:v>
      </x:c>
      <x:c r="R222" s="22" t="str">
        <x:v>ctest -R PoolIsolationConfig &amp;&amp; ./bin/kvcache_config_check --case=pool_isolation</x:v>
      </x:c>
      <x:c r="S222" s="22" t="str">
        <x:v>租户间干扰 &lt;5%；越权访问 = 0；</x:v>
      </x:c>
      <x:c r="T222" s="22" t="str">
        <x:v>SR-01-11-08</x:v>
      </x:c>
      <x:c r="U222" s="22" t="str">
        <x:v>待认领</x:v>
      </x:c>
      <x:c r="V222" s="22" t="str"/>
      <x:c r="W222" s="22" t="str"/>
      <x:c r="X222" s="22" t="str">
        <x:f>IF(COUNTIF($A$5:$A$451,A222)=1,"PASS","FAIL")</x:f>
        <x:v>PASS</x:v>
      </x:c>
      <x:c r="Y222" s="22" t="str">
        <x:f>IF(COUNTIF('SR系统设计'!$A$5:$A$153,B222)+COUNTIF('追溯与覆盖'!$A$5:$A$153,C222)=2,"PASS","FAIL")</x:f>
        <x:v>PASS</x:v>
      </x:c>
    </x:row>
    <x:row r="223" ht="84" customHeight="1">
      <x:c r="A223" s="25" t="str">
        <x:v>AR-L3-SC-PoolIsolation-048-03</x:v>
      </x:c>
      <x:c r="B223" s="25" t="str">
        <x:v>SR-01-11-08</x:v>
      </x:c>
      <x:c r="C223" s="25" t="str">
        <x:v>L3-SC-PoolIsolation-048</x:v>
      </x:c>
      <x:c r="D223" s="25" t="str">
        <x:v>SF-01</x:v>
      </x:c>
      <x:c r="E223" s="25" t="str">
        <x:v>IR-01-11</x:v>
      </x:c>
      <x:c r="F223" s="22" t="str">
        <x:v>L3 传输管理层</x:v>
      </x:c>
      <x:c r="G223" s="22" t="str">
        <x:v>TM5</x:v>
      </x:c>
      <x:c r="H223" s="22" t="str">
        <x:v>一致性、隔离与QoS</x:v>
      </x:c>
      <x:c r="I223" s="22" t="str">
        <x:v>P0</x:v>
      </x:c>
      <x:c r="J223" s="22" t="str">
        <x:v>P0</x:v>
      </x:c>
      <x:c r="K223" s="22" t="str">
        <x:v>验证与观测</x:v>
      </x:c>
      <x:c r="L223" s="22" t="str">
        <x:v>存储池/传输管理开发</x:v>
      </x:c>
      <x:c r="M223" s="22" t="str">
        <x:v>tests/consistency/qos/pool_isolation_test.cc + benchmarks/consistency/qos/pool_isolation_benchmark.cc</x:v>
      </x:c>
      <x:c r="N223" s="22" t="str">
        <x:v>PoolIsolationTest / PoolIsolationBenchmark</x:v>
      </x:c>
      <x:c r="O223" s="22" t="str">
        <x:v>新增正常、边界、并发、超时、stale metadata、迁移冲突、路径拥塞/故障与 feature-flag-off 用例；在 benchmark 中固定模型、tokenizer、prompt、并发、拓扑和 baseline，采集 lookup/load/attach、TTFT、TPOT、usable/abandoned hit、带宽/时延及 CPU/NPU 利用率。</x:v>
      </x:c>
      <x:c r="P223" s="22" t="str">
        <x:v>验收直接引用来源指标：“租户间干扰 &lt;5%；越权访问 = 0；”；故障用例必须证明错误 KV 不被消费且 fallback reason 可追踪。</x:v>
      </x:c>
      <x:c r="Q223" s="22" t="str">
        <x:v>来源验收项全部自动化；性能报告包含 P50/P95/P99、置信区间与 baseline；失败门槛接入 CI；测试数据和命令可复现。</x:v>
      </x:c>
      <x:c r="R223" s="22" t="str">
        <x:v>./bin/kvcache_bench --case=pool_isolation --baseline=native --report=json</x:v>
      </x:c>
      <x:c r="S223" s="22" t="str">
        <x:v>租户间干扰 &lt;5%；越权访问 = 0；</x:v>
      </x:c>
      <x:c r="T223" s="22" t="str">
        <x:v>SR-01-11-08</x:v>
      </x:c>
      <x:c r="U223" s="22" t="str">
        <x:v>待认领</x:v>
      </x:c>
      <x:c r="V223" s="22" t="str"/>
      <x:c r="W223" s="22" t="str"/>
      <x:c r="X223" s="22" t="str">
        <x:f>IF(COUNTIF($A$5:$A$451,A223)=1,"PASS","FAIL")</x:f>
        <x:v>PASS</x:v>
      </x:c>
      <x:c r="Y223" s="22" t="str">
        <x:f>IF(COUNTIF('SR系统设计'!$A$5:$A$153,B223)+COUNTIF('追溯与覆盖'!$A$5:$A$153,C223)=2,"PASS","FAIL")</x:f>
        <x:v>PASS</x:v>
      </x:c>
    </x:row>
    <x:row r="224" ht="84" customHeight="1">
      <x:c r="A224" s="25" t="str">
        <x:v>AR-L3-CO-MigrationRCULock-090-01</x:v>
      </x:c>
      <x:c r="B224" s="25" t="str">
        <x:v>SR-01-11-09</x:v>
      </x:c>
      <x:c r="C224" s="25" t="str">
        <x:v>L3-CO-MigrationRCULock-090</x:v>
      </x:c>
      <x:c r="D224" s="25" t="str">
        <x:v>SF-01</x:v>
      </x:c>
      <x:c r="E224" s="25" t="str">
        <x:v>IR-01-11</x:v>
      </x:c>
      <x:c r="F224" s="22" t="str">
        <x:v>L3 传输管理层</x:v>
      </x:c>
      <x:c r="G224" s="22" t="str">
        <x:v>TM5</x:v>
      </x:c>
      <x:c r="H224" s="22" t="str">
        <x:v>一致性、隔离与QoS</x:v>
      </x:c>
      <x:c r="I224" s="22" t="str">
        <x:v>P1</x:v>
      </x:c>
      <x:c r="J224" s="22" t="str">
        <x:v>P1</x:v>
      </x:c>
      <x:c r="K224" s="22" t="str">
        <x:v>核心实现</x:v>
      </x:c>
      <x:c r="L224" s="22" t="str">
        <x:v>存储池/传输管理开发</x:v>
      </x:c>
      <x:c r="M224" s="22" t="str">
        <x:v>src/consistency/qos/migration_rculock.{h,cc}</x:v>
      </x:c>
      <x:c r="N224" s="22" t="str">
        <x:v>MigrationRCULockController</x:v>
      </x:c>
      <x:c r="O224" s="22" t="str">
        <x:v>在 `src/consistency/qos/migration_rculock.{h,cc}` 新增或重写 `MigrationRCULockController`，把“动态升降级与碎片整理期间的并发无感消费”落实为 L3 传输管理层 可调用主路径：本需求要求针对处于冷热升降级或碎片整理过程中的活跃中途迁移（In-Flight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 输入必须显式消费 object state + traffic class + tenant quota，输出 atomic visibility + scheduled transfer budget，不得用全局单例或隐藏同步 I/O 绕开预算与状态机。</x:v>
      </x:c>
      <x:c r="P224" s="22" t="str">
        <x:v>实现 object state + traffic class + tenant quota → atomic visibility + scheduled transfer budget；遵守 冲突对象进入等待/隔离；后台队列可暂停、drain 或限速；前台超预算直接重算</x:v>
      </x:c>
      <x:c r="Q224" s="22" t="str">
        <x:v>核心算法与状态转换完成；新增代码单测分支覆盖≥85%；线程安全/所有权明确；关闭 feature flag 时行为与 baseline 一致。</x:v>
      </x:c>
      <x:c r="R224" s="22" t="str">
        <x:v>ctest -R MigrationRCULock --output-on-failure</x:v>
      </x:c>
      <x:c r="S224" s="22" t="str">
        <x:v>同机架内本地及远端DDR命中率（Local Usable Hit Rate）提升≥30%。</x:v>
      </x:c>
      <x:c r="T224" s="22" t="str">
        <x:v>SR-01-11-09</x:v>
      </x:c>
      <x:c r="U224" s="22" t="str">
        <x:v>待认领</x:v>
      </x:c>
      <x:c r="V224" s="22" t="str"/>
      <x:c r="W224" s="22" t="str"/>
      <x:c r="X224" s="22" t="str">
        <x:f>IF(COUNTIF($A$5:$A$451,A224)=1,"PASS","FAIL")</x:f>
        <x:v>PASS</x:v>
      </x:c>
      <x:c r="Y224" s="22" t="str">
        <x:f>IF(COUNTIF('SR系统设计'!$A$5:$A$153,B224)+COUNTIF('追溯与覆盖'!$A$5:$A$153,C224)=2,"PASS","FAIL")</x:f>
        <x:v>PASS</x:v>
      </x:c>
    </x:row>
    <x:row r="225" ht="84" customHeight="1">
      <x:c r="A225" s="25" t="str">
        <x:v>AR-L3-CO-MigrationRCULock-090-02</x:v>
      </x:c>
      <x:c r="B225" s="25" t="str">
        <x:v>SR-01-11-09</x:v>
      </x:c>
      <x:c r="C225" s="25" t="str">
        <x:v>L3-CO-MigrationRCULock-090</x:v>
      </x:c>
      <x:c r="D225" s="25" t="str">
        <x:v>SF-01</x:v>
      </x:c>
      <x:c r="E225" s="25" t="str">
        <x:v>IR-01-11</x:v>
      </x:c>
      <x:c r="F225" s="22" t="str">
        <x:v>L3 传输管理层</x:v>
      </x:c>
      <x:c r="G225" s="22" t="str">
        <x:v>TM5</x:v>
      </x:c>
      <x:c r="H225" s="22" t="str">
        <x:v>一致性、隔离与QoS</x:v>
      </x:c>
      <x:c r="I225" s="22" t="str">
        <x:v>P1</x:v>
      </x:c>
      <x:c r="J225" s="22" t="str">
        <x:v>P1</x:v>
      </x:c>
      <x:c r="K225" s="22" t="str">
        <x:v>契约配置与降级</x:v>
      </x:c>
      <x:c r="L225" s="22" t="str">
        <x:v>存储池/传输管理开发</x:v>
      </x:c>
      <x:c r="M225" s="22" t="str">
        <x:v>api/kvcache/v1/migration_rculock.proto + config/runtime/migration_rculock.yaml</x:v>
      </x:c>
      <x:c r="N225" s="22" t="str">
        <x:v>MigrationRCULockOptions / kvcache.migration_rculock.enabled</x:v>
      </x:c>
      <x:c r="O225" s="22" t="str">
        <x:v>为 `MigrationRCULockOptions` 增加 `kvcache.migration_rculock.enabled`、deadline/容量/队列预算及版本字段；在调用点接入 typed error、decision_reason、fallback_reason，确保配置热更新、灰度关闭和向后兼容均可审计。</x:v>
      </x:c>
      <x:c r="P225" s="22" t="str">
        <x:v>IDL/配置 schema 有版本号、默认值、边界校验和错误码；状态/租约/ready 不满足时按 冲突对象进入等待/隔离；后台队列可暂停、drain 或限速；前台超预算直接重算</x:v>
      </x:c>
      <x:c r="Q225" s="22" t="str">
        <x:v>配置样例、schema 校验、升级兼容测试和回退路径齐全；任何隐式 fallback 被移除；新增指标可关联 request_id/query_plan_id/object_id/path_id。</x:v>
      </x:c>
      <x:c r="R225" s="22" t="str">
        <x:v>ctest -R MigrationRCULockConfig &amp;&amp; ./bin/kvcache_config_check --case=migration_rculock</x:v>
      </x:c>
      <x:c r="S225" s="22" t="str">
        <x:v>同机架内本地及远端DDR命中率（Local Usable Hit Rate）提升≥30%。</x:v>
      </x:c>
      <x:c r="T225" s="22" t="str">
        <x:v>SR-01-11-09</x:v>
      </x:c>
      <x:c r="U225" s="22" t="str">
        <x:v>待认领</x:v>
      </x:c>
      <x:c r="V225" s="22" t="str"/>
      <x:c r="W225" s="22" t="str"/>
      <x:c r="X225" s="22" t="str">
        <x:f>IF(COUNTIF($A$5:$A$451,A225)=1,"PASS","FAIL")</x:f>
        <x:v>PASS</x:v>
      </x:c>
      <x:c r="Y225" s="22" t="str">
        <x:f>IF(COUNTIF('SR系统设计'!$A$5:$A$153,B225)+COUNTIF('追溯与覆盖'!$A$5:$A$153,C225)=2,"PASS","FAIL")</x:f>
        <x:v>PASS</x:v>
      </x:c>
    </x:row>
    <x:row r="226" ht="84" customHeight="1">
      <x:c r="A226" s="25" t="str">
        <x:v>AR-L3-CO-MigrationRCULock-090-03</x:v>
      </x:c>
      <x:c r="B226" s="25" t="str">
        <x:v>SR-01-11-09</x:v>
      </x:c>
      <x:c r="C226" s="25" t="str">
        <x:v>L3-CO-MigrationRCULock-090</x:v>
      </x:c>
      <x:c r="D226" s="25" t="str">
        <x:v>SF-01</x:v>
      </x:c>
      <x:c r="E226" s="25" t="str">
        <x:v>IR-01-11</x:v>
      </x:c>
      <x:c r="F226" s="22" t="str">
        <x:v>L3 传输管理层</x:v>
      </x:c>
      <x:c r="G226" s="22" t="str">
        <x:v>TM5</x:v>
      </x:c>
      <x:c r="H226" s="22" t="str">
        <x:v>一致性、隔离与QoS</x:v>
      </x:c>
      <x:c r="I226" s="22" t="str">
        <x:v>P1</x:v>
      </x:c>
      <x:c r="J226" s="22" t="str">
        <x:v>P1</x:v>
      </x:c>
      <x:c r="K226" s="22" t="str">
        <x:v>验证与观测</x:v>
      </x:c>
      <x:c r="L226" s="22" t="str">
        <x:v>存储池/传输管理开发</x:v>
      </x:c>
      <x:c r="M226" s="22" t="str">
        <x:v>tests/consistency/qos/migration_rculock_test.cc + benchmarks/consistency/qos/migration_rculock_benchmark.cc</x:v>
      </x:c>
      <x:c r="N226" s="22" t="str">
        <x:v>MigrationRCULockTest / MigrationRCULockBenchmark</x:v>
      </x:c>
      <x:c r="O226" s="22" t="str">
        <x:v>新增正常、边界、并发、超时、stale metadata、迁移冲突、路径拥塞/故障与 feature-flag-off 用例；在 benchmark 中固定模型、tokenizer、prompt、并发、拓扑和 baseline，采集 lookup/load/attach、TTFT、TPOT、usable/abandoned hit、带宽/时延及 CPU/NPU 利用率。</x:v>
      </x:c>
      <x:c r="P226" s="22" t="str">
        <x:v>验收直接引用来源指标：“同机架内本地及远端DDR命中率（Local Usable Hit Rate）提升≥30%。”；故障用例必须证明错误 KV 不被消费且 fallback reason 可追踪。</x:v>
      </x:c>
      <x:c r="Q226" s="22" t="str">
        <x:v>来源验收项全部自动化；性能报告包含 P50/P95/P99、置信区间与 baseline；失败门槛接入 CI；测试数据和命令可复现。</x:v>
      </x:c>
      <x:c r="R226" s="22" t="str">
        <x:v>./bin/kvcache_bench --case=migration_rculock --baseline=native --report=json</x:v>
      </x:c>
      <x:c r="S226" s="22" t="str">
        <x:v>同机架内本地及远端DDR命中率（Local Usable Hit Rate）提升≥30%。</x:v>
      </x:c>
      <x:c r="T226" s="22" t="str">
        <x:v>SR-01-11-09</x:v>
      </x:c>
      <x:c r="U226" s="22" t="str">
        <x:v>待认领</x:v>
      </x:c>
      <x:c r="V226" s="22" t="str"/>
      <x:c r="W226" s="22" t="str"/>
      <x:c r="X226" s="22" t="str">
        <x:f>IF(COUNTIF($A$5:$A$451,A226)=1,"PASS","FAIL")</x:f>
        <x:v>PASS</x:v>
      </x:c>
      <x:c r="Y226" s="22" t="str">
        <x:f>IF(COUNTIF('SR系统设计'!$A$5:$A$153,B226)+COUNTIF('追溯与覆盖'!$A$5:$A$153,C226)=2,"PASS","FAIL")</x:f>
        <x:v>PASS</x:v>
      </x:c>
    </x:row>
    <x:row r="227" ht="84" customHeight="1">
      <x:c r="A227" s="25" t="str">
        <x:v>AR-L3-CO-ReplicaQuarantine-068-01</x:v>
      </x:c>
      <x:c r="B227" s="25" t="str">
        <x:v>SR-01-11-10</x:v>
      </x:c>
      <x:c r="C227" s="25" t="str">
        <x:v>L3-CO-ReplicaQuarantine-068</x:v>
      </x:c>
      <x:c r="D227" s="25" t="str">
        <x:v>SF-01</x:v>
      </x:c>
      <x:c r="E227" s="25" t="str">
        <x:v>IR-01-11</x:v>
      </x:c>
      <x:c r="F227" s="22" t="str">
        <x:v>L3 传输管理层</x:v>
      </x:c>
      <x:c r="G227" s="22" t="str">
        <x:v>TM5</x:v>
      </x:c>
      <x:c r="H227" s="22" t="str">
        <x:v>一致性、隔离与QoS</x:v>
      </x:c>
      <x:c r="I227" s="22" t="str">
        <x:v>P1</x:v>
      </x:c>
      <x:c r="J227" s="22" t="str">
        <x:v>P1</x:v>
      </x:c>
      <x:c r="K227" s="22" t="str">
        <x:v>核心实现</x:v>
      </x:c>
      <x:c r="L227" s="22" t="str">
        <x:v>存储池/传输管理开发</x:v>
      </x:c>
      <x:c r="M227" s="22" t="str">
        <x:v>src/consistency/qos/replica_quarantine.{h,cc}</x:v>
      </x:c>
      <x:c r="N227" s="22" t="str">
        <x:v>ReplicaQuarantineController</x:v>
      </x:c>
      <x:c r="O227" s="22" t="str">
        <x:v>在 `src/consistency/qos/replica_quarantine.{h,cc}` 新增或重写 `ReplicaQuarantineController`，把“异常 KV 副本隔离”落实为 L3 传输管理层 可调用主路径：本需求要求对 checksum 错误、visibility 未达标、layout 不兼容、version 冲突或迁移失败的 KV replica 标记为 QUARANTINED； 输入必须显式消费 object state + traffic class + tenant quota，输出 atomic visibility + scheduled transfer budget，不得用全局单例或隐藏同步 I/O 绕开预算与状态机。</x:v>
      </x:c>
      <x:c r="P227" s="22" t="str">
        <x:v>实现 object state + traffic class + tenant quota → atomic visibility + scheduled transfer budget；遵守 冲突对象进入等待/隔离；后台队列可暂停、drain 或限速；前台超预算直接重算</x:v>
      </x:c>
      <x:c r="Q227" s="22" t="str">
        <x:v>核心算法与状态转换完成；新增代码单测分支覆盖≥85%；线程安全/所有权明确；关闭 feature flag 时行为与 baseline 一致。</x:v>
      </x:c>
      <x:c r="R227" s="22" t="str">
        <x:v>ctest -R ReplicaQuarantine --output-on-failure</x:v>
      </x:c>
      <x:c r="S227" s="22" t="str">
        <x:v>Prefix命中判定P99耗时 &lt; 200us；在Share-Prefix业务下，Usable Hit Rate提升≥15%。</x:v>
      </x:c>
      <x:c r="T227" s="22" t="str">
        <x:v>SR-01-11-10</x:v>
      </x:c>
      <x:c r="U227" s="22" t="str">
        <x:v>待认领</x:v>
      </x:c>
      <x:c r="V227" s="22" t="str"/>
      <x:c r="W227" s="22" t="str"/>
      <x:c r="X227" s="22" t="str">
        <x:f>IF(COUNTIF($A$5:$A$451,A227)=1,"PASS","FAIL")</x:f>
        <x:v>PASS</x:v>
      </x:c>
      <x:c r="Y227" s="22" t="str">
        <x:f>IF(COUNTIF('SR系统设计'!$A$5:$A$153,B227)+COUNTIF('追溯与覆盖'!$A$5:$A$153,C227)=2,"PASS","FAIL")</x:f>
        <x:v>PASS</x:v>
      </x:c>
    </x:row>
    <x:row r="228" ht="84" customHeight="1">
      <x:c r="A228" s="25" t="str">
        <x:v>AR-L3-CO-ReplicaQuarantine-068-02</x:v>
      </x:c>
      <x:c r="B228" s="25" t="str">
        <x:v>SR-01-11-10</x:v>
      </x:c>
      <x:c r="C228" s="25" t="str">
        <x:v>L3-CO-ReplicaQuarantine-068</x:v>
      </x:c>
      <x:c r="D228" s="25" t="str">
        <x:v>SF-01</x:v>
      </x:c>
      <x:c r="E228" s="25" t="str">
        <x:v>IR-01-11</x:v>
      </x:c>
      <x:c r="F228" s="22" t="str">
        <x:v>L3 传输管理层</x:v>
      </x:c>
      <x:c r="G228" s="22" t="str">
        <x:v>TM5</x:v>
      </x:c>
      <x:c r="H228" s="22" t="str">
        <x:v>一致性、隔离与QoS</x:v>
      </x:c>
      <x:c r="I228" s="22" t="str">
        <x:v>P1</x:v>
      </x:c>
      <x:c r="J228" s="22" t="str">
        <x:v>P1</x:v>
      </x:c>
      <x:c r="K228" s="22" t="str">
        <x:v>契约配置与降级</x:v>
      </x:c>
      <x:c r="L228" s="22" t="str">
        <x:v>存储池/传输管理开发</x:v>
      </x:c>
      <x:c r="M228" s="22" t="str">
        <x:v>api/kvcache/v1/replica_quarantine.proto + config/runtime/replica_quarantine.yaml</x:v>
      </x:c>
      <x:c r="N228" s="22" t="str">
        <x:v>ReplicaQuarantineOptions / kvcache.replica_quarantine.enabled</x:v>
      </x:c>
      <x:c r="O228" s="22" t="str">
        <x:v>为 `ReplicaQuarantineOptions` 增加 `kvcache.replica_quarantine.enabled`、deadline/容量/队列预算及版本字段；在调用点接入 typed error、decision_reason、fallback_reason，确保配置热更新、灰度关闭和向后兼容均可审计。</x:v>
      </x:c>
      <x:c r="P228" s="22" t="str">
        <x:v>IDL/配置 schema 有版本号、默认值、边界校验和错误码；状态/租约/ready 不满足时按 冲突对象进入等待/隔离；后台队列可暂停、drain 或限速；前台超预算直接重算</x:v>
      </x:c>
      <x:c r="Q228" s="22" t="str">
        <x:v>配置样例、schema 校验、升级兼容测试和回退路径齐全；任何隐式 fallback 被移除；新增指标可关联 request_id/query_plan_id/object_id/path_id。</x:v>
      </x:c>
      <x:c r="R228" s="22" t="str">
        <x:v>ctest -R ReplicaQuarantineConfig &amp;&amp; ./bin/kvcache_config_check --case=replica_quarantine</x:v>
      </x:c>
      <x:c r="S228" s="22" t="str">
        <x:v>Prefix命中判定P99耗时 &lt; 200us；在Share-Prefix业务下，Usable Hit Rate提升≥15%。</x:v>
      </x:c>
      <x:c r="T228" s="22" t="str">
        <x:v>SR-01-11-10</x:v>
      </x:c>
      <x:c r="U228" s="22" t="str">
        <x:v>待认领</x:v>
      </x:c>
      <x:c r="V228" s="22" t="str"/>
      <x:c r="W228" s="22" t="str"/>
      <x:c r="X228" s="22" t="str">
        <x:f>IF(COUNTIF($A$5:$A$451,A228)=1,"PASS","FAIL")</x:f>
        <x:v>PASS</x:v>
      </x:c>
      <x:c r="Y228" s="22" t="str">
        <x:f>IF(COUNTIF('SR系统设计'!$A$5:$A$153,B228)+COUNTIF('追溯与覆盖'!$A$5:$A$153,C228)=2,"PASS","FAIL")</x:f>
        <x:v>PASS</x:v>
      </x:c>
    </x:row>
    <x:row r="229" ht="84" customHeight="1">
      <x:c r="A229" s="25" t="str">
        <x:v>AR-L3-CO-ReplicaQuarantine-068-03</x:v>
      </x:c>
      <x:c r="B229" s="25" t="str">
        <x:v>SR-01-11-10</x:v>
      </x:c>
      <x:c r="C229" s="25" t="str">
        <x:v>L3-CO-ReplicaQuarantine-068</x:v>
      </x:c>
      <x:c r="D229" s="25" t="str">
        <x:v>SF-01</x:v>
      </x:c>
      <x:c r="E229" s="25" t="str">
        <x:v>IR-01-11</x:v>
      </x:c>
      <x:c r="F229" s="22" t="str">
        <x:v>L3 传输管理层</x:v>
      </x:c>
      <x:c r="G229" s="22" t="str">
        <x:v>TM5</x:v>
      </x:c>
      <x:c r="H229" s="22" t="str">
        <x:v>一致性、隔离与QoS</x:v>
      </x:c>
      <x:c r="I229" s="22" t="str">
        <x:v>P1</x:v>
      </x:c>
      <x:c r="J229" s="22" t="str">
        <x:v>P1</x:v>
      </x:c>
      <x:c r="K229" s="22" t="str">
        <x:v>验证与观测</x:v>
      </x:c>
      <x:c r="L229" s="22" t="str">
        <x:v>存储池/传输管理开发</x:v>
      </x:c>
      <x:c r="M229" s="22" t="str">
        <x:v>tests/consistency/qos/replica_quarantine_test.cc + benchmarks/consistency/qos/replica_quarantine_benchmark.cc</x:v>
      </x:c>
      <x:c r="N229" s="22" t="str">
        <x:v>ReplicaQuarantineTest / ReplicaQuarantineBenchmark</x:v>
      </x:c>
      <x:c r="O229" s="22" t="str">
        <x:v>新增正常、边界、并发、超时、stale metadata、迁移冲突、路径拥塞/故障与 feature-flag-off 用例；在 benchmark 中固定模型、tokenizer、prompt、并发、拓扑和 baseline，采集 lookup/load/attach、TTFT、TPOT、usable/abandoned hit、带宽/时延及 CPU/NPU 利用率。</x:v>
      </x:c>
      <x:c r="P229" s="22" t="str">
        <x:v>验收直接引用来源指标：“Prefix命中判定P99耗时 &lt; 200us；在Share-Prefix业务下，Usable Hit Rate提升≥15%。”；故障用例必须证明错误 KV 不被消费且 fallback reason 可追踪。</x:v>
      </x:c>
      <x:c r="Q229" s="22" t="str">
        <x:v>来源验收项全部自动化；性能报告包含 P50/P95/P99、置信区间与 baseline；失败门槛接入 CI；测试数据和命令可复现。</x:v>
      </x:c>
      <x:c r="R229" s="22" t="str">
        <x:v>./bin/kvcache_bench --case=replica_quarantine --baseline=native --report=json</x:v>
      </x:c>
      <x:c r="S229" s="22" t="str">
        <x:v>Prefix命中判定P99耗时 &lt; 200us；在Share-Prefix业务下，Usable Hit Rate提升≥15%。</x:v>
      </x:c>
      <x:c r="T229" s="22" t="str">
        <x:v>SR-01-11-10</x:v>
      </x:c>
      <x:c r="U229" s="22" t="str">
        <x:v>待认领</x:v>
      </x:c>
      <x:c r="V229" s="22" t="str"/>
      <x:c r="W229" s="22" t="str"/>
      <x:c r="X229" s="22" t="str">
        <x:f>IF(COUNTIF($A$5:$A$451,A229)=1,"PASS","FAIL")</x:f>
        <x:v>PASS</x:v>
      </x:c>
      <x:c r="Y229" s="22" t="str">
        <x:f>IF(COUNTIF('SR系统设计'!$A$5:$A$153,B229)+COUNTIF('追溯与覆盖'!$A$5:$A$153,C229)=2,"PASS","FAIL")</x:f>
        <x:v>PASS</x:v>
      </x:c>
    </x:row>
    <x:row r="230" ht="84" customHeight="1">
      <x:c r="A230" s="25" t="str">
        <x:v>AR-L1-SC-TenantIsolation-017-01</x:v>
      </x:c>
      <x:c r="B230" s="25" t="str">
        <x:v>SR-01-12-01</x:v>
      </x:c>
      <x:c r="C230" s="25" t="str">
        <x:v>L1-SC-TenantIsolation-017</x:v>
      </x:c>
      <x:c r="D230" s="25" t="str">
        <x:v>SF-01</x:v>
      </x:c>
      <x:c r="E230" s="25" t="str">
        <x:v>IR-01-12</x:v>
      </x:c>
      <x:c r="F230" s="22" t="str">
        <x:v>L1 推理调度层</x:v>
      </x:c>
      <x:c r="G230" s="22" t="str">
        <x:v>TM5</x:v>
      </x:c>
      <x:c r="H230" s="22" t="str">
        <x:v>一致性、安全与可靠性</x:v>
      </x:c>
      <x:c r="I230" s="22" t="str">
        <x:v>P0</x:v>
      </x:c>
      <x:c r="J230" s="22" t="str">
        <x:v>P0</x:v>
      </x:c>
      <x:c r="K230" s="22" t="str">
        <x:v>核心实现</x:v>
      </x:c>
      <x:c r="L230" s="22" t="str">
        <x:v>推理框架开发</x:v>
      </x:c>
      <x:c r="M230" s="22" t="str">
        <x:v>src/security/integrity/tenant_isolation.{h,cc}</x:v>
      </x:c>
      <x:c r="N230" s="22" t="str">
        <x:v>TenantIsolationVerifier</x:v>
      </x:c>
      <x:c r="O230" s="22" t="str">
        <x:v>在 `src/security/integrity/tenant_isolation.{h,cc}` 新增或重写 `TenantIsolationVerifier`，把“多租户 KVCache 隔离共享”落实为 L1 推理调度层 可调用主路径：本需求要求 KV key 构造必须包含 tenant、security domain、cache salt、model id、tokenizer hash、template version、layout version 等隔离字段； 输入必须显式消费 path evidence + security domain + object version，输出 ready/quarantine decision + error map，不得用全局单例或隐藏同步 I/O 绕开预算与状态机。</x:v>
      </x:c>
      <x:c r="P230" s="22" t="str">
        <x:v>实现 path evidence + security domain + object version → ready/quarantine decision + error map；遵守 证据不足不得 ready；完整性失败立即 quarantine、撤销句柄并切副本或重算</x:v>
      </x:c>
      <x:c r="Q230" s="22" t="str">
        <x:v>核心算法与状态转换完成；新增代码单测分支覆盖≥85%；线程安全/所有权明确；关闭 feature flag 时行为与 baseline 一致。</x:v>
      </x:c>
      <x:c r="R230" s="22" t="str">
        <x:v>ctest -R TenantIsolation --output-on-failure</x:v>
      </x:c>
      <x:c r="S230" s="22" t="str">
        <x:v>跨租户误命中 = 0；</x:v>
      </x:c>
      <x:c r="T230" s="22" t="str">
        <x:v>SR-01-12-01</x:v>
      </x:c>
      <x:c r="U230" s="22" t="str">
        <x:v>待认领</x:v>
      </x:c>
      <x:c r="V230" s="22" t="str"/>
      <x:c r="W230" s="22" t="str"/>
      <x:c r="X230" s="22" t="str">
        <x:f>IF(COUNTIF($A$5:$A$451,A230)=1,"PASS","FAIL")</x:f>
        <x:v>PASS</x:v>
      </x:c>
      <x:c r="Y230" s="22" t="str">
        <x:f>IF(COUNTIF('SR系统设计'!$A$5:$A$153,B230)+COUNTIF('追溯与覆盖'!$A$5:$A$153,C230)=2,"PASS","FAIL")</x:f>
        <x:v>PASS</x:v>
      </x:c>
    </x:row>
    <x:row r="231" ht="84" customHeight="1">
      <x:c r="A231" s="25" t="str">
        <x:v>AR-L1-SC-TenantIsolation-017-02</x:v>
      </x:c>
      <x:c r="B231" s="25" t="str">
        <x:v>SR-01-12-01</x:v>
      </x:c>
      <x:c r="C231" s="25" t="str">
        <x:v>L1-SC-TenantIsolation-017</x:v>
      </x:c>
      <x:c r="D231" s="25" t="str">
        <x:v>SF-01</x:v>
      </x:c>
      <x:c r="E231" s="25" t="str">
        <x:v>IR-01-12</x:v>
      </x:c>
      <x:c r="F231" s="22" t="str">
        <x:v>L1 推理调度层</x:v>
      </x:c>
      <x:c r="G231" s="22" t="str">
        <x:v>TM5</x:v>
      </x:c>
      <x:c r="H231" s="22" t="str">
        <x:v>一致性、安全与可靠性</x:v>
      </x:c>
      <x:c r="I231" s="22" t="str">
        <x:v>P0</x:v>
      </x:c>
      <x:c r="J231" s="22" t="str">
        <x:v>P0</x:v>
      </x:c>
      <x:c r="K231" s="22" t="str">
        <x:v>契约配置与降级</x:v>
      </x:c>
      <x:c r="L231" s="22" t="str">
        <x:v>推理框架开发</x:v>
      </x:c>
      <x:c r="M231" s="22" t="str">
        <x:v>cmake/KVCacheBackends.cmake + config/backends/tenant_isolation.yaml + src/backends/backend_registry.cc</x:v>
      </x:c>
      <x:c r="N231" s="22" t="str">
        <x:v>KVCACHE_ENABLE_TENANT_ISOLATION / kvcache.tenant_isolation.enabled</x:v>
      </x:c>
      <x:c r="O231" s="22" t="str">
        <x:v>增加编译开关 `KVCACHE_ENABLE_TENANT_ISOLATION`、运行时开关 `kvcache.tenant_isolation.enabled` 与 BackendRegistry 注册项；冻结 capability、descriptor、completion/fence、error mapping 与 per-path telemetry 字段，并实现“主路径→备路径→重算/冷路径”的有界 fallback。</x:v>
      </x:c>
      <x:c r="P231" s="22" t="str">
        <x:v>IDL/配置 schema 有版本号、默认值、边界校验和错误码；状态/租约/ready 不满足时按 证据不足不得 ready；完整性失败立即 quarantine、撤销句柄并切副本或重算</x:v>
      </x:c>
      <x:c r="Q231" s="22" t="str">
        <x:v>配置样例、schema 校验、升级兼容测试和回退路径齐全；任何隐式 fallback 被移除；新增指标可关联 request_id/query_plan_id/object_id/path_id。</x:v>
      </x:c>
      <x:c r="R231" s="22" t="str">
        <x:v>ctest -R TenantIsolationConfig &amp;&amp; ./bin/kvcache_config_check --case=tenant_isolation</x:v>
      </x:c>
      <x:c r="S231" s="22" t="str">
        <x:v>跨租户误命中 = 0；</x:v>
      </x:c>
      <x:c r="T231" s="22" t="str">
        <x:v>SR-01-12-01</x:v>
      </x:c>
      <x:c r="U231" s="22" t="str">
        <x:v>待认领</x:v>
      </x:c>
      <x:c r="V231" s="22" t="str"/>
      <x:c r="W231" s="22" t="str"/>
      <x:c r="X231" s="22" t="str">
        <x:f>IF(COUNTIF($A$5:$A$451,A231)=1,"PASS","FAIL")</x:f>
        <x:v>PASS</x:v>
      </x:c>
      <x:c r="Y231" s="22" t="str">
        <x:f>IF(COUNTIF('SR系统设计'!$A$5:$A$153,B231)+COUNTIF('追溯与覆盖'!$A$5:$A$153,C231)=2,"PASS","FAIL")</x:f>
        <x:v>PASS</x:v>
      </x:c>
    </x:row>
    <x:row r="232" ht="84" customHeight="1">
      <x:c r="A232" s="25" t="str">
        <x:v>AR-L1-SC-TenantIsolation-017-03</x:v>
      </x:c>
      <x:c r="B232" s="25" t="str">
        <x:v>SR-01-12-01</x:v>
      </x:c>
      <x:c r="C232" s="25" t="str">
        <x:v>L1-SC-TenantIsolation-017</x:v>
      </x:c>
      <x:c r="D232" s="25" t="str">
        <x:v>SF-01</x:v>
      </x:c>
      <x:c r="E232" s="25" t="str">
        <x:v>IR-01-12</x:v>
      </x:c>
      <x:c r="F232" s="22" t="str">
        <x:v>L1 推理调度层</x:v>
      </x:c>
      <x:c r="G232" s="22" t="str">
        <x:v>TM5</x:v>
      </x:c>
      <x:c r="H232" s="22" t="str">
        <x:v>一致性、安全与可靠性</x:v>
      </x:c>
      <x:c r="I232" s="22" t="str">
        <x:v>P0</x:v>
      </x:c>
      <x:c r="J232" s="22" t="str">
        <x:v>P0</x:v>
      </x:c>
      <x:c r="K232" s="22" t="str">
        <x:v>验证与观测</x:v>
      </x:c>
      <x:c r="L232" s="22" t="str">
        <x:v>推理框架开发</x:v>
      </x:c>
      <x:c r="M232" s="22" t="str">
        <x:v>tests/security/integrity/tenant_isolation_test.cc + benchmarks/security/integrity/tenant_isolation_benchmark.cc</x:v>
      </x:c>
      <x:c r="N232" s="22" t="str">
        <x:v>TenantIsolationTest / TenantIsolationBenchmark</x:v>
      </x:c>
      <x:c r="O232" s="22" t="str">
        <x:v>新增正常、边界、并发、超时、stale metadata、迁移冲突、路径拥塞/故障与 feature-flag-off 用例；在 benchmark 中固定模型、tokenizer、prompt、并发、拓扑和 baseline，采集 lookup/load/attach、TTFT、TPOT、usable/abandoned hit、带宽/时延及 CPU/NPU 利用率。</x:v>
      </x:c>
      <x:c r="P232" s="22" t="str">
        <x:v>验收直接引用来源指标：“跨租户误命中 = 0；”；故障用例必须证明错误 KV 不被消费且 fallback reason 可追踪。</x:v>
      </x:c>
      <x:c r="Q232" s="22" t="str">
        <x:v>来源验收项全部自动化；性能报告包含 P50/P95/P99、置信区间与 baseline；失败门槛接入 CI；测试数据和命令可复现。</x:v>
      </x:c>
      <x:c r="R232" s="22" t="str">
        <x:v>./bin/kvcache_bench --case=tenant_isolation --baseline=native --report=json</x:v>
      </x:c>
      <x:c r="S232" s="22" t="str">
        <x:v>跨租户误命中 = 0；</x:v>
      </x:c>
      <x:c r="T232" s="22" t="str">
        <x:v>SR-01-12-01</x:v>
      </x:c>
      <x:c r="U232" s="22" t="str">
        <x:v>待认领</x:v>
      </x:c>
      <x:c r="V232" s="22" t="str"/>
      <x:c r="W232" s="22" t="str"/>
      <x:c r="X232" s="22" t="str">
        <x:f>IF(COUNTIF($A$5:$A$451,A232)=1,"PASS","FAIL")</x:f>
        <x:v>PASS</x:v>
      </x:c>
      <x:c r="Y232" s="22" t="str">
        <x:f>IF(COUNTIF('SR系统设计'!$A$5:$A$153,B232)+COUNTIF('追溯与覆盖'!$A$5:$A$153,C232)=2,"PASS","FAIL")</x:f>
        <x:v>PASS</x:v>
      </x:c>
    </x:row>
    <x:row r="233" ht="84" customHeight="1">
      <x:c r="A233" s="25" t="str">
        <x:v>AR-L4-CO-ExtentVisibilityFence-066-01</x:v>
      </x:c>
      <x:c r="B233" s="25" t="str">
        <x:v>SR-01-12-02</x:v>
      </x:c>
      <x:c r="C233" s="25" t="str">
        <x:v>L4-CO-ExtentVisibilityFence-066</x:v>
      </x:c>
      <x:c r="D233" s="25" t="str">
        <x:v>SF-01</x:v>
      </x:c>
      <x:c r="E233" s="25" t="str">
        <x:v>IR-01-12</x:v>
      </x:c>
      <x:c r="F233" s="22" t="str">
        <x:v>L4 底层传输层</x:v>
      </x:c>
      <x:c r="G233" s="22" t="str">
        <x:v>TM5</x:v>
      </x:c>
      <x:c r="H233" s="22" t="str">
        <x:v>一致性、安全与可靠性</x:v>
      </x:c>
      <x:c r="I233" s="22" t="str">
        <x:v>P0</x:v>
      </x:c>
      <x:c r="J233" s="22" t="str">
        <x:v>P0</x:v>
      </x:c>
      <x:c r="K233" s="22" t="str">
        <x:v>核心实现</x:v>
      </x:c>
      <x:c r="L233" s="22" t="str">
        <x:v>驱动/硬件协同开发</x:v>
      </x:c>
      <x:c r="M233" s="22" t="str">
        <x:v>src/security/integrity/extent_visibility_fence.{h,cc}</x:v>
      </x:c>
      <x:c r="N233" s="22" t="str">
        <x:v>ExtentVisibilityFenceVerifier</x:v>
      </x:c>
      <x:c r="O233" s="22" t="str">
        <x:v>在 `src/security/integrity/extent_visibility_fence.{h,cc}` 新增或重写 `ExtentVisibilityFenceVerifier`，把“KV block/page 可见性同步”落实为 L4 底层传输层 可调用主路径：本需求要求底层提供 extent 粒度 visibility fence，覆盖 HBM、DDR、UB/C2C、RDMA remote memory、SSD/GDS buffer 之间的数据完成与可见性转换； 输入必须显式消费 path evidence + security domain + object version，输出 ready/quarantine decision + error map，不得用全局单例或隐藏同步 I/O 绕开预算与状态机。</x:v>
      </x:c>
      <x:c r="P233" s="22" t="str">
        <x:v>实现 path evidence + security domain + object version → ready/quarantine decision + error map；遵守 证据不足不得 ready；完整性失败立即 quarantine、撤销句柄并切副本或重算</x:v>
      </x:c>
      <x:c r="Q233" s="22" t="str">
        <x:v>核心算法与状态转换完成；新增代码单测分支覆盖≥85%；线程安全/所有权明确；关闭 feature flag 时行为与 baseline 一致。</x:v>
      </x:c>
      <x:c r="R233" s="22" t="str">
        <x:v>ctest -R ExtentVisibilityFence --output-on-failure</x:v>
      </x:c>
      <x:c r="S233" s="22" t="str">
        <x:v>建立前置硬件能力矩阵和注册内存池机制，确保 KV block layout 不被碎片化，并能进行有效的硬件边界隔离。</x:v>
      </x:c>
      <x:c r="T233" s="22" t="str">
        <x:v>SR-01-12-02</x:v>
      </x:c>
      <x:c r="U233" s="22" t="str">
        <x:v>待认领</x:v>
      </x:c>
      <x:c r="V233" s="22" t="str"/>
      <x:c r="W233" s="22" t="str"/>
      <x:c r="X233" s="22" t="str">
        <x:f>IF(COUNTIF($A$5:$A$451,A233)=1,"PASS","FAIL")</x:f>
        <x:v>PASS</x:v>
      </x:c>
      <x:c r="Y233" s="22" t="str">
        <x:f>IF(COUNTIF('SR系统设计'!$A$5:$A$153,B233)+COUNTIF('追溯与覆盖'!$A$5:$A$153,C233)=2,"PASS","FAIL")</x:f>
        <x:v>PASS</x:v>
      </x:c>
    </x:row>
    <x:row r="234" ht="84" customHeight="1">
      <x:c r="A234" s="25" t="str">
        <x:v>AR-L4-CO-ExtentVisibilityFence-066-02</x:v>
      </x:c>
      <x:c r="B234" s="25" t="str">
        <x:v>SR-01-12-02</x:v>
      </x:c>
      <x:c r="C234" s="25" t="str">
        <x:v>L4-CO-ExtentVisibilityFence-066</x:v>
      </x:c>
      <x:c r="D234" s="25" t="str">
        <x:v>SF-01</x:v>
      </x:c>
      <x:c r="E234" s="25" t="str">
        <x:v>IR-01-12</x:v>
      </x:c>
      <x:c r="F234" s="22" t="str">
        <x:v>L4 底层传输层</x:v>
      </x:c>
      <x:c r="G234" s="22" t="str">
        <x:v>TM5</x:v>
      </x:c>
      <x:c r="H234" s="22" t="str">
        <x:v>一致性、安全与可靠性</x:v>
      </x:c>
      <x:c r="I234" s="22" t="str">
        <x:v>P0</x:v>
      </x:c>
      <x:c r="J234" s="22" t="str">
        <x:v>P0</x:v>
      </x:c>
      <x:c r="K234" s="22" t="str">
        <x:v>契约配置与降级</x:v>
      </x:c>
      <x:c r="L234" s="22" t="str">
        <x:v>驱动/硬件协同开发</x:v>
      </x:c>
      <x:c r="M234" s="22" t="str">
        <x:v>cmake/KVCacheBackends.cmake + config/backends/extent_visibility_fence.yaml + src/backends/backend_registry.cc</x:v>
      </x:c>
      <x:c r="N234" s="22" t="str">
        <x:v>KVCACHE_ENABLE_EXTENT_VISIBILITY_FENCE / kvcache.extent_visibility_fence.enabled</x:v>
      </x:c>
      <x:c r="O234" s="22" t="str">
        <x:v>增加编译开关 `KVCACHE_ENABLE_EXTENT_VISIBILITY_FENCE`、运行时开关 `kvcache.extent_visibility_fence.enabled` 与 BackendRegistry 注册项；冻结 capability、descriptor、completion/fence、error mapping 与 per-path telemetry 字段，并实现“主路径→备路径→重算/冷路径”的有界 fallback。</x:v>
      </x:c>
      <x:c r="P234" s="22" t="str">
        <x:v>IDL/配置 schema 有版本号、默认值、边界校验和错误码；状态/租约/ready 不满足时按 证据不足不得 ready；完整性失败立即 quarantine、撤销句柄并切副本或重算</x:v>
      </x:c>
      <x:c r="Q234" s="22" t="str">
        <x:v>配置样例、schema 校验、升级兼容测试和回退路径齐全；任何隐式 fallback 被移除；新增指标可关联 request_id/query_plan_id/object_id/path_id。</x:v>
      </x:c>
      <x:c r="R234" s="22" t="str">
        <x:v>ctest -R ExtentVisibilityFenceConfig &amp;&amp; ./bin/kvcache_config_check --case=extent_visibility_fence</x:v>
      </x:c>
      <x:c r="S234" s="22" t="str">
        <x:v>建立前置硬件能力矩阵和注册内存池机制，确保 KV block layout 不被碎片化，并能进行有效的硬件边界隔离。</x:v>
      </x:c>
      <x:c r="T234" s="22" t="str">
        <x:v>SR-01-12-02</x:v>
      </x:c>
      <x:c r="U234" s="22" t="str">
        <x:v>待认领</x:v>
      </x:c>
      <x:c r="V234" s="22" t="str"/>
      <x:c r="W234" s="22" t="str"/>
      <x:c r="X234" s="22" t="str">
        <x:f>IF(COUNTIF($A$5:$A$451,A234)=1,"PASS","FAIL")</x:f>
        <x:v>PASS</x:v>
      </x:c>
      <x:c r="Y234" s="22" t="str">
        <x:f>IF(COUNTIF('SR系统设计'!$A$5:$A$153,B234)+COUNTIF('追溯与覆盖'!$A$5:$A$153,C234)=2,"PASS","FAIL")</x:f>
        <x:v>PASS</x:v>
      </x:c>
    </x:row>
    <x:row r="235" ht="84" customHeight="1">
      <x:c r="A235" s="25" t="str">
        <x:v>AR-L4-CO-ExtentVisibilityFence-066-03</x:v>
      </x:c>
      <x:c r="B235" s="25" t="str">
        <x:v>SR-01-12-02</x:v>
      </x:c>
      <x:c r="C235" s="25" t="str">
        <x:v>L4-CO-ExtentVisibilityFence-066</x:v>
      </x:c>
      <x:c r="D235" s="25" t="str">
        <x:v>SF-01</x:v>
      </x:c>
      <x:c r="E235" s="25" t="str">
        <x:v>IR-01-12</x:v>
      </x:c>
      <x:c r="F235" s="22" t="str">
        <x:v>L4 底层传输层</x:v>
      </x:c>
      <x:c r="G235" s="22" t="str">
        <x:v>TM5</x:v>
      </x:c>
      <x:c r="H235" s="22" t="str">
        <x:v>一致性、安全与可靠性</x:v>
      </x:c>
      <x:c r="I235" s="22" t="str">
        <x:v>P0</x:v>
      </x:c>
      <x:c r="J235" s="22" t="str">
        <x:v>P0</x:v>
      </x:c>
      <x:c r="K235" s="22" t="str">
        <x:v>验证与观测</x:v>
      </x:c>
      <x:c r="L235" s="22" t="str">
        <x:v>驱动/硬件协同开发</x:v>
      </x:c>
      <x:c r="M235" s="22" t="str">
        <x:v>tests/security/integrity/extent_visibility_fence_test.cc + benchmarks/security/integrity/extent_visibility_fence_benchmark.cc</x:v>
      </x:c>
      <x:c r="N235" s="22" t="str">
        <x:v>ExtentVisibilityFenceTest / ExtentVisibilityFenceBenchmark</x:v>
      </x:c>
      <x:c r="O235" s="22" t="str">
        <x:v>新增正常、边界、并发、超时、stale metadata、迁移冲突、路径拥塞/故障与 feature-flag-off 用例；在 benchmark 中固定模型、tokenizer、prompt、并发、拓扑和 baseline，采集 lookup/load/attach、TTFT、TPOT、usable/abandoned hit、带宽/时延及 CPU/NPU 利用率。</x:v>
      </x:c>
      <x:c r="P235" s="22" t="str">
        <x:v>验收直接引用来源指标：“建立前置硬件能力矩阵和注册内存池机制，确保 KV block layout 不被碎片化，并能进行有效的硬件边界隔离。”；故障用例必须证明错误 KV 不被消费且 fallback reason 可追踪。</x:v>
      </x:c>
      <x:c r="Q235" s="22" t="str">
        <x:v>来源验收项全部自动化；性能报告包含 P50/P95/P99、置信区间与 baseline；失败门槛接入 CI；测试数据和命令可复现。</x:v>
      </x:c>
      <x:c r="R235" s="22" t="str">
        <x:v>./bin/kvcache_bench --case=extent_visibility_fence --baseline=native --report=json</x:v>
      </x:c>
      <x:c r="S235" s="22" t="str">
        <x:v>建立前置硬件能力矩阵和注册内存池机制，确保 KV block layout 不被碎片化，并能进行有效的硬件边界隔离。</x:v>
      </x:c>
      <x:c r="T235" s="22" t="str">
        <x:v>SR-01-12-02</x:v>
      </x:c>
      <x:c r="U235" s="22" t="str">
        <x:v>待认领</x:v>
      </x:c>
      <x:c r="V235" s="22" t="str"/>
      <x:c r="W235" s="22" t="str"/>
      <x:c r="X235" s="22" t="str">
        <x:f>IF(COUNTIF($A$5:$A$451,A235)=1,"PASS","FAIL")</x:f>
        <x:v>PASS</x:v>
      </x:c>
      <x:c r="Y235" s="22" t="str">
        <x:f>IF(COUNTIF('SR系统设计'!$A$5:$A$153,B235)+COUNTIF('追溯与覆盖'!$A$5:$A$153,C235)=2,"PASS","FAIL")</x:f>
        <x:v>PASS</x:v>
      </x:c>
    </x:row>
    <x:row r="236" ht="84" customHeight="1">
      <x:c r="A236" s="25" t="str">
        <x:v>AR-L4-CO-FencePrimitive-052-01</x:v>
      </x:c>
      <x:c r="B236" s="25" t="str">
        <x:v>SR-01-12-03</x:v>
      </x:c>
      <x:c r="C236" s="25" t="str">
        <x:v>L4-CO-FencePrimitive-052</x:v>
      </x:c>
      <x:c r="D236" s="25" t="str">
        <x:v>SF-01</x:v>
      </x:c>
      <x:c r="E236" s="25" t="str">
        <x:v>IR-01-12</x:v>
      </x:c>
      <x:c r="F236" s="22" t="str">
        <x:v>L4 底层传输层</x:v>
      </x:c>
      <x:c r="G236" s="22" t="str">
        <x:v>TM5</x:v>
      </x:c>
      <x:c r="H236" s="22" t="str">
        <x:v>一致性、安全与可靠性</x:v>
      </x:c>
      <x:c r="I236" s="22" t="str">
        <x:v>P0</x:v>
      </x:c>
      <x:c r="J236" s="22" t="str">
        <x:v>P0</x:v>
      </x:c>
      <x:c r="K236" s="22" t="str">
        <x:v>核心实现</x:v>
      </x:c>
      <x:c r="L236" s="22" t="str">
        <x:v>驱动/硬件协同开发</x:v>
      </x:c>
      <x:c r="M236" s="22" t="str">
        <x:v>src/security/integrity/fence_primitive.{h,cc}</x:v>
      </x:c>
      <x:c r="N236" s="22" t="str">
        <x:v>FencePrimitiveVerifier</x:v>
      </x:c>
      <x:c r="O236" s="22" t="str">
        <x:v>在 `src/security/integrity/fence_primitive.{h,cc}` 新增或重写 `FencePrimitiveVerifier`，把“跨设备 KVCache 可见性同步”落实为 L4 底层传输层 可调用主路径：本需求要求硬件抽象层提供跨语义 fence 原语，至少覆盖 cpu_to_NPU_visible、rdma_to_NPU_visible、NPU_to_UB_visible、UB_to_rdma_visible，确保不同 fabric 间数据完成与可见性边界明确。 输入必须显式消费 path evidence + security domain + object version，输出 ready/quarantine decision + error map，不得用全局单例或隐藏同步 I/O 绕开预算与状态机。</x:v>
      </x:c>
      <x:c r="P236" s="22" t="str">
        <x:v>实现 path evidence + security domain + object version → ready/quarantine decision + error map；遵守 证据不足不得 ready；完整性失败立即 quarantine、撤销句柄并切副本或重算</x:v>
      </x:c>
      <x:c r="Q236" s="22" t="str">
        <x:v>核心算法与状态转换完成；新增代码单测分支覆盖≥85%；线程安全/所有权明确；关闭 feature flag 时行为与 baseline 一致。</x:v>
      </x:c>
      <x:c r="R236" s="22" t="str">
        <x:v>ctest -R FencePrimitive --output-on-failure</x:v>
      </x:c>
      <x:c r="S236" s="22" t="str">
        <x:v>stale visibility fault = 0；</x:v>
      </x:c>
      <x:c r="T236" s="22" t="str">
        <x:v>SR-01-12-03</x:v>
      </x:c>
      <x:c r="U236" s="22" t="str">
        <x:v>待认领</x:v>
      </x:c>
      <x:c r="V236" s="22" t="str"/>
      <x:c r="W236" s="22" t="str"/>
      <x:c r="X236" s="22" t="str">
        <x:f>IF(COUNTIF($A$5:$A$451,A236)=1,"PASS","FAIL")</x:f>
        <x:v>PASS</x:v>
      </x:c>
      <x:c r="Y236" s="22" t="str">
        <x:f>IF(COUNTIF('SR系统设计'!$A$5:$A$153,B236)+COUNTIF('追溯与覆盖'!$A$5:$A$153,C236)=2,"PASS","FAIL")</x:f>
        <x:v>PASS</x:v>
      </x:c>
    </x:row>
    <x:row r="237" ht="84" customHeight="1">
      <x:c r="A237" s="25" t="str">
        <x:v>AR-L4-CO-FencePrimitive-052-02</x:v>
      </x:c>
      <x:c r="B237" s="25" t="str">
        <x:v>SR-01-12-03</x:v>
      </x:c>
      <x:c r="C237" s="25" t="str">
        <x:v>L4-CO-FencePrimitive-052</x:v>
      </x:c>
      <x:c r="D237" s="25" t="str">
        <x:v>SF-01</x:v>
      </x:c>
      <x:c r="E237" s="25" t="str">
        <x:v>IR-01-12</x:v>
      </x:c>
      <x:c r="F237" s="22" t="str">
        <x:v>L4 底层传输层</x:v>
      </x:c>
      <x:c r="G237" s="22" t="str">
        <x:v>TM5</x:v>
      </x:c>
      <x:c r="H237" s="22" t="str">
        <x:v>一致性、安全与可靠性</x:v>
      </x:c>
      <x:c r="I237" s="22" t="str">
        <x:v>P0</x:v>
      </x:c>
      <x:c r="J237" s="22" t="str">
        <x:v>P0</x:v>
      </x:c>
      <x:c r="K237" s="22" t="str">
        <x:v>契约配置与降级</x:v>
      </x:c>
      <x:c r="L237" s="22" t="str">
        <x:v>驱动/硬件协同开发</x:v>
      </x:c>
      <x:c r="M237" s="22" t="str">
        <x:v>cmake/KVCacheBackends.cmake + config/backends/fence_primitive.yaml + src/backends/backend_registry.cc</x:v>
      </x:c>
      <x:c r="N237" s="22" t="str">
        <x:v>KVCACHE_ENABLE_FENCE_PRIMITIVE / kvcache.fence_primitive.enabled</x:v>
      </x:c>
      <x:c r="O237" s="22" t="str">
        <x:v>增加编译开关 `KVCACHE_ENABLE_FENCE_PRIMITIVE`、运行时开关 `kvcache.fence_primitive.enabled` 与 BackendRegistry 注册项；冻结 capability、descriptor、completion/fence、error mapping 与 per-path telemetry 字段，并实现“主路径→备路径→重算/冷路径”的有界 fallback。</x:v>
      </x:c>
      <x:c r="P237" s="22" t="str">
        <x:v>IDL/配置 schema 有版本号、默认值、边界校验和错误码；状态/租约/ready 不满足时按 证据不足不得 ready；完整性失败立即 quarantine、撤销句柄并切副本或重算</x:v>
      </x:c>
      <x:c r="Q237" s="22" t="str">
        <x:v>配置样例、schema 校验、升级兼容测试和回退路径齐全；任何隐式 fallback 被移除；新增指标可关联 request_id/query_plan_id/object_id/path_id。</x:v>
      </x:c>
      <x:c r="R237" s="22" t="str">
        <x:v>ctest -R FencePrimitiveConfig &amp;&amp; ./bin/kvcache_config_check --case=fence_primitive</x:v>
      </x:c>
      <x:c r="S237" s="22" t="str">
        <x:v>stale visibility fault = 0；</x:v>
      </x:c>
      <x:c r="T237" s="22" t="str">
        <x:v>SR-01-12-03</x:v>
      </x:c>
      <x:c r="U237" s="22" t="str">
        <x:v>待认领</x:v>
      </x:c>
      <x:c r="V237" s="22" t="str"/>
      <x:c r="W237" s="22" t="str"/>
      <x:c r="X237" s="22" t="str">
        <x:f>IF(COUNTIF($A$5:$A$451,A237)=1,"PASS","FAIL")</x:f>
        <x:v>PASS</x:v>
      </x:c>
      <x:c r="Y237" s="22" t="str">
        <x:f>IF(COUNTIF('SR系统设计'!$A$5:$A$153,B237)+COUNTIF('追溯与覆盖'!$A$5:$A$153,C237)=2,"PASS","FAIL")</x:f>
        <x:v>PASS</x:v>
      </x:c>
    </x:row>
    <x:row r="238" ht="84" customHeight="1">
      <x:c r="A238" s="25" t="str">
        <x:v>AR-L4-CO-FencePrimitive-052-03</x:v>
      </x:c>
      <x:c r="B238" s="25" t="str">
        <x:v>SR-01-12-03</x:v>
      </x:c>
      <x:c r="C238" s="25" t="str">
        <x:v>L4-CO-FencePrimitive-052</x:v>
      </x:c>
      <x:c r="D238" s="25" t="str">
        <x:v>SF-01</x:v>
      </x:c>
      <x:c r="E238" s="25" t="str">
        <x:v>IR-01-12</x:v>
      </x:c>
      <x:c r="F238" s="22" t="str">
        <x:v>L4 底层传输层</x:v>
      </x:c>
      <x:c r="G238" s="22" t="str">
        <x:v>TM5</x:v>
      </x:c>
      <x:c r="H238" s="22" t="str">
        <x:v>一致性、安全与可靠性</x:v>
      </x:c>
      <x:c r="I238" s="22" t="str">
        <x:v>P0</x:v>
      </x:c>
      <x:c r="J238" s="22" t="str">
        <x:v>P0</x:v>
      </x:c>
      <x:c r="K238" s="22" t="str">
        <x:v>验证与观测</x:v>
      </x:c>
      <x:c r="L238" s="22" t="str">
        <x:v>驱动/硬件协同开发</x:v>
      </x:c>
      <x:c r="M238" s="22" t="str">
        <x:v>tests/security/integrity/fence_primitive_test.cc + benchmarks/security/integrity/fence_primitive_benchmark.cc</x:v>
      </x:c>
      <x:c r="N238" s="22" t="str">
        <x:v>FencePrimitiveTest / FencePrimitiveBenchmark</x:v>
      </x:c>
      <x:c r="O238" s="22" t="str">
        <x:v>新增正常、边界、并发、超时、stale metadata、迁移冲突、路径拥塞/故障与 feature-flag-off 用例；在 benchmark 中固定模型、tokenizer、prompt、并发、拓扑和 baseline，采集 lookup/load/attach、TTFT、TPOT、usable/abandoned hit、带宽/时延及 CPU/NPU 利用率。</x:v>
      </x:c>
      <x:c r="P238" s="22" t="str">
        <x:v>验收直接引用来源指标：“stale visibility fault = 0；”；故障用例必须证明错误 KV 不被消费且 fallback reason 可追踪。</x:v>
      </x:c>
      <x:c r="Q238" s="22" t="str">
        <x:v>来源验收项全部自动化；性能报告包含 P50/P95/P99、置信区间与 baseline；失败门槛接入 CI；测试数据和命令可复现。</x:v>
      </x:c>
      <x:c r="R238" s="22" t="str">
        <x:v>./bin/kvcache_bench --case=fence_primitive --baseline=native --report=json</x:v>
      </x:c>
      <x:c r="S238" s="22" t="str">
        <x:v>stale visibility fault = 0；</x:v>
      </x:c>
      <x:c r="T238" s="22" t="str">
        <x:v>SR-01-12-03</x:v>
      </x:c>
      <x:c r="U238" s="22" t="str">
        <x:v>待认领</x:v>
      </x:c>
      <x:c r="V238" s="22" t="str"/>
      <x:c r="W238" s="22" t="str"/>
      <x:c r="X238" s="22" t="str">
        <x:f>IF(COUNTIF($A$5:$A$451,A238)=1,"PASS","FAIL")</x:f>
        <x:v>PASS</x:v>
      </x:c>
      <x:c r="Y238" s="22" t="str">
        <x:f>IF(COUNTIF('SR系统设计'!$A$5:$A$153,B238)+COUNTIF('追溯与覆盖'!$A$5:$A$153,C238)=2,"PASS","FAIL")</x:f>
        <x:v>PASS</x:v>
      </x:c>
    </x:row>
    <x:row r="239" ht="84" customHeight="1">
      <x:c r="A239" s="25" t="str">
        <x:v>AR-L4-FT-PathIntegrityPolicy-077-01</x:v>
      </x:c>
      <x:c r="B239" s="25" t="str">
        <x:v>SR-01-12-04</x:v>
      </x:c>
      <x:c r="C239" s="25" t="str">
        <x:v>L4-FT-PathIntegrityPolicy-077</x:v>
      </x:c>
      <x:c r="D239" s="25" t="str">
        <x:v>SF-01</x:v>
      </x:c>
      <x:c r="E239" s="25" t="str">
        <x:v>IR-01-12</x:v>
      </x:c>
      <x:c r="F239" s="22" t="str">
        <x:v>L4 底层传输层</x:v>
      </x:c>
      <x:c r="G239" s="22" t="str">
        <x:v>TM5</x:v>
      </x:c>
      <x:c r="H239" s="22" t="str">
        <x:v>一致性、安全与可靠性</x:v>
      </x:c>
      <x:c r="I239" s="22" t="str">
        <x:v>P0</x:v>
      </x:c>
      <x:c r="J239" s="22" t="str">
        <x:v>P0</x:v>
      </x:c>
      <x:c r="K239" s="22" t="str">
        <x:v>核心实现</x:v>
      </x:c>
      <x:c r="L239" s="22" t="str">
        <x:v>驱动/硬件协同开发</x:v>
      </x:c>
      <x:c r="M239" s="22" t="str">
        <x:v>src/security/integrity/path_integrity_policy.{h,cc}</x:v>
      </x:c>
      <x:c r="N239" s="22" t="str">
        <x:v>PathIntegrityPolicyVerifier</x:v>
      </x:c>
      <x:c r="O239" s="22" t="str">
        <x:v>在 `src/security/integrity/path_integrity_policy.{h,cc}` 新增或重写 `PathIntegrityPolicyVerifier`，把“在不引入CPU Payload扫描的前提下保证错误KV不被消费”落实为 L4 底层传输层 可调用主路径：本需求要求为不同介质和路径定义 integrity policy/evidence 契约。 输入必须显式消费 path evidence + security domain + object version，输出 ready/quarantine decision + error map，不得用全局单例或隐藏同步 I/O 绕开预算与状态机。</x:v>
      </x:c>
      <x:c r="P239" s="22" t="str">
        <x:v>实现 path evidence + security domain + object version → ready/quarantine decision + error map；遵守 证据不足不得 ready；完整性失败立即 quarantine、撤销句柄并切副本或重算</x:v>
      </x:c>
      <x:c r="Q239" s="22" t="str">
        <x:v>核心算法与状态转换完成；新增代码单测分支覆盖≥85%；线程安全/所有权明确；关闭 feature flag 时行为与 baseline 一致。</x:v>
      </x:c>
      <x:c r="R239" s="22" t="str">
        <x:v>ctest -R PathIntegrityPolicy --output-on-failure</x:v>
      </x:c>
      <x:c r="S239" s="22" t="str">
        <x:v>每条路径在 ready 前满足所配置完整性策略；策略与证据可观测、错误可阻断、fallback可执行。</x:v>
      </x:c>
      <x:c r="T239" s="22" t="str">
        <x:v>SR-01-12-04</x:v>
      </x:c>
      <x:c r="U239" s="22" t="str">
        <x:v>待认领</x:v>
      </x:c>
      <x:c r="V239" s="22" t="str"/>
      <x:c r="W239" s="22" t="str"/>
      <x:c r="X239" s="22" t="str">
        <x:f>IF(COUNTIF($A$5:$A$451,A239)=1,"PASS","FAIL")</x:f>
        <x:v>PASS</x:v>
      </x:c>
      <x:c r="Y239" s="22" t="str">
        <x:f>IF(COUNTIF('SR系统设计'!$A$5:$A$153,B239)+COUNTIF('追溯与覆盖'!$A$5:$A$153,C239)=2,"PASS","FAIL")</x:f>
        <x:v>PASS</x:v>
      </x:c>
    </x:row>
    <x:row r="240" ht="84" customHeight="1">
      <x:c r="A240" s="25" t="str">
        <x:v>AR-L4-FT-PathIntegrityPolicy-077-02</x:v>
      </x:c>
      <x:c r="B240" s="25" t="str">
        <x:v>SR-01-12-04</x:v>
      </x:c>
      <x:c r="C240" s="25" t="str">
        <x:v>L4-FT-PathIntegrityPolicy-077</x:v>
      </x:c>
      <x:c r="D240" s="25" t="str">
        <x:v>SF-01</x:v>
      </x:c>
      <x:c r="E240" s="25" t="str">
        <x:v>IR-01-12</x:v>
      </x:c>
      <x:c r="F240" s="22" t="str">
        <x:v>L4 底层传输层</x:v>
      </x:c>
      <x:c r="G240" s="22" t="str">
        <x:v>TM5</x:v>
      </x:c>
      <x:c r="H240" s="22" t="str">
        <x:v>一致性、安全与可靠性</x:v>
      </x:c>
      <x:c r="I240" s="22" t="str">
        <x:v>P0</x:v>
      </x:c>
      <x:c r="J240" s="22" t="str">
        <x:v>P0</x:v>
      </x:c>
      <x:c r="K240" s="22" t="str">
        <x:v>契约配置与降级</x:v>
      </x:c>
      <x:c r="L240" s="22" t="str">
        <x:v>驱动/硬件协同开发</x:v>
      </x:c>
      <x:c r="M240" s="22" t="str">
        <x:v>cmake/KVCacheBackends.cmake + config/backends/path_integrity_policy.yaml + src/backends/backend_registry.cc</x:v>
      </x:c>
      <x:c r="N240" s="22" t="str">
        <x:v>KVCACHE_ENABLE_PATH_INTEGRITY_POLICY / kvcache.path_integrity_policy.enabled</x:v>
      </x:c>
      <x:c r="O240" s="22" t="str">
        <x:v>增加编译开关 `KVCACHE_ENABLE_PATH_INTEGRITY_POLICY`、运行时开关 `kvcache.path_integrity_policy.enabled` 与 BackendRegistry 注册项；冻结 capability、descriptor、completion/fence、error mapping 与 per-path telemetry 字段，并实现“主路径→备路径→重算/冷路径”的有界 fallback。</x:v>
      </x:c>
      <x:c r="P240" s="22" t="str">
        <x:v>IDL/配置 schema 有版本号、默认值、边界校验和错误码；状态/租约/ready 不满足时按 证据不足不得 ready；完整性失败立即 quarantine、撤销句柄并切副本或重算</x:v>
      </x:c>
      <x:c r="Q240" s="22" t="str">
        <x:v>配置样例、schema 校验、升级兼容测试和回退路径齐全；任何隐式 fallback 被移除；新增指标可关联 request_id/query_plan_id/object_id/path_id。</x:v>
      </x:c>
      <x:c r="R240" s="22" t="str">
        <x:v>ctest -R PathIntegrityPolicyConfig &amp;&amp; ./bin/kvcache_config_check --case=path_integrity_policy</x:v>
      </x:c>
      <x:c r="S240" s="22" t="str">
        <x:v>每条路径在 ready 前满足所配置完整性策略；策略与证据可观测、错误可阻断、fallback可执行。</x:v>
      </x:c>
      <x:c r="T240" s="22" t="str">
        <x:v>SR-01-12-04</x:v>
      </x:c>
      <x:c r="U240" s="22" t="str">
        <x:v>待认领</x:v>
      </x:c>
      <x:c r="V240" s="22" t="str"/>
      <x:c r="W240" s="22" t="str"/>
      <x:c r="X240" s="22" t="str">
        <x:f>IF(COUNTIF($A$5:$A$451,A240)=1,"PASS","FAIL")</x:f>
        <x:v>PASS</x:v>
      </x:c>
      <x:c r="Y240" s="22" t="str">
        <x:f>IF(COUNTIF('SR系统设计'!$A$5:$A$153,B240)+COUNTIF('追溯与覆盖'!$A$5:$A$153,C240)=2,"PASS","FAIL")</x:f>
        <x:v>PASS</x:v>
      </x:c>
    </x:row>
    <x:row r="241" ht="84" customHeight="1">
      <x:c r="A241" s="25" t="str">
        <x:v>AR-L4-FT-PathIntegrityPolicy-077-03</x:v>
      </x:c>
      <x:c r="B241" s="25" t="str">
        <x:v>SR-01-12-04</x:v>
      </x:c>
      <x:c r="C241" s="25" t="str">
        <x:v>L4-FT-PathIntegrityPolicy-077</x:v>
      </x:c>
      <x:c r="D241" s="25" t="str">
        <x:v>SF-01</x:v>
      </x:c>
      <x:c r="E241" s="25" t="str">
        <x:v>IR-01-12</x:v>
      </x:c>
      <x:c r="F241" s="22" t="str">
        <x:v>L4 底层传输层</x:v>
      </x:c>
      <x:c r="G241" s="22" t="str">
        <x:v>TM5</x:v>
      </x:c>
      <x:c r="H241" s="22" t="str">
        <x:v>一致性、安全与可靠性</x:v>
      </x:c>
      <x:c r="I241" s="22" t="str">
        <x:v>P0</x:v>
      </x:c>
      <x:c r="J241" s="22" t="str">
        <x:v>P0</x:v>
      </x:c>
      <x:c r="K241" s="22" t="str">
        <x:v>验证与观测</x:v>
      </x:c>
      <x:c r="L241" s="22" t="str">
        <x:v>驱动/硬件协同开发</x:v>
      </x:c>
      <x:c r="M241" s="22" t="str">
        <x:v>tests/security/integrity/path_integrity_policy_test.cc + benchmarks/security/integrity/path_integrity_policy_benchmark.cc</x:v>
      </x:c>
      <x:c r="N241" s="22" t="str">
        <x:v>PathIntegrityPolicyTest / PathIntegrityPolicyBenchmark</x:v>
      </x:c>
      <x:c r="O241" s="22" t="str">
        <x:v>新增正常、边界、并发、超时、stale metadata、迁移冲突、路径拥塞/故障与 feature-flag-off 用例；在 benchmark 中固定模型、tokenizer、prompt、并发、拓扑和 baseline，采集 lookup/load/attach、TTFT、TPOT、usable/abandoned hit、带宽/时延及 CPU/NPU 利用率。</x:v>
      </x:c>
      <x:c r="P241" s="22" t="str">
        <x:v>验收直接引用来源指标：“每条路径在 ready 前满足所配置完整性策略；策略与证据可观测、错误可阻断、fallback可执行。”；故障用例必须证明错误 KV 不被消费且 fallback reason 可追踪。</x:v>
      </x:c>
      <x:c r="Q241" s="22" t="str">
        <x:v>来源验收项全部自动化；性能报告包含 P50/P95/P99、置信区间与 baseline；失败门槛接入 CI；测试数据和命令可复现。</x:v>
      </x:c>
      <x:c r="R241" s="22" t="str">
        <x:v>./bin/kvcache_bench --case=path_integrity_policy --baseline=native --report=json</x:v>
      </x:c>
      <x:c r="S241" s="22" t="str">
        <x:v>每条路径在 ready 前满足所配置完整性策略；策略与证据可观测、错误可阻断、fallback可执行。</x:v>
      </x:c>
      <x:c r="T241" s="22" t="str">
        <x:v>SR-01-12-04</x:v>
      </x:c>
      <x:c r="U241" s="22" t="str">
        <x:v>待认领</x:v>
      </x:c>
      <x:c r="V241" s="22" t="str"/>
      <x:c r="W241" s="22" t="str"/>
      <x:c r="X241" s="22" t="str">
        <x:f>IF(COUNTIF($A$5:$A$451,A241)=1,"PASS","FAIL")</x:f>
        <x:v>PASS</x:v>
      </x:c>
      <x:c r="Y241" s="22" t="str">
        <x:f>IF(COUNTIF('SR系统设计'!$A$5:$A$153,B241)+COUNTIF('追溯与覆盖'!$A$5:$A$153,C241)=2,"PASS","FAIL")</x:f>
        <x:v>PASS</x:v>
      </x:c>
    </x:row>
    <x:row r="242" ht="84" customHeight="1">
      <x:c r="A242" s="25" t="str">
        <x:v>AR-L4-FT-RASErrorMap-061-01</x:v>
      </x:c>
      <x:c r="B242" s="25" t="str">
        <x:v>SR-01-12-05</x:v>
      </x:c>
      <x:c r="C242" s="25" t="str">
        <x:v>L4-FT-RASErrorMap-061</x:v>
      </x:c>
      <x:c r="D242" s="25" t="str">
        <x:v>SF-01</x:v>
      </x:c>
      <x:c r="E242" s="25" t="str">
        <x:v>IR-01-12</x:v>
      </x:c>
      <x:c r="F242" s="22" t="str">
        <x:v>L4 底层传输层</x:v>
      </x:c>
      <x:c r="G242" s="22" t="str">
        <x:v>TM6</x:v>
      </x:c>
      <x:c r="H242" s="22" t="str">
        <x:v>一致性、安全与可靠性</x:v>
      </x:c>
      <x:c r="I242" s="22" t="str">
        <x:v>P0</x:v>
      </x:c>
      <x:c r="J242" s="22" t="str">
        <x:v>P0</x:v>
      </x:c>
      <x:c r="K242" s="22" t="str">
        <x:v>核心实现</x:v>
      </x:c>
      <x:c r="L242" s="22" t="str">
        <x:v>驱动/硬件协同开发</x:v>
      </x:c>
      <x:c r="M242" s="22" t="str">
        <x:v>src/security/integrity/raserror_map.{h,cc}</x:v>
      </x:c>
      <x:c r="N242" s="22" t="str">
        <x:v>RASErrorMapVerifier</x:v>
      </x:c>
      <x:c r="O242" s="22" t="str">
        <x:v>在 `src/security/integrity/raserror_map.{h,cc}` 新增或重写 `RASErrorMapVerifier`，把“KVCache 硬件故障统一恢复”落实为 L4 底层传输层 可调用主路径：本需求要求硬件层将 UB error、RDMA flush error、NPU page fault、TCP timeout、SSD read error、translation fault 映射为统一 KV object fault code，并触发对应 fallback、recompute、replica invalidation 或 quarantine 策略。 输入必须显式消费 path evidence + security domain + object version，输出 ready/quarantine decision + error map，不得用全局单例或隐藏同步 I/O 绕开预算与状态机。</x:v>
      </x:c>
      <x:c r="P242" s="22" t="str">
        <x:v>实现 path evidence + security domain + object version → ready/quarantine decision + error map；遵守 证据不足不得 ready；完整性失败立即 quarantine、撤销句柄并切副本或重算</x:v>
      </x:c>
      <x:c r="Q242" s="22" t="str">
        <x:v>核心算法与状态转换完成；新增代码单测分支覆盖≥85%；线程安全/所有权明确；关闭 feature flag 时行为与 baseline 一致。</x:v>
      </x:c>
      <x:c r="R242" s="22" t="str">
        <x:v>ctest -R RASErrorMap --output-on-failure</x:v>
      </x:c>
      <x:c r="S242" s="22" t="str">
        <x:v>错误恢复路径覆盖率 受SLO约束的比例；</x:v>
      </x:c>
      <x:c r="T242" s="22" t="str">
        <x:v>SR-01-12-05</x:v>
      </x:c>
      <x:c r="U242" s="22" t="str">
        <x:v>待认领</x:v>
      </x:c>
      <x:c r="V242" s="22" t="str"/>
      <x:c r="W242" s="22" t="str"/>
      <x:c r="X242" s="22" t="str">
        <x:f>IF(COUNTIF($A$5:$A$451,A242)=1,"PASS","FAIL")</x:f>
        <x:v>PASS</x:v>
      </x:c>
      <x:c r="Y242" s="22" t="str">
        <x:f>IF(COUNTIF('SR系统设计'!$A$5:$A$153,B242)+COUNTIF('追溯与覆盖'!$A$5:$A$153,C242)=2,"PASS","FAIL")</x:f>
        <x:v>PASS</x:v>
      </x:c>
    </x:row>
    <x:row r="243" ht="84" customHeight="1">
      <x:c r="A243" s="25" t="str">
        <x:v>AR-L4-FT-RASErrorMap-061-02</x:v>
      </x:c>
      <x:c r="B243" s="25" t="str">
        <x:v>SR-01-12-05</x:v>
      </x:c>
      <x:c r="C243" s="25" t="str">
        <x:v>L4-FT-RASErrorMap-061</x:v>
      </x:c>
      <x:c r="D243" s="25" t="str">
        <x:v>SF-01</x:v>
      </x:c>
      <x:c r="E243" s="25" t="str">
        <x:v>IR-01-12</x:v>
      </x:c>
      <x:c r="F243" s="22" t="str">
        <x:v>L4 底层传输层</x:v>
      </x:c>
      <x:c r="G243" s="22" t="str">
        <x:v>TM6</x:v>
      </x:c>
      <x:c r="H243" s="22" t="str">
        <x:v>一致性、安全与可靠性</x:v>
      </x:c>
      <x:c r="I243" s="22" t="str">
        <x:v>P0</x:v>
      </x:c>
      <x:c r="J243" s="22" t="str">
        <x:v>P0</x:v>
      </x:c>
      <x:c r="K243" s="22" t="str">
        <x:v>契约配置与降级</x:v>
      </x:c>
      <x:c r="L243" s="22" t="str">
        <x:v>驱动/硬件协同开发</x:v>
      </x:c>
      <x:c r="M243" s="22" t="str">
        <x:v>cmake/KVCacheBackends.cmake + config/backends/raserror_map.yaml + src/backends/backend_registry.cc</x:v>
      </x:c>
      <x:c r="N243" s="22" t="str">
        <x:v>KVCACHE_ENABLE_RASERROR_MAP / kvcache.raserror_map.enabled</x:v>
      </x:c>
      <x:c r="O243" s="22" t="str">
        <x:v>增加编译开关 `KVCACHE_ENABLE_RASERROR_MAP`、运行时开关 `kvcache.raserror_map.enabled` 与 BackendRegistry 注册项；冻结 capability、descriptor、completion/fence、error mapping 与 per-path telemetry 字段，并实现“主路径→备路径→重算/冷路径”的有界 fallback。</x:v>
      </x:c>
      <x:c r="P243" s="22" t="str">
        <x:v>IDL/配置 schema 有版本号、默认值、边界校验和错误码；状态/租约/ready 不满足时按 证据不足不得 ready；完整性失败立即 quarantine、撤销句柄并切副本或重算</x:v>
      </x:c>
      <x:c r="Q243" s="22" t="str">
        <x:v>配置样例、schema 校验、升级兼容测试和回退路径齐全；任何隐式 fallback 被移除；新增指标可关联 request_id/query_plan_id/object_id/path_id。</x:v>
      </x:c>
      <x:c r="R243" s="22" t="str">
        <x:v>ctest -R RASErrorMapConfig &amp;&amp; ./bin/kvcache_config_check --case=raserror_map</x:v>
      </x:c>
      <x:c r="S243" s="22" t="str">
        <x:v>错误恢复路径覆盖率 受SLO约束的比例；</x:v>
      </x:c>
      <x:c r="T243" s="22" t="str">
        <x:v>SR-01-12-05</x:v>
      </x:c>
      <x:c r="U243" s="22" t="str">
        <x:v>待认领</x:v>
      </x:c>
      <x:c r="V243" s="22" t="str"/>
      <x:c r="W243" s="22" t="str"/>
      <x:c r="X243" s="22" t="str">
        <x:f>IF(COUNTIF($A$5:$A$451,A243)=1,"PASS","FAIL")</x:f>
        <x:v>PASS</x:v>
      </x:c>
      <x:c r="Y243" s="22" t="str">
        <x:f>IF(COUNTIF('SR系统设计'!$A$5:$A$153,B243)+COUNTIF('追溯与覆盖'!$A$5:$A$153,C243)=2,"PASS","FAIL")</x:f>
        <x:v>PASS</x:v>
      </x:c>
    </x:row>
    <x:row r="244" ht="84" customHeight="1">
      <x:c r="A244" s="25" t="str">
        <x:v>AR-L4-FT-RASErrorMap-061-03</x:v>
      </x:c>
      <x:c r="B244" s="25" t="str">
        <x:v>SR-01-12-05</x:v>
      </x:c>
      <x:c r="C244" s="25" t="str">
        <x:v>L4-FT-RASErrorMap-061</x:v>
      </x:c>
      <x:c r="D244" s="25" t="str">
        <x:v>SF-01</x:v>
      </x:c>
      <x:c r="E244" s="25" t="str">
        <x:v>IR-01-12</x:v>
      </x:c>
      <x:c r="F244" s="22" t="str">
        <x:v>L4 底层传输层</x:v>
      </x:c>
      <x:c r="G244" s="22" t="str">
        <x:v>TM6</x:v>
      </x:c>
      <x:c r="H244" s="22" t="str">
        <x:v>一致性、安全与可靠性</x:v>
      </x:c>
      <x:c r="I244" s="22" t="str">
        <x:v>P0</x:v>
      </x:c>
      <x:c r="J244" s="22" t="str">
        <x:v>P0</x:v>
      </x:c>
      <x:c r="K244" s="22" t="str">
        <x:v>验证与观测</x:v>
      </x:c>
      <x:c r="L244" s="22" t="str">
        <x:v>驱动/硬件协同开发</x:v>
      </x:c>
      <x:c r="M244" s="22" t="str">
        <x:v>tests/security/integrity/raserror_map_test.cc + benchmarks/security/integrity/raserror_map_benchmark.cc</x:v>
      </x:c>
      <x:c r="N244" s="22" t="str">
        <x:v>RASErrorMapTest / RASErrorMapBenchmark</x:v>
      </x:c>
      <x:c r="O244" s="22" t="str">
        <x:v>新增正常、边界、并发、超时、stale metadata、迁移冲突、路径拥塞/故障与 feature-flag-off 用例；在 benchmark 中固定模型、tokenizer、prompt、并发、拓扑和 baseline，采集 lookup/load/attach、TTFT、TPOT、usable/abandoned hit、带宽/时延及 CPU/NPU 利用率。</x:v>
      </x:c>
      <x:c r="P244" s="22" t="str">
        <x:v>验收直接引用来源指标：“错误恢复路径覆盖率 受SLO约束的比例；”；故障用例必须证明错误 KV 不被消费且 fallback reason 可追踪。</x:v>
      </x:c>
      <x:c r="Q244" s="22" t="str">
        <x:v>来源验收项全部自动化；性能报告包含 P50/P95/P99、置信区间与 baseline；失败门槛接入 CI；测试数据和命令可复现。</x:v>
      </x:c>
      <x:c r="R244" s="22" t="str">
        <x:v>./bin/kvcache_bench --case=raserror_map --baseline=native --report=json</x:v>
      </x:c>
      <x:c r="S244" s="22" t="str">
        <x:v>错误恢复路径覆盖率 受SLO约束的比例；</x:v>
      </x:c>
      <x:c r="T244" s="22" t="str">
        <x:v>SR-01-12-05</x:v>
      </x:c>
      <x:c r="U244" s="22" t="str">
        <x:v>待认领</x:v>
      </x:c>
      <x:c r="V244" s="22" t="str"/>
      <x:c r="W244" s="22" t="str"/>
      <x:c r="X244" s="22" t="str">
        <x:f>IF(COUNTIF($A$5:$A$451,A244)=1,"PASS","FAIL")</x:f>
        <x:v>PASS</x:v>
      </x:c>
      <x:c r="Y244" s="22" t="str">
        <x:f>IF(COUNTIF('SR系统设计'!$A$5:$A$153,B244)+COUNTIF('追溯与覆盖'!$A$5:$A$153,C244)=2,"PASS","FAIL")</x:f>
        <x:v>PASS</x:v>
      </x:c>
    </x:row>
    <x:row r="245" ht="84" customHeight="1">
      <x:c r="A245" s="25" t="str">
        <x:v>AR-L4-FT-ReplicaIntegrityCheck-069-01</x:v>
      </x:c>
      <x:c r="B245" s="25" t="str">
        <x:v>SR-01-12-06</x:v>
      </x:c>
      <x:c r="C245" s="25" t="str">
        <x:v>L4-FT-ReplicaIntegrityCheck-069</x:v>
      </x:c>
      <x:c r="D245" s="25" t="str">
        <x:v>SF-01</x:v>
      </x:c>
      <x:c r="E245" s="25" t="str">
        <x:v>IR-01-12</x:v>
      </x:c>
      <x:c r="F245" s="22" t="str">
        <x:v>L4 底层传输层</x:v>
      </x:c>
      <x:c r="G245" s="22" t="str">
        <x:v>TM6</x:v>
      </x:c>
      <x:c r="H245" s="22" t="str">
        <x:v>一致性、安全与可靠性</x:v>
      </x:c>
      <x:c r="I245" s="22" t="str">
        <x:v>P0</x:v>
      </x:c>
      <x:c r="J245" s="22" t="str">
        <x:v>P0</x:v>
      </x:c>
      <x:c r="K245" s="22" t="str">
        <x:v>核心实现</x:v>
      </x:c>
      <x:c r="L245" s="22" t="str">
        <x:v>驱动/硬件协同开发</x:v>
      </x:c>
      <x:c r="M245" s="22" t="str">
        <x:v>src/security/integrity/replica_integrity_check.{h,cc}</x:v>
      </x:c>
      <x:c r="N245" s="22" t="str">
        <x:v>ReplicaIntegrityCheckVerifier</x:v>
      </x:c>
      <x:c r="O245" s="22" t="str">
        <x:v>在 `src/security/integrity/replica_integrity_check.{h,cc}` 新增或重写 `ReplicaIntegrityCheckVerifier`，把“KV 副本静默损坏检测”落实为 L4 底层传输层 可调用主路径：本需求要求底层在 KV replica 写入、迁移、读取和加载过程中提供 extent/page 粒度完整性校验能力，支持 checksum/CRC、长度校验、layout 校验和错误上报； 输入必须显式消费 path evidence + security domain + object version，输出 ready/quarantine decision + error map，不得用全局单例或隐藏同步 I/O 绕开预算与状态机。</x:v>
      </x:c>
      <x:c r="P245" s="22" t="str">
        <x:v>实现 path evidence + security domain + object version → ready/quarantine decision + error map；遵守 证据不足不得 ready；完整性失败立即 quarantine、撤销句柄并切副本或重算</x:v>
      </x:c>
      <x:c r="Q245" s="22" t="str">
        <x:v>核心算法与状态转换完成；新增代码单测分支覆盖≥85%；线程安全/所有权明确；关闭 feature flag 时行为与 baseline 一致。</x:v>
      </x:c>
      <x:c r="R245" s="22" t="str">
        <x:v>ctest -R ReplicaIntegrityCheck --output-on-failure</x:v>
      </x:c>
      <x:c r="S245" s="22" t="str">
        <x:v>高拥塞背景下，KVCache关键小包的P99延迟不随大流数据量线性增加。</x:v>
      </x:c>
      <x:c r="T245" s="22" t="str">
        <x:v>SR-01-12-06</x:v>
      </x:c>
      <x:c r="U245" s="22" t="str">
        <x:v>待认领</x:v>
      </x:c>
      <x:c r="V245" s="22" t="str"/>
      <x:c r="W245" s="22" t="str"/>
      <x:c r="X245" s="22" t="str">
        <x:f>IF(COUNTIF($A$5:$A$451,A245)=1,"PASS","FAIL")</x:f>
        <x:v>PASS</x:v>
      </x:c>
      <x:c r="Y245" s="22" t="str">
        <x:f>IF(COUNTIF('SR系统设计'!$A$5:$A$153,B245)+COUNTIF('追溯与覆盖'!$A$5:$A$153,C245)=2,"PASS","FAIL")</x:f>
        <x:v>PASS</x:v>
      </x:c>
    </x:row>
    <x:row r="246" ht="84" customHeight="1">
      <x:c r="A246" s="25" t="str">
        <x:v>AR-L4-FT-ReplicaIntegrityCheck-069-02</x:v>
      </x:c>
      <x:c r="B246" s="25" t="str">
        <x:v>SR-01-12-06</x:v>
      </x:c>
      <x:c r="C246" s="25" t="str">
        <x:v>L4-FT-ReplicaIntegrityCheck-069</x:v>
      </x:c>
      <x:c r="D246" s="25" t="str">
        <x:v>SF-01</x:v>
      </x:c>
      <x:c r="E246" s="25" t="str">
        <x:v>IR-01-12</x:v>
      </x:c>
      <x:c r="F246" s="22" t="str">
        <x:v>L4 底层传输层</x:v>
      </x:c>
      <x:c r="G246" s="22" t="str">
        <x:v>TM6</x:v>
      </x:c>
      <x:c r="H246" s="22" t="str">
        <x:v>一致性、安全与可靠性</x:v>
      </x:c>
      <x:c r="I246" s="22" t="str">
        <x:v>P0</x:v>
      </x:c>
      <x:c r="J246" s="22" t="str">
        <x:v>P0</x:v>
      </x:c>
      <x:c r="K246" s="22" t="str">
        <x:v>契约配置与降级</x:v>
      </x:c>
      <x:c r="L246" s="22" t="str">
        <x:v>驱动/硬件协同开发</x:v>
      </x:c>
      <x:c r="M246" s="22" t="str">
        <x:v>cmake/KVCacheBackends.cmake + config/backends/replica_integrity_check.yaml + src/backends/backend_registry.cc</x:v>
      </x:c>
      <x:c r="N246" s="22" t="str">
        <x:v>KVCACHE_ENABLE_REPLICA_INTEGRITY_CHECK / kvcache.replica_integrity_check.enabled</x:v>
      </x:c>
      <x:c r="O246" s="22" t="str">
        <x:v>增加编译开关 `KVCACHE_ENABLE_REPLICA_INTEGRITY_CHECK`、运行时开关 `kvcache.replica_integrity_check.enabled` 与 BackendRegistry 注册项；冻结 capability、descriptor、completion/fence、error mapping 与 per-path telemetry 字段，并实现“主路径→备路径→重算/冷路径”的有界 fallback。</x:v>
      </x:c>
      <x:c r="P246" s="22" t="str">
        <x:v>IDL/配置 schema 有版本号、默认值、边界校验和错误码；状态/租约/ready 不满足时按 证据不足不得 ready；完整性失败立即 quarantine、撤销句柄并切副本或重算</x:v>
      </x:c>
      <x:c r="Q246" s="22" t="str">
        <x:v>配置样例、schema 校验、升级兼容测试和回退路径齐全；任何隐式 fallback 被移除；新增指标可关联 request_id/query_plan_id/object_id/path_id。</x:v>
      </x:c>
      <x:c r="R246" s="22" t="str">
        <x:v>ctest -R ReplicaIntegrityCheckConfig &amp;&amp; ./bin/kvcache_config_check --case=replica_integrity_check</x:v>
      </x:c>
      <x:c r="S246" s="22" t="str">
        <x:v>高拥塞背景下，KVCache关键小包的P99延迟不随大流数据量线性增加。</x:v>
      </x:c>
      <x:c r="T246" s="22" t="str">
        <x:v>SR-01-12-06</x:v>
      </x:c>
      <x:c r="U246" s="22" t="str">
        <x:v>待认领</x:v>
      </x:c>
      <x:c r="V246" s="22" t="str"/>
      <x:c r="W246" s="22" t="str"/>
      <x:c r="X246" s="22" t="str">
        <x:f>IF(COUNTIF($A$5:$A$451,A246)=1,"PASS","FAIL")</x:f>
        <x:v>PASS</x:v>
      </x:c>
      <x:c r="Y246" s="22" t="str">
        <x:f>IF(COUNTIF('SR系统设计'!$A$5:$A$153,B246)+COUNTIF('追溯与覆盖'!$A$5:$A$153,C246)=2,"PASS","FAIL")</x:f>
        <x:v>PASS</x:v>
      </x:c>
    </x:row>
    <x:row r="247" ht="84" customHeight="1">
      <x:c r="A247" s="25" t="str">
        <x:v>AR-L4-FT-ReplicaIntegrityCheck-069-03</x:v>
      </x:c>
      <x:c r="B247" s="25" t="str">
        <x:v>SR-01-12-06</x:v>
      </x:c>
      <x:c r="C247" s="25" t="str">
        <x:v>L4-FT-ReplicaIntegrityCheck-069</x:v>
      </x:c>
      <x:c r="D247" s="25" t="str">
        <x:v>SF-01</x:v>
      </x:c>
      <x:c r="E247" s="25" t="str">
        <x:v>IR-01-12</x:v>
      </x:c>
      <x:c r="F247" s="22" t="str">
        <x:v>L4 底层传输层</x:v>
      </x:c>
      <x:c r="G247" s="22" t="str">
        <x:v>TM6</x:v>
      </x:c>
      <x:c r="H247" s="22" t="str">
        <x:v>一致性、安全与可靠性</x:v>
      </x:c>
      <x:c r="I247" s="22" t="str">
        <x:v>P0</x:v>
      </x:c>
      <x:c r="J247" s="22" t="str">
        <x:v>P0</x:v>
      </x:c>
      <x:c r="K247" s="22" t="str">
        <x:v>验证与观测</x:v>
      </x:c>
      <x:c r="L247" s="22" t="str">
        <x:v>驱动/硬件协同开发</x:v>
      </x:c>
      <x:c r="M247" s="22" t="str">
        <x:v>tests/security/integrity/replica_integrity_check_test.cc + benchmarks/security/integrity/replica_integrity_check_benchmark.cc</x:v>
      </x:c>
      <x:c r="N247" s="22" t="str">
        <x:v>ReplicaIntegrityCheckTest / ReplicaIntegrityCheckBenchmark</x:v>
      </x:c>
      <x:c r="O247" s="22" t="str">
        <x:v>新增正常、边界、并发、超时、stale metadata、迁移冲突、路径拥塞/故障与 feature-flag-off 用例；在 benchmark 中固定模型、tokenizer、prompt、并发、拓扑和 baseline，采集 lookup/load/attach、TTFT、TPOT、usable/abandoned hit、带宽/时延及 CPU/NPU 利用率。</x:v>
      </x:c>
      <x:c r="P247" s="22" t="str">
        <x:v>验收直接引用来源指标：“高拥塞背景下，KVCache关键小包的P99延迟不随大流数据量线性增加。”；故障用例必须证明错误 KV 不被消费且 fallback reason 可追踪。</x:v>
      </x:c>
      <x:c r="Q247" s="22" t="str">
        <x:v>来源验收项全部自动化；性能报告包含 P50/P95/P99、置信区间与 baseline；失败门槛接入 CI；测试数据和命令可复现。</x:v>
      </x:c>
      <x:c r="R247" s="22" t="str">
        <x:v>./bin/kvcache_bench --case=replica_integrity_check --baseline=native --report=json</x:v>
      </x:c>
      <x:c r="S247" s="22" t="str">
        <x:v>高拥塞背景下，KVCache关键小包的P99延迟不随大流数据量线性增加。</x:v>
      </x:c>
      <x:c r="T247" s="22" t="str">
        <x:v>SR-01-12-06</x:v>
      </x:c>
      <x:c r="U247" s="22" t="str">
        <x:v>待认领</x:v>
      </x:c>
      <x:c r="V247" s="22" t="str"/>
      <x:c r="W247" s="22" t="str"/>
      <x:c r="X247" s="22" t="str">
        <x:f>IF(COUNTIF($A$5:$A$451,A247)=1,"PASS","FAIL")</x:f>
        <x:v>PASS</x:v>
      </x:c>
      <x:c r="Y247" s="22" t="str">
        <x:f>IF(COUNTIF('SR系统设计'!$A$5:$A$153,B247)+COUNTIF('追溯与覆盖'!$A$5:$A$153,C247)=2,"PASS","FAIL")</x:f>
        <x:v>PASS</x:v>
      </x:c>
    </x:row>
    <x:row r="248" ht="84" customHeight="1">
      <x:c r="A248" s="25" t="str">
        <x:v>AR-L4-QO-MigrationQoS-064-01</x:v>
      </x:c>
      <x:c r="B248" s="25" t="str">
        <x:v>SR-01-12-07</x:v>
      </x:c>
      <x:c r="C248" s="25" t="str">
        <x:v>L4-QO-MigrationQoS-064</x:v>
      </x:c>
      <x:c r="D248" s="25" t="str">
        <x:v>SF-01</x:v>
      </x:c>
      <x:c r="E248" s="25" t="str">
        <x:v>IR-01-12</x:v>
      </x:c>
      <x:c r="F248" s="22" t="str">
        <x:v>L4 底层传输层</x:v>
      </x:c>
      <x:c r="G248" s="22" t="str">
        <x:v>TM5</x:v>
      </x:c>
      <x:c r="H248" s="22" t="str">
        <x:v>一致性、安全与可靠性</x:v>
      </x:c>
      <x:c r="I248" s="22" t="str">
        <x:v>P0</x:v>
      </x:c>
      <x:c r="J248" s="22" t="str">
        <x:v>P0</x:v>
      </x:c>
      <x:c r="K248" s="22" t="str">
        <x:v>核心实现</x:v>
      </x:c>
      <x:c r="L248" s="22" t="str">
        <x:v>驱动/硬件协同开发</x:v>
      </x:c>
      <x:c r="M248" s="22" t="str">
        <x:v>src/security/integrity/migration_qo_s.{h,cc}</x:v>
      </x:c>
      <x:c r="N248" s="22" t="str">
        <x:v>MigrationQoSVerifier</x:v>
      </x:c>
      <x:c r="O248" s="22" t="str">
        <x:v>在 `src/security/integrity/migration_qo_s.{h,cc}` 新增或重写 `MigrationQoSVerifier`，把“主动迁移流量硬件隔离保障”落实为 L4 底层传输层 可调用主路径：本需求要求底层传输层为水位触发的主动迁移流量分配专用硬件通道（如特定的 RNIC Queue、PCIe DMA Ring 或独立拷贝引擎），与前台推理流量（TTFT/TPOT）实现物理隔离，确保大规模 KVCache 跨介质搬移时不挤兑推理带宽。 输入必须显式消费 path evidence + security domain + object version，输出 ready/quarantine decision + error map，不得用全局单例或隐藏同步 I/O 绕开预算与状态机。</x:v>
      </x:c>
      <x:c r="P248" s="22" t="str">
        <x:v>实现 path evidence + security domain + object version → ready/quarantine decision + error map；遵守 证据不足不得 ready；完整性失败立即 quarantine、撤销句柄并切副本或重算</x:v>
      </x:c>
      <x:c r="Q248" s="22" t="str">
        <x:v>核心算法与状态转换完成；新增代码单测分支覆盖≥85%；线程安全/所有权明确；关闭 feature flag 时行为与 baseline 一致。</x:v>
      </x:c>
      <x:c r="R248" s="22" t="str">
        <x:v>ctest -R MigrationQoS --output-on-failure</x:v>
      </x:c>
      <x:c r="S248" s="22" t="str">
        <x:v>高拥塞背景下，KVCache关键小包的P99延迟不随大流数据量线性增加。</x:v>
      </x:c>
      <x:c r="T248" s="22" t="str">
        <x:v>SR-01-12-07</x:v>
      </x:c>
      <x:c r="U248" s="22" t="str">
        <x:v>待认领</x:v>
      </x:c>
      <x:c r="V248" s="22" t="str"/>
      <x:c r="W248" s="22" t="str"/>
      <x:c r="X248" s="22" t="str">
        <x:f>IF(COUNTIF($A$5:$A$451,A248)=1,"PASS","FAIL")</x:f>
        <x:v>PASS</x:v>
      </x:c>
      <x:c r="Y248" s="22" t="str">
        <x:f>IF(COUNTIF('SR系统设计'!$A$5:$A$153,B248)+COUNTIF('追溯与覆盖'!$A$5:$A$153,C248)=2,"PASS","FAIL")</x:f>
        <x:v>PASS</x:v>
      </x:c>
    </x:row>
    <x:row r="249" ht="84" customHeight="1">
      <x:c r="A249" s="25" t="str">
        <x:v>AR-L4-QO-MigrationQoS-064-02</x:v>
      </x:c>
      <x:c r="B249" s="25" t="str">
        <x:v>SR-01-12-07</x:v>
      </x:c>
      <x:c r="C249" s="25" t="str">
        <x:v>L4-QO-MigrationQoS-064</x:v>
      </x:c>
      <x:c r="D249" s="25" t="str">
        <x:v>SF-01</x:v>
      </x:c>
      <x:c r="E249" s="25" t="str">
        <x:v>IR-01-12</x:v>
      </x:c>
      <x:c r="F249" s="22" t="str">
        <x:v>L4 底层传输层</x:v>
      </x:c>
      <x:c r="G249" s="22" t="str">
        <x:v>TM5</x:v>
      </x:c>
      <x:c r="H249" s="22" t="str">
        <x:v>一致性、安全与可靠性</x:v>
      </x:c>
      <x:c r="I249" s="22" t="str">
        <x:v>P0</x:v>
      </x:c>
      <x:c r="J249" s="22" t="str">
        <x:v>P0</x:v>
      </x:c>
      <x:c r="K249" s="22" t="str">
        <x:v>契约配置与降级</x:v>
      </x:c>
      <x:c r="L249" s="22" t="str">
        <x:v>驱动/硬件协同开发</x:v>
      </x:c>
      <x:c r="M249" s="22" t="str">
        <x:v>cmake/KVCacheBackends.cmake + config/backends/migration_qo_s.yaml + src/backends/backend_registry.cc</x:v>
      </x:c>
      <x:c r="N249" s="22" t="str">
        <x:v>KVCACHE_ENABLE_MIGRATION_QO_S / kvcache.migration_qo_s.enabled</x:v>
      </x:c>
      <x:c r="O249" s="22" t="str">
        <x:v>增加编译开关 `KVCACHE_ENABLE_MIGRATION_QO_S`、运行时开关 `kvcache.migration_qo_s.enabled` 与 BackendRegistry 注册项；冻结 capability、descriptor、completion/fence、error mapping 与 per-path telemetry 字段，并实现“主路径→备路径→重算/冷路径”的有界 fallback。</x:v>
      </x:c>
      <x:c r="P249" s="22" t="str">
        <x:v>IDL/配置 schema 有版本号、默认值、边界校验和错误码；状态/租约/ready 不满足时按 证据不足不得 ready；完整性失败立即 quarantine、撤销句柄并切副本或重算</x:v>
      </x:c>
      <x:c r="Q249" s="22" t="str">
        <x:v>配置样例、schema 校验、升级兼容测试和回退路径齐全；任何隐式 fallback 被移除；新增指标可关联 request_id/query_plan_id/object_id/path_id。</x:v>
      </x:c>
      <x:c r="R249" s="22" t="str">
        <x:v>ctest -R MigrationQoSConfig &amp;&amp; ./bin/kvcache_config_check --case=migration_qo_s</x:v>
      </x:c>
      <x:c r="S249" s="22" t="str">
        <x:v>高拥塞背景下，KVCache关键小包的P99延迟不随大流数据量线性增加。</x:v>
      </x:c>
      <x:c r="T249" s="22" t="str">
        <x:v>SR-01-12-07</x:v>
      </x:c>
      <x:c r="U249" s="22" t="str">
        <x:v>待认领</x:v>
      </x:c>
      <x:c r="V249" s="22" t="str"/>
      <x:c r="W249" s="22" t="str"/>
      <x:c r="X249" s="22" t="str">
        <x:f>IF(COUNTIF($A$5:$A$451,A249)=1,"PASS","FAIL")</x:f>
        <x:v>PASS</x:v>
      </x:c>
      <x:c r="Y249" s="22" t="str">
        <x:f>IF(COUNTIF('SR系统设计'!$A$5:$A$153,B249)+COUNTIF('追溯与覆盖'!$A$5:$A$153,C249)=2,"PASS","FAIL")</x:f>
        <x:v>PASS</x:v>
      </x:c>
    </x:row>
    <x:row r="250" ht="84" customHeight="1">
      <x:c r="A250" s="25" t="str">
        <x:v>AR-L4-QO-MigrationQoS-064-03</x:v>
      </x:c>
      <x:c r="B250" s="25" t="str">
        <x:v>SR-01-12-07</x:v>
      </x:c>
      <x:c r="C250" s="25" t="str">
        <x:v>L4-QO-MigrationQoS-064</x:v>
      </x:c>
      <x:c r="D250" s="25" t="str">
        <x:v>SF-01</x:v>
      </x:c>
      <x:c r="E250" s="25" t="str">
        <x:v>IR-01-12</x:v>
      </x:c>
      <x:c r="F250" s="22" t="str">
        <x:v>L4 底层传输层</x:v>
      </x:c>
      <x:c r="G250" s="22" t="str">
        <x:v>TM5</x:v>
      </x:c>
      <x:c r="H250" s="22" t="str">
        <x:v>一致性、安全与可靠性</x:v>
      </x:c>
      <x:c r="I250" s="22" t="str">
        <x:v>P0</x:v>
      </x:c>
      <x:c r="J250" s="22" t="str">
        <x:v>P0</x:v>
      </x:c>
      <x:c r="K250" s="22" t="str">
        <x:v>验证与观测</x:v>
      </x:c>
      <x:c r="L250" s="22" t="str">
        <x:v>驱动/硬件协同开发</x:v>
      </x:c>
      <x:c r="M250" s="22" t="str">
        <x:v>tests/security/integrity/migration_qo_s_test.cc + benchmarks/security/integrity/migration_qo_s_benchmark.cc</x:v>
      </x:c>
      <x:c r="N250" s="22" t="str">
        <x:v>MigrationQoSTest / MigrationQoSBenchmark</x:v>
      </x:c>
      <x:c r="O250" s="22" t="str">
        <x:v>新增正常、边界、并发、超时、stale metadata、迁移冲突、路径拥塞/故障与 feature-flag-off 用例；在 benchmark 中固定模型、tokenizer、prompt、并发、拓扑和 baseline，采集 lookup/load/attach、TTFT、TPOT、usable/abandoned hit、带宽/时延及 CPU/NPU 利用率。</x:v>
      </x:c>
      <x:c r="P250" s="22" t="str">
        <x:v>验收直接引用来源指标：“高拥塞背景下，KVCache关键小包的P99延迟不随大流数据量线性增加。”；故障用例必须证明错误 KV 不被消费且 fallback reason 可追踪。</x:v>
      </x:c>
      <x:c r="Q250" s="22" t="str">
        <x:v>来源验收项全部自动化；性能报告包含 P50/P95/P99、置信区间与 baseline；失败门槛接入 CI；测试数据和命令可复现。</x:v>
      </x:c>
      <x:c r="R250" s="22" t="str">
        <x:v>./bin/kvcache_bench --case=migration_qo_s --baseline=native --report=json</x:v>
      </x:c>
      <x:c r="S250" s="22" t="str">
        <x:v>高拥塞背景下，KVCache关键小包的P99延迟不随大流数据量线性增加。</x:v>
      </x:c>
      <x:c r="T250" s="22" t="str">
        <x:v>SR-01-12-07</x:v>
      </x:c>
      <x:c r="U250" s="22" t="str">
        <x:v>待认领</x:v>
      </x:c>
      <x:c r="V250" s="22" t="str"/>
      <x:c r="W250" s="22" t="str"/>
      <x:c r="X250" s="22" t="str">
        <x:f>IF(COUNTIF($A$5:$A$451,A250)=1,"PASS","FAIL")</x:f>
        <x:v>PASS</x:v>
      </x:c>
      <x:c r="Y250" s="22" t="str">
        <x:f>IF(COUNTIF('SR系统设计'!$A$5:$A$153,B250)+COUNTIF('追溯与覆盖'!$A$5:$A$153,C250)=2,"PASS","FAIL")</x:f>
        <x:v>PASS</x:v>
      </x:c>
    </x:row>
    <x:row r="251" ht="84" customHeight="1">
      <x:c r="A251" s="25" t="str">
        <x:v>AR-L4-QO-StateAwareTrafficClass-068-01</x:v>
      </x:c>
      <x:c r="B251" s="25" t="str">
        <x:v>SR-01-12-08</x:v>
      </x:c>
      <x:c r="C251" s="25" t="str">
        <x:v>L4-QO-StateAwareTrafficClass-068</x:v>
      </x:c>
      <x:c r="D251" s="25" t="str">
        <x:v>SF-01</x:v>
      </x:c>
      <x:c r="E251" s="25" t="str">
        <x:v>IR-01-12</x:v>
      </x:c>
      <x:c r="F251" s="22" t="str">
        <x:v>L4 底层传输层</x:v>
      </x:c>
      <x:c r="G251" s="22" t="str">
        <x:v>TM5</x:v>
      </x:c>
      <x:c r="H251" s="22" t="str">
        <x:v>一致性、安全与可靠性</x:v>
      </x:c>
      <x:c r="I251" s="22" t="str">
        <x:v>P0</x:v>
      </x:c>
      <x:c r="J251" s="22" t="str">
        <x:v>P0</x:v>
      </x:c>
      <x:c r="K251" s="22" t="str">
        <x:v>核心实现</x:v>
      </x:c>
      <x:c r="L251" s="22" t="str">
        <x:v>驱动/硬件协同开发</x:v>
      </x:c>
      <x:c r="M251" s="22" t="str">
        <x:v>src/security/integrity/state_aware_traffic_class.{h,cc}</x:v>
      </x:c>
      <x:c r="N251" s="22" t="str">
        <x:v>StateAwareTrafficClassVerifier</x:v>
      </x:c>
      <x:c r="O251" s="22" t="str">
        <x:v>在 `src/security/integrity/state_aware_traffic_class.{h,cc}` 新增或重写 `StateAwareTrafficClassVerifier`，把“KV 状态迁移流量隔离”落实为 L4 底层传输层 可调用主路径：本需求要求底层按照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 输入必须显式消费 path evidence + security domain + object version，输出 ready/quarantine decision + error map，不得用全局单例或隐藏同步 I/O 绕开预算与状态机。</x:v>
      </x:c>
      <x:c r="P251" s="22" t="str">
        <x:v>实现 path evidence + security domain + object version → ready/quarantine decision + error map；遵守 证据不足不得 ready；完整性失败立即 quarantine、撤销句柄并切副本或重算</x:v>
      </x:c>
      <x:c r="Q251" s="22" t="str">
        <x:v>核心算法与状态转换完成；新增代码单测分支覆盖≥85%；线程安全/所有权明确；关闭 feature flag 时行为与 baseline 一致。</x:v>
      </x:c>
      <x:c r="R251" s="22" t="str">
        <x:v>ctest -R StateAwareTrafficClass --output-on-failure</x:v>
      </x:c>
      <x:c r="S251" s="22" t="str">
        <x:v>高拥塞背景下，KVCache关键小包的P99延迟不随大流数据量线性增加。</x:v>
      </x:c>
      <x:c r="T251" s="22" t="str">
        <x:v>SR-01-12-08</x:v>
      </x:c>
      <x:c r="U251" s="22" t="str">
        <x:v>待认领</x:v>
      </x:c>
      <x:c r="V251" s="22" t="str"/>
      <x:c r="W251" s="22" t="str"/>
      <x:c r="X251" s="22" t="str">
        <x:f>IF(COUNTIF($A$5:$A$451,A251)=1,"PASS","FAIL")</x:f>
        <x:v>PASS</x:v>
      </x:c>
      <x:c r="Y251" s="22" t="str">
        <x:f>IF(COUNTIF('SR系统设计'!$A$5:$A$153,B251)+COUNTIF('追溯与覆盖'!$A$5:$A$153,C251)=2,"PASS","FAIL")</x:f>
        <x:v>PASS</x:v>
      </x:c>
    </x:row>
    <x:row r="252" ht="84" customHeight="1">
      <x:c r="A252" s="25" t="str">
        <x:v>AR-L4-QO-StateAwareTrafficClass-068-02</x:v>
      </x:c>
      <x:c r="B252" s="25" t="str">
        <x:v>SR-01-12-08</x:v>
      </x:c>
      <x:c r="C252" s="25" t="str">
        <x:v>L4-QO-StateAwareTrafficClass-068</x:v>
      </x:c>
      <x:c r="D252" s="25" t="str">
        <x:v>SF-01</x:v>
      </x:c>
      <x:c r="E252" s="25" t="str">
        <x:v>IR-01-12</x:v>
      </x:c>
      <x:c r="F252" s="22" t="str">
        <x:v>L4 底层传输层</x:v>
      </x:c>
      <x:c r="G252" s="22" t="str">
        <x:v>TM5</x:v>
      </x:c>
      <x:c r="H252" s="22" t="str">
        <x:v>一致性、安全与可靠性</x:v>
      </x:c>
      <x:c r="I252" s="22" t="str">
        <x:v>P0</x:v>
      </x:c>
      <x:c r="J252" s="22" t="str">
        <x:v>P0</x:v>
      </x:c>
      <x:c r="K252" s="22" t="str">
        <x:v>契约配置与降级</x:v>
      </x:c>
      <x:c r="L252" s="22" t="str">
        <x:v>驱动/硬件协同开发</x:v>
      </x:c>
      <x:c r="M252" s="22" t="str">
        <x:v>cmake/KVCacheBackends.cmake + config/backends/state_aware_traffic_class.yaml + src/backends/backend_registry.cc</x:v>
      </x:c>
      <x:c r="N252" s="22" t="str">
        <x:v>KVCACHE_ENABLE_STATE_AWARE_TRAFFIC_CLASS / kvcache.state_aware_traffic_class.enabled</x:v>
      </x:c>
      <x:c r="O252" s="22" t="str">
        <x:v>增加编译开关 `KVCACHE_ENABLE_STATE_AWARE_TRAFFIC_CLASS`、运行时开关 `kvcache.state_aware_traffic_class.enabled` 与 BackendRegistry 注册项；冻结 capability、descriptor、completion/fence、error mapping 与 per-path telemetry 字段，并实现“主路径→备路径→重算/冷路径”的有界 fallback。</x:v>
      </x:c>
      <x:c r="P252" s="22" t="str">
        <x:v>IDL/配置 schema 有版本号、默认值、边界校验和错误码；状态/租约/ready 不满足时按 证据不足不得 ready；完整性失败立即 quarantine、撤销句柄并切副本或重算</x:v>
      </x:c>
      <x:c r="Q252" s="22" t="str">
        <x:v>配置样例、schema 校验、升级兼容测试和回退路径齐全；任何隐式 fallback 被移除；新增指标可关联 request_id/query_plan_id/object_id/path_id。</x:v>
      </x:c>
      <x:c r="R252" s="22" t="str">
        <x:v>ctest -R StateAwareTrafficClassConfig &amp;&amp; ./bin/kvcache_config_check --case=state_aware_traffic_class</x:v>
      </x:c>
      <x:c r="S252" s="22" t="str">
        <x:v>高拥塞背景下，KVCache关键小包的P99延迟不随大流数据量线性增加。</x:v>
      </x:c>
      <x:c r="T252" s="22" t="str">
        <x:v>SR-01-12-08</x:v>
      </x:c>
      <x:c r="U252" s="22" t="str">
        <x:v>待认领</x:v>
      </x:c>
      <x:c r="V252" s="22" t="str"/>
      <x:c r="W252" s="22" t="str"/>
      <x:c r="X252" s="22" t="str">
        <x:f>IF(COUNTIF($A$5:$A$451,A252)=1,"PASS","FAIL")</x:f>
        <x:v>PASS</x:v>
      </x:c>
      <x:c r="Y252" s="22" t="str">
        <x:f>IF(COUNTIF('SR系统设计'!$A$5:$A$153,B252)+COUNTIF('追溯与覆盖'!$A$5:$A$153,C252)=2,"PASS","FAIL")</x:f>
        <x:v>PASS</x:v>
      </x:c>
    </x:row>
    <x:row r="253" ht="84" customHeight="1">
      <x:c r="A253" s="25" t="str">
        <x:v>AR-L4-QO-StateAwareTrafficClass-068-03</x:v>
      </x:c>
      <x:c r="B253" s="25" t="str">
        <x:v>SR-01-12-08</x:v>
      </x:c>
      <x:c r="C253" s="25" t="str">
        <x:v>L4-QO-StateAwareTrafficClass-068</x:v>
      </x:c>
      <x:c r="D253" s="25" t="str">
        <x:v>SF-01</x:v>
      </x:c>
      <x:c r="E253" s="25" t="str">
        <x:v>IR-01-12</x:v>
      </x:c>
      <x:c r="F253" s="22" t="str">
        <x:v>L4 底层传输层</x:v>
      </x:c>
      <x:c r="G253" s="22" t="str">
        <x:v>TM5</x:v>
      </x:c>
      <x:c r="H253" s="22" t="str">
        <x:v>一致性、安全与可靠性</x:v>
      </x:c>
      <x:c r="I253" s="22" t="str">
        <x:v>P0</x:v>
      </x:c>
      <x:c r="J253" s="22" t="str">
        <x:v>P0</x:v>
      </x:c>
      <x:c r="K253" s="22" t="str">
        <x:v>验证与观测</x:v>
      </x:c>
      <x:c r="L253" s="22" t="str">
        <x:v>驱动/硬件协同开发</x:v>
      </x:c>
      <x:c r="M253" s="22" t="str">
        <x:v>tests/security/integrity/state_aware_traffic_class_test.cc + benchmarks/security/integrity/state_aware_traffic_class_benchmark.cc</x:v>
      </x:c>
      <x:c r="N253" s="22" t="str">
        <x:v>StateAwareTrafficClassTest / StateAwareTrafficClassBenchmark</x:v>
      </x:c>
      <x:c r="O253" s="22" t="str">
        <x:v>新增正常、边界、并发、超时、stale metadata、迁移冲突、路径拥塞/故障与 feature-flag-off 用例；在 benchmark 中固定模型、tokenizer、prompt、并发、拓扑和 baseline，采集 lookup/load/attach、TTFT、TPOT、usable/abandoned hit、带宽/时延及 CPU/NPU 利用率。</x:v>
      </x:c>
      <x:c r="P253" s="22" t="str">
        <x:v>验收直接引用来源指标：“高拥塞背景下，KVCache关键小包的P99延迟不随大流数据量线性增加。”；故障用例必须证明错误 KV 不被消费且 fallback reason 可追踪。</x:v>
      </x:c>
      <x:c r="Q253" s="22" t="str">
        <x:v>来源验收项全部自动化；性能报告包含 P50/P95/P99、置信区间与 baseline；失败门槛接入 CI；测试数据和命令可复现。</x:v>
      </x:c>
      <x:c r="R253" s="22" t="str">
        <x:v>./bin/kvcache_bench --case=state_aware_traffic_class --baseline=native --report=json</x:v>
      </x:c>
      <x:c r="S253" s="22" t="str">
        <x:v>高拥塞背景下，KVCache关键小包的P99延迟不随大流数据量线性增加。</x:v>
      </x:c>
      <x:c r="T253" s="22" t="str">
        <x:v>SR-01-12-08</x:v>
      </x:c>
      <x:c r="U253" s="22" t="str">
        <x:v>待认领</x:v>
      </x:c>
      <x:c r="V253" s="22" t="str"/>
      <x:c r="W253" s="22" t="str"/>
      <x:c r="X253" s="22" t="str">
        <x:f>IF(COUNTIF($A$5:$A$451,A253)=1,"PASS","FAIL")</x:f>
        <x:v>PASS</x:v>
      </x:c>
      <x:c r="Y253" s="22" t="str">
        <x:f>IF(COUNTIF('SR系统设计'!$A$5:$A$153,B253)+COUNTIF('追溯与覆盖'!$A$5:$A$153,C253)=2,"PASS","FAIL")</x:f>
        <x:v>PASS</x:v>
      </x:c>
    </x:row>
    <x:row r="254" ht="84" customHeight="1">
      <x:c r="A254" s="25" t="str">
        <x:v>AR-L4-QO-TrafficClass-056-01</x:v>
      </x:c>
      <x:c r="B254" s="25" t="str">
        <x:v>SR-01-12-09</x:v>
      </x:c>
      <x:c r="C254" s="25" t="str">
        <x:v>L4-QO-TrafficClass-056</x:v>
      </x:c>
      <x:c r="D254" s="25" t="str">
        <x:v>SF-01</x:v>
      </x:c>
      <x:c r="E254" s="25" t="str">
        <x:v>IR-01-12</x:v>
      </x:c>
      <x:c r="F254" s="22" t="str">
        <x:v>L4 底层传输层</x:v>
      </x:c>
      <x:c r="G254" s="22" t="str">
        <x:v>TM5</x:v>
      </x:c>
      <x:c r="H254" s="22" t="str">
        <x:v>一致性、安全与可靠性</x:v>
      </x:c>
      <x:c r="I254" s="22" t="str">
        <x:v>P0</x:v>
      </x:c>
      <x:c r="J254" s="22" t="str">
        <x:v>P0</x:v>
      </x:c>
      <x:c r="K254" s="22" t="str">
        <x:v>核心实现</x:v>
      </x:c>
      <x:c r="L254" s="22" t="str">
        <x:v>驱动/硬件协同开发</x:v>
      </x:c>
      <x:c r="M254" s="22" t="str">
        <x:v>src/security/integrity/traffic_class.{h,cc}</x:v>
      </x:c>
      <x:c r="N254" s="22" t="str">
        <x:v>TrafficClassVerifier</x:v>
      </x:c>
      <x:c r="O254" s="22" t="str">
        <x:v>在 `src/security/integrity/traffic_class.{h,cc}` 新增或重写 `TrafficClassVerifier`，把“KVCache 多类业务流量硬件隔离”落实为 L4 底层传输层 可调用主路径：本需求要求底层为不同 KV 流量建立流量隔离：TTFT prefix load、decode-critical copy、metadata lookup、background writeback、SSD cold restore、TCP fallback 应分 RNIC queue、copy stream、UB switch queue 或线程池隔离。 输入必须显式消费 path evidence + security domain + object version，输出 ready/quarantine decision + error map，不得用全局单例或隐藏同步 I/O 绕开预算与状态机。</x:v>
      </x:c>
      <x:c r="P254" s="22" t="str">
        <x:v>实现 path evidence + security domain + object version → ready/quarantine decision + error map；遵守 证据不足不得 ready；完整性失败立即 quarantine、撤销句柄并切副本或重算</x:v>
      </x:c>
      <x:c r="Q254" s="22" t="str">
        <x:v>核心算法与状态转换完成；新增代码单测分支覆盖≥85%；线程安全/所有权明确；关闭 feature flag 时行为与 baseline 一致。</x:v>
      </x:c>
      <x:c r="R254" s="22" t="str">
        <x:v>ctest -R TrafficClass --output-on-failure</x:v>
      </x:c>
      <x:c r="S254" s="22" t="str">
        <x:v>background interference 降低 ≥50%；</x:v>
      </x:c>
      <x:c r="T254" s="22" t="str">
        <x:v>SR-01-12-09</x:v>
      </x:c>
      <x:c r="U254" s="22" t="str">
        <x:v>待认领</x:v>
      </x:c>
      <x:c r="V254" s="22" t="str"/>
      <x:c r="W254" s="22" t="str"/>
      <x:c r="X254" s="22" t="str">
        <x:f>IF(COUNTIF($A$5:$A$451,A254)=1,"PASS","FAIL")</x:f>
        <x:v>PASS</x:v>
      </x:c>
      <x:c r="Y254" s="22" t="str">
        <x:f>IF(COUNTIF('SR系统设计'!$A$5:$A$153,B254)+COUNTIF('追溯与覆盖'!$A$5:$A$153,C254)=2,"PASS","FAIL")</x:f>
        <x:v>PASS</x:v>
      </x:c>
    </x:row>
    <x:row r="255" ht="84" customHeight="1">
      <x:c r="A255" s="25" t="str">
        <x:v>AR-L4-QO-TrafficClass-056-02</x:v>
      </x:c>
      <x:c r="B255" s="25" t="str">
        <x:v>SR-01-12-09</x:v>
      </x:c>
      <x:c r="C255" s="25" t="str">
        <x:v>L4-QO-TrafficClass-056</x:v>
      </x:c>
      <x:c r="D255" s="25" t="str">
        <x:v>SF-01</x:v>
      </x:c>
      <x:c r="E255" s="25" t="str">
        <x:v>IR-01-12</x:v>
      </x:c>
      <x:c r="F255" s="22" t="str">
        <x:v>L4 底层传输层</x:v>
      </x:c>
      <x:c r="G255" s="22" t="str">
        <x:v>TM5</x:v>
      </x:c>
      <x:c r="H255" s="22" t="str">
        <x:v>一致性、安全与可靠性</x:v>
      </x:c>
      <x:c r="I255" s="22" t="str">
        <x:v>P0</x:v>
      </x:c>
      <x:c r="J255" s="22" t="str">
        <x:v>P0</x:v>
      </x:c>
      <x:c r="K255" s="22" t="str">
        <x:v>契约配置与降级</x:v>
      </x:c>
      <x:c r="L255" s="22" t="str">
        <x:v>驱动/硬件协同开发</x:v>
      </x:c>
      <x:c r="M255" s="22" t="str">
        <x:v>cmake/KVCacheBackends.cmake + config/backends/traffic_class.yaml + src/backends/backend_registry.cc</x:v>
      </x:c>
      <x:c r="N255" s="22" t="str">
        <x:v>KVCACHE_ENABLE_TRAFFIC_CLASS / kvcache.traffic_class.enabled</x:v>
      </x:c>
      <x:c r="O255" s="22" t="str">
        <x:v>增加编译开关 `KVCACHE_ENABLE_TRAFFIC_CLASS`、运行时开关 `kvcache.traffic_class.enabled` 与 BackendRegistry 注册项；冻结 capability、descriptor、completion/fence、error mapping 与 per-path telemetry 字段，并实现“主路径→备路径→重算/冷路径”的有界 fallback。</x:v>
      </x:c>
      <x:c r="P255" s="22" t="str">
        <x:v>IDL/配置 schema 有版本号、默认值、边界校验和错误码；状态/租约/ready 不满足时按 证据不足不得 ready；完整性失败立即 quarantine、撤销句柄并切副本或重算</x:v>
      </x:c>
      <x:c r="Q255" s="22" t="str">
        <x:v>配置样例、schema 校验、升级兼容测试和回退路径齐全；任何隐式 fallback 被移除；新增指标可关联 request_id/query_plan_id/object_id/path_id。</x:v>
      </x:c>
      <x:c r="R255" s="22" t="str">
        <x:v>ctest -R TrafficClassConfig &amp;&amp; ./bin/kvcache_config_check --case=traffic_class</x:v>
      </x:c>
      <x:c r="S255" s="22" t="str">
        <x:v>background interference 降低 ≥50%；</x:v>
      </x:c>
      <x:c r="T255" s="22" t="str">
        <x:v>SR-01-12-09</x:v>
      </x:c>
      <x:c r="U255" s="22" t="str">
        <x:v>待认领</x:v>
      </x:c>
      <x:c r="V255" s="22" t="str"/>
      <x:c r="W255" s="22" t="str"/>
      <x:c r="X255" s="22" t="str">
        <x:f>IF(COUNTIF($A$5:$A$451,A255)=1,"PASS","FAIL")</x:f>
        <x:v>PASS</x:v>
      </x:c>
      <x:c r="Y255" s="22" t="str">
        <x:f>IF(COUNTIF('SR系统设计'!$A$5:$A$153,B255)+COUNTIF('追溯与覆盖'!$A$5:$A$153,C255)=2,"PASS","FAIL")</x:f>
        <x:v>PASS</x:v>
      </x:c>
    </x:row>
    <x:row r="256" ht="84" customHeight="1">
      <x:c r="A256" s="25" t="str">
        <x:v>AR-L4-QO-TrafficClass-056-03</x:v>
      </x:c>
      <x:c r="B256" s="25" t="str">
        <x:v>SR-01-12-09</x:v>
      </x:c>
      <x:c r="C256" s="25" t="str">
        <x:v>L4-QO-TrafficClass-056</x:v>
      </x:c>
      <x:c r="D256" s="25" t="str">
        <x:v>SF-01</x:v>
      </x:c>
      <x:c r="E256" s="25" t="str">
        <x:v>IR-01-12</x:v>
      </x:c>
      <x:c r="F256" s="22" t="str">
        <x:v>L4 底层传输层</x:v>
      </x:c>
      <x:c r="G256" s="22" t="str">
        <x:v>TM5</x:v>
      </x:c>
      <x:c r="H256" s="22" t="str">
        <x:v>一致性、安全与可靠性</x:v>
      </x:c>
      <x:c r="I256" s="22" t="str">
        <x:v>P0</x:v>
      </x:c>
      <x:c r="J256" s="22" t="str">
        <x:v>P0</x:v>
      </x:c>
      <x:c r="K256" s="22" t="str">
        <x:v>验证与观测</x:v>
      </x:c>
      <x:c r="L256" s="22" t="str">
        <x:v>驱动/硬件协同开发</x:v>
      </x:c>
      <x:c r="M256" s="22" t="str">
        <x:v>tests/security/integrity/traffic_class_test.cc + benchmarks/security/integrity/traffic_class_benchmark.cc</x:v>
      </x:c>
      <x:c r="N256" s="22" t="str">
        <x:v>TrafficClassTest / TrafficClassBenchmark</x:v>
      </x:c>
      <x:c r="O256" s="22" t="str">
        <x:v>新增正常、边界、并发、超时、stale metadata、迁移冲突、路径拥塞/故障与 feature-flag-off 用例；在 benchmark 中固定模型、tokenizer、prompt、并发、拓扑和 baseline，采集 lookup/load/attach、TTFT、TPOT、usable/abandoned hit、带宽/时延及 CPU/NPU 利用率。</x:v>
      </x:c>
      <x:c r="P256" s="22" t="str">
        <x:v>验收直接引用来源指标：“background interference 降低 ≥50%；”；故障用例必须证明错误 KV 不被消费且 fallback reason 可追踪。</x:v>
      </x:c>
      <x:c r="Q256" s="22" t="str">
        <x:v>来源验收项全部自动化；性能报告包含 P50/P95/P99、置信区间与 baseline；失败门槛接入 CI；测试数据和命令可复现。</x:v>
      </x:c>
      <x:c r="R256" s="22" t="str">
        <x:v>./bin/kvcache_bench --case=traffic_class --baseline=native --report=json</x:v>
      </x:c>
      <x:c r="S256" s="22" t="str">
        <x:v>background interference 降低 ≥50%；</x:v>
      </x:c>
      <x:c r="T256" s="22" t="str">
        <x:v>SR-01-12-09</x:v>
      </x:c>
      <x:c r="U256" s="22" t="str">
        <x:v>待认领</x:v>
      </x:c>
      <x:c r="V256" s="22" t="str"/>
      <x:c r="W256" s="22" t="str"/>
      <x:c r="X256" s="22" t="str">
        <x:f>IF(COUNTIF($A$5:$A$451,A256)=1,"PASS","FAIL")</x:f>
        <x:v>PASS</x:v>
      </x:c>
      <x:c r="Y256" s="22" t="str">
        <x:f>IF(COUNTIF('SR系统设计'!$A$5:$A$153,B256)+COUNTIF('追溯与覆盖'!$A$5:$A$153,C256)=2,"PASS","FAIL")</x:f>
        <x:v>PASS</x:v>
      </x:c>
    </x:row>
    <x:row r="257" ht="84" customHeight="1">
      <x:c r="A257" s="25" t="str">
        <x:v>AR-L4-SC-ViewProtection-062-01</x:v>
      </x:c>
      <x:c r="B257" s="25" t="str">
        <x:v>SR-01-12-10</x:v>
      </x:c>
      <x:c r="C257" s="25" t="str">
        <x:v>L4-SC-ViewProtection-062</x:v>
      </x:c>
      <x:c r="D257" s="25" t="str">
        <x:v>SF-01</x:v>
      </x:c>
      <x:c r="E257" s="25" t="str">
        <x:v>IR-01-12</x:v>
      </x:c>
      <x:c r="F257" s="22" t="str">
        <x:v>L4 底层传输层</x:v>
      </x:c>
      <x:c r="G257" s="22" t="str">
        <x:v>TM5</x:v>
      </x:c>
      <x:c r="H257" s="22" t="str">
        <x:v>一致性、安全与可靠性</x:v>
      </x:c>
      <x:c r="I257" s="22" t="str">
        <x:v>P0</x:v>
      </x:c>
      <x:c r="J257" s="22" t="str">
        <x:v>P0</x:v>
      </x:c>
      <x:c r="K257" s="22" t="str">
        <x:v>核心实现</x:v>
      </x:c>
      <x:c r="L257" s="22" t="str">
        <x:v>驱动/硬件协同开发</x:v>
      </x:c>
      <x:c r="M257" s="22" t="str">
        <x:v>src/security/integrity/view_protection.{h,cc}</x:v>
      </x:c>
      <x:c r="N257" s="22" t="str">
        <x:v>ViewProtectionVerifier</x:v>
      </x:c>
      <x:c r="O257" s="22" t="str">
        <x:v>在 `src/security/integrity/view_protection.{h,cc}` 新增或重写 `ViewProtectionVerifier`，把“共享内存 KVCache 安全访问保护”落实为 L4 底层传输层 可调用主路径：本需求要求 memory view 访问必须具备硬件级保护：read-only mapping、IOMMU/SMMU domain、tenant key、view revocation、poison isolation、audit log； 输入必须显式消费 path evidence + security domain + object version，输出 ready/quarantine decision + error map，不得用全局单例或隐藏同步 I/O 绕开预算与状态机。</x:v>
      </x:c>
      <x:c r="P257" s="22" t="str">
        <x:v>实现 path evidence + security domain + object version → ready/quarantine decision + error map；遵守 证据不足不得 ready；完整性失败立即 quarantine、撤销句柄并切副本或重算</x:v>
      </x:c>
      <x:c r="Q257" s="22" t="str">
        <x:v>核心算法与状态转换完成；新增代码单测分支覆盖≥85%；线程安全/所有权明确；关闭 feature flag 时行为与 baseline 一致。</x:v>
      </x:c>
      <x:c r="R257" s="22" t="str">
        <x:v>ctest -R ViewProtection --output-on-failure</x:v>
      </x:c>
      <x:c r="S257" s="22" t="str">
        <x:v>越权访问 = 0；view revocation p99 &lt;1ms；</x:v>
      </x:c>
      <x:c r="T257" s="22" t="str">
        <x:v>SR-01-12-10</x:v>
      </x:c>
      <x:c r="U257" s="22" t="str">
        <x:v>待认领</x:v>
      </x:c>
      <x:c r="V257" s="22" t="str"/>
      <x:c r="W257" s="22" t="str"/>
      <x:c r="X257" s="22" t="str">
        <x:f>IF(COUNTIF($A$5:$A$451,A257)=1,"PASS","FAIL")</x:f>
        <x:v>PASS</x:v>
      </x:c>
      <x:c r="Y257" s="22" t="str">
        <x:f>IF(COUNTIF('SR系统设计'!$A$5:$A$153,B257)+COUNTIF('追溯与覆盖'!$A$5:$A$153,C257)=2,"PASS","FAIL")</x:f>
        <x:v>PASS</x:v>
      </x:c>
    </x:row>
    <x:row r="258" ht="84" customHeight="1">
      <x:c r="A258" s="25" t="str">
        <x:v>AR-L4-SC-ViewProtection-062-02</x:v>
      </x:c>
      <x:c r="B258" s="25" t="str">
        <x:v>SR-01-12-10</x:v>
      </x:c>
      <x:c r="C258" s="25" t="str">
        <x:v>L4-SC-ViewProtection-062</x:v>
      </x:c>
      <x:c r="D258" s="25" t="str">
        <x:v>SF-01</x:v>
      </x:c>
      <x:c r="E258" s="25" t="str">
        <x:v>IR-01-12</x:v>
      </x:c>
      <x:c r="F258" s="22" t="str">
        <x:v>L4 底层传输层</x:v>
      </x:c>
      <x:c r="G258" s="22" t="str">
        <x:v>TM5</x:v>
      </x:c>
      <x:c r="H258" s="22" t="str">
        <x:v>一致性、安全与可靠性</x:v>
      </x:c>
      <x:c r="I258" s="22" t="str">
        <x:v>P0</x:v>
      </x:c>
      <x:c r="J258" s="22" t="str">
        <x:v>P0</x:v>
      </x:c>
      <x:c r="K258" s="22" t="str">
        <x:v>契约配置与降级</x:v>
      </x:c>
      <x:c r="L258" s="22" t="str">
        <x:v>驱动/硬件协同开发</x:v>
      </x:c>
      <x:c r="M258" s="22" t="str">
        <x:v>cmake/KVCacheBackends.cmake + config/backends/view_protection.yaml + src/backends/backend_registry.cc</x:v>
      </x:c>
      <x:c r="N258" s="22" t="str">
        <x:v>KVCACHE_ENABLE_VIEW_PROTECTION / kvcache.view_protection.enabled</x:v>
      </x:c>
      <x:c r="O258" s="22" t="str">
        <x:v>增加编译开关 `KVCACHE_ENABLE_VIEW_PROTECTION`、运行时开关 `kvcache.view_protection.enabled` 与 BackendRegistry 注册项；冻结 capability、descriptor、completion/fence、error mapping 与 per-path telemetry 字段，并实现“主路径→备路径→重算/冷路径”的有界 fallback。</x:v>
      </x:c>
      <x:c r="P258" s="22" t="str">
        <x:v>IDL/配置 schema 有版本号、默认值、边界校验和错误码；状态/租约/ready 不满足时按 证据不足不得 ready；完整性失败立即 quarantine、撤销句柄并切副本或重算</x:v>
      </x:c>
      <x:c r="Q258" s="22" t="str">
        <x:v>配置样例、schema 校验、升级兼容测试和回退路径齐全；任何隐式 fallback 被移除；新增指标可关联 request_id/query_plan_id/object_id/path_id。</x:v>
      </x:c>
      <x:c r="R258" s="22" t="str">
        <x:v>ctest -R ViewProtectionConfig &amp;&amp; ./bin/kvcache_config_check --case=view_protection</x:v>
      </x:c>
      <x:c r="S258" s="22" t="str">
        <x:v>越权访问 = 0；view revocation p99 &lt;1ms；</x:v>
      </x:c>
      <x:c r="T258" s="22" t="str">
        <x:v>SR-01-12-10</x:v>
      </x:c>
      <x:c r="U258" s="22" t="str">
        <x:v>待认领</x:v>
      </x:c>
      <x:c r="V258" s="22" t="str"/>
      <x:c r="W258" s="22" t="str"/>
      <x:c r="X258" s="22" t="str">
        <x:f>IF(COUNTIF($A$5:$A$451,A258)=1,"PASS","FAIL")</x:f>
        <x:v>PASS</x:v>
      </x:c>
      <x:c r="Y258" s="22" t="str">
        <x:f>IF(COUNTIF('SR系统设计'!$A$5:$A$153,B258)+COUNTIF('追溯与覆盖'!$A$5:$A$153,C258)=2,"PASS","FAIL")</x:f>
        <x:v>PASS</x:v>
      </x:c>
    </x:row>
    <x:row r="259" ht="84" customHeight="1">
      <x:c r="A259" s="25" t="str">
        <x:v>AR-L4-SC-ViewProtection-062-03</x:v>
      </x:c>
      <x:c r="B259" s="25" t="str">
        <x:v>SR-01-12-10</x:v>
      </x:c>
      <x:c r="C259" s="25" t="str">
        <x:v>L4-SC-ViewProtection-062</x:v>
      </x:c>
      <x:c r="D259" s="25" t="str">
        <x:v>SF-01</x:v>
      </x:c>
      <x:c r="E259" s="25" t="str">
        <x:v>IR-01-12</x:v>
      </x:c>
      <x:c r="F259" s="22" t="str">
        <x:v>L4 底层传输层</x:v>
      </x:c>
      <x:c r="G259" s="22" t="str">
        <x:v>TM5</x:v>
      </x:c>
      <x:c r="H259" s="22" t="str">
        <x:v>一致性、安全与可靠性</x:v>
      </x:c>
      <x:c r="I259" s="22" t="str">
        <x:v>P0</x:v>
      </x:c>
      <x:c r="J259" s="22" t="str">
        <x:v>P0</x:v>
      </x:c>
      <x:c r="K259" s="22" t="str">
        <x:v>验证与观测</x:v>
      </x:c>
      <x:c r="L259" s="22" t="str">
        <x:v>驱动/硬件协同开发</x:v>
      </x:c>
      <x:c r="M259" s="22" t="str">
        <x:v>tests/security/integrity/view_protection_test.cc + benchmarks/security/integrity/view_protection_benchmark.cc</x:v>
      </x:c>
      <x:c r="N259" s="22" t="str">
        <x:v>ViewProtectionTest / ViewProtectionBenchmark</x:v>
      </x:c>
      <x:c r="O259" s="22" t="str">
        <x:v>新增正常、边界、并发、超时、stale metadata、迁移冲突、路径拥塞/故障与 feature-flag-off 用例；在 benchmark 中固定模型、tokenizer、prompt、并发、拓扑和 baseline，采集 lookup/load/attach、TTFT、TPOT、usable/abandoned hit、带宽/时延及 CPU/NPU 利用率。</x:v>
      </x:c>
      <x:c r="P259" s="22" t="str">
        <x:v>验收直接引用来源指标：“越权访问 = 0；view revocation p99 &lt;1ms；”；故障用例必须证明错误 KV 不被消费且 fallback reason 可追踪。</x:v>
      </x:c>
      <x:c r="Q259" s="22" t="str">
        <x:v>来源验收项全部自动化；性能报告包含 P50/P95/P99、置信区间与 baseline；失败门槛接入 CI；测试数据和命令可复现。</x:v>
      </x:c>
      <x:c r="R259" s="22" t="str">
        <x:v>./bin/kvcache_bench --case=view_protection --baseline=native --report=json</x:v>
      </x:c>
      <x:c r="S259" s="22" t="str">
        <x:v>越权访问 = 0；view revocation p99 &lt;1ms；</x:v>
      </x:c>
      <x:c r="T259" s="22" t="str">
        <x:v>SR-01-12-10</x:v>
      </x:c>
      <x:c r="U259" s="22" t="str">
        <x:v>待认领</x:v>
      </x:c>
      <x:c r="V259" s="22" t="str"/>
      <x:c r="W259" s="22" t="str"/>
      <x:c r="X259" s="22" t="str">
        <x:f>IF(COUNTIF($A$5:$A$451,A259)=1,"PASS","FAIL")</x:f>
        <x:v>PASS</x:v>
      </x:c>
      <x:c r="Y259" s="22" t="str">
        <x:f>IF(COUNTIF('SR系统设计'!$A$5:$A$153,B259)+COUNTIF('追溯与覆盖'!$A$5:$A$153,C259)=2,"PASS","FAIL")</x:f>
        <x:v>PASS</x:v>
      </x:c>
    </x:row>
    <x:row r="260" ht="84" customHeight="1">
      <x:c r="A260" s="25" t="str">
        <x:v>AR-L4-CO-DrainAndQuiesce-073-01</x:v>
      </x:c>
      <x:c r="B260" s="25" t="str">
        <x:v>SR-01-12-11</x:v>
      </x:c>
      <x:c r="C260" s="25" t="str">
        <x:v>L4-CO-DrainAndQuiesce-073</x:v>
      </x:c>
      <x:c r="D260" s="25" t="str">
        <x:v>SF-01</x:v>
      </x:c>
      <x:c r="E260" s="25" t="str">
        <x:v>IR-01-12</x:v>
      </x:c>
      <x:c r="F260" s="22" t="str">
        <x:v>L4 底层传输层</x:v>
      </x:c>
      <x:c r="G260" s="22" t="str">
        <x:v>TM5</x:v>
      </x:c>
      <x:c r="H260" s="22" t="str">
        <x:v>一致性、安全与可靠性</x:v>
      </x:c>
      <x:c r="I260" s="22" t="str">
        <x:v>P1</x:v>
      </x:c>
      <x:c r="J260" s="22" t="str">
        <x:v>P1</x:v>
      </x:c>
      <x:c r="K260" s="22" t="str">
        <x:v>核心实现</x:v>
      </x:c>
      <x:c r="L260" s="22" t="str">
        <x:v>驱动/硬件协同开发</x:v>
      </x:c>
      <x:c r="M260" s="22" t="str">
        <x:v>src/security/integrity/drain_and_quiesce.{h,cc}</x:v>
      </x:c>
      <x:c r="N260" s="22" t="str">
        <x:v>DrainAndQuiesceVerifier</x:v>
      </x:c>
      <x:c r="O260" s="22" t="str">
        <x:v>在 `src/security/integrity/drain_and_quiesce.{h,cc}` 新增或重写 `DrainAndQuiesceVerifier`，把“后端资源切换与节点下线”落实为 L4 底层传输层 可调用主路径：本需求要求底层为 RDMA QP/CQ、DMA ring、copy stream、GDS handle、UB mapping 提供 drain/quiesce 原语； 输入必须显式消费 path evidence + security domain + object version，输出 ready/quarantine decision + error map，不得用全局单例或隐藏同步 I/O 绕开预算与状态机。</x:v>
      </x:c>
      <x:c r="P260" s="22" t="str">
        <x:v>实现 path evidence + security domain + object version → ready/quarantine decision + error map；遵守 证据不足不得 ready；完整性失败立即 quarantine、撤销句柄并切副本或重算</x:v>
      </x:c>
      <x:c r="Q260" s="22" t="str">
        <x:v>核心算法与状态转换完成；新增代码单测分支覆盖≥85%；线程安全/所有权明确；关闭 feature flag 时行为与 baseline 一致。</x:v>
      </x:c>
      <x:c r="R260" s="22" t="str">
        <x:v>ctest -R DrainAndQuiesce --output-on-failure</x:v>
      </x:c>
      <x:c r="S260" s="22" t="str">
        <x:v>全局内存利用率提升至≥85%，跨级冷热数据迁移过程中的TPOT抖动 &lt; 5%。</x:v>
      </x:c>
      <x:c r="T260" s="22" t="str">
        <x:v>SR-01-12-11</x:v>
      </x:c>
      <x:c r="U260" s="22" t="str">
        <x:v>待认领</x:v>
      </x:c>
      <x:c r="V260" s="22" t="str"/>
      <x:c r="W260" s="22" t="str"/>
      <x:c r="X260" s="22" t="str">
        <x:f>IF(COUNTIF($A$5:$A$451,A260)=1,"PASS","FAIL")</x:f>
        <x:v>PASS</x:v>
      </x:c>
      <x:c r="Y260" s="22" t="str">
        <x:f>IF(COUNTIF('SR系统设计'!$A$5:$A$153,B260)+COUNTIF('追溯与覆盖'!$A$5:$A$153,C260)=2,"PASS","FAIL")</x:f>
        <x:v>PASS</x:v>
      </x:c>
    </x:row>
    <x:row r="261" ht="84" customHeight="1">
      <x:c r="A261" s="25" t="str">
        <x:v>AR-L4-CO-DrainAndQuiesce-073-02</x:v>
      </x:c>
      <x:c r="B261" s="25" t="str">
        <x:v>SR-01-12-11</x:v>
      </x:c>
      <x:c r="C261" s="25" t="str">
        <x:v>L4-CO-DrainAndQuiesce-073</x:v>
      </x:c>
      <x:c r="D261" s="25" t="str">
        <x:v>SF-01</x:v>
      </x:c>
      <x:c r="E261" s="25" t="str">
        <x:v>IR-01-12</x:v>
      </x:c>
      <x:c r="F261" s="22" t="str">
        <x:v>L4 底层传输层</x:v>
      </x:c>
      <x:c r="G261" s="22" t="str">
        <x:v>TM5</x:v>
      </x:c>
      <x:c r="H261" s="22" t="str">
        <x:v>一致性、安全与可靠性</x:v>
      </x:c>
      <x:c r="I261" s="22" t="str">
        <x:v>P1</x:v>
      </x:c>
      <x:c r="J261" s="22" t="str">
        <x:v>P1</x:v>
      </x:c>
      <x:c r="K261" s="22" t="str">
        <x:v>契约配置与降级</x:v>
      </x:c>
      <x:c r="L261" s="22" t="str">
        <x:v>驱动/硬件协同开发</x:v>
      </x:c>
      <x:c r="M261" s="22" t="str">
        <x:v>cmake/KVCacheBackends.cmake + config/backends/drain_and_quiesce.yaml + src/backends/backend_registry.cc</x:v>
      </x:c>
      <x:c r="N261" s="22" t="str">
        <x:v>KVCACHE_ENABLE_DRAIN_AND_QUIESCE / kvcache.drain_and_quiesce.enabled</x:v>
      </x:c>
      <x:c r="O261" s="22" t="str">
        <x:v>增加编译开关 `KVCACHE_ENABLE_DRAIN_AND_QUIESCE`、运行时开关 `kvcache.drain_and_quiesce.enabled` 与 BackendRegistry 注册项；冻结 capability、descriptor、completion/fence、error mapping 与 per-path telemetry 字段，并实现“主路径→备路径→重算/冷路径”的有界 fallback。</x:v>
      </x:c>
      <x:c r="P261" s="22" t="str">
        <x:v>IDL/配置 schema 有版本号、默认值、边界校验和错误码；状态/租约/ready 不满足时按 证据不足不得 ready；完整性失败立即 quarantine、撤销句柄并切副本或重算</x:v>
      </x:c>
      <x:c r="Q261" s="22" t="str">
        <x:v>配置样例、schema 校验、升级兼容测试和回退路径齐全；任何隐式 fallback 被移除；新增指标可关联 request_id/query_plan_id/object_id/path_id。</x:v>
      </x:c>
      <x:c r="R261" s="22" t="str">
        <x:v>ctest -R DrainAndQuiesceConfig &amp;&amp; ./bin/kvcache_config_check --case=drain_and_quiesce</x:v>
      </x:c>
      <x:c r="S261" s="22" t="str">
        <x:v>全局内存利用率提升至≥85%，跨级冷热数据迁移过程中的TPOT抖动 &lt; 5%。</x:v>
      </x:c>
      <x:c r="T261" s="22" t="str">
        <x:v>SR-01-12-11</x:v>
      </x:c>
      <x:c r="U261" s="22" t="str">
        <x:v>待认领</x:v>
      </x:c>
      <x:c r="V261" s="22" t="str"/>
      <x:c r="W261" s="22" t="str"/>
      <x:c r="X261" s="22" t="str">
        <x:f>IF(COUNTIF($A$5:$A$451,A261)=1,"PASS","FAIL")</x:f>
        <x:v>PASS</x:v>
      </x:c>
      <x:c r="Y261" s="22" t="str">
        <x:f>IF(COUNTIF('SR系统设计'!$A$5:$A$153,B261)+COUNTIF('追溯与覆盖'!$A$5:$A$153,C261)=2,"PASS","FAIL")</x:f>
        <x:v>PASS</x:v>
      </x:c>
    </x:row>
    <x:row r="262" ht="84" customHeight="1">
      <x:c r="A262" s="25" t="str">
        <x:v>AR-L4-CO-DrainAndQuiesce-073-03</x:v>
      </x:c>
      <x:c r="B262" s="25" t="str">
        <x:v>SR-01-12-11</x:v>
      </x:c>
      <x:c r="C262" s="25" t="str">
        <x:v>L4-CO-DrainAndQuiesce-073</x:v>
      </x:c>
      <x:c r="D262" s="25" t="str">
        <x:v>SF-01</x:v>
      </x:c>
      <x:c r="E262" s="25" t="str">
        <x:v>IR-01-12</x:v>
      </x:c>
      <x:c r="F262" s="22" t="str">
        <x:v>L4 底层传输层</x:v>
      </x:c>
      <x:c r="G262" s="22" t="str">
        <x:v>TM5</x:v>
      </x:c>
      <x:c r="H262" s="22" t="str">
        <x:v>一致性、安全与可靠性</x:v>
      </x:c>
      <x:c r="I262" s="22" t="str">
        <x:v>P1</x:v>
      </x:c>
      <x:c r="J262" s="22" t="str">
        <x:v>P1</x:v>
      </x:c>
      <x:c r="K262" s="22" t="str">
        <x:v>验证与观测</x:v>
      </x:c>
      <x:c r="L262" s="22" t="str">
        <x:v>驱动/硬件协同开发</x:v>
      </x:c>
      <x:c r="M262" s="22" t="str">
        <x:v>tests/security/integrity/drain_and_quiesce_test.cc + benchmarks/security/integrity/drain_and_quiesce_benchmark.cc</x:v>
      </x:c>
      <x:c r="N262" s="22" t="str">
        <x:v>DrainAndQuiesceTest / DrainAndQuiesceBenchmark</x:v>
      </x:c>
      <x:c r="O262" s="22" t="str">
        <x:v>新增正常、边界、并发、超时、stale metadata、迁移冲突、路径拥塞/故障与 feature-flag-off 用例；在 benchmark 中固定模型、tokenizer、prompt、并发、拓扑和 baseline，采集 lookup/load/attach、TTFT、TPOT、usable/abandoned hit、带宽/时延及 CPU/NPU 利用率。</x:v>
      </x:c>
      <x:c r="P262" s="22" t="str">
        <x:v>验收直接引用来源指标：“全局内存利用率提升至≥85%，跨级冷热数据迁移过程中的TPOT抖动 &lt; 5%。”；故障用例必须证明错误 KV 不被消费且 fallback reason 可追踪。</x:v>
      </x:c>
      <x:c r="Q262" s="22" t="str">
        <x:v>来源验收项全部自动化；性能报告包含 P50/P95/P99、置信区间与 baseline；失败门槛接入 CI；测试数据和命令可复现。</x:v>
      </x:c>
      <x:c r="R262" s="22" t="str">
        <x:v>./bin/kvcache_bench --case=drain_and_quiesce --baseline=native --report=json</x:v>
      </x:c>
      <x:c r="S262" s="22" t="str">
        <x:v>全局内存利用率提升至≥85%，跨级冷热数据迁移过程中的TPOT抖动 &lt; 5%。</x:v>
      </x:c>
      <x:c r="T262" s="22" t="str">
        <x:v>SR-01-12-11</x:v>
      </x:c>
      <x:c r="U262" s="22" t="str">
        <x:v>待认领</x:v>
      </x:c>
      <x:c r="V262" s="22" t="str"/>
      <x:c r="W262" s="22" t="str"/>
      <x:c r="X262" s="22" t="str">
        <x:f>IF(COUNTIF($A$5:$A$451,A262)=1,"PASS","FAIL")</x:f>
        <x:v>PASS</x:v>
      </x:c>
      <x:c r="Y262" s="22" t="str">
        <x:f>IF(COUNTIF('SR系统设计'!$A$5:$A$153,B262)+COUNTIF('追溯与覆盖'!$A$5:$A$153,C262)=2,"PASS","FAIL")</x:f>
        <x:v>PASS</x:v>
      </x:c>
    </x:row>
    <x:row r="263" ht="84" customHeight="1">
      <x:c r="A263" s="25" t="str">
        <x:v>AR-L4-OB-RemoteAccessCounter-057-01</x:v>
      </x:c>
      <x:c r="B263" s="25" t="str">
        <x:v>SR-01-12-12</x:v>
      </x:c>
      <x:c r="C263" s="25" t="str">
        <x:v>L4-OB-RemoteAccessCounter-057</x:v>
      </x:c>
      <x:c r="D263" s="25" t="str">
        <x:v>SF-01</x:v>
      </x:c>
      <x:c r="E263" s="25" t="str">
        <x:v>IR-01-12</x:v>
      </x:c>
      <x:c r="F263" s="22" t="str">
        <x:v>L4 底层传输层</x:v>
      </x:c>
      <x:c r="G263" s="22" t="str">
        <x:v>TM6</x:v>
      </x:c>
      <x:c r="H263" s="22" t="str">
        <x:v>一致性、安全与可靠性</x:v>
      </x:c>
      <x:c r="I263" s="22" t="str">
        <x:v>P1</x:v>
      </x:c>
      <x:c r="J263" s="22" t="str">
        <x:v>P1</x:v>
      </x:c>
      <x:c r="K263" s="22" t="str">
        <x:v>核心实现</x:v>
      </x:c>
      <x:c r="L263" s="22" t="str">
        <x:v>驱动/硬件协同开发</x:v>
      </x:c>
      <x:c r="M263" s="22" t="str">
        <x:v>src/security/integrity/remote_access_counter.{h,cc}</x:v>
      </x:c>
      <x:c r="N263" s="22" t="str">
        <x:v>RemoteAccessCounterVerifier</x:v>
      </x:c>
      <x:c r="O263" s="22" t="str">
        <x:v>在 `src/security/integrity/remote_access_counter.{h,cc}` 新增或重写 `RemoteAccessCounterVerifier`，把“近端共享内存 KV 访问性能观测”落实为 L4 底层传输层 可调用主路径：本需求要求 NPU/NPU runtime 暴露 remote-tier access counters：包括 UB/C2C load count、remote memory bandwidth、stall cycles、Lmiss source、copy engine utilization，使系统能判断 direct view 是否拖慢 TPOT。 输入必须显式消费 path evidence + security domain + object version，输出 ready/quarantine decision + error map，不得用全局单例或隐藏同步 I/O 绕开预算与状态机。</x:v>
      </x:c>
      <x:c r="P263" s="22" t="str">
        <x:v>实现 path evidence + security domain + object version → ready/quarantine decision + error map；遵守 证据不足不得 ready；完整性失败立即 quarantine、撤销句柄并切副本或重算</x:v>
      </x:c>
      <x:c r="Q263" s="22" t="str">
        <x:v>核心算法与状态转换完成；新增代码单测分支覆盖≥85%；线程安全/所有权明确；关闭 feature flag 时行为与 baseline 一致。</x:v>
      </x:c>
      <x:c r="R263" s="22" t="str">
        <x:v>ctest -R RemoteAccessCounter --output-on-failure</x:v>
      </x:c>
      <x:c r="S263" s="22" t="str">
        <x:v>view-vs-copy 决策准确率 ≥90%；</x:v>
      </x:c>
      <x:c r="T263" s="22" t="str">
        <x:v>SR-01-12-12</x:v>
      </x:c>
      <x:c r="U263" s="22" t="str">
        <x:v>待认领</x:v>
      </x:c>
      <x:c r="V263" s="22" t="str"/>
      <x:c r="W263" s="22" t="str"/>
      <x:c r="X263" s="22" t="str">
        <x:f>IF(COUNTIF($A$5:$A$451,A263)=1,"PASS","FAIL")</x:f>
        <x:v>PASS</x:v>
      </x:c>
      <x:c r="Y263" s="22" t="str">
        <x:f>IF(COUNTIF('SR系统设计'!$A$5:$A$153,B263)+COUNTIF('追溯与覆盖'!$A$5:$A$153,C263)=2,"PASS","FAIL")</x:f>
        <x:v>PASS</x:v>
      </x:c>
    </x:row>
    <x:row r="264" ht="84" customHeight="1">
      <x:c r="A264" s="25" t="str">
        <x:v>AR-L4-OB-RemoteAccessCounter-057-02</x:v>
      </x:c>
      <x:c r="B264" s="25" t="str">
        <x:v>SR-01-12-12</x:v>
      </x:c>
      <x:c r="C264" s="25" t="str">
        <x:v>L4-OB-RemoteAccessCounter-057</x:v>
      </x:c>
      <x:c r="D264" s="25" t="str">
        <x:v>SF-01</x:v>
      </x:c>
      <x:c r="E264" s="25" t="str">
        <x:v>IR-01-12</x:v>
      </x:c>
      <x:c r="F264" s="22" t="str">
        <x:v>L4 底层传输层</x:v>
      </x:c>
      <x:c r="G264" s="22" t="str">
        <x:v>TM6</x:v>
      </x:c>
      <x:c r="H264" s="22" t="str">
        <x:v>一致性、安全与可靠性</x:v>
      </x:c>
      <x:c r="I264" s="22" t="str">
        <x:v>P1</x:v>
      </x:c>
      <x:c r="J264" s="22" t="str">
        <x:v>P1</x:v>
      </x:c>
      <x:c r="K264" s="22" t="str">
        <x:v>契约配置与降级</x:v>
      </x:c>
      <x:c r="L264" s="22" t="str">
        <x:v>驱动/硬件协同开发</x:v>
      </x:c>
      <x:c r="M264" s="22" t="str">
        <x:v>cmake/KVCacheBackends.cmake + config/backends/remote_access_counter.yaml + src/backends/backend_registry.cc</x:v>
      </x:c>
      <x:c r="N264" s="22" t="str">
        <x:v>KVCACHE_ENABLE_REMOTE_ACCESS_COUNTER / kvcache.remote_access_counter.enabled</x:v>
      </x:c>
      <x:c r="O264" s="22" t="str">
        <x:v>增加编译开关 `KVCACHE_ENABLE_REMOTE_ACCESS_COUNTER`、运行时开关 `kvcache.remote_access_counter.enabled` 与 BackendRegistry 注册项；冻结 capability、descriptor、completion/fence、error mapping 与 per-path telemetry 字段，并实现“主路径→备路径→重算/冷路径”的有界 fallback。</x:v>
      </x:c>
      <x:c r="P264" s="22" t="str">
        <x:v>IDL/配置 schema 有版本号、默认值、边界校验和错误码；状态/租约/ready 不满足时按 证据不足不得 ready；完整性失败立即 quarantine、撤销句柄并切副本或重算</x:v>
      </x:c>
      <x:c r="Q264" s="22" t="str">
        <x:v>配置样例、schema 校验、升级兼容测试和回退路径齐全；任何隐式 fallback 被移除；新增指标可关联 request_id/query_plan_id/object_id/path_id。</x:v>
      </x:c>
      <x:c r="R264" s="22" t="str">
        <x:v>ctest -R RemoteAccessCounterConfig &amp;&amp; ./bin/kvcache_config_check --case=remote_access_counter</x:v>
      </x:c>
      <x:c r="S264" s="22" t="str">
        <x:v>view-vs-copy 决策准确率 ≥90%；</x:v>
      </x:c>
      <x:c r="T264" s="22" t="str">
        <x:v>SR-01-12-12</x:v>
      </x:c>
      <x:c r="U264" s="22" t="str">
        <x:v>待认领</x:v>
      </x:c>
      <x:c r="V264" s="22" t="str"/>
      <x:c r="W264" s="22" t="str"/>
      <x:c r="X264" s="22" t="str">
        <x:f>IF(COUNTIF($A$5:$A$451,A264)=1,"PASS","FAIL")</x:f>
        <x:v>PASS</x:v>
      </x:c>
      <x:c r="Y264" s="22" t="str">
        <x:f>IF(COUNTIF('SR系统设计'!$A$5:$A$153,B264)+COUNTIF('追溯与覆盖'!$A$5:$A$153,C264)=2,"PASS","FAIL")</x:f>
        <x:v>PASS</x:v>
      </x:c>
    </x:row>
    <x:row r="265" ht="84" customHeight="1">
      <x:c r="A265" s="25" t="str">
        <x:v>AR-L4-OB-RemoteAccessCounter-057-03</x:v>
      </x:c>
      <x:c r="B265" s="25" t="str">
        <x:v>SR-01-12-12</x:v>
      </x:c>
      <x:c r="C265" s="25" t="str">
        <x:v>L4-OB-RemoteAccessCounter-057</x:v>
      </x:c>
      <x:c r="D265" s="25" t="str">
        <x:v>SF-01</x:v>
      </x:c>
      <x:c r="E265" s="25" t="str">
        <x:v>IR-01-12</x:v>
      </x:c>
      <x:c r="F265" s="22" t="str">
        <x:v>L4 底层传输层</x:v>
      </x:c>
      <x:c r="G265" s="22" t="str">
        <x:v>TM6</x:v>
      </x:c>
      <x:c r="H265" s="22" t="str">
        <x:v>一致性、安全与可靠性</x:v>
      </x:c>
      <x:c r="I265" s="22" t="str">
        <x:v>P1</x:v>
      </x:c>
      <x:c r="J265" s="22" t="str">
        <x:v>P1</x:v>
      </x:c>
      <x:c r="K265" s="22" t="str">
        <x:v>验证与观测</x:v>
      </x:c>
      <x:c r="L265" s="22" t="str">
        <x:v>驱动/硬件协同开发</x:v>
      </x:c>
      <x:c r="M265" s="22" t="str">
        <x:v>tests/security/integrity/remote_access_counter_test.cc + benchmarks/security/integrity/remote_access_counter_benchmark.cc</x:v>
      </x:c>
      <x:c r="N265" s="22" t="str">
        <x:v>RemoteAccessCounterTest / RemoteAccessCounterBenchmark</x:v>
      </x:c>
      <x:c r="O265" s="22" t="str">
        <x:v>新增正常、边界、并发、超时、stale metadata、迁移冲突、路径拥塞/故障与 feature-flag-off 用例；在 benchmark 中固定模型、tokenizer、prompt、并发、拓扑和 baseline，采集 lookup/load/attach、TTFT、TPOT、usable/abandoned hit、带宽/时延及 CPU/NPU 利用率。</x:v>
      </x:c>
      <x:c r="P265" s="22" t="str">
        <x:v>验收直接引用来源指标：“view-vs-copy 决策准确率 ≥90%；”；故障用例必须证明错误 KV 不被消费且 fallback reason 可追踪。</x:v>
      </x:c>
      <x:c r="Q265" s="22" t="str">
        <x:v>来源验收项全部自动化；性能报告包含 P50/P95/P99、置信区间与 baseline；失败门槛接入 CI；测试数据和命令可复现。</x:v>
      </x:c>
      <x:c r="R265" s="22" t="str">
        <x:v>./bin/kvcache_bench --case=remote_access_counter --baseline=native --report=json</x:v>
      </x:c>
      <x:c r="S265" s="22" t="str">
        <x:v>view-vs-copy 决策准确率 ≥90%；</x:v>
      </x:c>
      <x:c r="T265" s="22" t="str">
        <x:v>SR-01-12-12</x:v>
      </x:c>
      <x:c r="U265" s="22" t="str">
        <x:v>待认领</x:v>
      </x:c>
      <x:c r="V265" s="22" t="str"/>
      <x:c r="W265" s="22" t="str"/>
      <x:c r="X265" s="22" t="str">
        <x:f>IF(COUNTIF($A$5:$A$451,A265)=1,"PASS","FAIL")</x:f>
        <x:v>PASS</x:v>
      </x:c>
      <x:c r="Y265" s="22" t="str">
        <x:f>IF(COUNTIF('SR系统设计'!$A$5:$A$153,B265)+COUNTIF('追溯与覆盖'!$A$5:$A$153,C265)=2,"PASS","FAIL")</x:f>
        <x:v>PASS</x:v>
      </x:c>
    </x:row>
    <x:row r="266" ht="84" customHeight="1">
      <x:c r="A266" s="25" t="str">
        <x:v>AR-L4-CO-AtomicRemapPrimitive-065-01</x:v>
      </x:c>
      <x:c r="B266" s="25" t="str">
        <x:v>SR-01-12-13</x:v>
      </x:c>
      <x:c r="C266" s="25" t="str">
        <x:v>L4-CO-AtomicRemapPrimitive-065</x:v>
      </x:c>
      <x:c r="D266" s="25" t="str">
        <x:v>SF-01</x:v>
      </x:c>
      <x:c r="E266" s="25" t="str">
        <x:v>IR-01-12</x:v>
      </x:c>
      <x:c r="F266" s="22" t="str">
        <x:v>L4 底层传输层</x:v>
      </x:c>
      <x:c r="G266" s="22" t="str">
        <x:v>TM5</x:v>
      </x:c>
      <x:c r="H266" s="22" t="str">
        <x:v>一致性、安全与可靠性</x:v>
      </x:c>
      <x:c r="I266" s="22" t="str">
        <x:v>P2</x:v>
      </x:c>
      <x:c r="J266" s="22" t="str">
        <x:v>P2</x:v>
      </x:c>
      <x:c r="K266" s="22" t="str">
        <x:v>核心实现</x:v>
      </x:c>
      <x:c r="L266" s="22" t="str">
        <x:v>驱动/硬件协同开发</x:v>
      </x:c>
      <x:c r="M266" s="22" t="str">
        <x:v>src/security/integrity/atomic_remap_primitive.{h,cc}</x:v>
      </x:c>
      <x:c r="N266" s="22" t="str">
        <x:v>AtomicRemapPrimitiveVerifier</x:v>
      </x:c>
      <x:c r="O266" s="22" t="str">
        <x:v>在 `src/security/integrity/atomic_remap_primitive.{h,cc}` 新增或重写 `AtomicRemapPrimitiveVerifier`，把“KV 迁移/紧凑整理期间地址无感切换”落实为 L4 底层传输层 可调用主路径：本需求要求底层传输层为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 输入必须显式消费 path evidence + security domain + object version，输出 ready/quarantine decision + error map，不得用全局单例或隐藏同步 I/O 绕开预算与状态机。</x:v>
      </x:c>
      <x:c r="P266" s="22" t="str">
        <x:v>实现 path evidence + security domain + object version → ready/quarantine decision + error map；遵守 证据不足不得 ready；完整性失败立即 quarantine、撤销句柄并切副本或重算</x:v>
      </x:c>
      <x:c r="Q266" s="22" t="str">
        <x:v>核心算法与状态转换完成；新增代码单测分支覆盖≥85%；线程安全/所有权明确；关闭 feature flag 时行为与 baseline 一致。</x:v>
      </x:c>
      <x:c r="R266" s="22" t="str">
        <x:v>ctest -R AtomicRemapPrimitive --output-on-failure</x:v>
      </x:c>
      <x:c r="S266" s="22" t="str">
        <x:v>高拥塞背景下，KVCache关键小包的P99延迟不随大流数据量线性增加。</x:v>
      </x:c>
      <x:c r="T266" s="22" t="str">
        <x:v>SR-01-12-13</x:v>
      </x:c>
      <x:c r="U266" s="22" t="str">
        <x:v>待认领</x:v>
      </x:c>
      <x:c r="V266" s="22" t="str"/>
      <x:c r="W266" s="22" t="str"/>
      <x:c r="X266" s="22" t="str">
        <x:f>IF(COUNTIF($A$5:$A$451,A266)=1,"PASS","FAIL")</x:f>
        <x:v>PASS</x:v>
      </x:c>
      <x:c r="Y266" s="22" t="str">
        <x:f>IF(COUNTIF('SR系统设计'!$A$5:$A$153,B266)+COUNTIF('追溯与覆盖'!$A$5:$A$153,C266)=2,"PASS","FAIL")</x:f>
        <x:v>PASS</x:v>
      </x:c>
    </x:row>
    <x:row r="267" ht="84" customHeight="1">
      <x:c r="A267" s="25" t="str">
        <x:v>AR-L4-CO-AtomicRemapPrimitive-065-02</x:v>
      </x:c>
      <x:c r="B267" s="25" t="str">
        <x:v>SR-01-12-13</x:v>
      </x:c>
      <x:c r="C267" s="25" t="str">
        <x:v>L4-CO-AtomicRemapPrimitive-065</x:v>
      </x:c>
      <x:c r="D267" s="25" t="str">
        <x:v>SF-01</x:v>
      </x:c>
      <x:c r="E267" s="25" t="str">
        <x:v>IR-01-12</x:v>
      </x:c>
      <x:c r="F267" s="22" t="str">
        <x:v>L4 底层传输层</x:v>
      </x:c>
      <x:c r="G267" s="22" t="str">
        <x:v>TM5</x:v>
      </x:c>
      <x:c r="H267" s="22" t="str">
        <x:v>一致性、安全与可靠性</x:v>
      </x:c>
      <x:c r="I267" s="22" t="str">
        <x:v>P2</x:v>
      </x:c>
      <x:c r="J267" s="22" t="str">
        <x:v>P2</x:v>
      </x:c>
      <x:c r="K267" s="22" t="str">
        <x:v>契约配置与降级</x:v>
      </x:c>
      <x:c r="L267" s="22" t="str">
        <x:v>驱动/硬件协同开发</x:v>
      </x:c>
      <x:c r="M267" s="22" t="str">
        <x:v>cmake/KVCacheBackends.cmake + config/backends/atomic_remap_primitive.yaml + src/backends/backend_registry.cc</x:v>
      </x:c>
      <x:c r="N267" s="22" t="str">
        <x:v>KVCACHE_ENABLE_ATOMIC_REMAP_PRIMITIVE / kvcache.atomic_remap_primitive.enabled</x:v>
      </x:c>
      <x:c r="O267" s="22" t="str">
        <x:v>增加编译开关 `KVCACHE_ENABLE_ATOMIC_REMAP_PRIMITIVE`、运行时开关 `kvcache.atomic_remap_primitive.enabled` 与 BackendRegistry 注册项；冻结 capability、descriptor、completion/fence、error mapping 与 per-path telemetry 字段，并实现“主路径→备路径→重算/冷路径”的有界 fallback。</x:v>
      </x:c>
      <x:c r="P267" s="22" t="str">
        <x:v>IDL/配置 schema 有版本号、默认值、边界校验和错误码；状态/租约/ready 不满足时按 证据不足不得 ready；完整性失败立即 quarantine、撤销句柄并切副本或重算</x:v>
      </x:c>
      <x:c r="Q267" s="22" t="str">
        <x:v>配置样例、schema 校验、升级兼容测试和回退路径齐全；任何隐式 fallback 被移除；新增指标可关联 request_id/query_plan_id/object_id/path_id。</x:v>
      </x:c>
      <x:c r="R267" s="22" t="str">
        <x:v>ctest -R AtomicRemapPrimitiveConfig &amp;&amp; ./bin/kvcache_config_check --case=atomic_remap_primitive</x:v>
      </x:c>
      <x:c r="S267" s="22" t="str">
        <x:v>高拥塞背景下，KVCache关键小包的P99延迟不随大流数据量线性增加。</x:v>
      </x:c>
      <x:c r="T267" s="22" t="str">
        <x:v>SR-01-12-13</x:v>
      </x:c>
      <x:c r="U267" s="22" t="str">
        <x:v>待认领</x:v>
      </x:c>
      <x:c r="V267" s="22" t="str"/>
      <x:c r="W267" s="22" t="str"/>
      <x:c r="X267" s="22" t="str">
        <x:f>IF(COUNTIF($A$5:$A$451,A267)=1,"PASS","FAIL")</x:f>
        <x:v>PASS</x:v>
      </x:c>
      <x:c r="Y267" s="22" t="str">
        <x:f>IF(COUNTIF('SR系统设计'!$A$5:$A$153,B267)+COUNTIF('追溯与覆盖'!$A$5:$A$153,C267)=2,"PASS","FAIL")</x:f>
        <x:v>PASS</x:v>
      </x:c>
    </x:row>
    <x:row r="268" ht="84" customHeight="1">
      <x:c r="A268" s="25" t="str">
        <x:v>AR-L4-CO-AtomicRemapPrimitive-065-03</x:v>
      </x:c>
      <x:c r="B268" s="25" t="str">
        <x:v>SR-01-12-13</x:v>
      </x:c>
      <x:c r="C268" s="25" t="str">
        <x:v>L4-CO-AtomicRemapPrimitive-065</x:v>
      </x:c>
      <x:c r="D268" s="25" t="str">
        <x:v>SF-01</x:v>
      </x:c>
      <x:c r="E268" s="25" t="str">
        <x:v>IR-01-12</x:v>
      </x:c>
      <x:c r="F268" s="22" t="str">
        <x:v>L4 底层传输层</x:v>
      </x:c>
      <x:c r="G268" s="22" t="str">
        <x:v>TM5</x:v>
      </x:c>
      <x:c r="H268" s="22" t="str">
        <x:v>一致性、安全与可靠性</x:v>
      </x:c>
      <x:c r="I268" s="22" t="str">
        <x:v>P2</x:v>
      </x:c>
      <x:c r="J268" s="22" t="str">
        <x:v>P2</x:v>
      </x:c>
      <x:c r="K268" s="22" t="str">
        <x:v>验证与观测</x:v>
      </x:c>
      <x:c r="L268" s="22" t="str">
        <x:v>驱动/硬件协同开发</x:v>
      </x:c>
      <x:c r="M268" s="22" t="str">
        <x:v>tests/security/integrity/atomic_remap_primitive_test.cc + benchmarks/security/integrity/atomic_remap_primitive_benchmark.cc</x:v>
      </x:c>
      <x:c r="N268" s="22" t="str">
        <x:v>AtomicRemapPrimitiveTest / AtomicRemapPrimitiveBenchmark</x:v>
      </x:c>
      <x:c r="O268" s="22" t="str">
        <x:v>新增正常、边界、并发、超时、stale metadata、迁移冲突、路径拥塞/故障与 feature-flag-off 用例；在 benchmark 中固定模型、tokenizer、prompt、并发、拓扑和 baseline，采集 lookup/load/attach、TTFT、TPOT、usable/abandoned hit、带宽/时延及 CPU/NPU 利用率。</x:v>
      </x:c>
      <x:c r="P268" s="22" t="str">
        <x:v>验收直接引用来源指标：“高拥塞背景下，KVCache关键小包的P99延迟不随大流数据量线性增加。”；故障用例必须证明错误 KV 不被消费且 fallback reason 可追踪。</x:v>
      </x:c>
      <x:c r="Q268" s="22" t="str">
        <x:v>来源验收项全部自动化；性能报告包含 P50/P95/P99、置信区间与 baseline；失败门槛接入 CI；测试数据和命令可复现。</x:v>
      </x:c>
      <x:c r="R268" s="22" t="str">
        <x:v>./bin/kvcache_bench --case=atomic_remap_primitive --baseline=native --report=json</x:v>
      </x:c>
      <x:c r="S268" s="22" t="str">
        <x:v>高拥塞背景下，KVCache关键小包的P99延迟不随大流数据量线性增加。</x:v>
      </x:c>
      <x:c r="T268" s="22" t="str">
        <x:v>SR-01-12-13</x:v>
      </x:c>
      <x:c r="U268" s="22" t="str">
        <x:v>待认领</x:v>
      </x:c>
      <x:c r="V268" s="22" t="str"/>
      <x:c r="W268" s="22" t="str"/>
      <x:c r="X268" s="22" t="str">
        <x:f>IF(COUNTIF($A$5:$A$451,A268)=1,"PASS","FAIL")</x:f>
        <x:v>PASS</x:v>
      </x:c>
      <x:c r="Y268" s="22" t="str">
        <x:f>IF(COUNTIF('SR系统设计'!$A$5:$A$153,B268)+COUNTIF('追溯与覆盖'!$A$5:$A$153,C268)=2,"PASS","FAIL")</x:f>
        <x:v>PASS</x:v>
      </x:c>
    </x:row>
    <x:row r="269" ht="84" customHeight="1">
      <x:c r="A269" s="25" t="str">
        <x:v>AR-L4-SC-SecureExtentRelease-074-01</x:v>
      </x:c>
      <x:c r="B269" s="25" t="str">
        <x:v>SR-01-12-14</x:v>
      </x:c>
      <x:c r="C269" s="25" t="str">
        <x:v>L4-SC-SecureExtentRelease-074</x:v>
      </x:c>
      <x:c r="D269" s="25" t="str">
        <x:v>SF-01</x:v>
      </x:c>
      <x:c r="E269" s="25" t="str">
        <x:v>IR-01-12</x:v>
      </x:c>
      <x:c r="F269" s="22" t="str">
        <x:v>L4 底层传输层</x:v>
      </x:c>
      <x:c r="G269" s="22" t="str">
        <x:v>TM5</x:v>
      </x:c>
      <x:c r="H269" s="22" t="str">
        <x:v>一致性、安全与可靠性</x:v>
      </x:c>
      <x:c r="I269" s="22" t="str">
        <x:v>P2</x:v>
      </x:c>
      <x:c r="J269" s="22" t="str">
        <x:v>P2</x:v>
      </x:c>
      <x:c r="K269" s="22" t="str">
        <x:v>核心实现</x:v>
      </x:c>
      <x:c r="L269" s="22" t="str">
        <x:v>驱动/硬件协同开发</x:v>
      </x:c>
      <x:c r="M269" s="22" t="str">
        <x:v>src/security/integrity/secure_extent_release.{h,cc}</x:v>
      </x:c>
      <x:c r="N269" s="22" t="str">
        <x:v>SecureExtentReleaseVerifier</x:v>
      </x:c>
      <x:c r="O269" s="22" t="str">
        <x:v>在 `src/security/integrity/secure_extent_release.{h,cc}` 新增或重写 `SecureExtentReleaseVerifier`，把“KV 物理空间安全复用”落实为 L4 底层传输层 可调用主路径：本需求要求底层支持 KV extent 安全释放：对跨租户或安全域复用的 HBM/DDR/SSD extent，在释放或重新分配前执行 zero-fill、crypto erase 或 poison isolation，并向 L3 返回 release completion。 输入必须显式消费 path evidence + security domain + object version，输出 ready/quarantine decision + error map，不得用全局单例或隐藏同步 I/O 绕开预算与状态机。</x:v>
      </x:c>
      <x:c r="P269" s="22" t="str">
        <x:v>实现 path evidence + security domain + object version → ready/quarantine decision + error map；遵守 证据不足不得 ready；完整性失败立即 quarantine、撤销句柄并切副本或重算</x:v>
      </x:c>
      <x:c r="Q269" s="22" t="str">
        <x:v>核心算法与状态转换完成；新增代码单测分支覆盖≥85%；线程安全/所有权明确；关闭 feature flag 时行为与 baseline 一致。</x:v>
      </x:c>
      <x:c r="R269" s="22" t="str">
        <x:v>ctest -R SecureExtentRelease --output-on-failure</x:v>
      </x:c>
      <x:c r="S269" s="22" t="str">
        <x:v>在极高并发下OOM、非法内存访问(Segfault)、租户数据串模率为0。</x:v>
      </x:c>
      <x:c r="T269" s="22" t="str">
        <x:v>SR-01-12-14</x:v>
      </x:c>
      <x:c r="U269" s="22" t="str">
        <x:v>待认领</x:v>
      </x:c>
      <x:c r="V269" s="22" t="str"/>
      <x:c r="W269" s="22" t="str"/>
      <x:c r="X269" s="22" t="str">
        <x:f>IF(COUNTIF($A$5:$A$451,A269)=1,"PASS","FAIL")</x:f>
        <x:v>PASS</x:v>
      </x:c>
      <x:c r="Y269" s="22" t="str">
        <x:f>IF(COUNTIF('SR系统设计'!$A$5:$A$153,B269)+COUNTIF('追溯与覆盖'!$A$5:$A$153,C269)=2,"PASS","FAIL")</x:f>
        <x:v>PASS</x:v>
      </x:c>
    </x:row>
    <x:row r="270" ht="84" customHeight="1">
      <x:c r="A270" s="25" t="str">
        <x:v>AR-L4-SC-SecureExtentRelease-074-02</x:v>
      </x:c>
      <x:c r="B270" s="25" t="str">
        <x:v>SR-01-12-14</x:v>
      </x:c>
      <x:c r="C270" s="25" t="str">
        <x:v>L4-SC-SecureExtentRelease-074</x:v>
      </x:c>
      <x:c r="D270" s="25" t="str">
        <x:v>SF-01</x:v>
      </x:c>
      <x:c r="E270" s="25" t="str">
        <x:v>IR-01-12</x:v>
      </x:c>
      <x:c r="F270" s="22" t="str">
        <x:v>L4 底层传输层</x:v>
      </x:c>
      <x:c r="G270" s="22" t="str">
        <x:v>TM5</x:v>
      </x:c>
      <x:c r="H270" s="22" t="str">
        <x:v>一致性、安全与可靠性</x:v>
      </x:c>
      <x:c r="I270" s="22" t="str">
        <x:v>P2</x:v>
      </x:c>
      <x:c r="J270" s="22" t="str">
        <x:v>P2</x:v>
      </x:c>
      <x:c r="K270" s="22" t="str">
        <x:v>契约配置与降级</x:v>
      </x:c>
      <x:c r="L270" s="22" t="str">
        <x:v>驱动/硬件协同开发</x:v>
      </x:c>
      <x:c r="M270" s="22" t="str">
        <x:v>cmake/KVCacheBackends.cmake + config/backends/secure_extent_release.yaml + src/backends/backend_registry.cc</x:v>
      </x:c>
      <x:c r="N270" s="22" t="str">
        <x:v>KVCACHE_ENABLE_SECURE_EXTENT_RELEASE / kvcache.secure_extent_release.enabled</x:v>
      </x:c>
      <x:c r="O270" s="22" t="str">
        <x:v>增加编译开关 `KVCACHE_ENABLE_SECURE_EXTENT_RELEASE`、运行时开关 `kvcache.secure_extent_release.enabled` 与 BackendRegistry 注册项；冻结 capability、descriptor、completion/fence、error mapping 与 per-path telemetry 字段，并实现“主路径→备路径→重算/冷路径”的有界 fallback。</x:v>
      </x:c>
      <x:c r="P270" s="22" t="str">
        <x:v>IDL/配置 schema 有版本号、默认值、边界校验和错误码；状态/租约/ready 不满足时按 证据不足不得 ready；完整性失败立即 quarantine、撤销句柄并切副本或重算</x:v>
      </x:c>
      <x:c r="Q270" s="22" t="str">
        <x:v>配置样例、schema 校验、升级兼容测试和回退路径齐全；任何隐式 fallback 被移除；新增指标可关联 request_id/query_plan_id/object_id/path_id。</x:v>
      </x:c>
      <x:c r="R270" s="22" t="str">
        <x:v>ctest -R SecureExtentReleaseConfig &amp;&amp; ./bin/kvcache_config_check --case=secure_extent_release</x:v>
      </x:c>
      <x:c r="S270" s="22" t="str">
        <x:v>在极高并发下OOM、非法内存访问(Segfault)、租户数据串模率为0。</x:v>
      </x:c>
      <x:c r="T270" s="22" t="str">
        <x:v>SR-01-12-14</x:v>
      </x:c>
      <x:c r="U270" s="22" t="str">
        <x:v>待认领</x:v>
      </x:c>
      <x:c r="V270" s="22" t="str"/>
      <x:c r="W270" s="22" t="str"/>
      <x:c r="X270" s="22" t="str">
        <x:f>IF(COUNTIF($A$5:$A$451,A270)=1,"PASS","FAIL")</x:f>
        <x:v>PASS</x:v>
      </x:c>
      <x:c r="Y270" s="22" t="str">
        <x:f>IF(COUNTIF('SR系统设计'!$A$5:$A$153,B270)+COUNTIF('追溯与覆盖'!$A$5:$A$153,C270)=2,"PASS","FAIL")</x:f>
        <x:v>PASS</x:v>
      </x:c>
    </x:row>
    <x:row r="271" ht="84" customHeight="1">
      <x:c r="A271" s="25" t="str">
        <x:v>AR-L4-SC-SecureExtentRelease-074-03</x:v>
      </x:c>
      <x:c r="B271" s="25" t="str">
        <x:v>SR-01-12-14</x:v>
      </x:c>
      <x:c r="C271" s="25" t="str">
        <x:v>L4-SC-SecureExtentRelease-074</x:v>
      </x:c>
      <x:c r="D271" s="25" t="str">
        <x:v>SF-01</x:v>
      </x:c>
      <x:c r="E271" s="25" t="str">
        <x:v>IR-01-12</x:v>
      </x:c>
      <x:c r="F271" s="22" t="str">
        <x:v>L4 底层传输层</x:v>
      </x:c>
      <x:c r="G271" s="22" t="str">
        <x:v>TM5</x:v>
      </x:c>
      <x:c r="H271" s="22" t="str">
        <x:v>一致性、安全与可靠性</x:v>
      </x:c>
      <x:c r="I271" s="22" t="str">
        <x:v>P2</x:v>
      </x:c>
      <x:c r="J271" s="22" t="str">
        <x:v>P2</x:v>
      </x:c>
      <x:c r="K271" s="22" t="str">
        <x:v>验证与观测</x:v>
      </x:c>
      <x:c r="L271" s="22" t="str">
        <x:v>驱动/硬件协同开发</x:v>
      </x:c>
      <x:c r="M271" s="22" t="str">
        <x:v>tests/security/integrity/secure_extent_release_test.cc + benchmarks/security/integrity/secure_extent_release_benchmark.cc</x:v>
      </x:c>
      <x:c r="N271" s="22" t="str">
        <x:v>SecureExtentReleaseTest / SecureExtentReleaseBenchmark</x:v>
      </x:c>
      <x:c r="O271" s="22" t="str">
        <x:v>新增正常、边界、并发、超时、stale metadata、迁移冲突、路径拥塞/故障与 feature-flag-off 用例；在 benchmark 中固定模型、tokenizer、prompt、并发、拓扑和 baseline，采集 lookup/load/attach、TTFT、TPOT、usable/abandoned hit、带宽/时延及 CPU/NPU 利用率。</x:v>
      </x:c>
      <x:c r="P271" s="22" t="str">
        <x:v>验收直接引用来源指标：“在极高并发下OOM、非法内存访问(Segfault)、租户数据串模率为0。”；故障用例必须证明错误 KV 不被消费且 fallback reason 可追踪。</x:v>
      </x:c>
      <x:c r="Q271" s="22" t="str">
        <x:v>来源验收项全部自动化；性能报告包含 P50/P95/P99、置信区间与 baseline；失败门槛接入 CI；测试数据和命令可复现。</x:v>
      </x:c>
      <x:c r="R271" s="22" t="str">
        <x:v>./bin/kvcache_bench --case=secure_extent_release --baseline=native --report=json</x:v>
      </x:c>
      <x:c r="S271" s="22" t="str">
        <x:v>在极高并发下OOM、非法内存访问(Segfault)、租户数据串模率为0。</x:v>
      </x:c>
      <x:c r="T271" s="22" t="str">
        <x:v>SR-01-12-14</x:v>
      </x:c>
      <x:c r="U271" s="22" t="str">
        <x:v>待认领</x:v>
      </x:c>
      <x:c r="V271" s="22" t="str"/>
      <x:c r="W271" s="22" t="str"/>
      <x:c r="X271" s="22" t="str">
        <x:f>IF(COUNTIF($A$5:$A$451,A271)=1,"PASS","FAIL")</x:f>
        <x:v>PASS</x:v>
      </x:c>
      <x:c r="Y271" s="22" t="str">
        <x:f>IF(COUNTIF('SR系统设计'!$A$5:$A$153,B271)+COUNTIF('追溯与覆盖'!$A$5:$A$153,C271)=2,"PASS","FAIL")</x:f>
        <x:v>PASS</x:v>
      </x:c>
    </x:row>
    <x:row r="272" ht="84" customHeight="1">
      <x:c r="A272" s="25" t="str">
        <x:v>AR-L4-CO-PageMigration-063-01</x:v>
      </x:c>
      <x:c r="B272" s="25" t="str">
        <x:v>SR-01-12-15</x:v>
      </x:c>
      <x:c r="C272" s="25" t="str">
        <x:v>L4-CO-PageMigration-063</x:v>
      </x:c>
      <x:c r="D272" s="25" t="str">
        <x:v>SF-01</x:v>
      </x:c>
      <x:c r="E272" s="25" t="str">
        <x:v>IR-01-12</x:v>
      </x:c>
      <x:c r="F272" s="22" t="str">
        <x:v>L4 底层传输层</x:v>
      </x:c>
      <x:c r="G272" s="22" t="str">
        <x:v>TM5</x:v>
      </x:c>
      <x:c r="H272" s="22" t="str">
        <x:v>一致性、安全与可靠性</x:v>
      </x:c>
      <x:c r="I272" s="22" t="str">
        <x:v>P3</x:v>
      </x:c>
      <x:c r="J272" s="22" t="str">
        <x:v>P3</x:v>
      </x:c>
      <x:c r="K272" s="22" t="str">
        <x:v>核心实现</x:v>
      </x:c>
      <x:c r="L272" s="22" t="str">
        <x:v>驱动/硬件协同开发</x:v>
      </x:c>
      <x:c r="M272" s="22" t="str">
        <x:v>src/security/integrity/page_migration.{h,cc}</x:v>
      </x:c>
      <x:c r="N272" s="22" t="str">
        <x:v>PageMigrationVerifier</x:v>
      </x:c>
      <x:c r="O272" s="22" t="str">
        <x:v>在 `src/security/integrity/page_migration.{h,cc}` 新增或重写 `PageMigrationVerifier`，把“硬件级零拷贝内存重组”落实为 L4 底层传输层 可调用主路径：本需求要求底层传输层提供硬件级页迁移（Page Migration）与大页（Hugepage）重组原语，允许在不更改上层虚拟地址（GAP/指针）的前提下，在硬件层原子级完成物理内存页复制与 IOMMU/TLB 刷新。 输入必须显式消费 path evidence + security domain + object version，输出 ready/quarantine decision + error map，不得用全局单例或隐藏同步 I/O 绕开预算与状态机。</x:v>
      </x:c>
      <x:c r="P272" s="22" t="str">
        <x:v>实现 path evidence + security domain + object version → ready/quarantine decision + error map；遵守 证据不足不得 ready；完整性失败立即 quarantine、撤销句柄并切副本或重算</x:v>
      </x:c>
      <x:c r="Q272" s="22" t="str">
        <x:v>核心算法与状态转换完成；新增代码单测分支覆盖≥85%；线程安全/所有权明确；关闭 feature flag 时行为与 baseline 一致。</x:v>
      </x:c>
      <x:c r="R272" s="22" t="str">
        <x:v>ctest -R PageMigration --output-on-failure</x:v>
      </x:c>
      <x:c r="S272" s="22" t="str">
        <x:v>探索直接视图(direct view)、硬件多播及硬件原子页迁移等远期能力，避免 TPOT 被直接视图意外拖慢，不强求 &lt;500ns 等极端指标。</x:v>
      </x:c>
      <x:c r="T272" s="22" t="str">
        <x:v>SR-01-12-15</x:v>
      </x:c>
      <x:c r="U272" s="22" t="str">
        <x:v>待认领</x:v>
      </x:c>
      <x:c r="V272" s="22" t="str"/>
      <x:c r="W272" s="22" t="str"/>
      <x:c r="X272" s="22" t="str">
        <x:f>IF(COUNTIF($A$5:$A$451,A272)=1,"PASS","FAIL")</x:f>
        <x:v>PASS</x:v>
      </x:c>
      <x:c r="Y272" s="22" t="str">
        <x:f>IF(COUNTIF('SR系统设计'!$A$5:$A$153,B272)+COUNTIF('追溯与覆盖'!$A$5:$A$153,C272)=2,"PASS","FAIL")</x:f>
        <x:v>PASS</x:v>
      </x:c>
    </x:row>
    <x:row r="273" ht="84" customHeight="1">
      <x:c r="A273" s="25" t="str">
        <x:v>AR-L4-CO-PageMigration-063-02</x:v>
      </x:c>
      <x:c r="B273" s="25" t="str">
        <x:v>SR-01-12-15</x:v>
      </x:c>
      <x:c r="C273" s="25" t="str">
        <x:v>L4-CO-PageMigration-063</x:v>
      </x:c>
      <x:c r="D273" s="25" t="str">
        <x:v>SF-01</x:v>
      </x:c>
      <x:c r="E273" s="25" t="str">
        <x:v>IR-01-12</x:v>
      </x:c>
      <x:c r="F273" s="22" t="str">
        <x:v>L4 底层传输层</x:v>
      </x:c>
      <x:c r="G273" s="22" t="str">
        <x:v>TM5</x:v>
      </x:c>
      <x:c r="H273" s="22" t="str">
        <x:v>一致性、安全与可靠性</x:v>
      </x:c>
      <x:c r="I273" s="22" t="str">
        <x:v>P3</x:v>
      </x:c>
      <x:c r="J273" s="22" t="str">
        <x:v>P3</x:v>
      </x:c>
      <x:c r="K273" s="22" t="str">
        <x:v>契约配置与降级</x:v>
      </x:c>
      <x:c r="L273" s="22" t="str">
        <x:v>驱动/硬件协同开发</x:v>
      </x:c>
      <x:c r="M273" s="22" t="str">
        <x:v>cmake/KVCacheBackends.cmake + config/backends/page_migration.yaml + src/backends/backend_registry.cc</x:v>
      </x:c>
      <x:c r="N273" s="22" t="str">
        <x:v>KVCACHE_ENABLE_PAGE_MIGRATION / kvcache.page_migration.enabled</x:v>
      </x:c>
      <x:c r="O273" s="22" t="str">
        <x:v>增加编译开关 `KVCACHE_ENABLE_PAGE_MIGRATION`、运行时开关 `kvcache.page_migration.enabled` 与 BackendRegistry 注册项；冻结 capability、descriptor、completion/fence、error mapping 与 per-path telemetry 字段，并实现“主路径→备路径→重算/冷路径”的有界 fallback。</x:v>
      </x:c>
      <x:c r="P273" s="22" t="str">
        <x:v>IDL/配置 schema 有版本号、默认值、边界校验和错误码；状态/租约/ready 不满足时按 证据不足不得 ready；完整性失败立即 quarantine、撤销句柄并切副本或重算</x:v>
      </x:c>
      <x:c r="Q273" s="22" t="str">
        <x:v>配置样例、schema 校验、升级兼容测试和回退路径齐全；任何隐式 fallback 被移除；新增指标可关联 request_id/query_plan_id/object_id/path_id。</x:v>
      </x:c>
      <x:c r="R273" s="22" t="str">
        <x:v>ctest -R PageMigrationConfig &amp;&amp; ./bin/kvcache_config_check --case=page_migration</x:v>
      </x:c>
      <x:c r="S273" s="22" t="str">
        <x:v>探索直接视图(direct view)、硬件多播及硬件原子页迁移等远期能力，避免 TPOT 被直接视图意外拖慢，不强求 &lt;500ns 等极端指标。</x:v>
      </x:c>
      <x:c r="T273" s="22" t="str">
        <x:v>SR-01-12-15</x:v>
      </x:c>
      <x:c r="U273" s="22" t="str">
        <x:v>待认领</x:v>
      </x:c>
      <x:c r="V273" s="22" t="str"/>
      <x:c r="W273" s="22" t="str"/>
      <x:c r="X273" s="22" t="str">
        <x:f>IF(COUNTIF($A$5:$A$451,A273)=1,"PASS","FAIL")</x:f>
        <x:v>PASS</x:v>
      </x:c>
      <x:c r="Y273" s="22" t="str">
        <x:f>IF(COUNTIF('SR系统设计'!$A$5:$A$153,B273)+COUNTIF('追溯与覆盖'!$A$5:$A$153,C273)=2,"PASS","FAIL")</x:f>
        <x:v>PASS</x:v>
      </x:c>
    </x:row>
    <x:row r="274" ht="84" customHeight="1">
      <x:c r="A274" s="25" t="str">
        <x:v>AR-L4-CO-PageMigration-063-03</x:v>
      </x:c>
      <x:c r="B274" s="25" t="str">
        <x:v>SR-01-12-15</x:v>
      </x:c>
      <x:c r="C274" s="25" t="str">
        <x:v>L4-CO-PageMigration-063</x:v>
      </x:c>
      <x:c r="D274" s="25" t="str">
        <x:v>SF-01</x:v>
      </x:c>
      <x:c r="E274" s="25" t="str">
        <x:v>IR-01-12</x:v>
      </x:c>
      <x:c r="F274" s="22" t="str">
        <x:v>L4 底层传输层</x:v>
      </x:c>
      <x:c r="G274" s="22" t="str">
        <x:v>TM5</x:v>
      </x:c>
      <x:c r="H274" s="22" t="str">
        <x:v>一致性、安全与可靠性</x:v>
      </x:c>
      <x:c r="I274" s="22" t="str">
        <x:v>P3</x:v>
      </x:c>
      <x:c r="J274" s="22" t="str">
        <x:v>P3</x:v>
      </x:c>
      <x:c r="K274" s="22" t="str">
        <x:v>验证与观测</x:v>
      </x:c>
      <x:c r="L274" s="22" t="str">
        <x:v>驱动/硬件协同开发</x:v>
      </x:c>
      <x:c r="M274" s="22" t="str">
        <x:v>tests/security/integrity/page_migration_test.cc + benchmarks/security/integrity/page_migration_benchmark.cc</x:v>
      </x:c>
      <x:c r="N274" s="22" t="str">
        <x:v>PageMigrationTest / PageMigrationBenchmark</x:v>
      </x:c>
      <x:c r="O274" s="22" t="str">
        <x:v>新增正常、边界、并发、超时、stale metadata、迁移冲突、路径拥塞/故障与 feature-flag-off 用例；在 benchmark 中固定模型、tokenizer、prompt、并发、拓扑和 baseline，采集 lookup/load/attach、TTFT、TPOT、usable/abandoned hit、带宽/时延及 CPU/NPU 利用率。</x:v>
      </x:c>
      <x:c r="P274"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274" s="22" t="str">
        <x:v>来源验收项全部自动化；性能报告包含 P50/P95/P99、置信区间与 baseline；失败门槛接入 CI；测试数据和命令可复现。</x:v>
      </x:c>
      <x:c r="R274" s="22" t="str">
        <x:v>./bin/kvcache_bench --case=page_migration --baseline=native --report=json</x:v>
      </x:c>
      <x:c r="S274" s="22" t="str">
        <x:v>探索直接视图(direct view)、硬件多播及硬件原子页迁移等远期能力，避免 TPOT 被直接视图意外拖慢，不强求 &lt;500ns 等极端指标。</x:v>
      </x:c>
      <x:c r="T274" s="22" t="str">
        <x:v>SR-01-12-15</x:v>
      </x:c>
      <x:c r="U274" s="22" t="str">
        <x:v>待认领</x:v>
      </x:c>
      <x:c r="V274" s="22" t="str"/>
      <x:c r="W274" s="22" t="str"/>
      <x:c r="X274" s="22" t="str">
        <x:f>IF(COUNTIF($A$5:$A$451,A274)=1,"PASS","FAIL")</x:f>
        <x:v>PASS</x:v>
      </x:c>
      <x:c r="Y274" s="22" t="str">
        <x:f>IF(COUNTIF('SR系统设计'!$A$5:$A$153,B274)+COUNTIF('追溯与覆盖'!$A$5:$A$153,C274)=2,"PASS","FAIL")</x:f>
        <x:v>PASS</x:v>
      </x:c>
    </x:row>
    <x:row r="275" ht="84" customHeight="1">
      <x:c r="A275" s="25" t="str">
        <x:v>AR-L2-CONN-API-STD-001-01</x:v>
      </x:c>
      <x:c r="B275" s="25" t="str">
        <x:v>SR-02-01-01</x:v>
      </x:c>
      <x:c r="C275" s="25" t="str">
        <x:v>L2-CONN-API-STD-001</x:v>
      </x:c>
      <x:c r="D275" s="25" t="str">
        <x:v>SF-02</x:v>
      </x:c>
      <x:c r="E275" s="25" t="str">
        <x:v>IR-02-01</x:v>
      </x:c>
      <x:c r="F275" s="22" t="str">
        <x:v>L2 KVConnector层</x:v>
      </x:c>
      <x:c r="G275" s="22" t="str">
        <x:v>TM1</x:v>
      </x:c>
      <x:c r="H275" s="22" t="str">
        <x:v>统一协议与标准接口</x:v>
      </x:c>
      <x:c r="I275" s="22" t="str">
        <x:v>P0</x:v>
      </x:c>
      <x:c r="J275" s="22" t="str">
        <x:v>P0</x:v>
      </x:c>
      <x:c r="K275" s="22" t="str">
        <x:v>核心实现</x:v>
      </x:c>
      <x:c r="L275" s="22" t="str">
        <x:v>Connector开发</x:v>
      </x:c>
      <x:c r="M275" s="22" t="str">
        <x:v>src/api/connector/api_std.{h,cc}</x:v>
      </x:c>
      <x:c r="N275" s="22" t="str">
        <x:v>APISTDAdapter</x:v>
      </x:c>
      <x:c r="O275" s="22" t="str">
        <x:v>在 `src/api/connector/api_std.{h,cc}` 新增或重写 `APISTDAdapter`，把“统一接口标准化”落实为 L2 KVConnector层 可调用主路径：本需求要求定义并实施统一的KVConnector Protocol标准接口（Python Protocol + gRPC IDL双形式），覆盖put/get/prefetch/evict/get_status/get_transport_stats六类操作，制定KVPage/{ptr, mem_type, size, layer_idx}和KVMeta/{model_id, prefix_hash, dtype, kv_shape}标… 输入必须显式消费 framework intent + semantic identity + budget，输出 versioned request/response + typed error/fallback，不得用全局单例或隐藏同步 I/O 绕开预算与状态机。</x:v>
      </x:c>
      <x:c r="P275" s="22" t="str">
        <x:v>实现 framework intent + semantic identity + budget → versioned request/response + typed error/fallback；遵守 版本不兼容拒绝消费；feature flag关闭时恢复原生框架路径</x:v>
      </x:c>
      <x:c r="Q275" s="22" t="str">
        <x:v>核心算法与状态转换完成；新增代码单测分支覆盖≥85%；线程安全/所有权明确；关闭 feature flag 时行为与 baseline 一致。</x:v>
      </x:c>
      <x:c r="R275" s="22" t="str">
        <x:v>ctest -R APISTD --output-on-failure</x:v>
      </x:c>
      <x:c r="S275" s="22" t="str">
        <x:v>Prefix命中判定P99耗时 &lt; 200us；在Share-Prefix业务下，Usable Hit Rate提升≥15%。</x:v>
      </x:c>
      <x:c r="T275" s="22" t="str">
        <x:v>SR-02-01-01</x:v>
      </x:c>
      <x:c r="U275" s="22" t="str">
        <x:v>待认领</x:v>
      </x:c>
      <x:c r="V275" s="22" t="str"/>
      <x:c r="W275" s="22" t="str"/>
      <x:c r="X275" s="22" t="str">
        <x:f>IF(COUNTIF($A$5:$A$451,A275)=1,"PASS","FAIL")</x:f>
        <x:v>PASS</x:v>
      </x:c>
      <x:c r="Y275" s="22" t="str">
        <x:f>IF(COUNTIF('SR系统设计'!$A$5:$A$153,B275)+COUNTIF('追溯与覆盖'!$A$5:$A$153,C275)=2,"PASS","FAIL")</x:f>
        <x:v>PASS</x:v>
      </x:c>
    </x:row>
    <x:row r="276" ht="84" customHeight="1">
      <x:c r="A276" s="25" t="str">
        <x:v>AR-L2-CONN-API-STD-001-02</x:v>
      </x:c>
      <x:c r="B276" s="25" t="str">
        <x:v>SR-02-01-01</x:v>
      </x:c>
      <x:c r="C276" s="25" t="str">
        <x:v>L2-CONN-API-STD-001</x:v>
      </x:c>
      <x:c r="D276" s="25" t="str">
        <x:v>SF-02</x:v>
      </x:c>
      <x:c r="E276" s="25" t="str">
        <x:v>IR-02-01</x:v>
      </x:c>
      <x:c r="F276" s="22" t="str">
        <x:v>L2 KVConnector层</x:v>
      </x:c>
      <x:c r="G276" s="22" t="str">
        <x:v>TM1</x:v>
      </x:c>
      <x:c r="H276" s="22" t="str">
        <x:v>统一协议与标准接口</x:v>
      </x:c>
      <x:c r="I276" s="22" t="str">
        <x:v>P0</x:v>
      </x:c>
      <x:c r="J276" s="22" t="str">
        <x:v>P0</x:v>
      </x:c>
      <x:c r="K276" s="22" t="str">
        <x:v>契约配置与降级</x:v>
      </x:c>
      <x:c r="L276" s="22" t="str">
        <x:v>Connector开发</x:v>
      </x:c>
      <x:c r="M276" s="22" t="str">
        <x:v>api/kvcache/v1/api_std.proto + config/runtime/api_std.yaml</x:v>
      </x:c>
      <x:c r="N276" s="22" t="str">
        <x:v>APISTDOptions / kvcache.api_std.enabled</x:v>
      </x:c>
      <x:c r="O276" s="22" t="str">
        <x:v>为 `APISTDOptions` 增加 `kvcache.api_std.enabled`、deadline/容量/队列预算及版本字段；在调用点接入 typed error、decision_reason、fallback_reason，确保配置热更新、灰度关闭和向后兼容均可审计。</x:v>
      </x:c>
      <x:c r="P276" s="22" t="str">
        <x:v>IDL/配置 schema 有版本号、默认值、边界校验和错误码；状态/租约/ready 不满足时按 版本不兼容拒绝消费；feature flag关闭时恢复原生框架路径</x:v>
      </x:c>
      <x:c r="Q276" s="22" t="str">
        <x:v>配置样例、schema 校验、升级兼容测试和回退路径齐全；任何隐式 fallback 被移除；新增指标可关联 request_id/query_plan_id/object_id/path_id。</x:v>
      </x:c>
      <x:c r="R276" s="22" t="str">
        <x:v>ctest -R APISTDConfig &amp;&amp; ./bin/kvcache_config_check --case=api_std</x:v>
      </x:c>
      <x:c r="S276" s="22" t="str">
        <x:v>Prefix命中判定P99耗时 &lt; 200us；在Share-Prefix业务下，Usable Hit Rate提升≥15%。</x:v>
      </x:c>
      <x:c r="T276" s="22" t="str">
        <x:v>SR-02-01-01</x:v>
      </x:c>
      <x:c r="U276" s="22" t="str">
        <x:v>待认领</x:v>
      </x:c>
      <x:c r="V276" s="22" t="str"/>
      <x:c r="W276" s="22" t="str"/>
      <x:c r="X276" s="22" t="str">
        <x:f>IF(COUNTIF($A$5:$A$451,A276)=1,"PASS","FAIL")</x:f>
        <x:v>PASS</x:v>
      </x:c>
      <x:c r="Y276" s="22" t="str">
        <x:f>IF(COUNTIF('SR系统设计'!$A$5:$A$153,B276)+COUNTIF('追溯与覆盖'!$A$5:$A$153,C276)=2,"PASS","FAIL")</x:f>
        <x:v>PASS</x:v>
      </x:c>
    </x:row>
    <x:row r="277" ht="84" customHeight="1">
      <x:c r="A277" s="25" t="str">
        <x:v>AR-L2-CONN-API-STD-001-03</x:v>
      </x:c>
      <x:c r="B277" s="25" t="str">
        <x:v>SR-02-01-01</x:v>
      </x:c>
      <x:c r="C277" s="25" t="str">
        <x:v>L2-CONN-API-STD-001</x:v>
      </x:c>
      <x:c r="D277" s="25" t="str">
        <x:v>SF-02</x:v>
      </x:c>
      <x:c r="E277" s="25" t="str">
        <x:v>IR-02-01</x:v>
      </x:c>
      <x:c r="F277" s="22" t="str">
        <x:v>L2 KVConnector层</x:v>
      </x:c>
      <x:c r="G277" s="22" t="str">
        <x:v>TM1</x:v>
      </x:c>
      <x:c r="H277" s="22" t="str">
        <x:v>统一协议与标准接口</x:v>
      </x:c>
      <x:c r="I277" s="22" t="str">
        <x:v>P0</x:v>
      </x:c>
      <x:c r="J277" s="22" t="str">
        <x:v>P0</x:v>
      </x:c>
      <x:c r="K277" s="22" t="str">
        <x:v>验证与观测</x:v>
      </x:c>
      <x:c r="L277" s="22" t="str">
        <x:v>Connector开发</x:v>
      </x:c>
      <x:c r="M277" s="22" t="str">
        <x:v>tests/api/connector/api_std_test.cc + benchmarks/api/connector/api_std_benchmark.cc</x:v>
      </x:c>
      <x:c r="N277" s="22" t="str">
        <x:v>APISTDTest / APISTDBenchmark</x:v>
      </x:c>
      <x:c r="O277" s="22" t="str">
        <x:v>新增正常、边界、并发、超时、stale metadata、迁移冲突、路径拥塞/故障与 feature-flag-off 用例；在 benchmark 中固定模型、tokenizer、prompt、并发、拓扑和 baseline，采集 lookup/load/attach、TTFT、TPOT、usable/abandoned hit、带宽/时延及 CPU/NPU 利用率。</x:v>
      </x:c>
      <x:c r="P277" s="22" t="str">
        <x:v>验收直接引用来源指标：“Prefix命中判定P99耗时 &lt; 200us；在Share-Prefix业务下，Usable Hit Rate提升≥15%。”；故障用例必须证明错误 KV 不被消费且 fallback reason 可追踪。</x:v>
      </x:c>
      <x:c r="Q277" s="22" t="str">
        <x:v>来源验收项全部自动化；性能报告包含 P50/P95/P99、置信区间与 baseline；失败门槛接入 CI；测试数据和命令可复现。</x:v>
      </x:c>
      <x:c r="R277" s="22" t="str">
        <x:v>./bin/kvcache_bench --case=api_std --baseline=native --report=json</x:v>
      </x:c>
      <x:c r="S277" s="22" t="str">
        <x:v>Prefix命中判定P99耗时 &lt; 200us；在Share-Prefix业务下，Usable Hit Rate提升≥15%。</x:v>
      </x:c>
      <x:c r="T277" s="22" t="str">
        <x:v>SR-02-01-01</x:v>
      </x:c>
      <x:c r="U277" s="22" t="str">
        <x:v>待认领</x:v>
      </x:c>
      <x:c r="V277" s="22" t="str"/>
      <x:c r="W277" s="22" t="str"/>
      <x:c r="X277" s="22" t="str">
        <x:f>IF(COUNTIF($A$5:$A$451,A277)=1,"PASS","FAIL")</x:f>
        <x:v>PASS</x:v>
      </x:c>
      <x:c r="Y277" s="22" t="str">
        <x:f>IF(COUNTIF('SR系统设计'!$A$5:$A$153,B277)+COUNTIF('追溯与覆盖'!$A$5:$A$153,C277)=2,"PASS","FAIL")</x:f>
        <x:v>PASS</x:v>
      </x:c>
    </x:row>
    <x:row r="278" ht="84" customHeight="1">
      <x:c r="A278" s="25" t="str">
        <x:v>AR-L2-CONN-BufferContract-040-01</x:v>
      </x:c>
      <x:c r="B278" s="25" t="str">
        <x:v>SR-02-01-02</x:v>
      </x:c>
      <x:c r="C278" s="25" t="str">
        <x:v>L2-CONN-BufferContract-040</x:v>
      </x:c>
      <x:c r="D278" s="25" t="str">
        <x:v>SF-02</x:v>
      </x:c>
      <x:c r="E278" s="25" t="str">
        <x:v>IR-02-01</x:v>
      </x:c>
      <x:c r="F278" s="22" t="str">
        <x:v>L2 KVConnector层</x:v>
      </x:c>
      <x:c r="G278" s="22" t="str">
        <x:v>TM1</x:v>
      </x:c>
      <x:c r="H278" s="22" t="str">
        <x:v>统一协议与标准接口</x:v>
      </x:c>
      <x:c r="I278" s="22" t="str">
        <x:v>P0</x:v>
      </x:c>
      <x:c r="J278" s="22" t="str">
        <x:v>P0</x:v>
      </x:c>
      <x:c r="K278" s="22" t="str">
        <x:v>核心实现</x:v>
      </x:c>
      <x:c r="L278" s="22" t="str">
        <x:v>Connector开发</x:v>
      </x:c>
      <x:c r="M278" s="22" t="str">
        <x:v>src/api/connector/buffer_contract.{h,cc}</x:v>
      </x:c>
      <x:c r="N278" s="22" t="str">
        <x:v>BufferContractAdapter</x:v>
      </x:c>
      <x:c r="O278" s="22" t="str">
        <x:v>在 `src/api/connector/buffer_contract.{h,cc}` 新增或重写 `BufferContractAdapter`，把“算力执行内存与存储池内存管理解耦”落实为 L2 KVConnector层 可调用主路径：本需求要求明确划分推理框架执行内存（Execution HBM）与存储池存储资源（Storage Pool）的权责边界。 输入必须显式消费 framework intent + semantic identity + budget，输出 versioned request/response + typed error/fallback，不得用全局单例或隐藏同步 I/O 绕开预算与状态机。</x:v>
      </x:c>
      <x:c r="P278" s="22" t="str">
        <x:v>实现 framework intent + semantic identity + budget → versioned request/response + typed error/fallback；遵守 版本不兼容拒绝消费；feature flag关闭时恢复原生框架路径</x:v>
      </x:c>
      <x:c r="Q278" s="22" t="str">
        <x:v>核心算法与状态转换完成；新增代码单测分支覆盖≥85%；线程安全/所有权明确；关闭 feature flag 时行为与 baseline 一致。</x:v>
      </x:c>
      <x:c r="R278" s="22" t="str">
        <x:v>ctest -R BufferContract --output-on-failure</x:v>
      </x:c>
      <x:c r="S278" s="22" t="str">
        <x:v>错误Load（即Load耗时 &gt; Recompute耗时）比例下降至 &lt; 1%。</x:v>
      </x:c>
      <x:c r="T278" s="22" t="str">
        <x:v>SR-02-01-02</x:v>
      </x:c>
      <x:c r="U278" s="22" t="str">
        <x:v>待认领</x:v>
      </x:c>
      <x:c r="V278" s="22" t="str"/>
      <x:c r="W278" s="22" t="str"/>
      <x:c r="X278" s="22" t="str">
        <x:f>IF(COUNTIF($A$5:$A$451,A278)=1,"PASS","FAIL")</x:f>
        <x:v>PASS</x:v>
      </x:c>
      <x:c r="Y278" s="22" t="str">
        <x:f>IF(COUNTIF('SR系统设计'!$A$5:$A$153,B278)+COUNTIF('追溯与覆盖'!$A$5:$A$153,C278)=2,"PASS","FAIL")</x:f>
        <x:v>PASS</x:v>
      </x:c>
    </x:row>
    <x:row r="279" ht="84" customHeight="1">
      <x:c r="A279" s="25" t="str">
        <x:v>AR-L2-CONN-BufferContract-040-02</x:v>
      </x:c>
      <x:c r="B279" s="25" t="str">
        <x:v>SR-02-01-02</x:v>
      </x:c>
      <x:c r="C279" s="25" t="str">
        <x:v>L2-CONN-BufferContract-040</x:v>
      </x:c>
      <x:c r="D279" s="25" t="str">
        <x:v>SF-02</x:v>
      </x:c>
      <x:c r="E279" s="25" t="str">
        <x:v>IR-02-01</x:v>
      </x:c>
      <x:c r="F279" s="22" t="str">
        <x:v>L2 KVConnector层</x:v>
      </x:c>
      <x:c r="G279" s="22" t="str">
        <x:v>TM1</x:v>
      </x:c>
      <x:c r="H279" s="22" t="str">
        <x:v>统一协议与标准接口</x:v>
      </x:c>
      <x:c r="I279" s="22" t="str">
        <x:v>P0</x:v>
      </x:c>
      <x:c r="J279" s="22" t="str">
        <x:v>P0</x:v>
      </x:c>
      <x:c r="K279" s="22" t="str">
        <x:v>契约配置与降级</x:v>
      </x:c>
      <x:c r="L279" s="22" t="str">
        <x:v>Connector开发</x:v>
      </x:c>
      <x:c r="M279" s="22" t="str">
        <x:v>api/kvcache/v1/buffer_contract.proto + config/runtime/buffer_contract.yaml</x:v>
      </x:c>
      <x:c r="N279" s="22" t="str">
        <x:v>BufferContractOptions / kvcache.buffer_contract.enabled</x:v>
      </x:c>
      <x:c r="O279" s="22" t="str">
        <x:v>为 `BufferContractOptions` 增加 `kvcache.buffer_contract.enabled`、deadline/容量/队列预算及版本字段；在调用点接入 typed error、decision_reason、fallback_reason，确保配置热更新、灰度关闭和向后兼容均可审计。</x:v>
      </x:c>
      <x:c r="P279" s="22" t="str">
        <x:v>IDL/配置 schema 有版本号、默认值、边界校验和错误码；状态/租约/ready 不满足时按 版本不兼容拒绝消费；feature flag关闭时恢复原生框架路径</x:v>
      </x:c>
      <x:c r="Q279" s="22" t="str">
        <x:v>配置样例、schema 校验、升级兼容测试和回退路径齐全；任何隐式 fallback 被移除；新增指标可关联 request_id/query_plan_id/object_id/path_id。</x:v>
      </x:c>
      <x:c r="R279" s="22" t="str">
        <x:v>ctest -R BufferContractConfig &amp;&amp; ./bin/kvcache_config_check --case=buffer_contract</x:v>
      </x:c>
      <x:c r="S279" s="22" t="str">
        <x:v>错误Load（即Load耗时 &gt; Recompute耗时）比例下降至 &lt; 1%。</x:v>
      </x:c>
      <x:c r="T279" s="22" t="str">
        <x:v>SR-02-01-02</x:v>
      </x:c>
      <x:c r="U279" s="22" t="str">
        <x:v>待认领</x:v>
      </x:c>
      <x:c r="V279" s="22" t="str"/>
      <x:c r="W279" s="22" t="str"/>
      <x:c r="X279" s="22" t="str">
        <x:f>IF(COUNTIF($A$5:$A$451,A279)=1,"PASS","FAIL")</x:f>
        <x:v>PASS</x:v>
      </x:c>
      <x:c r="Y279" s="22" t="str">
        <x:f>IF(COUNTIF('SR系统设计'!$A$5:$A$153,B279)+COUNTIF('追溯与覆盖'!$A$5:$A$153,C279)=2,"PASS","FAIL")</x:f>
        <x:v>PASS</x:v>
      </x:c>
    </x:row>
    <x:row r="280" ht="84" customHeight="1">
      <x:c r="A280" s="25" t="str">
        <x:v>AR-L2-CONN-BufferContract-040-03</x:v>
      </x:c>
      <x:c r="B280" s="25" t="str">
        <x:v>SR-02-01-02</x:v>
      </x:c>
      <x:c r="C280" s="25" t="str">
        <x:v>L2-CONN-BufferContract-040</x:v>
      </x:c>
      <x:c r="D280" s="25" t="str">
        <x:v>SF-02</x:v>
      </x:c>
      <x:c r="E280" s="25" t="str">
        <x:v>IR-02-01</x:v>
      </x:c>
      <x:c r="F280" s="22" t="str">
        <x:v>L2 KVConnector层</x:v>
      </x:c>
      <x:c r="G280" s="22" t="str">
        <x:v>TM1</x:v>
      </x:c>
      <x:c r="H280" s="22" t="str">
        <x:v>统一协议与标准接口</x:v>
      </x:c>
      <x:c r="I280" s="22" t="str">
        <x:v>P0</x:v>
      </x:c>
      <x:c r="J280" s="22" t="str">
        <x:v>P0</x:v>
      </x:c>
      <x:c r="K280" s="22" t="str">
        <x:v>验证与观测</x:v>
      </x:c>
      <x:c r="L280" s="22" t="str">
        <x:v>Connector开发</x:v>
      </x:c>
      <x:c r="M280" s="22" t="str">
        <x:v>tests/api/connector/buffer_contract_test.cc + benchmarks/api/connector/buffer_contract_benchmark.cc</x:v>
      </x:c>
      <x:c r="N280" s="22" t="str">
        <x:v>BufferContractTest / BufferContractBenchmark</x:v>
      </x:c>
      <x:c r="O280" s="22" t="str">
        <x:v>新增正常、边界、并发、超时、stale metadata、迁移冲突、路径拥塞/故障与 feature-flag-off 用例；在 benchmark 中固定模型、tokenizer、prompt、并发、拓扑和 baseline，采集 lookup/load/attach、TTFT、TPOT、usable/abandoned hit、带宽/时延及 CPU/NPU 利用率。</x:v>
      </x:c>
      <x:c r="P280" s="22" t="str">
        <x:v>验收直接引用来源指标：“错误Load（即Load耗时 &gt; Recompute耗时）比例下降至 &lt; 1%。”；故障用例必须证明错误 KV 不被消费且 fallback reason 可追踪。</x:v>
      </x:c>
      <x:c r="Q280" s="22" t="str">
        <x:v>来源验收项全部自动化；性能报告包含 P50/P95/P99、置信区间与 baseline；失败门槛接入 CI；测试数据和命令可复现。</x:v>
      </x:c>
      <x:c r="R280" s="22" t="str">
        <x:v>./bin/kvcache_bench --case=buffer_contract --baseline=native --report=json</x:v>
      </x:c>
      <x:c r="S280" s="22" t="str">
        <x:v>错误Load（即Load耗时 &gt; Recompute耗时）比例下降至 &lt; 1%。</x:v>
      </x:c>
      <x:c r="T280" s="22" t="str">
        <x:v>SR-02-01-02</x:v>
      </x:c>
      <x:c r="U280" s="22" t="str">
        <x:v>待认领</x:v>
      </x:c>
      <x:c r="V280" s="22" t="str"/>
      <x:c r="W280" s="22" t="str"/>
      <x:c r="X280" s="22" t="str">
        <x:f>IF(COUNTIF($A$5:$A$451,A280)=1,"PASS","FAIL")</x:f>
        <x:v>PASS</x:v>
      </x:c>
      <x:c r="Y280" s="22" t="str">
        <x:f>IF(COUNTIF('SR系统设计'!$A$5:$A$153,B280)+COUNTIF('追溯与覆盖'!$A$5:$A$153,C280)=2,"PASS","FAIL")</x:f>
        <x:v>PASS</x:v>
      </x:c>
    </x:row>
    <x:row r="281" ht="84" customHeight="1">
      <x:c r="A281" s="25" t="str">
        <x:v>AR-L2-CONN-CostAwareReturn-039-01</x:v>
      </x:c>
      <x:c r="B281" s="25" t="str">
        <x:v>SR-02-01-03</x:v>
      </x:c>
      <x:c r="C281" s="25" t="str">
        <x:v>L2-CONN-CostAwareReturn-039</x:v>
      </x:c>
      <x:c r="D281" s="25" t="str">
        <x:v>SF-02</x:v>
      </x:c>
      <x:c r="E281" s="25" t="str">
        <x:v>IR-02-01</x:v>
      </x:c>
      <x:c r="F281" s="22" t="str">
        <x:v>L2 KVConnector层</x:v>
      </x:c>
      <x:c r="G281" s="22" t="str">
        <x:v>TM1</x:v>
      </x:c>
      <x:c r="H281" s="22" t="str">
        <x:v>统一协议与标准接口</x:v>
      </x:c>
      <x:c r="I281" s="22" t="str">
        <x:v>P0</x:v>
      </x:c>
      <x:c r="J281" s="22" t="str">
        <x:v>P0</x:v>
      </x:c>
      <x:c r="K281" s="22" t="str">
        <x:v>核心实现</x:v>
      </x:c>
      <x:c r="L281" s="22" t="str">
        <x:v>Connector开发</x:v>
      </x:c>
      <x:c r="M281" s="22" t="str">
        <x:v>src/api/connector/cost_aware_return.{h,cc}</x:v>
      </x:c>
      <x:c r="N281" s="22" t="str">
        <x:v>CostAwareReturnAdapter</x:v>
      </x:c>
      <x:c r="O281" s="22" t="str">
        <x:v>在 `src/api/connector/cost_aware_return.{h,cc}` 新增或重写 `CostAwareReturnAdapter`，把“拥塞链路下的前缀命中低效绕行”落实为 L2 KVConnector层 可调用主路径：本需求要求 KVConnector 的前缀查询与获取接口实现“算力代偿感知自适应返回协议”：存储池根据底层链路 P99 时延和拓扑质量，自动评估将命中 KV 搬运至目标端（或协商 staging area）的端到端加载耗时； 输入必须显式消费 framework intent + semantic identity + budget，输出 versioned request/response + typed error/fallback，不得用全局单例或隐藏同步 I/O 绕开预算与状态机。</x:v>
      </x:c>
      <x:c r="P281" s="22" t="str">
        <x:v>实现 framework intent + semantic identity + budget → versioned request/response + typed error/fallback；遵守 版本不兼容拒绝消费；feature flag关闭时恢复原生框架路径</x:v>
      </x:c>
      <x:c r="Q281" s="22" t="str">
        <x:v>核心算法与状态转换完成；新增代码单测分支覆盖≥85%；线程安全/所有权明确；关闭 feature flag 时行为与 baseline 一致。</x:v>
      </x:c>
      <x:c r="R281" s="22" t="str">
        <x:v>ctest -R CostAwareReturn --output-on-failure</x:v>
      </x:c>
      <x:c r="S281" s="22" t="str">
        <x:v>确保 L2/L3 能够向 L1 输出准确的传输和附加代价(Cost)，而不直接在连接层内丢弃请求(Drop)。</x:v>
      </x:c>
      <x:c r="T281" s="22" t="str">
        <x:v>SR-02-01-03</x:v>
      </x:c>
      <x:c r="U281" s="22" t="str">
        <x:v>待认领</x:v>
      </x:c>
      <x:c r="V281" s="22" t="str"/>
      <x:c r="W281" s="22" t="str"/>
      <x:c r="X281" s="22" t="str">
        <x:f>IF(COUNTIF($A$5:$A$451,A281)=1,"PASS","FAIL")</x:f>
        <x:v>PASS</x:v>
      </x:c>
      <x:c r="Y281" s="22" t="str">
        <x:f>IF(COUNTIF('SR系统设计'!$A$5:$A$153,B281)+COUNTIF('追溯与覆盖'!$A$5:$A$153,C281)=2,"PASS","FAIL")</x:f>
        <x:v>PASS</x:v>
      </x:c>
    </x:row>
    <x:row r="282" ht="84" customHeight="1">
      <x:c r="A282" s="25" t="str">
        <x:v>AR-L2-CONN-CostAwareReturn-039-02</x:v>
      </x:c>
      <x:c r="B282" s="25" t="str">
        <x:v>SR-02-01-03</x:v>
      </x:c>
      <x:c r="C282" s="25" t="str">
        <x:v>L2-CONN-CostAwareReturn-039</x:v>
      </x:c>
      <x:c r="D282" s="25" t="str">
        <x:v>SF-02</x:v>
      </x:c>
      <x:c r="E282" s="25" t="str">
        <x:v>IR-02-01</x:v>
      </x:c>
      <x:c r="F282" s="22" t="str">
        <x:v>L2 KVConnector层</x:v>
      </x:c>
      <x:c r="G282" s="22" t="str">
        <x:v>TM1</x:v>
      </x:c>
      <x:c r="H282" s="22" t="str">
        <x:v>统一协议与标准接口</x:v>
      </x:c>
      <x:c r="I282" s="22" t="str">
        <x:v>P0</x:v>
      </x:c>
      <x:c r="J282" s="22" t="str">
        <x:v>P0</x:v>
      </x:c>
      <x:c r="K282" s="22" t="str">
        <x:v>契约配置与降级</x:v>
      </x:c>
      <x:c r="L282" s="22" t="str">
        <x:v>Connector开发</x:v>
      </x:c>
      <x:c r="M282" s="22" t="str">
        <x:v>api/kvcache/v1/cost_aware_return.proto + config/runtime/cost_aware_return.yaml</x:v>
      </x:c>
      <x:c r="N282" s="22" t="str">
        <x:v>CostAwareReturnOptions / kvcache.cost_aware_return.enabled</x:v>
      </x:c>
      <x:c r="O282" s="22" t="str">
        <x:v>为 `CostAwareReturnOptions` 增加 `kvcache.cost_aware_return.enabled`、deadline/容量/队列预算及版本字段；在调用点接入 typed error、decision_reason、fallback_reason，确保配置热更新、灰度关闭和向后兼容均可审计。</x:v>
      </x:c>
      <x:c r="P282" s="22" t="str">
        <x:v>IDL/配置 schema 有版本号、默认值、边界校验和错误码；状态/租约/ready 不满足时按 版本不兼容拒绝消费；feature flag关闭时恢复原生框架路径</x:v>
      </x:c>
      <x:c r="Q282" s="22" t="str">
        <x:v>配置样例、schema 校验、升级兼容测试和回退路径齐全；任何隐式 fallback 被移除；新增指标可关联 request_id/query_plan_id/object_id/path_id。</x:v>
      </x:c>
      <x:c r="R282" s="22" t="str">
        <x:v>ctest -R CostAwareReturnConfig &amp;&amp; ./bin/kvcache_config_check --case=cost_aware_return</x:v>
      </x:c>
      <x:c r="S282" s="22" t="str">
        <x:v>确保 L2/L3 能够向 L1 输出准确的传输和附加代价(Cost)，而不直接在连接层内丢弃请求(Drop)。</x:v>
      </x:c>
      <x:c r="T282" s="22" t="str">
        <x:v>SR-02-01-03</x:v>
      </x:c>
      <x:c r="U282" s="22" t="str">
        <x:v>待认领</x:v>
      </x:c>
      <x:c r="V282" s="22" t="str"/>
      <x:c r="W282" s="22" t="str"/>
      <x:c r="X282" s="22" t="str">
        <x:f>IF(COUNTIF($A$5:$A$451,A282)=1,"PASS","FAIL")</x:f>
        <x:v>PASS</x:v>
      </x:c>
      <x:c r="Y282" s="22" t="str">
        <x:f>IF(COUNTIF('SR系统设计'!$A$5:$A$153,B282)+COUNTIF('追溯与覆盖'!$A$5:$A$153,C282)=2,"PASS","FAIL")</x:f>
        <x:v>PASS</x:v>
      </x:c>
    </x:row>
    <x:row r="283" ht="84" customHeight="1">
      <x:c r="A283" s="25" t="str">
        <x:v>AR-L2-CONN-CostAwareReturn-039-03</x:v>
      </x:c>
      <x:c r="B283" s="25" t="str">
        <x:v>SR-02-01-03</x:v>
      </x:c>
      <x:c r="C283" s="25" t="str">
        <x:v>L2-CONN-CostAwareReturn-039</x:v>
      </x:c>
      <x:c r="D283" s="25" t="str">
        <x:v>SF-02</x:v>
      </x:c>
      <x:c r="E283" s="25" t="str">
        <x:v>IR-02-01</x:v>
      </x:c>
      <x:c r="F283" s="22" t="str">
        <x:v>L2 KVConnector层</x:v>
      </x:c>
      <x:c r="G283" s="22" t="str">
        <x:v>TM1</x:v>
      </x:c>
      <x:c r="H283" s="22" t="str">
        <x:v>统一协议与标准接口</x:v>
      </x:c>
      <x:c r="I283" s="22" t="str">
        <x:v>P0</x:v>
      </x:c>
      <x:c r="J283" s="22" t="str">
        <x:v>P0</x:v>
      </x:c>
      <x:c r="K283" s="22" t="str">
        <x:v>验证与观测</x:v>
      </x:c>
      <x:c r="L283" s="22" t="str">
        <x:v>Connector开发</x:v>
      </x:c>
      <x:c r="M283" s="22" t="str">
        <x:v>tests/api/connector/cost_aware_return_test.cc + benchmarks/api/connector/cost_aware_return_benchmark.cc</x:v>
      </x:c>
      <x:c r="N283" s="22" t="str">
        <x:v>CostAwareReturnTest / CostAwareReturnBenchmark</x:v>
      </x:c>
      <x:c r="O283" s="22" t="str">
        <x:v>新增正常、边界、并发、超时、stale metadata、迁移冲突、路径拥塞/故障与 feature-flag-off 用例；在 benchmark 中固定模型、tokenizer、prompt、并发、拓扑和 baseline，采集 lookup/load/attach、TTFT、TPOT、usable/abandoned hit、带宽/时延及 CPU/NPU 利用率。</x:v>
      </x:c>
      <x:c r="P283" s="22" t="str">
        <x:v>验收直接引用来源指标：“确保 L2/L3 能够向 L1 输出准确的传输和附加代价(Cost)，而不直接在连接层内丢弃请求(Drop)。”；故障用例必须证明错误 KV 不被消费且 fallback reason 可追踪。</x:v>
      </x:c>
      <x:c r="Q283" s="22" t="str">
        <x:v>来源验收项全部自动化；性能报告包含 P50/P95/P99、置信区间与 baseline；失败门槛接入 CI；测试数据和命令可复现。</x:v>
      </x:c>
      <x:c r="R283" s="22" t="str">
        <x:v>./bin/kvcache_bench --case=cost_aware_return --baseline=native --report=json</x:v>
      </x:c>
      <x:c r="S283" s="22" t="str">
        <x:v>确保 L2/L3 能够向 L1 输出准确的传输和附加代价(Cost)，而不直接在连接层内丢弃请求(Drop)。</x:v>
      </x:c>
      <x:c r="T283" s="22" t="str">
        <x:v>SR-02-01-03</x:v>
      </x:c>
      <x:c r="U283" s="22" t="str">
        <x:v>待认领</x:v>
      </x:c>
      <x:c r="V283" s="22" t="str"/>
      <x:c r="W283" s="22" t="str"/>
      <x:c r="X283" s="22" t="str">
        <x:f>IF(COUNTIF($A$5:$A$451,A283)=1,"PASS","FAIL")</x:f>
        <x:v>PASS</x:v>
      </x:c>
      <x:c r="Y283" s="22" t="str">
        <x:f>IF(COUNTIF('SR系统设计'!$A$5:$A$153,B283)+COUNTIF('追溯与覆盖'!$A$5:$A$153,C283)=2,"PASS","FAIL")</x:f>
        <x:v>PASS</x:v>
      </x:c>
    </x:row>
    <x:row r="284" ht="84" customHeight="1">
      <x:c r="A284" s="25" t="str">
        <x:v>AR-L2-KV-PublishCommit-033-01</x:v>
      </x:c>
      <x:c r="B284" s="25" t="str">
        <x:v>SR-02-01-04</x:v>
      </x:c>
      <x:c r="C284" s="25" t="str">
        <x:v>L2-KV-PublishCommit-033</x:v>
      </x:c>
      <x:c r="D284" s="25" t="str">
        <x:v>SF-02</x:v>
      </x:c>
      <x:c r="E284" s="25" t="str">
        <x:v>IR-02-01</x:v>
      </x:c>
      <x:c r="F284" s="22" t="str">
        <x:v>L2 KVConnector层</x:v>
      </x:c>
      <x:c r="G284" s="22" t="str">
        <x:v>TM1</x:v>
      </x:c>
      <x:c r="H284" s="22" t="str">
        <x:v>统一协议与标准接口</x:v>
      </x:c>
      <x:c r="I284" s="22" t="str">
        <x:v>P0</x:v>
      </x:c>
      <x:c r="J284" s="22" t="str">
        <x:v>P0</x:v>
      </x:c>
      <x:c r="K284" s="22" t="str">
        <x:v>核心实现</x:v>
      </x:c>
      <x:c r="L284" s="22" t="str">
        <x:v>Connector开发</x:v>
      </x:c>
      <x:c r="M284" s="22" t="str">
        <x:v>src/api/connector/publish_commit.{h,cc}</x:v>
      </x:c>
      <x:c r="N284" s="22" t="str">
        <x:v>PublishCommitAdapter</x:v>
      </x:c>
      <x:c r="O284" s="22" t="str">
        <x:v>在 `src/api/connector/publish_commit.{h,cc}` 新增或重写 `PublishCommitAdapter`，把“NPU/GPU 生成 KV 后进入统一 KV 内存池”落实为 L2 KVConnector层 可调用主路径：本需求要求 KVConnector 在 put/get/prefetch/evict 之外补充 publish_prepare、publish_commit、publish_abort 三阶段发布接口：NPU/GPU runtime 产生 KV 后先注册待发布 KV object，只有当 KV data、KVMeta、ready bitmap、checksum 和 placement record 均完成后才允许 commit； 输入必须显式消费 framework intent + semantic identity + budget，输出 versioned request/response + typed error/fallback，不得用全局单例或隐藏同步 I/O 绕开预算与状态机。</x:v>
      </x:c>
      <x:c r="P284" s="22" t="str">
        <x:v>实现 framework intent + semantic identity + budget → versioned request/response + typed error/fallback；遵守 版本不兼容拒绝消费；feature flag关闭时恢复原生框架路径</x:v>
      </x:c>
      <x:c r="Q284" s="22" t="str">
        <x:v>核心算法与状态转换完成；新增代码单测分支覆盖≥85%；线程安全/所有权明确；关闭 feature flag 时行为与 baseline 一致。</x:v>
      </x:c>
      <x:c r="R284" s="22" t="str">
        <x:v>ctest -R PublishCommit --output-on-failure</x:v>
      </x:c>
      <x:c r="S284" s="22" t="str">
        <x:v>元数据转换和序列化开销降低至&lt;200ns/次。</x:v>
      </x:c>
      <x:c r="T284" s="22" t="str">
        <x:v>SR-02-01-04</x:v>
      </x:c>
      <x:c r="U284" s="22" t="str">
        <x:v>待认领</x:v>
      </x:c>
      <x:c r="V284" s="22" t="str"/>
      <x:c r="W284" s="22" t="str"/>
      <x:c r="X284" s="22" t="str">
        <x:f>IF(COUNTIF($A$5:$A$451,A284)=1,"PASS","FAIL")</x:f>
        <x:v>PASS</x:v>
      </x:c>
      <x:c r="Y284" s="22" t="str">
        <x:f>IF(COUNTIF('SR系统设计'!$A$5:$A$153,B284)+COUNTIF('追溯与覆盖'!$A$5:$A$153,C284)=2,"PASS","FAIL")</x:f>
        <x:v>PASS</x:v>
      </x:c>
    </x:row>
    <x:row r="285" ht="84" customHeight="1">
      <x:c r="A285" s="25" t="str">
        <x:v>AR-L2-KV-PublishCommit-033-02</x:v>
      </x:c>
      <x:c r="B285" s="25" t="str">
        <x:v>SR-02-01-04</x:v>
      </x:c>
      <x:c r="C285" s="25" t="str">
        <x:v>L2-KV-PublishCommit-033</x:v>
      </x:c>
      <x:c r="D285" s="25" t="str">
        <x:v>SF-02</x:v>
      </x:c>
      <x:c r="E285" s="25" t="str">
        <x:v>IR-02-01</x:v>
      </x:c>
      <x:c r="F285" s="22" t="str">
        <x:v>L2 KVConnector层</x:v>
      </x:c>
      <x:c r="G285" s="22" t="str">
        <x:v>TM1</x:v>
      </x:c>
      <x:c r="H285" s="22" t="str">
        <x:v>统一协议与标准接口</x:v>
      </x:c>
      <x:c r="I285" s="22" t="str">
        <x:v>P0</x:v>
      </x:c>
      <x:c r="J285" s="22" t="str">
        <x:v>P0</x:v>
      </x:c>
      <x:c r="K285" s="22" t="str">
        <x:v>契约配置与降级</x:v>
      </x:c>
      <x:c r="L285" s="22" t="str">
        <x:v>Connector开发</x:v>
      </x:c>
      <x:c r="M285" s="22" t="str">
        <x:v>api/kvcache/v1/publish_commit.proto + config/runtime/publish_commit.yaml</x:v>
      </x:c>
      <x:c r="N285" s="22" t="str">
        <x:v>PublishCommitOptions / kvcache.publish_commit.enabled</x:v>
      </x:c>
      <x:c r="O285" s="22" t="str">
        <x:v>为 `PublishCommitOptions` 增加 `kvcache.publish_commit.enabled`、deadline/容量/队列预算及版本字段；在调用点接入 typed error、decision_reason、fallback_reason，确保配置热更新、灰度关闭和向后兼容均可审计。</x:v>
      </x:c>
      <x:c r="P285" s="22" t="str">
        <x:v>IDL/配置 schema 有版本号、默认值、边界校验和错误码；状态/租约/ready 不满足时按 版本不兼容拒绝消费；feature flag关闭时恢复原生框架路径</x:v>
      </x:c>
      <x:c r="Q285" s="22" t="str">
        <x:v>配置样例、schema 校验、升级兼容测试和回退路径齐全；任何隐式 fallback 被移除；新增指标可关联 request_id/query_plan_id/object_id/path_id。</x:v>
      </x:c>
      <x:c r="R285" s="22" t="str">
        <x:v>ctest -R PublishCommitConfig &amp;&amp; ./bin/kvcache_config_check --case=publish_commit</x:v>
      </x:c>
      <x:c r="S285" s="22" t="str">
        <x:v>元数据转换和序列化开销降低至&lt;200ns/次。</x:v>
      </x:c>
      <x:c r="T285" s="22" t="str">
        <x:v>SR-02-01-04</x:v>
      </x:c>
      <x:c r="U285" s="22" t="str">
        <x:v>待认领</x:v>
      </x:c>
      <x:c r="V285" s="22" t="str"/>
      <x:c r="W285" s="22" t="str"/>
      <x:c r="X285" s="22" t="str">
        <x:f>IF(COUNTIF($A$5:$A$451,A285)=1,"PASS","FAIL")</x:f>
        <x:v>PASS</x:v>
      </x:c>
      <x:c r="Y285" s="22" t="str">
        <x:f>IF(COUNTIF('SR系统设计'!$A$5:$A$153,B285)+COUNTIF('追溯与覆盖'!$A$5:$A$153,C285)=2,"PASS","FAIL")</x:f>
        <x:v>PASS</x:v>
      </x:c>
    </x:row>
    <x:row r="286" ht="84" customHeight="1">
      <x:c r="A286" s="25" t="str">
        <x:v>AR-L2-KV-PublishCommit-033-03</x:v>
      </x:c>
      <x:c r="B286" s="25" t="str">
        <x:v>SR-02-01-04</x:v>
      </x:c>
      <x:c r="C286" s="25" t="str">
        <x:v>L2-KV-PublishCommit-033</x:v>
      </x:c>
      <x:c r="D286" s="25" t="str">
        <x:v>SF-02</x:v>
      </x:c>
      <x:c r="E286" s="25" t="str">
        <x:v>IR-02-01</x:v>
      </x:c>
      <x:c r="F286" s="22" t="str">
        <x:v>L2 KVConnector层</x:v>
      </x:c>
      <x:c r="G286" s="22" t="str">
        <x:v>TM1</x:v>
      </x:c>
      <x:c r="H286" s="22" t="str">
        <x:v>统一协议与标准接口</x:v>
      </x:c>
      <x:c r="I286" s="22" t="str">
        <x:v>P0</x:v>
      </x:c>
      <x:c r="J286" s="22" t="str">
        <x:v>P0</x:v>
      </x:c>
      <x:c r="K286" s="22" t="str">
        <x:v>验证与观测</x:v>
      </x:c>
      <x:c r="L286" s="22" t="str">
        <x:v>Connector开发</x:v>
      </x:c>
      <x:c r="M286" s="22" t="str">
        <x:v>tests/api/connector/publish_commit_test.cc + benchmarks/api/connector/publish_commit_benchmark.cc</x:v>
      </x:c>
      <x:c r="N286" s="22" t="str">
        <x:v>PublishCommitTest / PublishCommitBenchmark</x:v>
      </x:c>
      <x:c r="O286" s="22" t="str">
        <x:v>新增正常、边界、并发、超时、stale metadata、迁移冲突、路径拥塞/故障与 feature-flag-off 用例；在 benchmark 中固定模型、tokenizer、prompt、并发、拓扑和 baseline，采集 lookup/load/attach、TTFT、TPOT、usable/abandoned hit、带宽/时延及 CPU/NPU 利用率。</x:v>
      </x:c>
      <x:c r="P286" s="22" t="str">
        <x:v>验收直接引用来源指标：“元数据转换和序列化开销降低至&lt;200ns/次。”；故障用例必须证明错误 KV 不被消费且 fallback reason 可追踪。</x:v>
      </x:c>
      <x:c r="Q286" s="22" t="str">
        <x:v>来源验收项全部自动化；性能报告包含 P50/P95/P99、置信区间与 baseline；失败门槛接入 CI；测试数据和命令可复现。</x:v>
      </x:c>
      <x:c r="R286" s="22" t="str">
        <x:v>./bin/kvcache_bench --case=publish_commit --baseline=native --report=json</x:v>
      </x:c>
      <x:c r="S286" s="22" t="str">
        <x:v>元数据转换和序列化开销降低至&lt;200ns/次。</x:v>
      </x:c>
      <x:c r="T286" s="22" t="str">
        <x:v>SR-02-01-04</x:v>
      </x:c>
      <x:c r="U286" s="22" t="str">
        <x:v>待认领</x:v>
      </x:c>
      <x:c r="V286" s="22" t="str"/>
      <x:c r="W286" s="22" t="str"/>
      <x:c r="X286" s="22" t="str">
        <x:f>IF(COUNTIF($A$5:$A$451,A286)=1,"PASS","FAIL")</x:f>
        <x:v>PASS</x:v>
      </x:c>
      <x:c r="Y286" s="22" t="str">
        <x:f>IF(COUNTIF('SR系统设计'!$A$5:$A$153,B286)+COUNTIF('追溯与覆盖'!$A$5:$A$153,C286)=2,"PASS","FAIL")</x:f>
        <x:v>PASS</x:v>
      </x:c>
    </x:row>
    <x:row r="287" ht="84" customHeight="1">
      <x:c r="A287" s="25" t="str">
        <x:v>AR-L2-KV-SemanticIdentity-036-01</x:v>
      </x:c>
      <x:c r="B287" s="25" t="str">
        <x:v>SR-02-01-05</x:v>
      </x:c>
      <x:c r="C287" s="25" t="str">
        <x:v>L2-KV-SemanticIdentity-036</x:v>
      </x:c>
      <x:c r="D287" s="25" t="str">
        <x:v>SF-02</x:v>
      </x:c>
      <x:c r="E287" s="25" t="str">
        <x:v>IR-02-01</x:v>
      </x:c>
      <x:c r="F287" s="22" t="str">
        <x:v>L2 KVConnector层</x:v>
      </x:c>
      <x:c r="G287" s="22" t="str">
        <x:v>TM1</x:v>
      </x:c>
      <x:c r="H287" s="22" t="str">
        <x:v>统一协议与标准接口</x:v>
      </x:c>
      <x:c r="I287" s="22" t="str">
        <x:v>P1</x:v>
      </x:c>
      <x:c r="J287" s="22" t="str">
        <x:v>P1</x:v>
      </x:c>
      <x:c r="K287" s="22" t="str">
        <x:v>核心实现</x:v>
      </x:c>
      <x:c r="L287" s="22" t="str">
        <x:v>Connector开发</x:v>
      </x:c>
      <x:c r="M287" s="22" t="str">
        <x:v>src/api/connector/semantic_identity.{h,cc}</x:v>
      </x:c>
      <x:c r="N287" s="22" t="str">
        <x:v>SemanticIdentityAdapter</x:v>
      </x:c>
      <x:c r="O287" s="22" t="str">
        <x:v>在 `src/api/connector/semantic_identity.{h,cc}` 新增或重写 `SemanticIdentityAdapter`，把“防止语义不兼容 KV 被误复用”落实为 L2 KVConnector层 可调用主路径：本需求要求定义 KVSemanticIdentity 标准结构，至少包含 model_id、model_weight_version、tokenizer_hash、template_version、adapter_id、layout_version、dtype、position_policy、attention_policy、rank_partition、tenant_domain 和 cache_salt； 输入必须显式消费 framework intent + semantic identity + budget，输出 versioned request/response + typed error/fallback，不得用全局单例或隐藏同步 I/O 绕开预算与状态机。</x:v>
      </x:c>
      <x:c r="P287" s="22" t="str">
        <x:v>实现 framework intent + semantic identity + budget → versioned request/response + typed error/fallback；遵守 版本不兼容拒绝消费；feature flag关闭时恢复原生框架路径</x:v>
      </x:c>
      <x:c r="Q287" s="22" t="str">
        <x:v>核心算法与状态转换完成；新增代码单测分支覆盖≥85%；线程安全/所有权明确；关闭 feature flag 时行为与 baseline 一致。</x:v>
      </x:c>
      <x:c r="R287" s="22" t="str">
        <x:v>ctest -R SemanticIdentity --output-on-failure</x:v>
      </x:c>
      <x:c r="S287" s="22" t="str">
        <x:v>元数据转换和序列化开销降低至&lt;200ns/次。</x:v>
      </x:c>
      <x:c r="T287" s="22" t="str">
        <x:v>SR-02-01-05</x:v>
      </x:c>
      <x:c r="U287" s="22" t="str">
        <x:v>待认领</x:v>
      </x:c>
      <x:c r="V287" s="22" t="str"/>
      <x:c r="W287" s="22" t="str"/>
      <x:c r="X287" s="22" t="str">
        <x:f>IF(COUNTIF($A$5:$A$451,A287)=1,"PASS","FAIL")</x:f>
        <x:v>PASS</x:v>
      </x:c>
      <x:c r="Y287" s="22" t="str">
        <x:f>IF(COUNTIF('SR系统设计'!$A$5:$A$153,B287)+COUNTIF('追溯与覆盖'!$A$5:$A$153,C287)=2,"PASS","FAIL")</x:f>
        <x:v>PASS</x:v>
      </x:c>
    </x:row>
    <x:row r="288" ht="84" customHeight="1">
      <x:c r="A288" s="25" t="str">
        <x:v>AR-L2-KV-SemanticIdentity-036-02</x:v>
      </x:c>
      <x:c r="B288" s="25" t="str">
        <x:v>SR-02-01-05</x:v>
      </x:c>
      <x:c r="C288" s="25" t="str">
        <x:v>L2-KV-SemanticIdentity-036</x:v>
      </x:c>
      <x:c r="D288" s="25" t="str">
        <x:v>SF-02</x:v>
      </x:c>
      <x:c r="E288" s="25" t="str">
        <x:v>IR-02-01</x:v>
      </x:c>
      <x:c r="F288" s="22" t="str">
        <x:v>L2 KVConnector层</x:v>
      </x:c>
      <x:c r="G288" s="22" t="str">
        <x:v>TM1</x:v>
      </x:c>
      <x:c r="H288" s="22" t="str">
        <x:v>统一协议与标准接口</x:v>
      </x:c>
      <x:c r="I288" s="22" t="str">
        <x:v>P1</x:v>
      </x:c>
      <x:c r="J288" s="22" t="str">
        <x:v>P1</x:v>
      </x:c>
      <x:c r="K288" s="22" t="str">
        <x:v>契约配置与降级</x:v>
      </x:c>
      <x:c r="L288" s="22" t="str">
        <x:v>Connector开发</x:v>
      </x:c>
      <x:c r="M288" s="22" t="str">
        <x:v>api/kvcache/v1/semantic_identity.proto + config/runtime/semantic_identity.yaml</x:v>
      </x:c>
      <x:c r="N288" s="22" t="str">
        <x:v>SemanticIdentityOptions / kvcache.semantic_identity.enabled</x:v>
      </x:c>
      <x:c r="O288" s="22" t="str">
        <x:v>为 `SemanticIdentityOptions` 增加 `kvcache.semantic_identity.enabled`、deadline/容量/队列预算及版本字段；在调用点接入 typed error、decision_reason、fallback_reason，确保配置热更新、灰度关闭和向后兼容均可审计。</x:v>
      </x:c>
      <x:c r="P288" s="22" t="str">
        <x:v>IDL/配置 schema 有版本号、默认值、边界校验和错误码；状态/租约/ready 不满足时按 版本不兼容拒绝消费；feature flag关闭时恢复原生框架路径</x:v>
      </x:c>
      <x:c r="Q288" s="22" t="str">
        <x:v>配置样例、schema 校验、升级兼容测试和回退路径齐全；任何隐式 fallback 被移除；新增指标可关联 request_id/query_plan_id/object_id/path_id。</x:v>
      </x:c>
      <x:c r="R288" s="22" t="str">
        <x:v>ctest -R SemanticIdentityConfig &amp;&amp; ./bin/kvcache_config_check --case=semantic_identity</x:v>
      </x:c>
      <x:c r="S288" s="22" t="str">
        <x:v>元数据转换和序列化开销降低至&lt;200ns/次。</x:v>
      </x:c>
      <x:c r="T288" s="22" t="str">
        <x:v>SR-02-01-05</x:v>
      </x:c>
      <x:c r="U288" s="22" t="str">
        <x:v>待认领</x:v>
      </x:c>
      <x:c r="V288" s="22" t="str"/>
      <x:c r="W288" s="22" t="str"/>
      <x:c r="X288" s="22" t="str">
        <x:f>IF(COUNTIF($A$5:$A$451,A288)=1,"PASS","FAIL")</x:f>
        <x:v>PASS</x:v>
      </x:c>
      <x:c r="Y288" s="22" t="str">
        <x:f>IF(COUNTIF('SR系统设计'!$A$5:$A$153,B288)+COUNTIF('追溯与覆盖'!$A$5:$A$153,C288)=2,"PASS","FAIL")</x:f>
        <x:v>PASS</x:v>
      </x:c>
    </x:row>
    <x:row r="289" ht="84" customHeight="1">
      <x:c r="A289" s="25" t="str">
        <x:v>AR-L2-KV-SemanticIdentity-036-03</x:v>
      </x:c>
      <x:c r="B289" s="25" t="str">
        <x:v>SR-02-01-05</x:v>
      </x:c>
      <x:c r="C289" s="25" t="str">
        <x:v>L2-KV-SemanticIdentity-036</x:v>
      </x:c>
      <x:c r="D289" s="25" t="str">
        <x:v>SF-02</x:v>
      </x:c>
      <x:c r="E289" s="25" t="str">
        <x:v>IR-02-01</x:v>
      </x:c>
      <x:c r="F289" s="22" t="str">
        <x:v>L2 KVConnector层</x:v>
      </x:c>
      <x:c r="G289" s="22" t="str">
        <x:v>TM1</x:v>
      </x:c>
      <x:c r="H289" s="22" t="str">
        <x:v>统一协议与标准接口</x:v>
      </x:c>
      <x:c r="I289" s="22" t="str">
        <x:v>P1</x:v>
      </x:c>
      <x:c r="J289" s="22" t="str">
        <x:v>P1</x:v>
      </x:c>
      <x:c r="K289" s="22" t="str">
        <x:v>验证与观测</x:v>
      </x:c>
      <x:c r="L289" s="22" t="str">
        <x:v>Connector开发</x:v>
      </x:c>
      <x:c r="M289" s="22" t="str">
        <x:v>tests/api/connector/semantic_identity_test.cc + benchmarks/api/connector/semantic_identity_benchmark.cc</x:v>
      </x:c>
      <x:c r="N289" s="22" t="str">
        <x:v>SemanticIdentityTest / SemanticIdentityBenchmark</x:v>
      </x:c>
      <x:c r="O289" s="22" t="str">
        <x:v>新增正常、边界、并发、超时、stale metadata、迁移冲突、路径拥塞/故障与 feature-flag-off 用例；在 benchmark 中固定模型、tokenizer、prompt、并发、拓扑和 baseline，采集 lookup/load/attach、TTFT、TPOT、usable/abandoned hit、带宽/时延及 CPU/NPU 利用率。</x:v>
      </x:c>
      <x:c r="P289" s="22" t="str">
        <x:v>验收直接引用来源指标：“元数据转换和序列化开销降低至&lt;200ns/次。”；故障用例必须证明错误 KV 不被消费且 fallback reason 可追踪。</x:v>
      </x:c>
      <x:c r="Q289" s="22" t="str">
        <x:v>来源验收项全部自动化；性能报告包含 P50/P95/P99、置信区间与 baseline；失败门槛接入 CI；测试数据和命令可复现。</x:v>
      </x:c>
      <x:c r="R289" s="22" t="str">
        <x:v>./bin/kvcache_bench --case=semantic_identity --baseline=native --report=json</x:v>
      </x:c>
      <x:c r="S289" s="22" t="str">
        <x:v>元数据转换和序列化开销降低至&lt;200ns/次。</x:v>
      </x:c>
      <x:c r="T289" s="22" t="str">
        <x:v>SR-02-01-05</x:v>
      </x:c>
      <x:c r="U289" s="22" t="str">
        <x:v>待认领</x:v>
      </x:c>
      <x:c r="V289" s="22" t="str"/>
      <x:c r="W289" s="22" t="str"/>
      <x:c r="X289" s="22" t="str">
        <x:f>IF(COUNTIF($A$5:$A$451,A289)=1,"PASS","FAIL")</x:f>
        <x:v>PASS</x:v>
      </x:c>
      <x:c r="Y289" s="22" t="str">
        <x:f>IF(COUNTIF('SR系统设计'!$A$5:$A$153,B289)+COUNTIF('追溯与覆盖'!$A$5:$A$153,C289)=2,"PASS","FAIL")</x:f>
        <x:v>PASS</x:v>
      </x:c>
    </x:row>
    <x:row r="290" ht="84" customHeight="1">
      <x:c r="A290" s="25" t="str">
        <x:v>AR-L1-PM-PrefixBudget-001-01</x:v>
      </x:c>
      <x:c r="B290" s="25" t="str">
        <x:v>SR-02-02-01</x:v>
      </x:c>
      <x:c r="C290" s="25" t="str">
        <x:v>L1-PM-PrefixBudget-001</x:v>
      </x:c>
      <x:c r="D290" s="25" t="str">
        <x:v>SF-02</x:v>
      </x:c>
      <x:c r="E290" s="25" t="str">
        <x:v>IR-02-02</x:v>
      </x:c>
      <x:c r="F290" s="22" t="str">
        <x:v>L1 推理调度层</x:v>
      </x:c>
      <x:c r="G290" s="22" t="str">
        <x:v>TM1</x:v>
      </x:c>
      <x:c r="H290" s="22" t="str">
        <x:v>调度与路由控制</x:v>
      </x:c>
      <x:c r="I290" s="22" t="str">
        <x:v>P0</x:v>
      </x:c>
      <x:c r="J290" s="22" t="str">
        <x:v>P0</x:v>
      </x:c>
      <x:c r="K290" s="22" t="str">
        <x:v>核心实现</x:v>
      </x:c>
      <x:c r="L290" s="22" t="str">
        <x:v>推理框架开发</x:v>
      </x:c>
      <x:c r="M290" s="22" t="str">
        <x:v>src/runtime/scheduler/prefix_budget.{h,cc}</x:v>
      </x:c>
      <x:c r="N290" s="22" t="str">
        <x:v>PrefixBudgetController</x:v>
      </x:c>
      <x:c r="O290" s="22" t="str">
        <x:v>在 `src/runtime/scheduler/prefix_budget.{h,cc}` 新增或重写 `PrefixBudgetController`，把“共享前缀命中快速判定”落实为 L1 推理调度层 可调用主路径：本需求要求在 Scheduler 中实现前缀判断预算控制机制：每个请求在进入 prefix lookup 前生成 prefix_decision_deadline_ns 与 max_remote_lookup_us，所有本地索引、远端目录查询、load/recompute 判断必须在预算内完成； 输入必须显式消费 PrefixBudget + placement summary + recompute estimate，输出 admission/routing decision + QueryPlan id，不得用全局单例或隐藏同步 I/O 绕开预算与状态机。</x:v>
      </x:c>
      <x:c r="P290" s="22" t="str">
        <x:v>实现 PrefixBudget + placement summary + recompute estimate → admission/routing decision + QueryPlan id；遵守 超预算立即 partial hit/recompute；水位高时平滑拒绝，不得 OOM 崩溃</x:v>
      </x:c>
      <x:c r="Q290" s="22" t="str">
        <x:v>核心算法与状态转换完成；新增代码单测分支覆盖≥85%；线程安全/所有权明确；关闭 feature flag 时行为与 baseline 一致。</x:v>
      </x:c>
      <x:c r="R290" s="22" t="str">
        <x:v>ctest -R PrefixBudget --output-on-failure</x:v>
      </x:c>
      <x:c r="S290" s="22" t="str">
        <x:v>确保 Prefix 命中不严重拖累 TTFT；usable_hit / total_requests 的转化率稳定。</x:v>
      </x:c>
      <x:c r="T290" s="22" t="str">
        <x:v>SR-02-02-01</x:v>
      </x:c>
      <x:c r="U290" s="22" t="str">
        <x:v>待认领</x:v>
      </x:c>
      <x:c r="V290" s="22" t="str"/>
      <x:c r="W290" s="22" t="str"/>
      <x:c r="X290" s="22" t="str">
        <x:f>IF(COUNTIF($A$5:$A$451,A290)=1,"PASS","FAIL")</x:f>
        <x:v>PASS</x:v>
      </x:c>
      <x:c r="Y290" s="22" t="str">
        <x:f>IF(COUNTIF('SR系统设计'!$A$5:$A$153,B290)+COUNTIF('追溯与覆盖'!$A$5:$A$153,C290)=2,"PASS","FAIL")</x:f>
        <x:v>PASS</x:v>
      </x:c>
    </x:row>
    <x:row r="291" ht="84" customHeight="1">
      <x:c r="A291" s="25" t="str">
        <x:v>AR-L1-PM-PrefixBudget-001-02</x:v>
      </x:c>
      <x:c r="B291" s="25" t="str">
        <x:v>SR-02-02-01</x:v>
      </x:c>
      <x:c r="C291" s="25" t="str">
        <x:v>L1-PM-PrefixBudget-001</x:v>
      </x:c>
      <x:c r="D291" s="25" t="str">
        <x:v>SF-02</x:v>
      </x:c>
      <x:c r="E291" s="25" t="str">
        <x:v>IR-02-02</x:v>
      </x:c>
      <x:c r="F291" s="22" t="str">
        <x:v>L1 推理调度层</x:v>
      </x:c>
      <x:c r="G291" s="22" t="str">
        <x:v>TM1</x:v>
      </x:c>
      <x:c r="H291" s="22" t="str">
        <x:v>调度与路由控制</x:v>
      </x:c>
      <x:c r="I291" s="22" t="str">
        <x:v>P0</x:v>
      </x:c>
      <x:c r="J291" s="22" t="str">
        <x:v>P0</x:v>
      </x:c>
      <x:c r="K291" s="22" t="str">
        <x:v>契约配置与降级</x:v>
      </x:c>
      <x:c r="L291" s="22" t="str">
        <x:v>推理框架开发</x:v>
      </x:c>
      <x:c r="M291" s="22" t="str">
        <x:v>api/kvcache/v1/prefix_budget.proto + config/runtime/prefix_budget.yaml</x:v>
      </x:c>
      <x:c r="N291" s="22" t="str">
        <x:v>PrefixBudgetOptions / kvcache.prefix_budget.enabled</x:v>
      </x:c>
      <x:c r="O291" s="22" t="str">
        <x:v>为 `PrefixBudgetOptions` 增加 `kvcache.prefix_budget.enabled`、deadline/容量/队列预算及版本字段；在调用点接入 typed error、decision_reason、fallback_reason，确保配置热更新、灰度关闭和向后兼容均可审计。</x:v>
      </x:c>
      <x:c r="P291" s="22" t="str">
        <x:v>IDL/配置 schema 有版本号、默认值、边界校验和错误码；状态/租约/ready 不满足时按 超预算立即 partial hit/recompute；水位高时平滑拒绝，不得 OOM 崩溃</x:v>
      </x:c>
      <x:c r="Q291" s="22" t="str">
        <x:v>配置样例、schema 校验、升级兼容测试和回退路径齐全；任何隐式 fallback 被移除；新增指标可关联 request_id/query_plan_id/object_id/path_id。</x:v>
      </x:c>
      <x:c r="R291" s="22" t="str">
        <x:v>ctest -R PrefixBudgetConfig &amp;&amp; ./bin/kvcache_config_check --case=prefix_budget</x:v>
      </x:c>
      <x:c r="S291" s="22" t="str">
        <x:v>确保 Prefix 命中不严重拖累 TTFT；usable_hit / total_requests 的转化率稳定。</x:v>
      </x:c>
      <x:c r="T291" s="22" t="str">
        <x:v>SR-02-02-01</x:v>
      </x:c>
      <x:c r="U291" s="22" t="str">
        <x:v>待认领</x:v>
      </x:c>
      <x:c r="V291" s="22" t="str"/>
      <x:c r="W291" s="22" t="str"/>
      <x:c r="X291" s="22" t="str">
        <x:f>IF(COUNTIF($A$5:$A$451,A291)=1,"PASS","FAIL")</x:f>
        <x:v>PASS</x:v>
      </x:c>
      <x:c r="Y291" s="22" t="str">
        <x:f>IF(COUNTIF('SR系统设计'!$A$5:$A$153,B291)+COUNTIF('追溯与覆盖'!$A$5:$A$153,C291)=2,"PASS","FAIL")</x:f>
        <x:v>PASS</x:v>
      </x:c>
    </x:row>
    <x:row r="292" ht="84" customHeight="1">
      <x:c r="A292" s="25" t="str">
        <x:v>AR-L1-PM-PrefixBudget-001-03</x:v>
      </x:c>
      <x:c r="B292" s="25" t="str">
        <x:v>SR-02-02-01</x:v>
      </x:c>
      <x:c r="C292" s="25" t="str">
        <x:v>L1-PM-PrefixBudget-001</x:v>
      </x:c>
      <x:c r="D292" s="25" t="str">
        <x:v>SF-02</x:v>
      </x:c>
      <x:c r="E292" s="25" t="str">
        <x:v>IR-02-02</x:v>
      </x:c>
      <x:c r="F292" s="22" t="str">
        <x:v>L1 推理调度层</x:v>
      </x:c>
      <x:c r="G292" s="22" t="str">
        <x:v>TM1</x:v>
      </x:c>
      <x:c r="H292" s="22" t="str">
        <x:v>调度与路由控制</x:v>
      </x:c>
      <x:c r="I292" s="22" t="str">
        <x:v>P0</x:v>
      </x:c>
      <x:c r="J292" s="22" t="str">
        <x:v>P0</x:v>
      </x:c>
      <x:c r="K292" s="22" t="str">
        <x:v>验证与观测</x:v>
      </x:c>
      <x:c r="L292" s="22" t="str">
        <x:v>推理框架开发</x:v>
      </x:c>
      <x:c r="M292" s="22" t="str">
        <x:v>tests/runtime/scheduler/prefix_budget_test.cc + benchmarks/runtime/scheduler/prefix_budget_benchmark.cc</x:v>
      </x:c>
      <x:c r="N292" s="22" t="str">
        <x:v>PrefixBudgetTest / PrefixBudgetBenchmark</x:v>
      </x:c>
      <x:c r="O292" s="22" t="str">
        <x:v>新增正常、边界、并发、超时、stale metadata、迁移冲突、路径拥塞/故障与 feature-flag-off 用例；在 benchmark 中固定模型、tokenizer、prompt、并发、拓扑和 baseline，采集 lookup/load/attach、TTFT、TPOT、usable/abandoned hit、带宽/时延及 CPU/NPU 利用率。</x:v>
      </x:c>
      <x:c r="P292" s="22" t="str">
        <x:v>验收直接引用来源指标：“确保 Prefix 命中不严重拖累 TTFT；usable_hit / total_requests 的转化率稳定。”；故障用例必须证明错误 KV 不被消费且 fallback reason 可追踪。</x:v>
      </x:c>
      <x:c r="Q292" s="22" t="str">
        <x:v>来源验收项全部自动化；性能报告包含 P50/P95/P99、置信区间与 baseline；失败门槛接入 CI；测试数据和命令可复现。</x:v>
      </x:c>
      <x:c r="R292" s="22" t="str">
        <x:v>./bin/kvcache_bench --case=prefix_budget --baseline=native --report=json</x:v>
      </x:c>
      <x:c r="S292" s="22" t="str">
        <x:v>确保 Prefix 命中不严重拖累 TTFT；usable_hit / total_requests 的转化率稳定。</x:v>
      </x:c>
      <x:c r="T292" s="22" t="str">
        <x:v>SR-02-02-01</x:v>
      </x:c>
      <x:c r="U292" s="22" t="str">
        <x:v>待认领</x:v>
      </x:c>
      <x:c r="V292" s="22" t="str"/>
      <x:c r="W292" s="22" t="str"/>
      <x:c r="X292" s="22" t="str">
        <x:f>IF(COUNTIF($A$5:$A$451,A292)=1,"PASS","FAIL")</x:f>
        <x:v>PASS</x:v>
      </x:c>
      <x:c r="Y292" s="22" t="str">
        <x:f>IF(COUNTIF('SR系统设计'!$A$5:$A$153,B292)+COUNTIF('追溯与覆盖'!$A$5:$A$153,C292)=2,"PASS","FAIL")</x:f>
        <x:v>PASS</x:v>
      </x:c>
    </x:row>
    <x:row r="293" ht="84" customHeight="1">
      <x:c r="A293" s="25" t="str">
        <x:v>AR-L1-RT-Admission-007-01</x:v>
      </x:c>
      <x:c r="B293" s="25" t="str">
        <x:v>SR-02-02-02</x:v>
      </x:c>
      <x:c r="C293" s="25" t="str">
        <x:v>L1-RT-Admission-007</x:v>
      </x:c>
      <x:c r="D293" s="25" t="str">
        <x:v>SF-02</x:v>
      </x:c>
      <x:c r="E293" s="25" t="str">
        <x:v>IR-02-02</x:v>
      </x:c>
      <x:c r="F293" s="22" t="str">
        <x:v>L1 推理调度层</x:v>
      </x:c>
      <x:c r="G293" s="22" t="str">
        <x:v>TM1</x:v>
      </x:c>
      <x:c r="H293" s="22" t="str">
        <x:v>调度与路由控制</x:v>
      </x:c>
      <x:c r="I293" s="22" t="str">
        <x:v>P0</x:v>
      </x:c>
      <x:c r="J293" s="22" t="str">
        <x:v>P0</x:v>
      </x:c>
      <x:c r="K293" s="22" t="str">
        <x:v>核心实现</x:v>
      </x:c>
      <x:c r="L293" s="22" t="str">
        <x:v>推理框架开发</x:v>
      </x:c>
      <x:c r="M293" s="22" t="str">
        <x:v>src/runtime/scheduler/admission.{h,cc}</x:v>
      </x:c>
      <x:c r="N293" s="22" t="str">
        <x:v>AdmissionController</x:v>
      </x:c>
      <x:c r="O293" s="22" t="str">
        <x:v>在 `src/runtime/scheduler/admission.{h,cc}` 新增或重写 `AdmissionController`，把“命中 KV 加载收益判定”落实为 L1 推理调度层 可调用主路径：本需求要求 Scheduler 在 prefix hit 后执行 load-vs-recompute admission 判断：只有当 lookup + transfer + attach + rank_sync 小于 recompute_saved_time 且满足 TTFT deadline 时才允许加载 KV，否则必须直接 recompute 或 partial recompute。 输入必须显式消费 PrefixBudget + placement summary + recompute estimate，输出 admission/routing decision + QueryPlan id，不得用全局单例或隐藏同步 I/O 绕开预算与状态机。</x:v>
      </x:c>
      <x:c r="P293" s="22" t="str">
        <x:v>实现 PrefixBudget + placement summary + recompute estimate → admission/routing decision + QueryPlan id；遵守 超预算立即 partial hit/recompute；水位高时平滑拒绝，不得 OOM 崩溃</x:v>
      </x:c>
      <x:c r="Q293" s="22" t="str">
        <x:v>核心算法与状态转换完成；新增代码单测分支覆盖≥85%；线程安全/所有权明确；关闭 feature flag 时行为与 baseline 一致。</x:v>
      </x:c>
      <x:c r="R293" s="22" t="str">
        <x:v>ctest -R Admission --output-on-failure</x:v>
      </x:c>
      <x:c r="S293" s="22" t="str">
        <x:v>p99 TTFT 降低 ≥20%；abandoned remote load 降低 ≥50%；</x:v>
      </x:c>
      <x:c r="T293" s="22" t="str">
        <x:v>SR-02-02-02</x:v>
      </x:c>
      <x:c r="U293" s="22" t="str">
        <x:v>待认领</x:v>
      </x:c>
      <x:c r="V293" s="22" t="str"/>
      <x:c r="W293" s="22" t="str"/>
      <x:c r="X293" s="22" t="str">
        <x:f>IF(COUNTIF($A$5:$A$451,A293)=1,"PASS","FAIL")</x:f>
        <x:v>PASS</x:v>
      </x:c>
      <x:c r="Y293" s="22" t="str">
        <x:f>IF(COUNTIF('SR系统设计'!$A$5:$A$153,B293)+COUNTIF('追溯与覆盖'!$A$5:$A$153,C293)=2,"PASS","FAIL")</x:f>
        <x:v>PASS</x:v>
      </x:c>
    </x:row>
    <x:row r="294" ht="84" customHeight="1">
      <x:c r="A294" s="25" t="str">
        <x:v>AR-L1-RT-Admission-007-02</x:v>
      </x:c>
      <x:c r="B294" s="25" t="str">
        <x:v>SR-02-02-02</x:v>
      </x:c>
      <x:c r="C294" s="25" t="str">
        <x:v>L1-RT-Admission-007</x:v>
      </x:c>
      <x:c r="D294" s="25" t="str">
        <x:v>SF-02</x:v>
      </x:c>
      <x:c r="E294" s="25" t="str">
        <x:v>IR-02-02</x:v>
      </x:c>
      <x:c r="F294" s="22" t="str">
        <x:v>L1 推理调度层</x:v>
      </x:c>
      <x:c r="G294" s="22" t="str">
        <x:v>TM1</x:v>
      </x:c>
      <x:c r="H294" s="22" t="str">
        <x:v>调度与路由控制</x:v>
      </x:c>
      <x:c r="I294" s="22" t="str">
        <x:v>P0</x:v>
      </x:c>
      <x:c r="J294" s="22" t="str">
        <x:v>P0</x:v>
      </x:c>
      <x:c r="K294" s="22" t="str">
        <x:v>契约配置与降级</x:v>
      </x:c>
      <x:c r="L294" s="22" t="str">
        <x:v>推理框架开发</x:v>
      </x:c>
      <x:c r="M294" s="22" t="str">
        <x:v>api/kvcache/v1/admission.proto + config/runtime/admission.yaml</x:v>
      </x:c>
      <x:c r="N294" s="22" t="str">
        <x:v>AdmissionOptions / kvcache.admission.enabled</x:v>
      </x:c>
      <x:c r="O294" s="22" t="str">
        <x:v>为 `AdmissionOptions` 增加 `kvcache.admission.enabled`、deadline/容量/队列预算及版本字段；在调用点接入 typed error、decision_reason、fallback_reason，确保配置热更新、灰度关闭和向后兼容均可审计。</x:v>
      </x:c>
      <x:c r="P294" s="22" t="str">
        <x:v>IDL/配置 schema 有版本号、默认值、边界校验和错误码；状态/租约/ready 不满足时按 超预算立即 partial hit/recompute；水位高时平滑拒绝，不得 OOM 崩溃</x:v>
      </x:c>
      <x:c r="Q294" s="22" t="str">
        <x:v>配置样例、schema 校验、升级兼容测试和回退路径齐全；任何隐式 fallback 被移除；新增指标可关联 request_id/query_plan_id/object_id/path_id。</x:v>
      </x:c>
      <x:c r="R294" s="22" t="str">
        <x:v>ctest -R AdmissionConfig &amp;&amp; ./bin/kvcache_config_check --case=admission</x:v>
      </x:c>
      <x:c r="S294" s="22" t="str">
        <x:v>p99 TTFT 降低 ≥20%；abandoned remote load 降低 ≥50%；</x:v>
      </x:c>
      <x:c r="T294" s="22" t="str">
        <x:v>SR-02-02-02</x:v>
      </x:c>
      <x:c r="U294" s="22" t="str">
        <x:v>待认领</x:v>
      </x:c>
      <x:c r="V294" s="22" t="str"/>
      <x:c r="W294" s="22" t="str"/>
      <x:c r="X294" s="22" t="str">
        <x:f>IF(COUNTIF($A$5:$A$451,A294)=1,"PASS","FAIL")</x:f>
        <x:v>PASS</x:v>
      </x:c>
      <x:c r="Y294" s="22" t="str">
        <x:f>IF(COUNTIF('SR系统设计'!$A$5:$A$153,B294)+COUNTIF('追溯与覆盖'!$A$5:$A$153,C294)=2,"PASS","FAIL")</x:f>
        <x:v>PASS</x:v>
      </x:c>
    </x:row>
    <x:row r="295" ht="84" customHeight="1">
      <x:c r="A295" s="25" t="str">
        <x:v>AR-L1-RT-Admission-007-03</x:v>
      </x:c>
      <x:c r="B295" s="25" t="str">
        <x:v>SR-02-02-02</x:v>
      </x:c>
      <x:c r="C295" s="25" t="str">
        <x:v>L1-RT-Admission-007</x:v>
      </x:c>
      <x:c r="D295" s="25" t="str">
        <x:v>SF-02</x:v>
      </x:c>
      <x:c r="E295" s="25" t="str">
        <x:v>IR-02-02</x:v>
      </x:c>
      <x:c r="F295" s="22" t="str">
        <x:v>L1 推理调度层</x:v>
      </x:c>
      <x:c r="G295" s="22" t="str">
        <x:v>TM1</x:v>
      </x:c>
      <x:c r="H295" s="22" t="str">
        <x:v>调度与路由控制</x:v>
      </x:c>
      <x:c r="I295" s="22" t="str">
        <x:v>P0</x:v>
      </x:c>
      <x:c r="J295" s="22" t="str">
        <x:v>P0</x:v>
      </x:c>
      <x:c r="K295" s="22" t="str">
        <x:v>验证与观测</x:v>
      </x:c>
      <x:c r="L295" s="22" t="str">
        <x:v>推理框架开发</x:v>
      </x:c>
      <x:c r="M295" s="22" t="str">
        <x:v>tests/runtime/scheduler/admission_test.cc + benchmarks/runtime/scheduler/admission_benchmark.cc</x:v>
      </x:c>
      <x:c r="N295" s="22" t="str">
        <x:v>AdmissionTest / AdmissionBenchmark</x:v>
      </x:c>
      <x:c r="O295" s="22" t="str">
        <x:v>新增正常、边界、并发、超时、stale metadata、迁移冲突、路径拥塞/故障与 feature-flag-off 用例；在 benchmark 中固定模型、tokenizer、prompt、并发、拓扑和 baseline，采集 lookup/load/attach、TTFT、TPOT、usable/abandoned hit、带宽/时延及 CPU/NPU 利用率。</x:v>
      </x:c>
      <x:c r="P295" s="22" t="str">
        <x:v>验收直接引用来源指标：“p99 TTFT 降低 ≥20%；abandoned remote load 降低 ≥50%；”；故障用例必须证明错误 KV 不被消费且 fallback reason 可追踪。</x:v>
      </x:c>
      <x:c r="Q295" s="22" t="str">
        <x:v>来源验收项全部自动化；性能报告包含 P50/P95/P99、置信区间与 baseline；失败门槛接入 CI；测试数据和命令可复现。</x:v>
      </x:c>
      <x:c r="R295" s="22" t="str">
        <x:v>./bin/kvcache_bench --case=admission --baseline=native --report=json</x:v>
      </x:c>
      <x:c r="S295" s="22" t="str">
        <x:v>p99 TTFT 降低 ≥20%；abandoned remote load 降低 ≥50%；</x:v>
      </x:c>
      <x:c r="T295" s="22" t="str">
        <x:v>SR-02-02-02</x:v>
      </x:c>
      <x:c r="U295" s="22" t="str">
        <x:v>待认领</x:v>
      </x:c>
      <x:c r="V295" s="22" t="str"/>
      <x:c r="W295" s="22" t="str"/>
      <x:c r="X295" s="22" t="str">
        <x:f>IF(COUNTIF($A$5:$A$451,A295)=1,"PASS","FAIL")</x:f>
        <x:v>PASS</x:v>
      </x:c>
      <x:c r="Y295" s="22" t="str">
        <x:f>IF(COUNTIF('SR系统设计'!$A$5:$A$153,B295)+COUNTIF('追溯与覆盖'!$A$5:$A$153,C295)=2,"PASS","FAIL")</x:f>
        <x:v>PASS</x:v>
      </x:c>
    </x:row>
    <x:row r="296" ht="84" customHeight="1">
      <x:c r="A296" s="25" t="str">
        <x:v>AR-L1-RT-WatermarkAdmission-024-01</x:v>
      </x:c>
      <x:c r="B296" s="25" t="str">
        <x:v>SR-02-02-03</x:v>
      </x:c>
      <x:c r="C296" s="25" t="str">
        <x:v>L1-RT-WatermarkAdmission-024</x:v>
      </x:c>
      <x:c r="D296" s="25" t="str">
        <x:v>SF-02</x:v>
      </x:c>
      <x:c r="E296" s="25" t="str">
        <x:v>IR-02-02</x:v>
      </x:c>
      <x:c r="F296" s="22" t="str">
        <x:v>L1 推理调度层</x:v>
      </x:c>
      <x:c r="G296" s="22" t="str">
        <x:v>TM1</x:v>
      </x:c>
      <x:c r="H296" s="22" t="str">
        <x:v>调度与路由控制</x:v>
      </x:c>
      <x:c r="I296" s="22" t="str">
        <x:v>P0</x:v>
      </x:c>
      <x:c r="J296" s="22" t="str">
        <x:v>P0</x:v>
      </x:c>
      <x:c r="K296" s="22" t="str">
        <x:v>核心实现</x:v>
      </x:c>
      <x:c r="L296" s="22" t="str">
        <x:v>推理框架开发</x:v>
      </x:c>
      <x:c r="M296" s="22" t="str">
        <x:v>src/runtime/scheduler/watermark_admission.{h,cc}</x:v>
      </x:c>
      <x:c r="N296" s="22" t="str">
        <x:v>WatermarkAdmissionController</x:v>
      </x:c>
      <x:c r="O296" s="22" t="str">
        <x:v>在 `src/runtime/scheduler/watermark_admission.{h,cc}` 新增或重写 `WatermarkAdmissionController`，把“级联水位高压反压准入”落实为 L1 推理调度层 可调用主路径：本需求要求调度器引入水位驱动的强反压准入策略。 输入必须显式消费 PrefixBudget + placement summary + recompute estimate，输出 admission/routing decision + QueryPlan id，不得用全局单例或隐藏同步 I/O 绕开预算与状态机。</x:v>
      </x:c>
      <x:c r="P296" s="22" t="str">
        <x:v>实现 PrefixBudget + placement summary + recompute estimate → admission/routing decision + QueryPlan id；遵守 超预算立即 partial hit/recompute；水位高时平滑拒绝，不得 OOM 崩溃</x:v>
      </x:c>
      <x:c r="Q296" s="22" t="str">
        <x:v>核心算法与状态转换完成；新增代码单测分支覆盖≥85%；线程安全/所有权明确；关闭 feature flag 时行为与 baseline 一致。</x:v>
      </x:c>
      <x:c r="R296" s="22" t="str">
        <x:v>ctest -R WatermarkAdmission --output-on-failure</x:v>
      </x:c>
      <x:c r="S296" s="22" t="str">
        <x:v>错误Load（即Load耗时 &gt; Recompute耗时）比例下降至 &lt; 1%。</x:v>
      </x:c>
      <x:c r="T296" s="22" t="str">
        <x:v>SR-02-02-03</x:v>
      </x:c>
      <x:c r="U296" s="22" t="str">
        <x:v>待认领</x:v>
      </x:c>
      <x:c r="V296" s="22" t="str"/>
      <x:c r="W296" s="22" t="str"/>
      <x:c r="X296" s="22" t="str">
        <x:f>IF(COUNTIF($A$5:$A$451,A296)=1,"PASS","FAIL")</x:f>
        <x:v>PASS</x:v>
      </x:c>
      <x:c r="Y296" s="22" t="str">
        <x:f>IF(COUNTIF('SR系统设计'!$A$5:$A$153,B296)+COUNTIF('追溯与覆盖'!$A$5:$A$153,C296)=2,"PASS","FAIL")</x:f>
        <x:v>PASS</x:v>
      </x:c>
    </x:row>
    <x:row r="297" ht="84" customHeight="1">
      <x:c r="A297" s="25" t="str">
        <x:v>AR-L1-RT-WatermarkAdmission-024-02</x:v>
      </x:c>
      <x:c r="B297" s="25" t="str">
        <x:v>SR-02-02-03</x:v>
      </x:c>
      <x:c r="C297" s="25" t="str">
        <x:v>L1-RT-WatermarkAdmission-024</x:v>
      </x:c>
      <x:c r="D297" s="25" t="str">
        <x:v>SF-02</x:v>
      </x:c>
      <x:c r="E297" s="25" t="str">
        <x:v>IR-02-02</x:v>
      </x:c>
      <x:c r="F297" s="22" t="str">
        <x:v>L1 推理调度层</x:v>
      </x:c>
      <x:c r="G297" s="22" t="str">
        <x:v>TM1</x:v>
      </x:c>
      <x:c r="H297" s="22" t="str">
        <x:v>调度与路由控制</x:v>
      </x:c>
      <x:c r="I297" s="22" t="str">
        <x:v>P0</x:v>
      </x:c>
      <x:c r="J297" s="22" t="str">
        <x:v>P0</x:v>
      </x:c>
      <x:c r="K297" s="22" t="str">
        <x:v>契约配置与降级</x:v>
      </x:c>
      <x:c r="L297" s="22" t="str">
        <x:v>推理框架开发</x:v>
      </x:c>
      <x:c r="M297" s="22" t="str">
        <x:v>api/kvcache/v1/watermark_admission.proto + config/runtime/watermark_admission.yaml</x:v>
      </x:c>
      <x:c r="N297" s="22" t="str">
        <x:v>WatermarkAdmissionOptions / kvcache.watermark_admission.enabled</x:v>
      </x:c>
      <x:c r="O297" s="22" t="str">
        <x:v>为 `WatermarkAdmissionOptions` 增加 `kvcache.watermark_admission.enabled`、deadline/容量/队列预算及版本字段；在调用点接入 typed error、decision_reason、fallback_reason，确保配置热更新、灰度关闭和向后兼容均可审计。</x:v>
      </x:c>
      <x:c r="P297" s="22" t="str">
        <x:v>IDL/配置 schema 有版本号、默认值、边界校验和错误码；状态/租约/ready 不满足时按 超预算立即 partial hit/recompute；水位高时平滑拒绝，不得 OOM 崩溃</x:v>
      </x:c>
      <x:c r="Q297" s="22" t="str">
        <x:v>配置样例、schema 校验、升级兼容测试和回退路径齐全；任何隐式 fallback 被移除；新增指标可关联 request_id/query_plan_id/object_id/path_id。</x:v>
      </x:c>
      <x:c r="R297" s="22" t="str">
        <x:v>ctest -R WatermarkAdmissionConfig &amp;&amp; ./bin/kvcache_config_check --case=watermark_admission</x:v>
      </x:c>
      <x:c r="S297" s="22" t="str">
        <x:v>错误Load（即Load耗时 &gt; Recompute耗时）比例下降至 &lt; 1%。</x:v>
      </x:c>
      <x:c r="T297" s="22" t="str">
        <x:v>SR-02-02-03</x:v>
      </x:c>
      <x:c r="U297" s="22" t="str">
        <x:v>待认领</x:v>
      </x:c>
      <x:c r="V297" s="22" t="str"/>
      <x:c r="W297" s="22" t="str"/>
      <x:c r="X297" s="22" t="str">
        <x:f>IF(COUNTIF($A$5:$A$451,A297)=1,"PASS","FAIL")</x:f>
        <x:v>PASS</x:v>
      </x:c>
      <x:c r="Y297" s="22" t="str">
        <x:f>IF(COUNTIF('SR系统设计'!$A$5:$A$153,B297)+COUNTIF('追溯与覆盖'!$A$5:$A$153,C297)=2,"PASS","FAIL")</x:f>
        <x:v>PASS</x:v>
      </x:c>
    </x:row>
    <x:row r="298" ht="84" customHeight="1">
      <x:c r="A298" s="25" t="str">
        <x:v>AR-L1-RT-WatermarkAdmission-024-03</x:v>
      </x:c>
      <x:c r="B298" s="25" t="str">
        <x:v>SR-02-02-03</x:v>
      </x:c>
      <x:c r="C298" s="25" t="str">
        <x:v>L1-RT-WatermarkAdmission-024</x:v>
      </x:c>
      <x:c r="D298" s="25" t="str">
        <x:v>SF-02</x:v>
      </x:c>
      <x:c r="E298" s="25" t="str">
        <x:v>IR-02-02</x:v>
      </x:c>
      <x:c r="F298" s="22" t="str">
        <x:v>L1 推理调度层</x:v>
      </x:c>
      <x:c r="G298" s="22" t="str">
        <x:v>TM1</x:v>
      </x:c>
      <x:c r="H298" s="22" t="str">
        <x:v>调度与路由控制</x:v>
      </x:c>
      <x:c r="I298" s="22" t="str">
        <x:v>P0</x:v>
      </x:c>
      <x:c r="J298" s="22" t="str">
        <x:v>P0</x:v>
      </x:c>
      <x:c r="K298" s="22" t="str">
        <x:v>验证与观测</x:v>
      </x:c>
      <x:c r="L298" s="22" t="str">
        <x:v>推理框架开发</x:v>
      </x:c>
      <x:c r="M298" s="22" t="str">
        <x:v>tests/runtime/scheduler/watermark_admission_test.cc + benchmarks/runtime/scheduler/watermark_admission_benchmark.cc</x:v>
      </x:c>
      <x:c r="N298" s="22" t="str">
        <x:v>WatermarkAdmissionTest / WatermarkAdmissionBenchmark</x:v>
      </x:c>
      <x:c r="O298" s="22" t="str">
        <x:v>新增正常、边界、并发、超时、stale metadata、迁移冲突、路径拥塞/故障与 feature-flag-off 用例；在 benchmark 中固定模型、tokenizer、prompt、并发、拓扑和 baseline，采集 lookup/load/attach、TTFT、TPOT、usable/abandoned hit、带宽/时延及 CPU/NPU 利用率。</x:v>
      </x:c>
      <x:c r="P298" s="22" t="str">
        <x:v>验收直接引用来源指标：“错误Load（即Load耗时 &gt; Recompute耗时）比例下降至 &lt; 1%。”；故障用例必须证明错误 KV 不被消费且 fallback reason 可追踪。</x:v>
      </x:c>
      <x:c r="Q298" s="22" t="str">
        <x:v>来源验收项全部自动化；性能报告包含 P50/P95/P99、置信区间与 baseline；失败门槛接入 CI；测试数据和命令可复现。</x:v>
      </x:c>
      <x:c r="R298" s="22" t="str">
        <x:v>./bin/kvcache_bench --case=watermark_admission --baseline=native --report=json</x:v>
      </x:c>
      <x:c r="S298" s="22" t="str">
        <x:v>错误Load（即Load耗时 &gt; Recompute耗时）比例下降至 &lt; 1%。</x:v>
      </x:c>
      <x:c r="T298" s="22" t="str">
        <x:v>SR-02-02-03</x:v>
      </x:c>
      <x:c r="U298" s="22" t="str">
        <x:v>待认领</x:v>
      </x:c>
      <x:c r="V298" s="22" t="str"/>
      <x:c r="W298" s="22" t="str"/>
      <x:c r="X298" s="22" t="str">
        <x:f>IF(COUNTIF($A$5:$A$451,A298)=1,"PASS","FAIL")</x:f>
        <x:v>PASS</x:v>
      </x:c>
      <x:c r="Y298" s="22" t="str">
        <x:f>IF(COUNTIF('SR系统设计'!$A$5:$A$153,B298)+COUNTIF('追溯与覆盖'!$A$5:$A$153,C298)=2,"PASS","FAIL")</x:f>
        <x:v>PASS</x:v>
      </x:c>
    </x:row>
    <x:row r="299" ht="84" customHeight="1">
      <x:c r="A299" s="25" t="str">
        <x:v>AR-L1-RT-CacheAwareRouting-006-01</x:v>
      </x:c>
      <x:c r="B299" s="25" t="str">
        <x:v>SR-02-02-04</x:v>
      </x:c>
      <x:c r="C299" s="25" t="str">
        <x:v>L1-RT-CacheAwareRouting-006</x:v>
      </x:c>
      <x:c r="D299" s="25" t="str">
        <x:v>SF-02</x:v>
      </x:c>
      <x:c r="E299" s="25" t="str">
        <x:v>IR-02-02</x:v>
      </x:c>
      <x:c r="F299" s="22" t="str">
        <x:v>L1 推理调度层</x:v>
      </x:c>
      <x:c r="G299" s="22" t="str">
        <x:v>TM1</x:v>
      </x:c>
      <x:c r="H299" s="22" t="str">
        <x:v>调度与路由控制</x:v>
      </x:c>
      <x:c r="I299" s="22" t="str">
        <x:v>P1</x:v>
      </x:c>
      <x:c r="J299" s="22" t="str">
        <x:v>P0 子集 + P1 完整</x:v>
      </x:c>
      <x:c r="K299" s="22" t="str">
        <x:v>核心实现</x:v>
      </x:c>
      <x:c r="L299" s="22" t="str">
        <x:v>推理框架开发</x:v>
      </x:c>
      <x:c r="M299" s="22" t="str">
        <x:v>src/runtime/scheduler/cache_aware_routing.{h,cc}</x:v>
      </x:c>
      <x:c r="N299" s="22" t="str">
        <x:v>CacheAwareRoutingController</x:v>
      </x:c>
      <x:c r="O299" s="22" t="str">
        <x:v>在 `src/runtime/scheduler/cache_aware_routing.{h,cc}` 新增或重写 `CacheAwareRoutingController`，把“KVCache 亲和路由调度”落实为 L1 推理调度层 可调用主路径：本需求要求 Router 在选择推理实例前查询 KV placement summary，优先将请求路由到已拥有对应 prefix KV 的 HBM、本地 DDR 或同机架远端 DDR 节点； 输入必须显式消费 PrefixBudget + placement summary + recompute estimate，输出 admission/routing decision + QueryPlan id，不得用全局单例或隐藏同步 I/O 绕开预算与状态机。</x:v>
      </x:c>
      <x:c r="P299" s="22" t="str">
        <x:v>实现 PrefixBudget + placement summary + recompute estimate → admission/routing decision + QueryPlan id；遵守 超预算立即 partial hit/recompute；水位高时平滑拒绝，不得 OOM 崩溃</x:v>
      </x:c>
      <x:c r="Q299" s="22" t="str">
        <x:v>核心算法与状态转换完成；新增代码单测分支覆盖≥85%；线程安全/所有权明确；关闭 feature flag 时行为与 baseline 一致。</x:v>
      </x:c>
      <x:c r="R299" s="22" t="str">
        <x:v>ctest -R CacheAwareRouting --output-on-failure</x:v>
      </x:c>
      <x:c r="S299" s="22" t="str">
        <x:v>local usable hit rate 提升 ≥25%；跨节点 KV bytes/request 降低 ≥30%；</x:v>
      </x:c>
      <x:c r="T299" s="22" t="str">
        <x:v>SR-02-02-04</x:v>
      </x:c>
      <x:c r="U299" s="22" t="str">
        <x:v>待认领</x:v>
      </x:c>
      <x:c r="V299" s="22" t="str"/>
      <x:c r="W299" s="22" t="str"/>
      <x:c r="X299" s="22" t="str">
        <x:f>IF(COUNTIF($A$5:$A$451,A299)=1,"PASS","FAIL")</x:f>
        <x:v>PASS</x:v>
      </x:c>
      <x:c r="Y299" s="22" t="str">
        <x:f>IF(COUNTIF('SR系统设计'!$A$5:$A$153,B299)+COUNTIF('追溯与覆盖'!$A$5:$A$153,C299)=2,"PASS","FAIL")</x:f>
        <x:v>PASS</x:v>
      </x:c>
    </x:row>
    <x:row r="300" ht="84" customHeight="1">
      <x:c r="A300" s="25" t="str">
        <x:v>AR-L1-RT-CacheAwareRouting-006-02</x:v>
      </x:c>
      <x:c r="B300" s="25" t="str">
        <x:v>SR-02-02-04</x:v>
      </x:c>
      <x:c r="C300" s="25" t="str">
        <x:v>L1-RT-CacheAwareRouting-006</x:v>
      </x:c>
      <x:c r="D300" s="25" t="str">
        <x:v>SF-02</x:v>
      </x:c>
      <x:c r="E300" s="25" t="str">
        <x:v>IR-02-02</x:v>
      </x:c>
      <x:c r="F300" s="22" t="str">
        <x:v>L1 推理调度层</x:v>
      </x:c>
      <x:c r="G300" s="22" t="str">
        <x:v>TM1</x:v>
      </x:c>
      <x:c r="H300" s="22" t="str">
        <x:v>调度与路由控制</x:v>
      </x:c>
      <x:c r="I300" s="22" t="str">
        <x:v>P1</x:v>
      </x:c>
      <x:c r="J300" s="22" t="str">
        <x:v>P0 子集 + P1 完整</x:v>
      </x:c>
      <x:c r="K300" s="22" t="str">
        <x:v>契约配置与降级</x:v>
      </x:c>
      <x:c r="L300" s="22" t="str">
        <x:v>推理框架开发</x:v>
      </x:c>
      <x:c r="M300" s="22" t="str">
        <x:v>api/kvcache/v1/cache_aware_routing.proto + config/runtime/cache_aware_routing.yaml</x:v>
      </x:c>
      <x:c r="N300" s="22" t="str">
        <x:v>CacheAwareRoutingOptions / kvcache.cache_aware_routing.enabled</x:v>
      </x:c>
      <x:c r="O300" s="22" t="str">
        <x:v>为 `CacheAwareRoutingOptions` 增加 `kvcache.cache_aware_routing.enabled`、deadline/容量/队列预算及版本字段；在调用点接入 typed error、decision_reason、fallback_reason，确保配置热更新、灰度关闭和向后兼容均可审计。</x:v>
      </x:c>
      <x:c r="P300" s="22" t="str">
        <x:v>IDL/配置 schema 有版本号、默认值、边界校验和错误码；状态/租约/ready 不满足时按 超预算立即 partial hit/recompute；水位高时平滑拒绝，不得 OOM 崩溃</x:v>
      </x:c>
      <x:c r="Q300" s="22" t="str">
        <x:v>配置样例、schema 校验、升级兼容测试和回退路径齐全；任何隐式 fallback 被移除；新增指标可关联 request_id/query_plan_id/object_id/path_id。</x:v>
      </x:c>
      <x:c r="R300" s="22" t="str">
        <x:v>ctest -R CacheAwareRoutingConfig &amp;&amp; ./bin/kvcache_config_check --case=cache_aware_routing</x:v>
      </x:c>
      <x:c r="S300" s="22" t="str">
        <x:v>local usable hit rate 提升 ≥25%；跨节点 KV bytes/request 降低 ≥30%；</x:v>
      </x:c>
      <x:c r="T300" s="22" t="str">
        <x:v>SR-02-02-04</x:v>
      </x:c>
      <x:c r="U300" s="22" t="str">
        <x:v>待认领</x:v>
      </x:c>
      <x:c r="V300" s="22" t="str"/>
      <x:c r="W300" s="22" t="str"/>
      <x:c r="X300" s="22" t="str">
        <x:f>IF(COUNTIF($A$5:$A$451,A300)=1,"PASS","FAIL")</x:f>
        <x:v>PASS</x:v>
      </x:c>
      <x:c r="Y300" s="22" t="str">
        <x:f>IF(COUNTIF('SR系统设计'!$A$5:$A$153,B300)+COUNTIF('追溯与覆盖'!$A$5:$A$153,C300)=2,"PASS","FAIL")</x:f>
        <x:v>PASS</x:v>
      </x:c>
    </x:row>
    <x:row r="301" ht="84" customHeight="1">
      <x:c r="A301" s="25" t="str">
        <x:v>AR-L1-RT-CacheAwareRouting-006-03</x:v>
      </x:c>
      <x:c r="B301" s="25" t="str">
        <x:v>SR-02-02-04</x:v>
      </x:c>
      <x:c r="C301" s="25" t="str">
        <x:v>L1-RT-CacheAwareRouting-006</x:v>
      </x:c>
      <x:c r="D301" s="25" t="str">
        <x:v>SF-02</x:v>
      </x:c>
      <x:c r="E301" s="25" t="str">
        <x:v>IR-02-02</x:v>
      </x:c>
      <x:c r="F301" s="22" t="str">
        <x:v>L1 推理调度层</x:v>
      </x:c>
      <x:c r="G301" s="22" t="str">
        <x:v>TM1</x:v>
      </x:c>
      <x:c r="H301" s="22" t="str">
        <x:v>调度与路由控制</x:v>
      </x:c>
      <x:c r="I301" s="22" t="str">
        <x:v>P1</x:v>
      </x:c>
      <x:c r="J301" s="22" t="str">
        <x:v>P0 子集 + P1 完整</x:v>
      </x:c>
      <x:c r="K301" s="22" t="str">
        <x:v>验证与观测</x:v>
      </x:c>
      <x:c r="L301" s="22" t="str">
        <x:v>推理框架开发</x:v>
      </x:c>
      <x:c r="M301" s="22" t="str">
        <x:v>tests/runtime/scheduler/cache_aware_routing_test.cc + benchmarks/runtime/scheduler/cache_aware_routing_benchmark.cc</x:v>
      </x:c>
      <x:c r="N301" s="22" t="str">
        <x:v>CacheAwareRoutingTest / CacheAwareRoutingBenchmark</x:v>
      </x:c>
      <x:c r="O301" s="22" t="str">
        <x:v>新增正常、边界、并发、超时、stale metadata、迁移冲突、路径拥塞/故障与 feature-flag-off 用例；在 benchmark 中固定模型、tokenizer、prompt、并发、拓扑和 baseline，采集 lookup/load/attach、TTFT、TPOT、usable/abandoned hit、带宽/时延及 CPU/NPU 利用率。</x:v>
      </x:c>
      <x:c r="P301" s="22" t="str">
        <x:v>验收直接引用来源指标：“local usable hit rate 提升 ≥25%；跨节点 KV bytes/request 降低 ≥30%；”；故障用例必须证明错误 KV 不被消费且 fallback reason 可追踪。</x:v>
      </x:c>
      <x:c r="Q301" s="22" t="str">
        <x:v>来源验收项全部自动化；性能报告包含 P50/P95/P99、置信区间与 baseline；失败门槛接入 CI；测试数据和命令可复现。</x:v>
      </x:c>
      <x:c r="R301" s="22" t="str">
        <x:v>./bin/kvcache_bench --case=cache_aware_routing --baseline=native --report=json</x:v>
      </x:c>
      <x:c r="S301" s="22" t="str">
        <x:v>local usable hit rate 提升 ≥25%；跨节点 KV bytes/request 降低 ≥30%；</x:v>
      </x:c>
      <x:c r="T301" s="22" t="str">
        <x:v>SR-02-02-04</x:v>
      </x:c>
      <x:c r="U301" s="22" t="str">
        <x:v>待认领</x:v>
      </x:c>
      <x:c r="V301" s="22" t="str"/>
      <x:c r="W301" s="22" t="str"/>
      <x:c r="X301" s="22" t="str">
        <x:f>IF(COUNTIF($A$5:$A$451,A301)=1,"PASS","FAIL")</x:f>
        <x:v>PASS</x:v>
      </x:c>
      <x:c r="Y301" s="22" t="str">
        <x:f>IF(COUNTIF('SR系统设计'!$A$5:$A$153,B301)+COUNTIF('追溯与覆盖'!$A$5:$A$153,C301)=2,"PASS","FAIL")</x:f>
        <x:v>PASS</x:v>
      </x:c>
    </x:row>
    <x:row r="302" ht="84" customHeight="1">
      <x:c r="A302" s="25" t="str">
        <x:v>AR-L1-VLLM-HIER-SCHED-002-01</x:v>
      </x:c>
      <x:c r="B302" s="25" t="str">
        <x:v>SR-02-02-05</x:v>
      </x:c>
      <x:c r="C302" s="25" t="str">
        <x:v>L1-VLLM-HIER-SCHED-002</x:v>
      </x:c>
      <x:c r="D302" s="25" t="str">
        <x:v>SF-02</x:v>
      </x:c>
      <x:c r="E302" s="25" t="str">
        <x:v>IR-02-02</x:v>
      </x:c>
      <x:c r="F302" s="22" t="str">
        <x:v>L1 推理调度层</x:v>
      </x:c>
      <x:c r="G302" s="22" t="str">
        <x:v>TM1</x:v>
      </x:c>
      <x:c r="H302" s="22" t="str">
        <x:v>调度与路由控制</x:v>
      </x:c>
      <x:c r="I302" s="22" t="str">
        <x:v>P1</x:v>
      </x:c>
      <x:c r="J302" s="22" t="str">
        <x:v>P0 子集 + P1 完整</x:v>
      </x:c>
      <x:c r="K302" s="22" t="str">
        <x:v>核心实现</x:v>
      </x:c>
      <x:c r="L302" s="22" t="str">
        <x:v>推理框架开发</x:v>
      </x:c>
      <x:c r="M302" s="22" t="str">
        <x:v>src/runtime/scheduler/hier_sched.{h,cc}</x:v>
      </x:c>
      <x:c r="N302" s="22" t="str">
        <x:v>HIERSCHEDController</x:v>
      </x:c>
      <x:c r="O302" s="22" t="str">
        <x:v>在 `src/runtime/scheduler/hier_sched.{h,cc}` 新增或重写 `HIERSCHEDController`，把“多层异构存储调度”落实为 L1 推理调度层 可调用主路径：本需求要求扩展vLLM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 输入必须显式消费 PrefixBudget + placement summary + recompute estimate，输出 admission/routing decision + QueryPlan id，不得用全局单例或隐藏同步 I/O 绕开预算与状态机。</x:v>
      </x:c>
      <x:c r="P302" s="22" t="str">
        <x:v>实现 PrefixBudget + placement summary + recompute estimate → admission/routing decision + QueryPlan id；遵守 超预算立即 partial hit/recompute；水位高时平滑拒绝，不得 OOM 崩溃</x:v>
      </x:c>
      <x:c r="Q302" s="22" t="str">
        <x:v>核心算法与状态转换完成；新增代码单测分支覆盖≥85%；线程安全/所有权明确；关闭 feature flag 时行为与 baseline 一致。</x:v>
      </x:c>
      <x:c r="R302" s="22" t="str">
        <x:v>ctest -R HIERSCHED --output-on-failure</x:v>
      </x:c>
      <x:c r="S302" s="22" t="str">
        <x:v>内存碎片率控制在&lt;5%，平均并发处理能力（QPS）提升≥10%。</x:v>
      </x:c>
      <x:c r="T302" s="22" t="str">
        <x:v>SR-02-02-05</x:v>
      </x:c>
      <x:c r="U302" s="22" t="str">
        <x:v>待认领</x:v>
      </x:c>
      <x:c r="V302" s="22" t="str"/>
      <x:c r="W302" s="22" t="str"/>
      <x:c r="X302" s="22" t="str">
        <x:f>IF(COUNTIF($A$5:$A$451,A302)=1,"PASS","FAIL")</x:f>
        <x:v>PASS</x:v>
      </x:c>
      <x:c r="Y302" s="22" t="str">
        <x:f>IF(COUNTIF('SR系统设计'!$A$5:$A$153,B302)+COUNTIF('追溯与覆盖'!$A$5:$A$153,C302)=2,"PASS","FAIL")</x:f>
        <x:v>PASS</x:v>
      </x:c>
    </x:row>
    <x:row r="303" ht="84" customHeight="1">
      <x:c r="A303" s="25" t="str">
        <x:v>AR-L1-VLLM-HIER-SCHED-002-02</x:v>
      </x:c>
      <x:c r="B303" s="25" t="str">
        <x:v>SR-02-02-05</x:v>
      </x:c>
      <x:c r="C303" s="25" t="str">
        <x:v>L1-VLLM-HIER-SCHED-002</x:v>
      </x:c>
      <x:c r="D303" s="25" t="str">
        <x:v>SF-02</x:v>
      </x:c>
      <x:c r="E303" s="25" t="str">
        <x:v>IR-02-02</x:v>
      </x:c>
      <x:c r="F303" s="22" t="str">
        <x:v>L1 推理调度层</x:v>
      </x:c>
      <x:c r="G303" s="22" t="str">
        <x:v>TM1</x:v>
      </x:c>
      <x:c r="H303" s="22" t="str">
        <x:v>调度与路由控制</x:v>
      </x:c>
      <x:c r="I303" s="22" t="str">
        <x:v>P1</x:v>
      </x:c>
      <x:c r="J303" s="22" t="str">
        <x:v>P0 子集 + P1 完整</x:v>
      </x:c>
      <x:c r="K303" s="22" t="str">
        <x:v>契约配置与降级</x:v>
      </x:c>
      <x:c r="L303" s="22" t="str">
        <x:v>推理框架开发</x:v>
      </x:c>
      <x:c r="M303" s="22" t="str">
        <x:v>api/kvcache/v1/hier_sched.proto + config/runtime/hier_sched.yaml</x:v>
      </x:c>
      <x:c r="N303" s="22" t="str">
        <x:v>HIERSCHEDOptions / kvcache.hier_sched.enabled</x:v>
      </x:c>
      <x:c r="O303" s="22" t="str">
        <x:v>为 `HIERSCHEDOptions` 增加 `kvcache.hier_sched.enabled`、deadline/容量/队列预算及版本字段；在调用点接入 typed error、decision_reason、fallback_reason，确保配置热更新、灰度关闭和向后兼容均可审计。</x:v>
      </x:c>
      <x:c r="P303" s="22" t="str">
        <x:v>IDL/配置 schema 有版本号、默认值、边界校验和错误码；状态/租约/ready 不满足时按 超预算立即 partial hit/recompute；水位高时平滑拒绝，不得 OOM 崩溃</x:v>
      </x:c>
      <x:c r="Q303" s="22" t="str">
        <x:v>配置样例、schema 校验、升级兼容测试和回退路径齐全；任何隐式 fallback 被移除；新增指标可关联 request_id/query_plan_id/object_id/path_id。</x:v>
      </x:c>
      <x:c r="R303" s="22" t="str">
        <x:v>ctest -R HIERSCHEDConfig &amp;&amp; ./bin/kvcache_config_check --case=hier_sched</x:v>
      </x:c>
      <x:c r="S303" s="22" t="str">
        <x:v>内存碎片率控制在&lt;5%，平均并发处理能力（QPS）提升≥10%。</x:v>
      </x:c>
      <x:c r="T303" s="22" t="str">
        <x:v>SR-02-02-05</x:v>
      </x:c>
      <x:c r="U303" s="22" t="str">
        <x:v>待认领</x:v>
      </x:c>
      <x:c r="V303" s="22" t="str"/>
      <x:c r="W303" s="22" t="str"/>
      <x:c r="X303" s="22" t="str">
        <x:f>IF(COUNTIF($A$5:$A$451,A303)=1,"PASS","FAIL")</x:f>
        <x:v>PASS</x:v>
      </x:c>
      <x:c r="Y303" s="22" t="str">
        <x:f>IF(COUNTIF('SR系统设计'!$A$5:$A$153,B303)+COUNTIF('追溯与覆盖'!$A$5:$A$153,C303)=2,"PASS","FAIL")</x:f>
        <x:v>PASS</x:v>
      </x:c>
    </x:row>
    <x:row r="304" ht="84" customHeight="1">
      <x:c r="A304" s="25" t="str">
        <x:v>AR-L1-VLLM-HIER-SCHED-002-03</x:v>
      </x:c>
      <x:c r="B304" s="25" t="str">
        <x:v>SR-02-02-05</x:v>
      </x:c>
      <x:c r="C304" s="25" t="str">
        <x:v>L1-VLLM-HIER-SCHED-002</x:v>
      </x:c>
      <x:c r="D304" s="25" t="str">
        <x:v>SF-02</x:v>
      </x:c>
      <x:c r="E304" s="25" t="str">
        <x:v>IR-02-02</x:v>
      </x:c>
      <x:c r="F304" s="22" t="str">
        <x:v>L1 推理调度层</x:v>
      </x:c>
      <x:c r="G304" s="22" t="str">
        <x:v>TM1</x:v>
      </x:c>
      <x:c r="H304" s="22" t="str">
        <x:v>调度与路由控制</x:v>
      </x:c>
      <x:c r="I304" s="22" t="str">
        <x:v>P1</x:v>
      </x:c>
      <x:c r="J304" s="22" t="str">
        <x:v>P0 子集 + P1 完整</x:v>
      </x:c>
      <x:c r="K304" s="22" t="str">
        <x:v>验证与观测</x:v>
      </x:c>
      <x:c r="L304" s="22" t="str">
        <x:v>推理框架开发</x:v>
      </x:c>
      <x:c r="M304" s="22" t="str">
        <x:v>tests/runtime/scheduler/hier_sched_test.cc + benchmarks/runtime/scheduler/hier_sched_benchmark.cc</x:v>
      </x:c>
      <x:c r="N304" s="22" t="str">
        <x:v>HIERSCHEDTest / HIERSCHEDBenchmark</x:v>
      </x:c>
      <x:c r="O304" s="22" t="str">
        <x:v>新增正常、边界、并发、超时、stale metadata、迁移冲突、路径拥塞/故障与 feature-flag-off 用例；在 benchmark 中固定模型、tokenizer、prompt、并发、拓扑和 baseline，采集 lookup/load/attach、TTFT、TPOT、usable/abandoned hit、带宽/时延及 CPU/NPU 利用率。</x:v>
      </x:c>
      <x:c r="P304" s="22" t="str">
        <x:v>验收直接引用来源指标：“内存碎片率控制在&lt;5%，平均并发处理能力（QPS）提升≥10%。”；故障用例必须证明错误 KV 不被消费且 fallback reason 可追踪。</x:v>
      </x:c>
      <x:c r="Q304" s="22" t="str">
        <x:v>来源验收项全部自动化；性能报告包含 P50/P95/P99、置信区间与 baseline；失败门槛接入 CI；测试数据和命令可复现。</x:v>
      </x:c>
      <x:c r="R304" s="22" t="str">
        <x:v>./bin/kvcache_bench --case=hier_sched --baseline=native --report=json</x:v>
      </x:c>
      <x:c r="S304" s="22" t="str">
        <x:v>内存碎片率控制在&lt;5%，平均并发处理能力（QPS）提升≥10%。</x:v>
      </x:c>
      <x:c r="T304" s="22" t="str">
        <x:v>SR-02-02-05</x:v>
      </x:c>
      <x:c r="U304" s="22" t="str">
        <x:v>待认领</x:v>
      </x:c>
      <x:c r="V304" s="22" t="str"/>
      <x:c r="W304" s="22" t="str"/>
      <x:c r="X304" s="22" t="str">
        <x:f>IF(COUNTIF($A$5:$A$451,A304)=1,"PASS","FAIL")</x:f>
        <x:v>PASS</x:v>
      </x:c>
      <x:c r="Y304" s="22" t="str">
        <x:f>IF(COUNTIF('SR系统设计'!$A$5:$A$153,B304)+COUNTIF('追溯与覆盖'!$A$5:$A$153,C304)=2,"PASS","FAIL")</x:f>
        <x:v>PASS</x:v>
      </x:c>
    </x:row>
    <x:row r="305" ht="84" customHeight="1">
      <x:c r="A305" s="25" t="str">
        <x:v>AR-L1-SGL-PFX-IDX-003-01</x:v>
      </x:c>
      <x:c r="B305" s="25" t="str">
        <x:v>SR-02-03-01</x:v>
      </x:c>
      <x:c r="C305" s="25" t="str">
        <x:v>L1-SGL-PFX-IDX-003</x:v>
      </x:c>
      <x:c r="D305" s="25" t="str">
        <x:v>SF-02</x:v>
      </x:c>
      <x:c r="E305" s="25" t="str">
        <x:v>IR-02-03</x:v>
      </x:c>
      <x:c r="F305" s="22" t="str">
        <x:v>L1 推理调度层</x:v>
      </x:c>
      <x:c r="G305" s="22" t="str">
        <x:v>TM2</x:v>
      </x:c>
      <x:c r="H305" s="22" t="str">
        <x:v>前缀索引与命中判定</x:v>
      </x:c>
      <x:c r="I305" s="22" t="str">
        <x:v>P1</x:v>
      </x:c>
      <x:c r="J305" s="22" t="str">
        <x:v>P0 子集 + P1 完整</x:v>
      </x:c>
      <x:c r="K305" s="22" t="str">
        <x:v>核心实现</x:v>
      </x:c>
      <x:c r="L305" s="22" t="str">
        <x:v>推理框架开发</x:v>
      </x:c>
      <x:c r="M305" s="22" t="str">
        <x:v>src/index/prefix/pfx_idx.{h,cc}</x:v>
      </x:c>
      <x:c r="N305" s="22" t="str">
        <x:v>PFXIDXIndex</x:v>
      </x:c>
      <x:c r="O305" s="22" t="str">
        <x:v>在 `src/index/prefix/pfx_idx.{h,cc}` 新增或重写 `PFXIDXIndex`，把“前缀匹配关键路径加速”落实为 L1 推理调度层 可调用主路径：本需求要求将SGLang RadixTree的最长前缀匹配（LPM）核心遍历函数从Python实现迁移至C++/Cython，通过SIMD（AVX2）加速节点键的字符串比较操作，并引入RCU无锁并发设计允许多个LPM查询同时执行，同时采用路径压缩减少RadixTree节点数量。 输入必须显式消费 tokens + semantic salt + session rolling state，输出 prefix spans + local candidate ids，不得用全局单例或隐藏同步 I/O 绕开预算与状态机。</x:v>
      </x:c>
      <x:c r="P305" s="22" t="str">
        <x:v>实现 tokens + semantic salt + session rolling state → prefix spans + local candidate ids；遵守 索引超时或版本不一致按 miss 处理；不得阻塞 Scheduler</x:v>
      </x:c>
      <x:c r="Q305" s="22" t="str">
        <x:v>核心算法与状态转换完成；新增代码单测分支覆盖≥85%；线程安全/所有权明确；关闭 feature flag 时行为与 baseline 一致。</x:v>
      </x:c>
      <x:c r="R305" s="22" t="str">
        <x:v>ctest -R PFXIDX --output-on-failure</x:v>
      </x:c>
      <x:c r="S305" s="22" t="str">
        <x:v>Prefix命中判定P99耗时 &lt; 200us；在Share-Prefix业务下，Usable Hit Rate提升≥15%。</x:v>
      </x:c>
      <x:c r="T305" s="22" t="str">
        <x:v>SR-02-03-01</x:v>
      </x:c>
      <x:c r="U305" s="22" t="str">
        <x:v>待认领</x:v>
      </x:c>
      <x:c r="V305" s="22" t="str"/>
      <x:c r="W305" s="22" t="str"/>
      <x:c r="X305" s="22" t="str">
        <x:f>IF(COUNTIF($A$5:$A$451,A305)=1,"PASS","FAIL")</x:f>
        <x:v>PASS</x:v>
      </x:c>
      <x:c r="Y305" s="22" t="str">
        <x:f>IF(COUNTIF('SR系统设计'!$A$5:$A$153,B305)+COUNTIF('追溯与覆盖'!$A$5:$A$153,C305)=2,"PASS","FAIL")</x:f>
        <x:v>PASS</x:v>
      </x:c>
    </x:row>
    <x:row r="306" ht="84" customHeight="1">
      <x:c r="A306" s="25" t="str">
        <x:v>AR-L1-SGL-PFX-IDX-003-02</x:v>
      </x:c>
      <x:c r="B306" s="25" t="str">
        <x:v>SR-02-03-01</x:v>
      </x:c>
      <x:c r="C306" s="25" t="str">
        <x:v>L1-SGL-PFX-IDX-003</x:v>
      </x:c>
      <x:c r="D306" s="25" t="str">
        <x:v>SF-02</x:v>
      </x:c>
      <x:c r="E306" s="25" t="str">
        <x:v>IR-02-03</x:v>
      </x:c>
      <x:c r="F306" s="22" t="str">
        <x:v>L1 推理调度层</x:v>
      </x:c>
      <x:c r="G306" s="22" t="str">
        <x:v>TM2</x:v>
      </x:c>
      <x:c r="H306" s="22" t="str">
        <x:v>前缀索引与命中判定</x:v>
      </x:c>
      <x:c r="I306" s="22" t="str">
        <x:v>P1</x:v>
      </x:c>
      <x:c r="J306" s="22" t="str">
        <x:v>P0 子集 + P1 完整</x:v>
      </x:c>
      <x:c r="K306" s="22" t="str">
        <x:v>契约配置与降级</x:v>
      </x:c>
      <x:c r="L306" s="22" t="str">
        <x:v>推理框架开发</x:v>
      </x:c>
      <x:c r="M306" s="22" t="str">
        <x:v>api/kvcache/v1/pfx_idx.proto + config/runtime/pfx_idx.yaml</x:v>
      </x:c>
      <x:c r="N306" s="22" t="str">
        <x:v>PFXIDXOptions / kvcache.pfx_idx.enabled</x:v>
      </x:c>
      <x:c r="O306" s="22" t="str">
        <x:v>为 `PFXIDXOptions` 增加 `kvcache.pfx_idx.enabled`、deadline/容量/队列预算及版本字段；在调用点接入 typed error、decision_reason、fallback_reason，确保配置热更新、灰度关闭和向后兼容均可审计。</x:v>
      </x:c>
      <x:c r="P306" s="22" t="str">
        <x:v>IDL/配置 schema 有版本号、默认值、边界校验和错误码；状态/租约/ready 不满足时按 索引超时或版本不一致按 miss 处理；不得阻塞 Scheduler</x:v>
      </x:c>
      <x:c r="Q306" s="22" t="str">
        <x:v>配置样例、schema 校验、升级兼容测试和回退路径齐全；任何隐式 fallback 被移除；新增指标可关联 request_id/query_plan_id/object_id/path_id。</x:v>
      </x:c>
      <x:c r="R306" s="22" t="str">
        <x:v>ctest -R PFXIDXConfig &amp;&amp; ./bin/kvcache_config_check --case=pfx_idx</x:v>
      </x:c>
      <x:c r="S306" s="22" t="str">
        <x:v>Prefix命中判定P99耗时 &lt; 200us；在Share-Prefix业务下，Usable Hit Rate提升≥15%。</x:v>
      </x:c>
      <x:c r="T306" s="22" t="str">
        <x:v>SR-02-03-01</x:v>
      </x:c>
      <x:c r="U306" s="22" t="str">
        <x:v>待认领</x:v>
      </x:c>
      <x:c r="V306" s="22" t="str"/>
      <x:c r="W306" s="22" t="str"/>
      <x:c r="X306" s="22" t="str">
        <x:f>IF(COUNTIF($A$5:$A$451,A306)=1,"PASS","FAIL")</x:f>
        <x:v>PASS</x:v>
      </x:c>
      <x:c r="Y306" s="22" t="str">
        <x:f>IF(COUNTIF('SR系统设计'!$A$5:$A$153,B306)+COUNTIF('追溯与覆盖'!$A$5:$A$153,C306)=2,"PASS","FAIL")</x:f>
        <x:v>PASS</x:v>
      </x:c>
    </x:row>
    <x:row r="307" ht="84" customHeight="1">
      <x:c r="A307" s="25" t="str">
        <x:v>AR-L1-SGL-PFX-IDX-003-03</x:v>
      </x:c>
      <x:c r="B307" s="25" t="str">
        <x:v>SR-02-03-01</x:v>
      </x:c>
      <x:c r="C307" s="25" t="str">
        <x:v>L1-SGL-PFX-IDX-003</x:v>
      </x:c>
      <x:c r="D307" s="25" t="str">
        <x:v>SF-02</x:v>
      </x:c>
      <x:c r="E307" s="25" t="str">
        <x:v>IR-02-03</x:v>
      </x:c>
      <x:c r="F307" s="22" t="str">
        <x:v>L1 推理调度层</x:v>
      </x:c>
      <x:c r="G307" s="22" t="str">
        <x:v>TM2</x:v>
      </x:c>
      <x:c r="H307" s="22" t="str">
        <x:v>前缀索引与命中判定</x:v>
      </x:c>
      <x:c r="I307" s="22" t="str">
        <x:v>P1</x:v>
      </x:c>
      <x:c r="J307" s="22" t="str">
        <x:v>P0 子集 + P1 完整</x:v>
      </x:c>
      <x:c r="K307" s="22" t="str">
        <x:v>验证与观测</x:v>
      </x:c>
      <x:c r="L307" s="22" t="str">
        <x:v>推理框架开发</x:v>
      </x:c>
      <x:c r="M307" s="22" t="str">
        <x:v>tests/index/prefix/pfx_idx_test.cc + benchmarks/index/prefix/pfx_idx_benchmark.cc</x:v>
      </x:c>
      <x:c r="N307" s="22" t="str">
        <x:v>PFXIDXTest / PFXIDXBenchmark</x:v>
      </x:c>
      <x:c r="O307" s="22" t="str">
        <x:v>新增正常、边界、并发、超时、stale metadata、迁移冲突、路径拥塞/故障与 feature-flag-off 用例；在 benchmark 中固定模型、tokenizer、prompt、并发、拓扑和 baseline，采集 lookup/load/attach、TTFT、TPOT、usable/abandoned hit、带宽/时延及 CPU/NPU 利用率。</x:v>
      </x:c>
      <x:c r="P307" s="22" t="str">
        <x:v>验收直接引用来源指标：“Prefix命中判定P99耗时 &lt; 200us；在Share-Prefix业务下，Usable Hit Rate提升≥15%。”；故障用例必须证明错误 KV 不被消费且 fallback reason 可追踪。</x:v>
      </x:c>
      <x:c r="Q307" s="22" t="str">
        <x:v>来源验收项全部自动化；性能报告包含 P50/P95/P99、置信区间与 baseline；失败门槛接入 CI；测试数据和命令可复现。</x:v>
      </x:c>
      <x:c r="R307" s="22" t="str">
        <x:v>./bin/kvcache_bench --case=pfx_idx --baseline=native --report=json</x:v>
      </x:c>
      <x:c r="S307" s="22" t="str">
        <x:v>Prefix命中判定P99耗时 &lt; 200us；在Share-Prefix业务下，Usable Hit Rate提升≥15%。</x:v>
      </x:c>
      <x:c r="T307" s="22" t="str">
        <x:v>SR-02-03-01</x:v>
      </x:c>
      <x:c r="U307" s="22" t="str">
        <x:v>待认领</x:v>
      </x:c>
      <x:c r="V307" s="22" t="str"/>
      <x:c r="W307" s="22" t="str"/>
      <x:c r="X307" s="22" t="str">
        <x:f>IF(COUNTIF($A$5:$A$451,A307)=1,"PASS","FAIL")</x:f>
        <x:v>PASS</x:v>
      </x:c>
      <x:c r="Y307" s="22" t="str">
        <x:f>IF(COUNTIF('SR系统设计'!$A$5:$A$153,B307)+COUNTIF('追溯与覆盖'!$A$5:$A$153,C307)=2,"PASS","FAIL")</x:f>
        <x:v>PASS</x:v>
      </x:c>
    </x:row>
    <x:row r="308" ht="84" customHeight="1">
      <x:c r="A308" s="25" t="str">
        <x:v>AR-L1-VLLM-PFX-SCHED-006-01</x:v>
      </x:c>
      <x:c r="B308" s="25" t="str">
        <x:v>SR-02-03-02</x:v>
      </x:c>
      <x:c r="C308" s="25" t="str">
        <x:v>L1-VLLM-PFX-SCHED-006</x:v>
      </x:c>
      <x:c r="D308" s="25" t="str">
        <x:v>SF-02</x:v>
      </x:c>
      <x:c r="E308" s="25" t="str">
        <x:v>IR-02-03</x:v>
      </x:c>
      <x:c r="F308" s="22" t="str">
        <x:v>L1 推理调度层</x:v>
      </x:c>
      <x:c r="G308" s="22" t="str">
        <x:v>TM2</x:v>
      </x:c>
      <x:c r="H308" s="22" t="str">
        <x:v>前缀索引与命中判定</x:v>
      </x:c>
      <x:c r="I308" s="22" t="str">
        <x:v>P1</x:v>
      </x:c>
      <x:c r="J308" s="22" t="str">
        <x:v>P0 子集 + P1 完整</x:v>
      </x:c>
      <x:c r="K308" s="22" t="str">
        <x:v>核心实现</x:v>
      </x:c>
      <x:c r="L308" s="22" t="str">
        <x:v>推理框架开发</x:v>
      </x:c>
      <x:c r="M308" s="22" t="str">
        <x:v>src/index/prefix/pfx_sched.{h,cc}</x:v>
      </x:c>
      <x:c r="N308" s="22" t="str">
        <x:v>PFXSCHEDIndex</x:v>
      </x:c>
      <x:c r="O308" s="22" t="str">
        <x:v>在 `src/index/prefix/pfx_sched.{h,cc}` 新增或重写 `PFXSCHEDIndex`，把“前缀匹配关键路径解耦”落实为 L1 推理调度层 可调用主路径：本需求要求将前缀匹配检测（哈希计算+本地查询+远端状态确认）从Scheduler决策的同步串行路径中解耦，通过独立前缀预检测Worker Pool异步执行，使Scheduler在决策时能直接读取已完成结果，远端RTT不再出现在调度关键路径上。 输入必须显式消费 tokens + semantic salt + session rolling state，输出 prefix spans + local candidate ids，不得用全局单例或隐藏同步 I/O 绕开预算与状态机。</x:v>
      </x:c>
      <x:c r="P308" s="22" t="str">
        <x:v>实现 tokens + semantic salt + session rolling state → prefix spans + local candidate ids；遵守 索引超时或版本不一致按 miss 处理；不得阻塞 Scheduler</x:v>
      </x:c>
      <x:c r="Q308" s="22" t="str">
        <x:v>核心算法与状态转换完成；新增代码单测分支覆盖≥85%；线程安全/所有权明确；关闭 feature flag 时行为与 baseline 一致。</x:v>
      </x:c>
      <x:c r="R308" s="22" t="str">
        <x:v>ctest -R PFXSCHED --output-on-failure</x:v>
      </x:c>
      <x:c r="S308" s="22" t="str">
        <x:v>Prefix命中判定P99耗时 &lt; 200us；在Share-Prefix业务下，Usable Hit Rate提升≥15%。</x:v>
      </x:c>
      <x:c r="T308" s="22" t="str">
        <x:v>SR-02-03-02</x:v>
      </x:c>
      <x:c r="U308" s="22" t="str">
        <x:v>待认领</x:v>
      </x:c>
      <x:c r="V308" s="22" t="str"/>
      <x:c r="W308" s="22" t="str"/>
      <x:c r="X308" s="22" t="str">
        <x:f>IF(COUNTIF($A$5:$A$451,A308)=1,"PASS","FAIL")</x:f>
        <x:v>PASS</x:v>
      </x:c>
      <x:c r="Y308" s="22" t="str">
        <x:f>IF(COUNTIF('SR系统设计'!$A$5:$A$153,B308)+COUNTIF('追溯与覆盖'!$A$5:$A$153,C308)=2,"PASS","FAIL")</x:f>
        <x:v>PASS</x:v>
      </x:c>
    </x:row>
    <x:row r="309" ht="84" customHeight="1">
      <x:c r="A309" s="25" t="str">
        <x:v>AR-L1-VLLM-PFX-SCHED-006-02</x:v>
      </x:c>
      <x:c r="B309" s="25" t="str">
        <x:v>SR-02-03-02</x:v>
      </x:c>
      <x:c r="C309" s="25" t="str">
        <x:v>L1-VLLM-PFX-SCHED-006</x:v>
      </x:c>
      <x:c r="D309" s="25" t="str">
        <x:v>SF-02</x:v>
      </x:c>
      <x:c r="E309" s="25" t="str">
        <x:v>IR-02-03</x:v>
      </x:c>
      <x:c r="F309" s="22" t="str">
        <x:v>L1 推理调度层</x:v>
      </x:c>
      <x:c r="G309" s="22" t="str">
        <x:v>TM2</x:v>
      </x:c>
      <x:c r="H309" s="22" t="str">
        <x:v>前缀索引与命中判定</x:v>
      </x:c>
      <x:c r="I309" s="22" t="str">
        <x:v>P1</x:v>
      </x:c>
      <x:c r="J309" s="22" t="str">
        <x:v>P0 子集 + P1 完整</x:v>
      </x:c>
      <x:c r="K309" s="22" t="str">
        <x:v>契约配置与降级</x:v>
      </x:c>
      <x:c r="L309" s="22" t="str">
        <x:v>推理框架开发</x:v>
      </x:c>
      <x:c r="M309" s="22" t="str">
        <x:v>api/kvcache/v1/pfx_sched.proto + config/runtime/pfx_sched.yaml</x:v>
      </x:c>
      <x:c r="N309" s="22" t="str">
        <x:v>PFXSCHEDOptions / kvcache.pfx_sched.enabled</x:v>
      </x:c>
      <x:c r="O309" s="22" t="str">
        <x:v>为 `PFXSCHEDOptions` 增加 `kvcache.pfx_sched.enabled`、deadline/容量/队列预算及版本字段；在调用点接入 typed error、decision_reason、fallback_reason，确保配置热更新、灰度关闭和向后兼容均可审计。</x:v>
      </x:c>
      <x:c r="P309" s="22" t="str">
        <x:v>IDL/配置 schema 有版本号、默认值、边界校验和错误码；状态/租约/ready 不满足时按 索引超时或版本不一致按 miss 处理；不得阻塞 Scheduler</x:v>
      </x:c>
      <x:c r="Q309" s="22" t="str">
        <x:v>配置样例、schema 校验、升级兼容测试和回退路径齐全；任何隐式 fallback 被移除；新增指标可关联 request_id/query_plan_id/object_id/path_id。</x:v>
      </x:c>
      <x:c r="R309" s="22" t="str">
        <x:v>ctest -R PFXSCHEDConfig &amp;&amp; ./bin/kvcache_config_check --case=pfx_sched</x:v>
      </x:c>
      <x:c r="S309" s="22" t="str">
        <x:v>Prefix命中判定P99耗时 &lt; 200us；在Share-Prefix业务下，Usable Hit Rate提升≥15%。</x:v>
      </x:c>
      <x:c r="T309" s="22" t="str">
        <x:v>SR-02-03-02</x:v>
      </x:c>
      <x:c r="U309" s="22" t="str">
        <x:v>待认领</x:v>
      </x:c>
      <x:c r="V309" s="22" t="str"/>
      <x:c r="W309" s="22" t="str"/>
      <x:c r="X309" s="22" t="str">
        <x:f>IF(COUNTIF($A$5:$A$451,A309)=1,"PASS","FAIL")</x:f>
        <x:v>PASS</x:v>
      </x:c>
      <x:c r="Y309" s="22" t="str">
        <x:f>IF(COUNTIF('SR系统设计'!$A$5:$A$153,B309)+COUNTIF('追溯与覆盖'!$A$5:$A$153,C309)=2,"PASS","FAIL")</x:f>
        <x:v>PASS</x:v>
      </x:c>
    </x:row>
    <x:row r="310" ht="84" customHeight="1">
      <x:c r="A310" s="25" t="str">
        <x:v>AR-L1-VLLM-PFX-SCHED-006-03</x:v>
      </x:c>
      <x:c r="B310" s="25" t="str">
        <x:v>SR-02-03-02</x:v>
      </x:c>
      <x:c r="C310" s="25" t="str">
        <x:v>L1-VLLM-PFX-SCHED-006</x:v>
      </x:c>
      <x:c r="D310" s="25" t="str">
        <x:v>SF-02</x:v>
      </x:c>
      <x:c r="E310" s="25" t="str">
        <x:v>IR-02-03</x:v>
      </x:c>
      <x:c r="F310" s="22" t="str">
        <x:v>L1 推理调度层</x:v>
      </x:c>
      <x:c r="G310" s="22" t="str">
        <x:v>TM2</x:v>
      </x:c>
      <x:c r="H310" s="22" t="str">
        <x:v>前缀索引与命中判定</x:v>
      </x:c>
      <x:c r="I310" s="22" t="str">
        <x:v>P1</x:v>
      </x:c>
      <x:c r="J310" s="22" t="str">
        <x:v>P0 子集 + P1 完整</x:v>
      </x:c>
      <x:c r="K310" s="22" t="str">
        <x:v>验证与观测</x:v>
      </x:c>
      <x:c r="L310" s="22" t="str">
        <x:v>推理框架开发</x:v>
      </x:c>
      <x:c r="M310" s="22" t="str">
        <x:v>tests/index/prefix/pfx_sched_test.cc + benchmarks/index/prefix/pfx_sched_benchmark.cc</x:v>
      </x:c>
      <x:c r="N310" s="22" t="str">
        <x:v>PFXSCHEDTest / PFXSCHEDBenchmark</x:v>
      </x:c>
      <x:c r="O310" s="22" t="str">
        <x:v>新增正常、边界、并发、超时、stale metadata、迁移冲突、路径拥塞/故障与 feature-flag-off 用例；在 benchmark 中固定模型、tokenizer、prompt、并发、拓扑和 baseline，采集 lookup/load/attach、TTFT、TPOT、usable/abandoned hit、带宽/时延及 CPU/NPU 利用率。</x:v>
      </x:c>
      <x:c r="P310" s="22" t="str">
        <x:v>验收直接引用来源指标：“Prefix命中判定P99耗时 &lt; 200us；在Share-Prefix业务下，Usable Hit Rate提升≥15%。”；故障用例必须证明错误 KV 不被消费且 fallback reason 可追踪。</x:v>
      </x:c>
      <x:c r="Q310" s="22" t="str">
        <x:v>来源验收项全部自动化；性能报告包含 P50/P95/P99、置信区间与 baseline；失败门槛接入 CI；测试数据和命令可复现。</x:v>
      </x:c>
      <x:c r="R310" s="22" t="str">
        <x:v>./bin/kvcache_bench --case=pfx_sched --baseline=native --report=json</x:v>
      </x:c>
      <x:c r="S310" s="22" t="str">
        <x:v>Prefix命中判定P99耗时 &lt; 200us；在Share-Prefix业务下，Usable Hit Rate提升≥15%。</x:v>
      </x:c>
      <x:c r="T310" s="22" t="str">
        <x:v>SR-02-03-02</x:v>
      </x:c>
      <x:c r="U310" s="22" t="str">
        <x:v>待认领</x:v>
      </x:c>
      <x:c r="V310" s="22" t="str"/>
      <x:c r="W310" s="22" t="str"/>
      <x:c r="X310" s="22" t="str">
        <x:f>IF(COUNTIF($A$5:$A$451,A310)=1,"PASS","FAIL")</x:f>
        <x:v>PASS</x:v>
      </x:c>
      <x:c r="Y310" s="22" t="str">
        <x:f>IF(COUNTIF('SR系统设计'!$A$5:$A$153,B310)+COUNTIF('追溯与覆盖'!$A$5:$A$153,C310)=2,"PASS","FAIL")</x:f>
        <x:v>PASS</x:v>
      </x:c>
    </x:row>
    <x:row r="311" ht="84" customHeight="1">
      <x:c r="A311" s="25" t="str">
        <x:v>AR-L1-VLLM-PFX-IDX-005-01</x:v>
      </x:c>
      <x:c r="B311" s="25" t="str">
        <x:v>SR-02-03-03</x:v>
      </x:c>
      <x:c r="C311" s="25" t="str">
        <x:v>L1-VLLM-PFX-IDX-005</x:v>
      </x:c>
      <x:c r="D311" s="25" t="str">
        <x:v>SF-02</x:v>
      </x:c>
      <x:c r="E311" s="25" t="str">
        <x:v>IR-02-03</x:v>
      </x:c>
      <x:c r="F311" s="22" t="str">
        <x:v>L1 推理调度层</x:v>
      </x:c>
      <x:c r="G311" s="22" t="str">
        <x:v>TM2</x:v>
      </x:c>
      <x:c r="H311" s="22" t="str">
        <x:v>前缀索引与命中判定</x:v>
      </x:c>
      <x:c r="I311" s="22" t="str">
        <x:v>P3</x:v>
      </x:c>
      <x:c r="J311" s="22" t="str">
        <x:v>P3</x:v>
      </x:c>
      <x:c r="K311" s="22" t="str">
        <x:v>核心实现</x:v>
      </x:c>
      <x:c r="L311" s="22" t="str">
        <x:v>推理框架开发</x:v>
      </x:c>
      <x:c r="M311" s="22" t="str">
        <x:v>src/index/prefix/pfx_idx.{h,cc}</x:v>
      </x:c>
      <x:c r="N311" s="22" t="str">
        <x:v>PFXIDXIndex</x:v>
      </x:c>
      <x:c r="O311" s="22" t="str">
        <x:v>在 `src/index/prefix/pfx_idx.{h,cc}` 新增或重写 `PFXIDXIndex`，把“前缀匹配关键路径”落实为 L1 推理调度层 可调用主路径：本需求要求将vLLM的前缀哈希计算从CPU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 输入必须显式消费 tokens + semantic salt + session rolling state，输出 prefix spans + local candidate ids，不得用全局单例或隐藏同步 I/O 绕开预算与状态机。</x:v>
      </x:c>
      <x:c r="P311" s="22" t="str">
        <x:v>实现 tokens + semantic salt + session rolling state → prefix spans + local candidate ids；遵守 索引超时或版本不一致按 miss 处理；不得阻塞 Scheduler</x:v>
      </x:c>
      <x:c r="Q311" s="22" t="str">
        <x:v>核心算法与状态转换完成；新增代码单测分支覆盖≥85%；线程安全/所有权明确；关闭 feature flag 时行为与 baseline 一致。</x:v>
      </x:c>
      <x:c r="R311" s="22" t="str">
        <x:v>ctest -R PFXIDX --output-on-failure</x:v>
      </x:c>
      <x:c r="S311" s="22" t="str">
        <x:v>Prefix命中判定P99耗时 &lt; 200us；在Share-Prefix业务下，Usable Hit Rate提升≥15%。</x:v>
      </x:c>
      <x:c r="T311" s="22" t="str">
        <x:v>SR-02-03-03</x:v>
      </x:c>
      <x:c r="U311" s="22" t="str">
        <x:v>待认领</x:v>
      </x:c>
      <x:c r="V311" s="22" t="str"/>
      <x:c r="W311" s="22" t="str"/>
      <x:c r="X311" s="22" t="str">
        <x:f>IF(COUNTIF($A$5:$A$451,A311)=1,"PASS","FAIL")</x:f>
        <x:v>PASS</x:v>
      </x:c>
      <x:c r="Y311" s="22" t="str">
        <x:f>IF(COUNTIF('SR系统设计'!$A$5:$A$153,B311)+COUNTIF('追溯与覆盖'!$A$5:$A$153,C311)=2,"PASS","FAIL")</x:f>
        <x:v>PASS</x:v>
      </x:c>
    </x:row>
    <x:row r="312" ht="84" customHeight="1">
      <x:c r="A312" s="25" t="str">
        <x:v>AR-L1-VLLM-PFX-IDX-005-02</x:v>
      </x:c>
      <x:c r="B312" s="25" t="str">
        <x:v>SR-02-03-03</x:v>
      </x:c>
      <x:c r="C312" s="25" t="str">
        <x:v>L1-VLLM-PFX-IDX-005</x:v>
      </x:c>
      <x:c r="D312" s="25" t="str">
        <x:v>SF-02</x:v>
      </x:c>
      <x:c r="E312" s="25" t="str">
        <x:v>IR-02-03</x:v>
      </x:c>
      <x:c r="F312" s="22" t="str">
        <x:v>L1 推理调度层</x:v>
      </x:c>
      <x:c r="G312" s="22" t="str">
        <x:v>TM2</x:v>
      </x:c>
      <x:c r="H312" s="22" t="str">
        <x:v>前缀索引与命中判定</x:v>
      </x:c>
      <x:c r="I312" s="22" t="str">
        <x:v>P3</x:v>
      </x:c>
      <x:c r="J312" s="22" t="str">
        <x:v>P3</x:v>
      </x:c>
      <x:c r="K312" s="22" t="str">
        <x:v>契约配置与降级</x:v>
      </x:c>
      <x:c r="L312" s="22" t="str">
        <x:v>推理框架开发</x:v>
      </x:c>
      <x:c r="M312" s="22" t="str">
        <x:v>api/kvcache/v1/pfx_idx.proto + config/runtime/pfx_idx.yaml</x:v>
      </x:c>
      <x:c r="N312" s="22" t="str">
        <x:v>PFXIDXOptions / kvcache.pfx_idx.enabled</x:v>
      </x:c>
      <x:c r="O312" s="22" t="str">
        <x:v>为 `PFXIDXOptions` 增加 `kvcache.pfx_idx.enabled`、deadline/容量/队列预算及版本字段；在调用点接入 typed error、decision_reason、fallback_reason，确保配置热更新、灰度关闭和向后兼容均可审计。</x:v>
      </x:c>
      <x:c r="P312" s="22" t="str">
        <x:v>IDL/配置 schema 有版本号、默认值、边界校验和错误码；状态/租约/ready 不满足时按 索引超时或版本不一致按 miss 处理；不得阻塞 Scheduler</x:v>
      </x:c>
      <x:c r="Q312" s="22" t="str">
        <x:v>配置样例、schema 校验、升级兼容测试和回退路径齐全；任何隐式 fallback 被移除；新增指标可关联 request_id/query_plan_id/object_id/path_id。</x:v>
      </x:c>
      <x:c r="R312" s="22" t="str">
        <x:v>ctest -R PFXIDXConfig &amp;&amp; ./bin/kvcache_config_check --case=pfx_idx</x:v>
      </x:c>
      <x:c r="S312" s="22" t="str">
        <x:v>Prefix命中判定P99耗时 &lt; 200us；在Share-Prefix业务下，Usable Hit Rate提升≥15%。</x:v>
      </x:c>
      <x:c r="T312" s="22" t="str">
        <x:v>SR-02-03-03</x:v>
      </x:c>
      <x:c r="U312" s="22" t="str">
        <x:v>待认领</x:v>
      </x:c>
      <x:c r="V312" s="22" t="str"/>
      <x:c r="W312" s="22" t="str"/>
      <x:c r="X312" s="22" t="str">
        <x:f>IF(COUNTIF($A$5:$A$451,A312)=1,"PASS","FAIL")</x:f>
        <x:v>PASS</x:v>
      </x:c>
      <x:c r="Y312" s="22" t="str">
        <x:f>IF(COUNTIF('SR系统设计'!$A$5:$A$153,B312)+COUNTIF('追溯与覆盖'!$A$5:$A$153,C312)=2,"PASS","FAIL")</x:f>
        <x:v>PASS</x:v>
      </x:c>
    </x:row>
    <x:row r="313" ht="84" customHeight="1">
      <x:c r="A313" s="25" t="str">
        <x:v>AR-L1-VLLM-PFX-IDX-005-03</x:v>
      </x:c>
      <x:c r="B313" s="25" t="str">
        <x:v>SR-02-03-03</x:v>
      </x:c>
      <x:c r="C313" s="25" t="str">
        <x:v>L1-VLLM-PFX-IDX-005</x:v>
      </x:c>
      <x:c r="D313" s="25" t="str">
        <x:v>SF-02</x:v>
      </x:c>
      <x:c r="E313" s="25" t="str">
        <x:v>IR-02-03</x:v>
      </x:c>
      <x:c r="F313" s="22" t="str">
        <x:v>L1 推理调度层</x:v>
      </x:c>
      <x:c r="G313" s="22" t="str">
        <x:v>TM2</x:v>
      </x:c>
      <x:c r="H313" s="22" t="str">
        <x:v>前缀索引与命中判定</x:v>
      </x:c>
      <x:c r="I313" s="22" t="str">
        <x:v>P3</x:v>
      </x:c>
      <x:c r="J313" s="22" t="str">
        <x:v>P3</x:v>
      </x:c>
      <x:c r="K313" s="22" t="str">
        <x:v>验证与观测</x:v>
      </x:c>
      <x:c r="L313" s="22" t="str">
        <x:v>推理框架开发</x:v>
      </x:c>
      <x:c r="M313" s="22" t="str">
        <x:v>tests/index/prefix/pfx_idx_test.cc + benchmarks/index/prefix/pfx_idx_benchmark.cc</x:v>
      </x:c>
      <x:c r="N313" s="22" t="str">
        <x:v>PFXIDXTest / PFXIDXBenchmark</x:v>
      </x:c>
      <x:c r="O313" s="22" t="str">
        <x:v>新增正常、边界、并发、超时、stale metadata、迁移冲突、路径拥塞/故障与 feature-flag-off 用例；在 benchmark 中固定模型、tokenizer、prompt、并发、拓扑和 baseline，采集 lookup/load/attach、TTFT、TPOT、usable/abandoned hit、带宽/时延及 CPU/NPU 利用率。</x:v>
      </x:c>
      <x:c r="P313" s="22" t="str">
        <x:v>验收直接引用来源指标：“Prefix命中判定P99耗时 &lt; 200us；在Share-Prefix业务下，Usable Hit Rate提升≥15%。”；故障用例必须证明错误 KV 不被消费且 fallback reason 可追踪。</x:v>
      </x:c>
      <x:c r="Q313" s="22" t="str">
        <x:v>来源验收项全部自动化；性能报告包含 P50/P95/P99、置信区间与 baseline；失败门槛接入 CI；测试数据和命令可复现。</x:v>
      </x:c>
      <x:c r="R313" s="22" t="str">
        <x:v>./bin/kvcache_bench --case=pfx_idx --baseline=native --report=json</x:v>
      </x:c>
      <x:c r="S313" s="22" t="str">
        <x:v>Prefix命中判定P99耗时 &lt; 200us；在Share-Prefix业务下，Usable Hit Rate提升≥15%。</x:v>
      </x:c>
      <x:c r="T313" s="22" t="str">
        <x:v>SR-02-03-03</x:v>
      </x:c>
      <x:c r="U313" s="22" t="str">
        <x:v>待认领</x:v>
      </x:c>
      <x:c r="V313" s="22" t="str"/>
      <x:c r="W313" s="22" t="str"/>
      <x:c r="X313" s="22" t="str">
        <x:f>IF(COUNTIF($A$5:$A$451,A313)=1,"PASS","FAIL")</x:f>
        <x:v>PASS</x:v>
      </x:c>
      <x:c r="Y313" s="22" t="str">
        <x:f>IF(COUNTIF('SR系统设计'!$A$5:$A$153,B313)+COUNTIF('追溯与覆盖'!$A$5:$A$153,C313)=2,"PASS","FAIL")</x:f>
        <x:v>PASS</x:v>
      </x:c>
    </x:row>
    <x:row r="314" ht="84" customHeight="1">
      <x:c r="A314" s="25" t="str">
        <x:v>AR-L2-KV-ConsumeEligibility-035-01</x:v>
      </x:c>
      <x:c r="B314" s="25" t="str">
        <x:v>SR-02-04-01</x:v>
      </x:c>
      <x:c r="C314" s="25" t="str">
        <x:v>L2-KV-ConsumeEligibility-035</x:v>
      </x:c>
      <x:c r="D314" s="25" t="str">
        <x:v>SF-02</x:v>
      </x:c>
      <x:c r="E314" s="25" t="str">
        <x:v>IR-02-04</x:v>
      </x:c>
      <x:c r="F314" s="22" t="str">
        <x:v>L2 KVConnector层</x:v>
      </x:c>
      <x:c r="G314" s="22" t="str">
        <x:v>TM2</x:v>
      </x:c>
      <x:c r="H314" s="22" t="str">
        <x:v>本地元数据缓存与快速判定</x:v>
      </x:c>
      <x:c r="I314" s="22" t="str">
        <x:v>P0</x:v>
      </x:c>
      <x:c r="J314" s="22" t="str">
        <x:v>P0</x:v>
      </x:c>
      <x:c r="K314" s="22" t="str">
        <x:v>核心实现</x:v>
      </x:c>
      <x:c r="L314" s="22" t="str">
        <x:v>Connector开发</x:v>
      </x:c>
      <x:c r="M314" s="22" t="str">
        <x:v>src/metadata/local_cache/consume_eligibility.{h,cc}</x:v>
      </x:c>
      <x:c r="N314" s="22" t="str">
        <x:v>ConsumeEligibilityCache</x:v>
      </x:c>
      <x:c r="O314" s="22" t="str">
        <x:v>在 `src/metadata/local_cache/consume_eligibility.{h,cc}` 新增或重写 `ConsumeEligibilityCache`，把“前缀命中后的可消费状态判定”落实为 L2 KVConnector层 可调用主路径：本需求要求 Connector 提供 consume eligibility 查询接口：输入 prefix_hash、semantic identity、deadline、target_device、rank context，返回 CONSUMABLE、WAIT_READY、NEED_LOAD、NEED_COPY_TO_HBM、MIGRATING_RETRY、STALE_RECOMPUTE、MISS 等语义结果，避免 Schedule… 输入必须显式消费 semantic key + prefix range + version watermark，输出 candidate/negative result + freshness evidence，不得用全局单例或隐藏同步 I/O 绕开预算与状态机。</x:v>
      </x:c>
      <x:c r="P314" s="22" t="str">
        <x:v>实现 semantic key + prefix range + version watermark → candidate/negative result + freshness evidence；遵守 TTL/版本失效立即绕过本地缓存；stale guard失败返回不可消费</x:v>
      </x:c>
      <x:c r="Q314" s="22" t="str">
        <x:v>核心算法与状态转换完成；新增代码单测分支覆盖≥85%；线程安全/所有权明确；关闭 feature flag 时行为与 baseline 一致。</x:v>
      </x:c>
      <x:c r="R314" s="22" t="str">
        <x:v>ctest -R ConsumeEligibility --output-on-failure</x:v>
      </x:c>
      <x:c r="S314" s="22" t="str">
        <x:v>Prefix命中判定P99耗时 &lt; 200us；在Share-Prefix业务下，Usable Hit Rate提升≥15%。</x:v>
      </x:c>
      <x:c r="T314" s="22" t="str">
        <x:v>SR-02-04-01</x:v>
      </x:c>
      <x:c r="U314" s="22" t="str">
        <x:v>待认领</x:v>
      </x:c>
      <x:c r="V314" s="22" t="str"/>
      <x:c r="W314" s="22" t="str"/>
      <x:c r="X314" s="22" t="str">
        <x:f>IF(COUNTIF($A$5:$A$451,A314)=1,"PASS","FAIL")</x:f>
        <x:v>PASS</x:v>
      </x:c>
      <x:c r="Y314" s="22" t="str">
        <x:f>IF(COUNTIF('SR系统设计'!$A$5:$A$153,B314)+COUNTIF('追溯与覆盖'!$A$5:$A$153,C314)=2,"PASS","FAIL")</x:f>
        <x:v>PASS</x:v>
      </x:c>
    </x:row>
    <x:row r="315" ht="84" customHeight="1">
      <x:c r="A315" s="25" t="str">
        <x:v>AR-L2-KV-ConsumeEligibility-035-02</x:v>
      </x:c>
      <x:c r="B315" s="25" t="str">
        <x:v>SR-02-04-01</x:v>
      </x:c>
      <x:c r="C315" s="25" t="str">
        <x:v>L2-KV-ConsumeEligibility-035</x:v>
      </x:c>
      <x:c r="D315" s="25" t="str">
        <x:v>SF-02</x:v>
      </x:c>
      <x:c r="E315" s="25" t="str">
        <x:v>IR-02-04</x:v>
      </x:c>
      <x:c r="F315" s="22" t="str">
        <x:v>L2 KVConnector层</x:v>
      </x:c>
      <x:c r="G315" s="22" t="str">
        <x:v>TM2</x:v>
      </x:c>
      <x:c r="H315" s="22" t="str">
        <x:v>本地元数据缓存与快速判定</x:v>
      </x:c>
      <x:c r="I315" s="22" t="str">
        <x:v>P0</x:v>
      </x:c>
      <x:c r="J315" s="22" t="str">
        <x:v>P0</x:v>
      </x:c>
      <x:c r="K315" s="22" t="str">
        <x:v>契约配置与降级</x:v>
      </x:c>
      <x:c r="L315" s="22" t="str">
        <x:v>Connector开发</x:v>
      </x:c>
      <x:c r="M315" s="22" t="str">
        <x:v>api/kvcache/v1/consume_eligibility.proto + config/runtime/consume_eligibility.yaml</x:v>
      </x:c>
      <x:c r="N315" s="22" t="str">
        <x:v>ConsumeEligibilityOptions / kvcache.consume_eligibility.enabled</x:v>
      </x:c>
      <x:c r="O315" s="22" t="str">
        <x:v>为 `ConsumeEligibilityOptions` 增加 `kvcache.consume_eligibility.enabled`、deadline/容量/队列预算及版本字段；在调用点接入 typed error、decision_reason、fallback_reason，确保配置热更新、灰度关闭和向后兼容均可审计。</x:v>
      </x:c>
      <x:c r="P315" s="22" t="str">
        <x:v>IDL/配置 schema 有版本号、默认值、边界校验和错误码；状态/租约/ready 不满足时按 TTL/版本失效立即绕过本地缓存；stale guard失败返回不可消费</x:v>
      </x:c>
      <x:c r="Q315" s="22" t="str">
        <x:v>配置样例、schema 校验、升级兼容测试和回退路径齐全；任何隐式 fallback 被移除；新增指标可关联 request_id/query_plan_id/object_id/path_id。</x:v>
      </x:c>
      <x:c r="R315" s="22" t="str">
        <x:v>ctest -R ConsumeEligibilityConfig &amp;&amp; ./bin/kvcache_config_check --case=consume_eligibility</x:v>
      </x:c>
      <x:c r="S315" s="22" t="str">
        <x:v>Prefix命中判定P99耗时 &lt; 200us；在Share-Prefix业务下，Usable Hit Rate提升≥15%。</x:v>
      </x:c>
      <x:c r="T315" s="22" t="str">
        <x:v>SR-02-04-01</x:v>
      </x:c>
      <x:c r="U315" s="22" t="str">
        <x:v>待认领</x:v>
      </x:c>
      <x:c r="V315" s="22" t="str"/>
      <x:c r="W315" s="22" t="str"/>
      <x:c r="X315" s="22" t="str">
        <x:f>IF(COUNTIF($A$5:$A$451,A315)=1,"PASS","FAIL")</x:f>
        <x:v>PASS</x:v>
      </x:c>
      <x:c r="Y315" s="22" t="str">
        <x:f>IF(COUNTIF('SR系统设计'!$A$5:$A$153,B315)+COUNTIF('追溯与覆盖'!$A$5:$A$153,C315)=2,"PASS","FAIL")</x:f>
        <x:v>PASS</x:v>
      </x:c>
    </x:row>
    <x:row r="316" ht="84" customHeight="1">
      <x:c r="A316" s="25" t="str">
        <x:v>AR-L2-KV-ConsumeEligibility-035-03</x:v>
      </x:c>
      <x:c r="B316" s="25" t="str">
        <x:v>SR-02-04-01</x:v>
      </x:c>
      <x:c r="C316" s="25" t="str">
        <x:v>L2-KV-ConsumeEligibility-035</x:v>
      </x:c>
      <x:c r="D316" s="25" t="str">
        <x:v>SF-02</x:v>
      </x:c>
      <x:c r="E316" s="25" t="str">
        <x:v>IR-02-04</x:v>
      </x:c>
      <x:c r="F316" s="22" t="str">
        <x:v>L2 KVConnector层</x:v>
      </x:c>
      <x:c r="G316" s="22" t="str">
        <x:v>TM2</x:v>
      </x:c>
      <x:c r="H316" s="22" t="str">
        <x:v>本地元数据缓存与快速判定</x:v>
      </x:c>
      <x:c r="I316" s="22" t="str">
        <x:v>P0</x:v>
      </x:c>
      <x:c r="J316" s="22" t="str">
        <x:v>P0</x:v>
      </x:c>
      <x:c r="K316" s="22" t="str">
        <x:v>验证与观测</x:v>
      </x:c>
      <x:c r="L316" s="22" t="str">
        <x:v>Connector开发</x:v>
      </x:c>
      <x:c r="M316" s="22" t="str">
        <x:v>tests/metadata/local_cache/consume_eligibility_test.cc + benchmarks/metadata/local_cache/consume_eligibility_benchmark.cc</x:v>
      </x:c>
      <x:c r="N316" s="22" t="str">
        <x:v>ConsumeEligibilityTest / ConsumeEligibilityBenchmark</x:v>
      </x:c>
      <x:c r="O316" s="22" t="str">
        <x:v>新增正常、边界、并发、超时、stale metadata、迁移冲突、路径拥塞/故障与 feature-flag-off 用例；在 benchmark 中固定模型、tokenizer、prompt、并发、拓扑和 baseline，采集 lookup/load/attach、TTFT、TPOT、usable/abandoned hit、带宽/时延及 CPU/NPU 利用率。</x:v>
      </x:c>
      <x:c r="P316" s="22" t="str">
        <x:v>验收直接引用来源指标：“Prefix命中判定P99耗时 &lt; 200us；在Share-Prefix业务下，Usable Hit Rate提升≥15%。”；故障用例必须证明错误 KV 不被消费且 fallback reason 可追踪。</x:v>
      </x:c>
      <x:c r="Q316" s="22" t="str">
        <x:v>来源验收项全部自动化；性能报告包含 P50/P95/P99、置信区间与 baseline；失败门槛接入 CI；测试数据和命令可复现。</x:v>
      </x:c>
      <x:c r="R316" s="22" t="str">
        <x:v>./bin/kvcache_bench --case=consume_eligibility --baseline=native --report=json</x:v>
      </x:c>
      <x:c r="S316" s="22" t="str">
        <x:v>Prefix命中判定P99耗时 &lt; 200us；在Share-Prefix业务下，Usable Hit Rate提升≥15%。</x:v>
      </x:c>
      <x:c r="T316" s="22" t="str">
        <x:v>SR-02-04-01</x:v>
      </x:c>
      <x:c r="U316" s="22" t="str">
        <x:v>待认领</x:v>
      </x:c>
      <x:c r="V316" s="22" t="str"/>
      <x:c r="W316" s="22" t="str"/>
      <x:c r="X316" s="22" t="str">
        <x:f>IF(COUNTIF($A$5:$A$451,A316)=1,"PASS","FAIL")</x:f>
        <x:v>PASS</x:v>
      </x:c>
      <x:c r="Y316" s="22" t="str">
        <x:f>IF(COUNTIF('SR系统设计'!$A$5:$A$153,B316)+COUNTIF('追溯与覆盖'!$A$5:$A$153,C316)=2,"PASS","FAIL")</x:f>
        <x:v>PASS</x:v>
      </x:c>
    </x:row>
    <x:row r="317" ht="84" customHeight="1">
      <x:c r="A317" s="25" t="str">
        <x:v>AR-L3-CONN-PFX-IDX-005-01</x:v>
      </x:c>
      <x:c r="B317" s="25" t="str">
        <x:v>SR-02-04-02</x:v>
      </x:c>
      <x:c r="C317" s="25" t="str">
        <x:v>L3-CONN-PFX-IDX-005</x:v>
      </x:c>
      <x:c r="D317" s="25" t="str">
        <x:v>SF-02</x:v>
      </x:c>
      <x:c r="E317" s="25" t="str">
        <x:v>IR-02-04</x:v>
      </x:c>
      <x:c r="F317" s="22" t="str">
        <x:v>L3 传输管理层</x:v>
      </x:c>
      <x:c r="G317" s="22" t="str">
        <x:v>TM2</x:v>
      </x:c>
      <x:c r="H317" s="22" t="str">
        <x:v>本地元数据缓存与快速判定</x:v>
      </x:c>
      <x:c r="I317" s="22" t="str">
        <x:v>P0</x:v>
      </x:c>
      <x:c r="J317" s="22" t="str">
        <x:v>P0</x:v>
      </x:c>
      <x:c r="K317" s="22" t="str">
        <x:v>核心实现</x:v>
      </x:c>
      <x:c r="L317" s="22" t="str">
        <x:v>存储池/传输管理开发</x:v>
      </x:c>
      <x:c r="M317" s="22" t="str">
        <x:v>src/metadata/local_cache/pfx_idx.{h,cc}</x:v>
      </x:c>
      <x:c r="N317" s="22" t="str">
        <x:v>PFXIDXCache</x:v>
      </x:c>
      <x:c r="O317" s="22" t="str">
        <x:v>在 `src/metadata/local_cache/pfx_idx.{h,cc}` 新增或重写 `PFXIDXCache`，把“前缀命中快速判断”落实为 L3 传输管理层 可调用主路径：本需求要求实现两级前缀索引结构：第一级本地 Filter（FPR&lt;0.1%，内存&lt;50MB）在5μs内快速排除确定Miss，避免不必要的分布式RTT； 输入必须显式消费 semantic key + prefix range + version watermark，输出 candidate/negative result + freshness evidence，不得用全局单例或隐藏同步 I/O 绕开预算与状态机。</x:v>
      </x:c>
      <x:c r="P317" s="22" t="str">
        <x:v>实现 semantic key + prefix range + version watermark → candidate/negative result + freshness evidence；遵守 TTL/版本失效立即绕过本地缓存；stale guard失败返回不可消费</x:v>
      </x:c>
      <x:c r="Q317" s="22" t="str">
        <x:v>核心算法与状态转换完成；新增代码单测分支覆盖≥85%；线程安全/所有权明确；关闭 feature flag 时行为与 baseline 一致。</x:v>
      </x:c>
      <x:c r="R317" s="22" t="str">
        <x:v>ctest -R PFXIDX --output-on-failure</x:v>
      </x:c>
      <x:c r="S317" s="22" t="str">
        <x:v>Prefix命中判定P99耗时 &lt; 200us；在Share-Prefix业务下，Usable Hit Rate提升≥15%。</x:v>
      </x:c>
      <x:c r="T317" s="22" t="str">
        <x:v>SR-02-04-02</x:v>
      </x:c>
      <x:c r="U317" s="22" t="str">
        <x:v>待认领</x:v>
      </x:c>
      <x:c r="V317" s="22" t="str"/>
      <x:c r="W317" s="22" t="str"/>
      <x:c r="X317" s="22" t="str">
        <x:f>IF(COUNTIF($A$5:$A$451,A317)=1,"PASS","FAIL")</x:f>
        <x:v>PASS</x:v>
      </x:c>
      <x:c r="Y317" s="22" t="str">
        <x:f>IF(COUNTIF('SR系统设计'!$A$5:$A$153,B317)+COUNTIF('追溯与覆盖'!$A$5:$A$153,C317)=2,"PASS","FAIL")</x:f>
        <x:v>PASS</x:v>
      </x:c>
    </x:row>
    <x:row r="318" ht="84" customHeight="1">
      <x:c r="A318" s="25" t="str">
        <x:v>AR-L3-CONN-PFX-IDX-005-02</x:v>
      </x:c>
      <x:c r="B318" s="25" t="str">
        <x:v>SR-02-04-02</x:v>
      </x:c>
      <x:c r="C318" s="25" t="str">
        <x:v>L3-CONN-PFX-IDX-005</x:v>
      </x:c>
      <x:c r="D318" s="25" t="str">
        <x:v>SF-02</x:v>
      </x:c>
      <x:c r="E318" s="25" t="str">
        <x:v>IR-02-04</x:v>
      </x:c>
      <x:c r="F318" s="22" t="str">
        <x:v>L3 传输管理层</x:v>
      </x:c>
      <x:c r="G318" s="22" t="str">
        <x:v>TM2</x:v>
      </x:c>
      <x:c r="H318" s="22" t="str">
        <x:v>本地元数据缓存与快速判定</x:v>
      </x:c>
      <x:c r="I318" s="22" t="str">
        <x:v>P0</x:v>
      </x:c>
      <x:c r="J318" s="22" t="str">
        <x:v>P0</x:v>
      </x:c>
      <x:c r="K318" s="22" t="str">
        <x:v>契约配置与降级</x:v>
      </x:c>
      <x:c r="L318" s="22" t="str">
        <x:v>存储池/传输管理开发</x:v>
      </x:c>
      <x:c r="M318" s="22" t="str">
        <x:v>api/kvcache/v1/pfx_idx.proto + config/runtime/pfx_idx.yaml</x:v>
      </x:c>
      <x:c r="N318" s="22" t="str">
        <x:v>PFXIDXOptions / kvcache.pfx_idx.enabled</x:v>
      </x:c>
      <x:c r="O318" s="22" t="str">
        <x:v>为 `PFXIDXOptions` 增加 `kvcache.pfx_idx.enabled`、deadline/容量/队列预算及版本字段；在调用点接入 typed error、decision_reason、fallback_reason，确保配置热更新、灰度关闭和向后兼容均可审计。</x:v>
      </x:c>
      <x:c r="P318" s="22" t="str">
        <x:v>IDL/配置 schema 有版本号、默认值、边界校验和错误码；状态/租约/ready 不满足时按 TTL/版本失效立即绕过本地缓存；stale guard失败返回不可消费</x:v>
      </x:c>
      <x:c r="Q318" s="22" t="str">
        <x:v>配置样例、schema 校验、升级兼容测试和回退路径齐全；任何隐式 fallback 被移除；新增指标可关联 request_id/query_plan_id/object_id/path_id。</x:v>
      </x:c>
      <x:c r="R318" s="22" t="str">
        <x:v>ctest -R PFXIDXConfig &amp;&amp; ./bin/kvcache_config_check --case=pfx_idx</x:v>
      </x:c>
      <x:c r="S318" s="22" t="str">
        <x:v>Prefix命中判定P99耗时 &lt; 200us；在Share-Prefix业务下，Usable Hit Rate提升≥15%。</x:v>
      </x:c>
      <x:c r="T318" s="22" t="str">
        <x:v>SR-02-04-02</x:v>
      </x:c>
      <x:c r="U318" s="22" t="str">
        <x:v>待认领</x:v>
      </x:c>
      <x:c r="V318" s="22" t="str"/>
      <x:c r="W318" s="22" t="str"/>
      <x:c r="X318" s="22" t="str">
        <x:f>IF(COUNTIF($A$5:$A$451,A318)=1,"PASS","FAIL")</x:f>
        <x:v>PASS</x:v>
      </x:c>
      <x:c r="Y318" s="22" t="str">
        <x:f>IF(COUNTIF('SR系统设计'!$A$5:$A$153,B318)+COUNTIF('追溯与覆盖'!$A$5:$A$153,C318)=2,"PASS","FAIL")</x:f>
        <x:v>PASS</x:v>
      </x:c>
    </x:row>
    <x:row r="319" ht="84" customHeight="1">
      <x:c r="A319" s="25" t="str">
        <x:v>AR-L3-CONN-PFX-IDX-005-03</x:v>
      </x:c>
      <x:c r="B319" s="25" t="str">
        <x:v>SR-02-04-02</x:v>
      </x:c>
      <x:c r="C319" s="25" t="str">
        <x:v>L3-CONN-PFX-IDX-005</x:v>
      </x:c>
      <x:c r="D319" s="25" t="str">
        <x:v>SF-02</x:v>
      </x:c>
      <x:c r="E319" s="25" t="str">
        <x:v>IR-02-04</x:v>
      </x:c>
      <x:c r="F319" s="22" t="str">
        <x:v>L3 传输管理层</x:v>
      </x:c>
      <x:c r="G319" s="22" t="str">
        <x:v>TM2</x:v>
      </x:c>
      <x:c r="H319" s="22" t="str">
        <x:v>本地元数据缓存与快速判定</x:v>
      </x:c>
      <x:c r="I319" s="22" t="str">
        <x:v>P0</x:v>
      </x:c>
      <x:c r="J319" s="22" t="str">
        <x:v>P0</x:v>
      </x:c>
      <x:c r="K319" s="22" t="str">
        <x:v>验证与观测</x:v>
      </x:c>
      <x:c r="L319" s="22" t="str">
        <x:v>存储池/传输管理开发</x:v>
      </x:c>
      <x:c r="M319" s="22" t="str">
        <x:v>tests/metadata/local_cache/pfx_idx_test.cc + benchmarks/metadata/local_cache/pfx_idx_benchmark.cc</x:v>
      </x:c>
      <x:c r="N319" s="22" t="str">
        <x:v>PFXIDXTest / PFXIDXBenchmark</x:v>
      </x:c>
      <x:c r="O319" s="22" t="str">
        <x:v>新增正常、边界、并发、超时、stale metadata、迁移冲突、路径拥塞/故障与 feature-flag-off 用例；在 benchmark 中固定模型、tokenizer、prompt、并发、拓扑和 baseline，采集 lookup/load/attach、TTFT、TPOT、usable/abandoned hit、带宽/时延及 CPU/NPU 利用率。</x:v>
      </x:c>
      <x:c r="P319" s="22" t="str">
        <x:v>验收直接引用来源指标：“Prefix命中判定P99耗时 &lt; 200us；在Share-Prefix业务下，Usable Hit Rate提升≥15%。”；故障用例必须证明错误 KV 不被消费且 fallback reason 可追踪。</x:v>
      </x:c>
      <x:c r="Q319" s="22" t="str">
        <x:v>来源验收项全部自动化；性能报告包含 P50/P95/P99、置信区间与 baseline；失败门槛接入 CI；测试数据和命令可复现。</x:v>
      </x:c>
      <x:c r="R319" s="22" t="str">
        <x:v>./bin/kvcache_bench --case=pfx_idx --baseline=native --report=json</x:v>
      </x:c>
      <x:c r="S319" s="22" t="str">
        <x:v>Prefix命中判定P99耗时 &lt; 200us；在Share-Prefix业务下，Usable Hit Rate提升≥15%。</x:v>
      </x:c>
      <x:c r="T319" s="22" t="str">
        <x:v>SR-02-04-02</x:v>
      </x:c>
      <x:c r="U319" s="22" t="str">
        <x:v>待认领</x:v>
      </x:c>
      <x:c r="V319" s="22" t="str"/>
      <x:c r="W319" s="22" t="str"/>
      <x:c r="X319" s="22" t="str">
        <x:f>IF(COUNTIF($A$5:$A$451,A319)=1,"PASS","FAIL")</x:f>
        <x:v>PASS</x:v>
      </x:c>
      <x:c r="Y319" s="22" t="str">
        <x:f>IF(COUNTIF('SR系统设计'!$A$5:$A$153,B319)+COUNTIF('追溯与覆盖'!$A$5:$A$153,C319)=2,"PASS","FAIL")</x:f>
        <x:v>PASS</x:v>
      </x:c>
    </x:row>
    <x:row r="320" ht="84" customHeight="1">
      <x:c r="A320" s="25" t="str">
        <x:v>AR-L2-CONN-META-CACHE-004-01</x:v>
      </x:c>
      <x:c r="B320" s="25" t="str">
        <x:v>SR-02-04-03</x:v>
      </x:c>
      <x:c r="C320" s="25" t="str">
        <x:v>L2-CONN-META-CACHE-004</x:v>
      </x:c>
      <x:c r="D320" s="25" t="str">
        <x:v>SF-02</x:v>
      </x:c>
      <x:c r="E320" s="25" t="str">
        <x:v>IR-02-04</x:v>
      </x:c>
      <x:c r="F320" s="22" t="str">
        <x:v>L2 KVConnector层</x:v>
      </x:c>
      <x:c r="G320" s="22" t="str">
        <x:v>TM2</x:v>
      </x:c>
      <x:c r="H320" s="22" t="str">
        <x:v>本地元数据缓存与快速判定</x:v>
      </x:c>
      <x:c r="I320" s="22" t="str">
        <x:v>P1</x:v>
      </x:c>
      <x:c r="J320" s="22" t="str">
        <x:v>P1</x:v>
      </x:c>
      <x:c r="K320" s="22" t="str">
        <x:v>核心实现</x:v>
      </x:c>
      <x:c r="L320" s="22" t="str">
        <x:v>Connector开发</x:v>
      </x:c>
      <x:c r="M320" s="22" t="str">
        <x:v>src/metadata/local_cache/meta_cache.{h,cc}</x:v>
      </x:c>
      <x:c r="N320" s="22" t="str">
        <x:v>METACACHECache</x:v>
      </x:c>
      <x:c r="O320" s="22" t="str">
        <x:v>在 `src/metadata/local_cache/meta_cache.{h,cc}` 新增或重写 `METACACHECache`，把“前缀命中快速决策”落实为 L2 KVConnector层 可调用主路径：本需求要求在Connector层维护本地in-process元数据缓存（HashMap，默认100K条目），缓存prefix_hash到存储位置的映射关系，通过TTL过期和L3层版本号失效通知保证缓存一致性，使高频复用场景下的元数据查询从基线时延 RTT降至10μs以内。 输入必须显式消费 semantic key + prefix range + version watermark，输出 candidate/negative result + freshness evidence，不得用全局单例或隐藏同步 I/O 绕开预算与状态机。</x:v>
      </x:c>
      <x:c r="P320" s="22" t="str">
        <x:v>实现 semantic key + prefix range + version watermark → candidate/negative result + freshness evidence；遵守 TTL/版本失效立即绕过本地缓存；stale guard失败返回不可消费</x:v>
      </x:c>
      <x:c r="Q320" s="22" t="str">
        <x:v>核心算法与状态转换完成；新增代码单测分支覆盖≥85%；线程安全/所有权明确；关闭 feature flag 时行为与 baseline 一致。</x:v>
      </x:c>
      <x:c r="R320" s="22" t="str">
        <x:v>ctest -R METACACHE --output-on-failure</x:v>
      </x:c>
      <x:c r="S320" s="22" t="str">
        <x:v>Prefix命中判定P99耗时 &lt; 200us；在Share-Prefix业务下，Usable Hit Rate提升≥15%。</x:v>
      </x:c>
      <x:c r="T320" s="22" t="str">
        <x:v>SR-02-04-03</x:v>
      </x:c>
      <x:c r="U320" s="22" t="str">
        <x:v>待认领</x:v>
      </x:c>
      <x:c r="V320" s="22" t="str"/>
      <x:c r="W320" s="22" t="str"/>
      <x:c r="X320" s="22" t="str">
        <x:f>IF(COUNTIF($A$5:$A$451,A320)=1,"PASS","FAIL")</x:f>
        <x:v>PASS</x:v>
      </x:c>
      <x:c r="Y320" s="22" t="str">
        <x:f>IF(COUNTIF('SR系统设计'!$A$5:$A$153,B320)+COUNTIF('追溯与覆盖'!$A$5:$A$153,C320)=2,"PASS","FAIL")</x:f>
        <x:v>PASS</x:v>
      </x:c>
    </x:row>
    <x:row r="321" ht="84" customHeight="1">
      <x:c r="A321" s="25" t="str">
        <x:v>AR-L2-CONN-META-CACHE-004-02</x:v>
      </x:c>
      <x:c r="B321" s="25" t="str">
        <x:v>SR-02-04-03</x:v>
      </x:c>
      <x:c r="C321" s="25" t="str">
        <x:v>L2-CONN-META-CACHE-004</x:v>
      </x:c>
      <x:c r="D321" s="25" t="str">
        <x:v>SF-02</x:v>
      </x:c>
      <x:c r="E321" s="25" t="str">
        <x:v>IR-02-04</x:v>
      </x:c>
      <x:c r="F321" s="22" t="str">
        <x:v>L2 KVConnector层</x:v>
      </x:c>
      <x:c r="G321" s="22" t="str">
        <x:v>TM2</x:v>
      </x:c>
      <x:c r="H321" s="22" t="str">
        <x:v>本地元数据缓存与快速判定</x:v>
      </x:c>
      <x:c r="I321" s="22" t="str">
        <x:v>P1</x:v>
      </x:c>
      <x:c r="J321" s="22" t="str">
        <x:v>P1</x:v>
      </x:c>
      <x:c r="K321" s="22" t="str">
        <x:v>契约配置与降级</x:v>
      </x:c>
      <x:c r="L321" s="22" t="str">
        <x:v>Connector开发</x:v>
      </x:c>
      <x:c r="M321" s="22" t="str">
        <x:v>api/kvcache/v1/meta_cache.proto + config/runtime/meta_cache.yaml</x:v>
      </x:c>
      <x:c r="N321" s="22" t="str">
        <x:v>METACACHEOptions / kvcache.meta_cache.enabled</x:v>
      </x:c>
      <x:c r="O321" s="22" t="str">
        <x:v>为 `METACACHEOptions` 增加 `kvcache.meta_cache.enabled`、deadline/容量/队列预算及版本字段；在调用点接入 typed error、decision_reason、fallback_reason，确保配置热更新、灰度关闭和向后兼容均可审计。</x:v>
      </x:c>
      <x:c r="P321" s="22" t="str">
        <x:v>IDL/配置 schema 有版本号、默认值、边界校验和错误码；状态/租约/ready 不满足时按 TTL/版本失效立即绕过本地缓存；stale guard失败返回不可消费</x:v>
      </x:c>
      <x:c r="Q321" s="22" t="str">
        <x:v>配置样例、schema 校验、升级兼容测试和回退路径齐全；任何隐式 fallback 被移除；新增指标可关联 request_id/query_plan_id/object_id/path_id。</x:v>
      </x:c>
      <x:c r="R321" s="22" t="str">
        <x:v>ctest -R METACACHEConfig &amp;&amp; ./bin/kvcache_config_check --case=meta_cache</x:v>
      </x:c>
      <x:c r="S321" s="22" t="str">
        <x:v>Prefix命中判定P99耗时 &lt; 200us；在Share-Prefix业务下，Usable Hit Rate提升≥15%。</x:v>
      </x:c>
      <x:c r="T321" s="22" t="str">
        <x:v>SR-02-04-03</x:v>
      </x:c>
      <x:c r="U321" s="22" t="str">
        <x:v>待认领</x:v>
      </x:c>
      <x:c r="V321" s="22" t="str"/>
      <x:c r="W321" s="22" t="str"/>
      <x:c r="X321" s="22" t="str">
        <x:f>IF(COUNTIF($A$5:$A$451,A321)=1,"PASS","FAIL")</x:f>
        <x:v>PASS</x:v>
      </x:c>
      <x:c r="Y321" s="22" t="str">
        <x:f>IF(COUNTIF('SR系统设计'!$A$5:$A$153,B321)+COUNTIF('追溯与覆盖'!$A$5:$A$153,C321)=2,"PASS","FAIL")</x:f>
        <x:v>PASS</x:v>
      </x:c>
    </x:row>
    <x:row r="322" ht="84" customHeight="1">
      <x:c r="A322" s="25" t="str">
        <x:v>AR-L2-CONN-META-CACHE-004-03</x:v>
      </x:c>
      <x:c r="B322" s="25" t="str">
        <x:v>SR-02-04-03</x:v>
      </x:c>
      <x:c r="C322" s="25" t="str">
        <x:v>L2-CONN-META-CACHE-004</x:v>
      </x:c>
      <x:c r="D322" s="25" t="str">
        <x:v>SF-02</x:v>
      </x:c>
      <x:c r="E322" s="25" t="str">
        <x:v>IR-02-04</x:v>
      </x:c>
      <x:c r="F322" s="22" t="str">
        <x:v>L2 KVConnector层</x:v>
      </x:c>
      <x:c r="G322" s="22" t="str">
        <x:v>TM2</x:v>
      </x:c>
      <x:c r="H322" s="22" t="str">
        <x:v>本地元数据缓存与快速判定</x:v>
      </x:c>
      <x:c r="I322" s="22" t="str">
        <x:v>P1</x:v>
      </x:c>
      <x:c r="J322" s="22" t="str">
        <x:v>P1</x:v>
      </x:c>
      <x:c r="K322" s="22" t="str">
        <x:v>验证与观测</x:v>
      </x:c>
      <x:c r="L322" s="22" t="str">
        <x:v>Connector开发</x:v>
      </x:c>
      <x:c r="M322" s="22" t="str">
        <x:v>tests/metadata/local_cache/meta_cache_test.cc + benchmarks/metadata/local_cache/meta_cache_benchmark.cc</x:v>
      </x:c>
      <x:c r="N322" s="22" t="str">
        <x:v>METACACHETest / METACACHEBenchmark</x:v>
      </x:c>
      <x:c r="O322" s="22" t="str">
        <x:v>新增正常、边界、并发、超时、stale metadata、迁移冲突、路径拥塞/故障与 feature-flag-off 用例；在 benchmark 中固定模型、tokenizer、prompt、并发、拓扑和 baseline，采集 lookup/load/attach、TTFT、TPOT、usable/abandoned hit、带宽/时延及 CPU/NPU 利用率。</x:v>
      </x:c>
      <x:c r="P322" s="22" t="str">
        <x:v>验收直接引用来源指标：“Prefix命中判定P99耗时 &lt; 200us；在Share-Prefix业务下，Usable Hit Rate提升≥15%。”；故障用例必须证明错误 KV 不被消费且 fallback reason 可追踪。</x:v>
      </x:c>
      <x:c r="Q322" s="22" t="str">
        <x:v>来源验收项全部自动化；性能报告包含 P50/P95/P99、置信区间与 baseline；失败门槛接入 CI；测试数据和命令可复现。</x:v>
      </x:c>
      <x:c r="R322" s="22" t="str">
        <x:v>./bin/kvcache_bench --case=meta_cache --baseline=native --report=json</x:v>
      </x:c>
      <x:c r="S322" s="22" t="str">
        <x:v>Prefix命中判定P99耗时 &lt; 200us；在Share-Prefix业务下，Usable Hit Rate提升≥15%。</x:v>
      </x:c>
      <x:c r="T322" s="22" t="str">
        <x:v>SR-02-04-03</x:v>
      </x:c>
      <x:c r="U322" s="22" t="str">
        <x:v>待认领</x:v>
      </x:c>
      <x:c r="V322" s="22" t="str"/>
      <x:c r="W322" s="22" t="str"/>
      <x:c r="X322" s="22" t="str">
        <x:f>IF(COUNTIF($A$5:$A$451,A322)=1,"PASS","FAIL")</x:f>
        <x:v>PASS</x:v>
      </x:c>
      <x:c r="Y322" s="22" t="str">
        <x:f>IF(COUNTIF('SR系统设计'!$A$5:$A$153,B322)+COUNTIF('追溯与覆盖'!$A$5:$A$153,C322)=2,"PASS","FAIL")</x:f>
        <x:v>PASS</x:v>
      </x:c>
    </x:row>
    <x:row r="323" ht="84" customHeight="1">
      <x:c r="A323" s="25" t="str">
        <x:v>AR-L2-PM-BatchLookup-021-01</x:v>
      </x:c>
      <x:c r="B323" s="25" t="str">
        <x:v>SR-02-04-04</x:v>
      </x:c>
      <x:c r="C323" s="25" t="str">
        <x:v>L2-PM-BatchLookup-021</x:v>
      </x:c>
      <x:c r="D323" s="25" t="str">
        <x:v>SF-02</x:v>
      </x:c>
      <x:c r="E323" s="25" t="str">
        <x:v>IR-02-04</x:v>
      </x:c>
      <x:c r="F323" s="22" t="str">
        <x:v>L2 KVConnector层</x:v>
      </x:c>
      <x:c r="G323" s="22" t="str">
        <x:v>TM2</x:v>
      </x:c>
      <x:c r="H323" s="22" t="str">
        <x:v>本地元数据缓存与快速判定</x:v>
      </x:c>
      <x:c r="I323" s="22" t="str">
        <x:v>P1</x:v>
      </x:c>
      <x:c r="J323" s="22" t="str">
        <x:v>P1</x:v>
      </x:c>
      <x:c r="K323" s="22" t="str">
        <x:v>核心实现</x:v>
      </x:c>
      <x:c r="L323" s="22" t="str">
        <x:v>Connector开发</x:v>
      </x:c>
      <x:c r="M323" s="22" t="str">
        <x:v>src/metadata/local_cache/batch_lookup.{h,cc}</x:v>
      </x:c>
      <x:c r="N323" s="22" t="str">
        <x:v>BatchLookupCache</x:v>
      </x:c>
      <x:c r="O323" s="22" t="str">
        <x:v>在 `src/metadata/local_cache/batch_lookup.{h,cc}` 新增或重写 `BatchLookupCache`，把“共享前缀 KVCache 批量查询”落实为 L2 KVConnector层 可调用主路径：本需求要求 Connector 提供 batch prefix lookup API：一次提交 block hash vector、radix span 或 page hash range，返回连续命中区间、tier、location、version 和 estimated load cost，避免每个 block/page 单独访问远端目录造成 metadata RTT 风暴。 输入必须显式消费 semantic key + prefix range + version watermark，输出 candidate/negative result + freshness evidence，不得用全局单例或隐藏同步 I/O 绕开预算与状态机。</x:v>
      </x:c>
      <x:c r="P323" s="22" t="str">
        <x:v>实现 semantic key + prefix range + version watermark → candidate/negative result + freshness evidence；遵守 TTL/版本失效立即绕过本地缓存；stale guard失败返回不可消费</x:v>
      </x:c>
      <x:c r="Q323" s="22" t="str">
        <x:v>核心算法与状态转换完成；新增代码单测分支覆盖≥85%；线程安全/所有权明确；关闭 feature flag 时行为与 baseline 一致。</x:v>
      </x:c>
      <x:c r="R323" s="22" t="str">
        <x:v>ctest -R BatchLookup --output-on-failure</x:v>
      </x:c>
      <x:c r="S323" s="22" t="str">
        <x:v>remote lookup QPS 降低 ≥50%；lookup p99 降低 ≥30%；</x:v>
      </x:c>
      <x:c r="T323" s="22" t="str">
        <x:v>SR-02-04-04</x:v>
      </x:c>
      <x:c r="U323" s="22" t="str">
        <x:v>待认领</x:v>
      </x:c>
      <x:c r="V323" s="22" t="str"/>
      <x:c r="W323" s="22" t="str"/>
      <x:c r="X323" s="22" t="str">
        <x:f>IF(COUNTIF($A$5:$A$451,A323)=1,"PASS","FAIL")</x:f>
        <x:v>PASS</x:v>
      </x:c>
      <x:c r="Y323" s="22" t="str">
        <x:f>IF(COUNTIF('SR系统设计'!$A$5:$A$153,B323)+COUNTIF('追溯与覆盖'!$A$5:$A$153,C323)=2,"PASS","FAIL")</x:f>
        <x:v>PASS</x:v>
      </x:c>
    </x:row>
    <x:row r="324" ht="84" customHeight="1">
      <x:c r="A324" s="25" t="str">
        <x:v>AR-L2-PM-BatchLookup-021-02</x:v>
      </x:c>
      <x:c r="B324" s="25" t="str">
        <x:v>SR-02-04-04</x:v>
      </x:c>
      <x:c r="C324" s="25" t="str">
        <x:v>L2-PM-BatchLookup-021</x:v>
      </x:c>
      <x:c r="D324" s="25" t="str">
        <x:v>SF-02</x:v>
      </x:c>
      <x:c r="E324" s="25" t="str">
        <x:v>IR-02-04</x:v>
      </x:c>
      <x:c r="F324" s="22" t="str">
        <x:v>L2 KVConnector层</x:v>
      </x:c>
      <x:c r="G324" s="22" t="str">
        <x:v>TM2</x:v>
      </x:c>
      <x:c r="H324" s="22" t="str">
        <x:v>本地元数据缓存与快速判定</x:v>
      </x:c>
      <x:c r="I324" s="22" t="str">
        <x:v>P1</x:v>
      </x:c>
      <x:c r="J324" s="22" t="str">
        <x:v>P1</x:v>
      </x:c>
      <x:c r="K324" s="22" t="str">
        <x:v>契约配置与降级</x:v>
      </x:c>
      <x:c r="L324" s="22" t="str">
        <x:v>Connector开发</x:v>
      </x:c>
      <x:c r="M324" s="22" t="str">
        <x:v>api/kvcache/v1/batch_lookup.proto + config/runtime/batch_lookup.yaml</x:v>
      </x:c>
      <x:c r="N324" s="22" t="str">
        <x:v>BatchLookupOptions / kvcache.batch_lookup.enabled</x:v>
      </x:c>
      <x:c r="O324" s="22" t="str">
        <x:v>为 `BatchLookupOptions` 增加 `kvcache.batch_lookup.enabled`、deadline/容量/队列预算及版本字段；在调用点接入 typed error、decision_reason、fallback_reason，确保配置热更新、灰度关闭和向后兼容均可审计。</x:v>
      </x:c>
      <x:c r="P324" s="22" t="str">
        <x:v>IDL/配置 schema 有版本号、默认值、边界校验和错误码；状态/租约/ready 不满足时按 TTL/版本失效立即绕过本地缓存；stale guard失败返回不可消费</x:v>
      </x:c>
      <x:c r="Q324" s="22" t="str">
        <x:v>配置样例、schema 校验、升级兼容测试和回退路径齐全；任何隐式 fallback 被移除；新增指标可关联 request_id/query_plan_id/object_id/path_id。</x:v>
      </x:c>
      <x:c r="R324" s="22" t="str">
        <x:v>ctest -R BatchLookupConfig &amp;&amp; ./bin/kvcache_config_check --case=batch_lookup</x:v>
      </x:c>
      <x:c r="S324" s="22" t="str">
        <x:v>remote lookup QPS 降低 ≥50%；lookup p99 降低 ≥30%；</x:v>
      </x:c>
      <x:c r="T324" s="22" t="str">
        <x:v>SR-02-04-04</x:v>
      </x:c>
      <x:c r="U324" s="22" t="str">
        <x:v>待认领</x:v>
      </x:c>
      <x:c r="V324" s="22" t="str"/>
      <x:c r="W324" s="22" t="str"/>
      <x:c r="X324" s="22" t="str">
        <x:f>IF(COUNTIF($A$5:$A$451,A324)=1,"PASS","FAIL")</x:f>
        <x:v>PASS</x:v>
      </x:c>
      <x:c r="Y324" s="22" t="str">
        <x:f>IF(COUNTIF('SR系统设计'!$A$5:$A$153,B324)+COUNTIF('追溯与覆盖'!$A$5:$A$153,C324)=2,"PASS","FAIL")</x:f>
        <x:v>PASS</x:v>
      </x:c>
    </x:row>
    <x:row r="325" ht="84" customHeight="1">
      <x:c r="A325" s="25" t="str">
        <x:v>AR-L2-PM-BatchLookup-021-03</x:v>
      </x:c>
      <x:c r="B325" s="25" t="str">
        <x:v>SR-02-04-04</x:v>
      </x:c>
      <x:c r="C325" s="25" t="str">
        <x:v>L2-PM-BatchLookup-021</x:v>
      </x:c>
      <x:c r="D325" s="25" t="str">
        <x:v>SF-02</x:v>
      </x:c>
      <x:c r="E325" s="25" t="str">
        <x:v>IR-02-04</x:v>
      </x:c>
      <x:c r="F325" s="22" t="str">
        <x:v>L2 KVConnector层</x:v>
      </x:c>
      <x:c r="G325" s="22" t="str">
        <x:v>TM2</x:v>
      </x:c>
      <x:c r="H325" s="22" t="str">
        <x:v>本地元数据缓存与快速判定</x:v>
      </x:c>
      <x:c r="I325" s="22" t="str">
        <x:v>P1</x:v>
      </x:c>
      <x:c r="J325" s="22" t="str">
        <x:v>P1</x:v>
      </x:c>
      <x:c r="K325" s="22" t="str">
        <x:v>验证与观测</x:v>
      </x:c>
      <x:c r="L325" s="22" t="str">
        <x:v>Connector开发</x:v>
      </x:c>
      <x:c r="M325" s="22" t="str">
        <x:v>tests/metadata/local_cache/batch_lookup_test.cc + benchmarks/metadata/local_cache/batch_lookup_benchmark.cc</x:v>
      </x:c>
      <x:c r="N325" s="22" t="str">
        <x:v>BatchLookupTest / BatchLookupBenchmark</x:v>
      </x:c>
      <x:c r="O325" s="22" t="str">
        <x:v>新增正常、边界、并发、超时、stale metadata、迁移冲突、路径拥塞/故障与 feature-flag-off 用例；在 benchmark 中固定模型、tokenizer、prompt、并发、拓扑和 baseline，采集 lookup/load/attach、TTFT、TPOT、usable/abandoned hit、带宽/时延及 CPU/NPU 利用率。</x:v>
      </x:c>
      <x:c r="P325" s="22" t="str">
        <x:v>验收直接引用来源指标：“remote lookup QPS 降低 ≥50%；lookup p99 降低 ≥30%；”；故障用例必须证明错误 KV 不被消费且 fallback reason 可追踪。</x:v>
      </x:c>
      <x:c r="Q325" s="22" t="str">
        <x:v>来源验收项全部自动化；性能报告包含 P50/P95/P99、置信区间与 baseline；失败门槛接入 CI；测试数据和命令可复现。</x:v>
      </x:c>
      <x:c r="R325" s="22" t="str">
        <x:v>./bin/kvcache_bench --case=batch_lookup --baseline=native --report=json</x:v>
      </x:c>
      <x:c r="S325" s="22" t="str">
        <x:v>remote lookup QPS 降低 ≥50%；lookup p99 降低 ≥30%；</x:v>
      </x:c>
      <x:c r="T325" s="22" t="str">
        <x:v>SR-02-04-04</x:v>
      </x:c>
      <x:c r="U325" s="22" t="str">
        <x:v>待认领</x:v>
      </x:c>
      <x:c r="V325" s="22" t="str"/>
      <x:c r="W325" s="22" t="str"/>
      <x:c r="X325" s="22" t="str">
        <x:f>IF(COUNTIF($A$5:$A$451,A325)=1,"PASS","FAIL")</x:f>
        <x:v>PASS</x:v>
      </x:c>
      <x:c r="Y325" s="22" t="str">
        <x:f>IF(COUNTIF('SR系统设计'!$A$5:$A$153,B325)+COUNTIF('追溯与覆盖'!$A$5:$A$153,C325)=2,"PASS","FAIL")</x:f>
        <x:v>PASS</x:v>
      </x:c>
    </x:row>
    <x:row r="326" ht="84" customHeight="1">
      <x:c r="A326" s="25" t="str">
        <x:v>AR-L3-MS-AtomicPublishVisibility-087-01</x:v>
      </x:c>
      <x:c r="B326" s="25" t="str">
        <x:v>SR-02-05-01</x:v>
      </x:c>
      <x:c r="C326" s="25" t="str">
        <x:v>L3-MS-AtomicPublishVisibility-087</x:v>
      </x:c>
      <x:c r="D326" s="25" t="str">
        <x:v>SF-02</x:v>
      </x:c>
      <x:c r="E326" s="25" t="str">
        <x:v>IR-02-05</x:v>
      </x:c>
      <x:c r="F326" s="22" t="str">
        <x:v>L3 传输管理层</x:v>
      </x:c>
      <x:c r="G326" s="22" t="str">
        <x:v>TM2</x:v>
      </x:c>
      <x:c r="H326" s="22" t="str">
        <x:v>前缀目录与元数据平面</x:v>
      </x:c>
      <x:c r="I326" s="22" t="str">
        <x:v>P0</x:v>
      </x:c>
      <x:c r="J326" s="22" t="str">
        <x:v>P0</x:v>
      </x:c>
      <x:c r="K326" s="22" t="str">
        <x:v>核心实现</x:v>
      </x:c>
      <x:c r="L326" s="22" t="str">
        <x:v>存储池/传输管理开发</x:v>
      </x:c>
      <x:c r="M326" s="22" t="str">
        <x:v>src/metadata/directory/atomic_publish_visibility.{h,cc}</x:v>
      </x:c>
      <x:c r="N326" s="22" t="str">
        <x:v>AtomicPublishVisibilityDirectory</x:v>
      </x:c>
      <x:c r="O326" s="22" t="str">
        <x:v>在 `src/metadata/directory/atomic_publish_visibility.{h,cc}` 新增或重写 `AtomicPublishVisibilityDirectory`，把“高吞吐低时延元数据发布一致性”落实为 L3 传输管理层 可调用主路径：本需求要求放弃控制面的三阶段提交（单写者流水线）与分布式 WAL 日志，数据平面全面拥抱单写者最终一致性架构； 输入必须显式消费 publish/invalidations + prefix query + topology，输出 PrefixDirectoryRecord + replica candidates + consume eligibility，不得用全局单例或隐藏同步 I/O 绕开预算与状态机。</x:v>
      </x:c>
      <x:c r="P326" s="22" t="str">
        <x:v>实现 publish/invalidations + prefix query + topology → PrefixDirectoryRecord + replica candidates + consume eligibility；遵守 主分片故障切副本；镜像过期强制精确查询；未ready/已tombstone对象不可返回</x:v>
      </x:c>
      <x:c r="Q326" s="22" t="str">
        <x:v>核心算法与状态转换完成；新增代码单测分支覆盖≥85%；线程安全/所有权明确；关闭 feature flag 时行为与 baseline 一致。</x:v>
      </x:c>
      <x:c r="R326" s="22" t="str">
        <x:v>ctest -R AtomicPublishVisibility --output-on-failure</x:v>
      </x:c>
      <x:c r="S326" s="22" t="str">
        <x:v>Prefix命中判定P99耗时 &lt; 200us；在Share-Prefix业务下，Usable Hit Rate提升≥15%。</x:v>
      </x:c>
      <x:c r="T326" s="22" t="str">
        <x:v>SR-02-05-01</x:v>
      </x:c>
      <x:c r="U326" s="22" t="str">
        <x:v>待认领</x:v>
      </x:c>
      <x:c r="V326" s="22" t="str"/>
      <x:c r="W326" s="22" t="str"/>
      <x:c r="X326" s="22" t="str">
        <x:f>IF(COUNTIF($A$5:$A$451,A326)=1,"PASS","FAIL")</x:f>
        <x:v>PASS</x:v>
      </x:c>
      <x:c r="Y326" s="22" t="str">
        <x:f>IF(COUNTIF('SR系统设计'!$A$5:$A$153,B326)+COUNTIF('追溯与覆盖'!$A$5:$A$153,C326)=2,"PASS","FAIL")</x:f>
        <x:v>PASS</x:v>
      </x:c>
    </x:row>
    <x:row r="327" ht="84" customHeight="1">
      <x:c r="A327" s="25" t="str">
        <x:v>AR-L3-MS-AtomicPublishVisibility-087-02</x:v>
      </x:c>
      <x:c r="B327" s="25" t="str">
        <x:v>SR-02-05-01</x:v>
      </x:c>
      <x:c r="C327" s="25" t="str">
        <x:v>L3-MS-AtomicPublishVisibility-087</x:v>
      </x:c>
      <x:c r="D327" s="25" t="str">
        <x:v>SF-02</x:v>
      </x:c>
      <x:c r="E327" s="25" t="str">
        <x:v>IR-02-05</x:v>
      </x:c>
      <x:c r="F327" s="22" t="str">
        <x:v>L3 传输管理层</x:v>
      </x:c>
      <x:c r="G327" s="22" t="str">
        <x:v>TM2</x:v>
      </x:c>
      <x:c r="H327" s="22" t="str">
        <x:v>前缀目录与元数据平面</x:v>
      </x:c>
      <x:c r="I327" s="22" t="str">
        <x:v>P0</x:v>
      </x:c>
      <x:c r="J327" s="22" t="str">
        <x:v>P0</x:v>
      </x:c>
      <x:c r="K327" s="22" t="str">
        <x:v>契约配置与降级</x:v>
      </x:c>
      <x:c r="L327" s="22" t="str">
        <x:v>存储池/传输管理开发</x:v>
      </x:c>
      <x:c r="M327" s="22" t="str">
        <x:v>api/kvcache/v1/atomic_publish_visibility.proto + config/runtime/atomic_publish_visibility.yaml</x:v>
      </x:c>
      <x:c r="N327" s="22" t="str">
        <x:v>AtomicPublishVisibilityOptions / kvcache.atomic_publish_visibility.enabled</x:v>
      </x:c>
      <x:c r="O327" s="22" t="str">
        <x:v>为 `AtomicPublishVisibilityOptions` 增加 `kvcache.atomic_publish_visibility.enabled`、deadline/容量/队列预算及版本字段；在调用点接入 typed error、decision_reason、fallback_reason，确保配置热更新、灰度关闭和向后兼容均可审计。</x:v>
      </x:c>
      <x:c r="P327" s="22" t="str">
        <x:v>IDL/配置 schema 有版本号、默认值、边界校验和错误码；状态/租约/ready 不满足时按 主分片故障切副本；镜像过期强制精确查询；未ready/已tombstone对象不可返回</x:v>
      </x:c>
      <x:c r="Q327" s="22" t="str">
        <x:v>配置样例、schema 校验、升级兼容测试和回退路径齐全；任何隐式 fallback 被移除；新增指标可关联 request_id/query_plan_id/object_id/path_id。</x:v>
      </x:c>
      <x:c r="R327" s="22" t="str">
        <x:v>ctest -R AtomicPublishVisibilityConfig &amp;&amp; ./bin/kvcache_config_check --case=atomic_publish_visibility</x:v>
      </x:c>
      <x:c r="S327" s="22" t="str">
        <x:v>Prefix命中判定P99耗时 &lt; 200us；在Share-Prefix业务下，Usable Hit Rate提升≥15%。</x:v>
      </x:c>
      <x:c r="T327" s="22" t="str">
        <x:v>SR-02-05-01</x:v>
      </x:c>
      <x:c r="U327" s="22" t="str">
        <x:v>待认领</x:v>
      </x:c>
      <x:c r="V327" s="22" t="str"/>
      <x:c r="W327" s="22" t="str"/>
      <x:c r="X327" s="22" t="str">
        <x:f>IF(COUNTIF($A$5:$A$451,A327)=1,"PASS","FAIL")</x:f>
        <x:v>PASS</x:v>
      </x:c>
      <x:c r="Y327" s="22" t="str">
        <x:f>IF(COUNTIF('SR系统设计'!$A$5:$A$153,B327)+COUNTIF('追溯与覆盖'!$A$5:$A$153,C327)=2,"PASS","FAIL")</x:f>
        <x:v>PASS</x:v>
      </x:c>
    </x:row>
    <x:row r="328" ht="84" customHeight="1">
      <x:c r="A328" s="25" t="str">
        <x:v>AR-L3-MS-AtomicPublishVisibility-087-03</x:v>
      </x:c>
      <x:c r="B328" s="25" t="str">
        <x:v>SR-02-05-01</x:v>
      </x:c>
      <x:c r="C328" s="25" t="str">
        <x:v>L3-MS-AtomicPublishVisibility-087</x:v>
      </x:c>
      <x:c r="D328" s="25" t="str">
        <x:v>SF-02</x:v>
      </x:c>
      <x:c r="E328" s="25" t="str">
        <x:v>IR-02-05</x:v>
      </x:c>
      <x:c r="F328" s="22" t="str">
        <x:v>L3 传输管理层</x:v>
      </x:c>
      <x:c r="G328" s="22" t="str">
        <x:v>TM2</x:v>
      </x:c>
      <x:c r="H328" s="22" t="str">
        <x:v>前缀目录与元数据平面</x:v>
      </x:c>
      <x:c r="I328" s="22" t="str">
        <x:v>P0</x:v>
      </x:c>
      <x:c r="J328" s="22" t="str">
        <x:v>P0</x:v>
      </x:c>
      <x:c r="K328" s="22" t="str">
        <x:v>验证与观测</x:v>
      </x:c>
      <x:c r="L328" s="22" t="str">
        <x:v>存储池/传输管理开发</x:v>
      </x:c>
      <x:c r="M328" s="22" t="str">
        <x:v>tests/metadata/directory/atomic_publish_visibility_test.cc + benchmarks/metadata/directory/atomic_publish_visibility_benchmark.cc</x:v>
      </x:c>
      <x:c r="N328" s="22" t="str">
        <x:v>AtomicPublishVisibilityTest / AtomicPublishVisibilityBenchmark</x:v>
      </x:c>
      <x:c r="O328" s="22" t="str">
        <x:v>新增正常、边界、并发、超时、stale metadata、迁移冲突、路径拥塞/故障与 feature-flag-off 用例；在 benchmark 中固定模型、tokenizer、prompt、并发、拓扑和 baseline，采集 lookup/load/attach、TTFT、TPOT、usable/abandoned hit、带宽/时延及 CPU/NPU 利用率。</x:v>
      </x:c>
      <x:c r="P328" s="22" t="str">
        <x:v>验收直接引用来源指标：“Prefix命中判定P99耗时 &lt; 200us；在Share-Prefix业务下，Usable Hit Rate提升≥15%。”；故障用例必须证明错误 KV 不被消费且 fallback reason 可追踪。</x:v>
      </x:c>
      <x:c r="Q328" s="22" t="str">
        <x:v>来源验收项全部自动化；性能报告包含 P50/P95/P99、置信区间与 baseline；失败门槛接入 CI；测试数据和命令可复现。</x:v>
      </x:c>
      <x:c r="R328" s="22" t="str">
        <x:v>./bin/kvcache_bench --case=atomic_publish_visibility --baseline=native --report=json</x:v>
      </x:c>
      <x:c r="S328" s="22" t="str">
        <x:v>Prefix命中判定P99耗时 &lt; 200us；在Share-Prefix业务下，Usable Hit Rate提升≥15%。</x:v>
      </x:c>
      <x:c r="T328" s="22" t="str">
        <x:v>SR-02-05-01</x:v>
      </x:c>
      <x:c r="U328" s="22" t="str">
        <x:v>待认领</x:v>
      </x:c>
      <x:c r="V328" s="22" t="str"/>
      <x:c r="W328" s="22" t="str"/>
      <x:c r="X328" s="22" t="str">
        <x:f>IF(COUNTIF($A$5:$A$451,A328)=1,"PASS","FAIL")</x:f>
        <x:v>PASS</x:v>
      </x:c>
      <x:c r="Y328" s="22" t="str">
        <x:f>IF(COUNTIF('SR系统设计'!$A$5:$A$153,B328)+COUNTIF('追溯与覆盖'!$A$5:$A$153,C328)=2,"PASS","FAIL")</x:f>
        <x:v>PASS</x:v>
      </x:c>
    </x:row>
    <x:row r="329" ht="84" customHeight="1">
      <x:c r="A329" s="25" t="str">
        <x:v>AR-L3-MS-ConsumeEligibility-060-01</x:v>
      </x:c>
      <x:c r="B329" s="25" t="str">
        <x:v>SR-02-05-02</x:v>
      </x:c>
      <x:c r="C329" s="25" t="str">
        <x:v>L3-MS-ConsumeEligibility-060</x:v>
      </x:c>
      <x:c r="D329" s="25" t="str">
        <x:v>SF-02</x:v>
      </x:c>
      <x:c r="E329" s="25" t="str">
        <x:v>IR-02-05</x:v>
      </x:c>
      <x:c r="F329" s="22" t="str">
        <x:v>L3 传输管理层</x:v>
      </x:c>
      <x:c r="G329" s="22" t="str">
        <x:v>TM2</x:v>
      </x:c>
      <x:c r="H329" s="22" t="str">
        <x:v>前缀目录与元数据平面</x:v>
      </x:c>
      <x:c r="I329" s="22" t="str">
        <x:v>P0</x:v>
      </x:c>
      <x:c r="J329" s="22" t="str">
        <x:v>P0</x:v>
      </x:c>
      <x:c r="K329" s="22" t="str">
        <x:v>核心实现</x:v>
      </x:c>
      <x:c r="L329" s="22" t="str">
        <x:v>存储池/传输管理开发</x:v>
      </x:c>
      <x:c r="M329" s="22" t="str">
        <x:v>src/metadata/directory/consume_eligibility.{h,cc}</x:v>
      </x:c>
      <x:c r="N329" s="22" t="str">
        <x:v>ConsumeEligibilityDirectory</x:v>
      </x:c>
      <x:c r="O329" s="22" t="str">
        <x:v>在 `src/metadata/directory/consume_eligibility.{h,cc}` 新增或重写 `ConsumeEligibilityDirectory`，把“Prefix hit 后能否转化为 usable hit”落实为 L3 传输管理层 可调用主路径：本需求要求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 输入必须显式消费 publish/invalidations + prefix query + topology，输出 PrefixDirectoryRecord + replica candidates + consume eligibility，不得用全局单例或隐藏同步 I/O 绕开预算与状态机。</x:v>
      </x:c>
      <x:c r="P329" s="22" t="str">
        <x:v>实现 publish/invalidations + prefix query + topology → PrefixDirectoryRecord + replica candidates + consume eligibility；遵守 主分片故障切副本；镜像过期强制精确查询；未ready/已tombstone对象不可返回</x:v>
      </x:c>
      <x:c r="Q329" s="22" t="str">
        <x:v>核心算法与状态转换完成；新增代码单测分支覆盖≥85%；线程安全/所有权明确；关闭 feature flag 时行为与 baseline 一致。</x:v>
      </x:c>
      <x:c r="R329" s="22" t="str">
        <x:v>ctest -R ConsumeEligibility --output-on-failure</x:v>
      </x:c>
      <x:c r="S329" s="22" t="str">
        <x:v>Prefix命中判定P99耗时 &lt; 200us；在Share-Prefix业务下，Usable Hit Rate提升≥15%。</x:v>
      </x:c>
      <x:c r="T329" s="22" t="str">
        <x:v>SR-02-05-02</x:v>
      </x:c>
      <x:c r="U329" s="22" t="str">
        <x:v>待认领</x:v>
      </x:c>
      <x:c r="V329" s="22" t="str"/>
      <x:c r="W329" s="22" t="str"/>
      <x:c r="X329" s="22" t="str">
        <x:f>IF(COUNTIF($A$5:$A$451,A329)=1,"PASS","FAIL")</x:f>
        <x:v>PASS</x:v>
      </x:c>
      <x:c r="Y329" s="22" t="str">
        <x:f>IF(COUNTIF('SR系统设计'!$A$5:$A$153,B329)+COUNTIF('追溯与覆盖'!$A$5:$A$153,C329)=2,"PASS","FAIL")</x:f>
        <x:v>PASS</x:v>
      </x:c>
    </x:row>
    <x:row r="330" ht="84" customHeight="1">
      <x:c r="A330" s="25" t="str">
        <x:v>AR-L3-MS-ConsumeEligibility-060-02</x:v>
      </x:c>
      <x:c r="B330" s="25" t="str">
        <x:v>SR-02-05-02</x:v>
      </x:c>
      <x:c r="C330" s="25" t="str">
        <x:v>L3-MS-ConsumeEligibility-060</x:v>
      </x:c>
      <x:c r="D330" s="25" t="str">
        <x:v>SF-02</x:v>
      </x:c>
      <x:c r="E330" s="25" t="str">
        <x:v>IR-02-05</x:v>
      </x:c>
      <x:c r="F330" s="22" t="str">
        <x:v>L3 传输管理层</x:v>
      </x:c>
      <x:c r="G330" s="22" t="str">
        <x:v>TM2</x:v>
      </x:c>
      <x:c r="H330" s="22" t="str">
        <x:v>前缀目录与元数据平面</x:v>
      </x:c>
      <x:c r="I330" s="22" t="str">
        <x:v>P0</x:v>
      </x:c>
      <x:c r="J330" s="22" t="str">
        <x:v>P0</x:v>
      </x:c>
      <x:c r="K330" s="22" t="str">
        <x:v>契约配置与降级</x:v>
      </x:c>
      <x:c r="L330" s="22" t="str">
        <x:v>存储池/传输管理开发</x:v>
      </x:c>
      <x:c r="M330" s="22" t="str">
        <x:v>api/kvcache/v1/consume_eligibility.proto + config/runtime/consume_eligibility.yaml</x:v>
      </x:c>
      <x:c r="N330" s="22" t="str">
        <x:v>ConsumeEligibilityOptions / kvcache.consume_eligibility.enabled</x:v>
      </x:c>
      <x:c r="O330" s="22" t="str">
        <x:v>为 `ConsumeEligibilityOptions` 增加 `kvcache.consume_eligibility.enabled`、deadline/容量/队列预算及版本字段；在调用点接入 typed error、decision_reason、fallback_reason，确保配置热更新、灰度关闭和向后兼容均可审计。</x:v>
      </x:c>
      <x:c r="P330" s="22" t="str">
        <x:v>IDL/配置 schema 有版本号、默认值、边界校验和错误码；状态/租约/ready 不满足时按 主分片故障切副本；镜像过期强制精确查询；未ready/已tombstone对象不可返回</x:v>
      </x:c>
      <x:c r="Q330" s="22" t="str">
        <x:v>配置样例、schema 校验、升级兼容测试和回退路径齐全；任何隐式 fallback 被移除；新增指标可关联 request_id/query_plan_id/object_id/path_id。</x:v>
      </x:c>
      <x:c r="R330" s="22" t="str">
        <x:v>ctest -R ConsumeEligibilityConfig &amp;&amp; ./bin/kvcache_config_check --case=consume_eligibility</x:v>
      </x:c>
      <x:c r="S330" s="22" t="str">
        <x:v>Prefix命中判定P99耗时 &lt; 200us；在Share-Prefix业务下，Usable Hit Rate提升≥15%。</x:v>
      </x:c>
      <x:c r="T330" s="22" t="str">
        <x:v>SR-02-05-02</x:v>
      </x:c>
      <x:c r="U330" s="22" t="str">
        <x:v>待认领</x:v>
      </x:c>
      <x:c r="V330" s="22" t="str"/>
      <x:c r="W330" s="22" t="str"/>
      <x:c r="X330" s="22" t="str">
        <x:f>IF(COUNTIF($A$5:$A$451,A330)=1,"PASS","FAIL")</x:f>
        <x:v>PASS</x:v>
      </x:c>
      <x:c r="Y330" s="22" t="str">
        <x:f>IF(COUNTIF('SR系统设计'!$A$5:$A$153,B330)+COUNTIF('追溯与覆盖'!$A$5:$A$153,C330)=2,"PASS","FAIL")</x:f>
        <x:v>PASS</x:v>
      </x:c>
    </x:row>
    <x:row r="331" ht="84" customHeight="1">
      <x:c r="A331" s="25" t="str">
        <x:v>AR-L3-MS-ConsumeEligibility-060-03</x:v>
      </x:c>
      <x:c r="B331" s="25" t="str">
        <x:v>SR-02-05-02</x:v>
      </x:c>
      <x:c r="C331" s="25" t="str">
        <x:v>L3-MS-ConsumeEligibility-060</x:v>
      </x:c>
      <x:c r="D331" s="25" t="str">
        <x:v>SF-02</x:v>
      </x:c>
      <x:c r="E331" s="25" t="str">
        <x:v>IR-02-05</x:v>
      </x:c>
      <x:c r="F331" s="22" t="str">
        <x:v>L3 传输管理层</x:v>
      </x:c>
      <x:c r="G331" s="22" t="str">
        <x:v>TM2</x:v>
      </x:c>
      <x:c r="H331" s="22" t="str">
        <x:v>前缀目录与元数据平面</x:v>
      </x:c>
      <x:c r="I331" s="22" t="str">
        <x:v>P0</x:v>
      </x:c>
      <x:c r="J331" s="22" t="str">
        <x:v>P0</x:v>
      </x:c>
      <x:c r="K331" s="22" t="str">
        <x:v>验证与观测</x:v>
      </x:c>
      <x:c r="L331" s="22" t="str">
        <x:v>存储池/传输管理开发</x:v>
      </x:c>
      <x:c r="M331" s="22" t="str">
        <x:v>tests/metadata/directory/consume_eligibility_test.cc + benchmarks/metadata/directory/consume_eligibility_benchmark.cc</x:v>
      </x:c>
      <x:c r="N331" s="22" t="str">
        <x:v>ConsumeEligibilityTest / ConsumeEligibilityBenchmark</x:v>
      </x:c>
      <x:c r="O331" s="22" t="str">
        <x:v>新增正常、边界、并发、超时、stale metadata、迁移冲突、路径拥塞/故障与 feature-flag-off 用例；在 benchmark 中固定模型、tokenizer、prompt、并发、拓扑和 baseline，采集 lookup/load/attach、TTFT、TPOT、usable/abandoned hit、带宽/时延及 CPU/NPU 利用率。</x:v>
      </x:c>
      <x:c r="P331" s="22" t="str">
        <x:v>验收直接引用来源指标：“Prefix命中判定P99耗时 &lt; 200us；在Share-Prefix业务下，Usable Hit Rate提升≥15%。”；故障用例必须证明错误 KV 不被消费且 fallback reason 可追踪。</x:v>
      </x:c>
      <x:c r="Q331" s="22" t="str">
        <x:v>来源验收项全部自动化；性能报告包含 P50/P95/P99、置信区间与 baseline；失败门槛接入 CI；测试数据和命令可复现。</x:v>
      </x:c>
      <x:c r="R331" s="22" t="str">
        <x:v>./bin/kvcache_bench --case=consume_eligibility --baseline=native --report=json</x:v>
      </x:c>
      <x:c r="S331" s="22" t="str">
        <x:v>Prefix命中判定P99耗时 &lt; 200us；在Share-Prefix业务下，Usable Hit Rate提升≥15%。</x:v>
      </x:c>
      <x:c r="T331" s="22" t="str">
        <x:v>SR-02-05-02</x:v>
      </x:c>
      <x:c r="U331" s="22" t="str">
        <x:v>待认领</x:v>
      </x:c>
      <x:c r="V331" s="22" t="str"/>
      <x:c r="W331" s="22" t="str"/>
      <x:c r="X331" s="22" t="str">
        <x:f>IF(COUNTIF($A$5:$A$451,A331)=1,"PASS","FAIL")</x:f>
        <x:v>PASS</x:v>
      </x:c>
      <x:c r="Y331" s="22" t="str">
        <x:f>IF(COUNTIF('SR系统设计'!$A$5:$A$153,B331)+COUNTIF('追溯与覆盖'!$A$5:$A$153,C331)=2,"PASS","FAIL")</x:f>
        <x:v>PASS</x:v>
      </x:c>
    </x:row>
    <x:row r="332" ht="84" customHeight="1">
      <x:c r="A332" s="25" t="str">
        <x:v>AR-L3-MS-DirectoryMirror-036-01</x:v>
      </x:c>
      <x:c r="B332" s="25" t="str">
        <x:v>SR-02-05-03</x:v>
      </x:c>
      <x:c r="C332" s="25" t="str">
        <x:v>L3-MS-DirectoryMirror-036</x:v>
      </x:c>
      <x:c r="D332" s="25" t="str">
        <x:v>SF-02</x:v>
      </x:c>
      <x:c r="E332" s="25" t="str">
        <x:v>IR-02-05</x:v>
      </x:c>
      <x:c r="F332" s="22" t="str">
        <x:v>L3 传输管理层</x:v>
      </x:c>
      <x:c r="G332" s="22" t="str">
        <x:v>TM2</x:v>
      </x:c>
      <x:c r="H332" s="22" t="str">
        <x:v>前缀目录与元数据平面</x:v>
      </x:c>
      <x:c r="I332" s="22" t="str">
        <x:v>P0</x:v>
      </x:c>
      <x:c r="J332" s="22" t="str">
        <x:v>P0</x:v>
      </x:c>
      <x:c r="K332" s="22" t="str">
        <x:v>核心实现</x:v>
      </x:c>
      <x:c r="L332" s="22" t="str">
        <x:v>存储池/传输管理开发</x:v>
      </x:c>
      <x:c r="M332" s="22" t="str">
        <x:v>src/metadata/directory/directory_mirror.{h,cc}</x:v>
      </x:c>
      <x:c r="N332" s="22" t="str">
        <x:v>DirectoryMirrorDirectory</x:v>
      </x:c>
      <x:c r="O332" s="22" t="str">
        <x:v>在 `src/metadata/directory/directory_mirror.{h,cc}` 新增或重写 `DirectoryMirrorDirectory`，把“节点级 KVCache 目录镜像加速”落实为 L3 传输管理层 可调用主路径：本需求要求每个推理节点维护 节点级目录镜像，使确定 miss 和热命中尽量在本地完成，避免分布式 directory RTT 进入 TTFT 主路径。 输入必须显式消费 publish/invalidations + prefix query + topology，输出 PrefixDirectoryRecord + replica candidates + consume eligibility，不得用全局单例或隐藏同步 I/O 绕开预算与状态机。</x:v>
      </x:c>
      <x:c r="P332" s="22" t="str">
        <x:v>实现 publish/invalidations + prefix query + topology → PrefixDirectoryRecord + replica candidates + consume eligibility；遵守 主分片故障切副本；镜像过期强制精确查询；未ready/已tombstone对象不可返回</x:v>
      </x:c>
      <x:c r="Q332" s="22" t="str">
        <x:v>核心算法与状态转换完成；新增代码单测分支覆盖≥85%；线程安全/所有权明确；关闭 feature flag 时行为与 baseline 一致。</x:v>
      </x:c>
      <x:c r="R332" s="22" t="str">
        <x:v>ctest -R DirectoryMirror --output-on-failure</x:v>
      </x:c>
      <x:c r="S332" s="22" t="str">
        <x:v>remote directory RTT 降低 ≥50%；</x:v>
      </x:c>
      <x:c r="T332" s="22" t="str">
        <x:v>SR-02-05-03</x:v>
      </x:c>
      <x:c r="U332" s="22" t="str">
        <x:v>待认领</x:v>
      </x:c>
      <x:c r="V332" s="22" t="str"/>
      <x:c r="W332" s="22" t="str"/>
      <x:c r="X332" s="22" t="str">
        <x:f>IF(COUNTIF($A$5:$A$451,A332)=1,"PASS","FAIL")</x:f>
        <x:v>PASS</x:v>
      </x:c>
      <x:c r="Y332" s="22" t="str">
        <x:f>IF(COUNTIF('SR系统设计'!$A$5:$A$153,B332)+COUNTIF('追溯与覆盖'!$A$5:$A$153,C332)=2,"PASS","FAIL")</x:f>
        <x:v>PASS</x:v>
      </x:c>
    </x:row>
    <x:row r="333" ht="84" customHeight="1">
      <x:c r="A333" s="25" t="str">
        <x:v>AR-L3-MS-DirectoryMirror-036-02</x:v>
      </x:c>
      <x:c r="B333" s="25" t="str">
        <x:v>SR-02-05-03</x:v>
      </x:c>
      <x:c r="C333" s="25" t="str">
        <x:v>L3-MS-DirectoryMirror-036</x:v>
      </x:c>
      <x:c r="D333" s="25" t="str">
        <x:v>SF-02</x:v>
      </x:c>
      <x:c r="E333" s="25" t="str">
        <x:v>IR-02-05</x:v>
      </x:c>
      <x:c r="F333" s="22" t="str">
        <x:v>L3 传输管理层</x:v>
      </x:c>
      <x:c r="G333" s="22" t="str">
        <x:v>TM2</x:v>
      </x:c>
      <x:c r="H333" s="22" t="str">
        <x:v>前缀目录与元数据平面</x:v>
      </x:c>
      <x:c r="I333" s="22" t="str">
        <x:v>P0</x:v>
      </x:c>
      <x:c r="J333" s="22" t="str">
        <x:v>P0</x:v>
      </x:c>
      <x:c r="K333" s="22" t="str">
        <x:v>契约配置与降级</x:v>
      </x:c>
      <x:c r="L333" s="22" t="str">
        <x:v>存储池/传输管理开发</x:v>
      </x:c>
      <x:c r="M333" s="22" t="str">
        <x:v>api/kvcache/v1/directory_mirror.proto + config/runtime/directory_mirror.yaml</x:v>
      </x:c>
      <x:c r="N333" s="22" t="str">
        <x:v>DirectoryMirrorOptions / kvcache.directory_mirror.enabled</x:v>
      </x:c>
      <x:c r="O333" s="22" t="str">
        <x:v>为 `DirectoryMirrorOptions` 增加 `kvcache.directory_mirror.enabled`、deadline/容量/队列预算及版本字段；在调用点接入 typed error、decision_reason、fallback_reason，确保配置热更新、灰度关闭和向后兼容均可审计。</x:v>
      </x:c>
      <x:c r="P333" s="22" t="str">
        <x:v>IDL/配置 schema 有版本号、默认值、边界校验和错误码；状态/租约/ready 不满足时按 主分片故障切副本；镜像过期强制精确查询；未ready/已tombstone对象不可返回</x:v>
      </x:c>
      <x:c r="Q333" s="22" t="str">
        <x:v>配置样例、schema 校验、升级兼容测试和回退路径齐全；任何隐式 fallback 被移除；新增指标可关联 request_id/query_plan_id/object_id/path_id。</x:v>
      </x:c>
      <x:c r="R333" s="22" t="str">
        <x:v>ctest -R DirectoryMirrorConfig &amp;&amp; ./bin/kvcache_config_check --case=directory_mirror</x:v>
      </x:c>
      <x:c r="S333" s="22" t="str">
        <x:v>remote directory RTT 降低 ≥50%；</x:v>
      </x:c>
      <x:c r="T333" s="22" t="str">
        <x:v>SR-02-05-03</x:v>
      </x:c>
      <x:c r="U333" s="22" t="str">
        <x:v>待认领</x:v>
      </x:c>
      <x:c r="V333" s="22" t="str"/>
      <x:c r="W333" s="22" t="str"/>
      <x:c r="X333" s="22" t="str">
        <x:f>IF(COUNTIF($A$5:$A$451,A333)=1,"PASS","FAIL")</x:f>
        <x:v>PASS</x:v>
      </x:c>
      <x:c r="Y333" s="22" t="str">
        <x:f>IF(COUNTIF('SR系统设计'!$A$5:$A$153,B333)+COUNTIF('追溯与覆盖'!$A$5:$A$153,C333)=2,"PASS","FAIL")</x:f>
        <x:v>PASS</x:v>
      </x:c>
    </x:row>
    <x:row r="334" ht="84" customHeight="1">
      <x:c r="A334" s="25" t="str">
        <x:v>AR-L3-MS-DirectoryMirror-036-03</x:v>
      </x:c>
      <x:c r="B334" s="25" t="str">
        <x:v>SR-02-05-03</x:v>
      </x:c>
      <x:c r="C334" s="25" t="str">
        <x:v>L3-MS-DirectoryMirror-036</x:v>
      </x:c>
      <x:c r="D334" s="25" t="str">
        <x:v>SF-02</x:v>
      </x:c>
      <x:c r="E334" s="25" t="str">
        <x:v>IR-02-05</x:v>
      </x:c>
      <x:c r="F334" s="22" t="str">
        <x:v>L3 传输管理层</x:v>
      </x:c>
      <x:c r="G334" s="22" t="str">
        <x:v>TM2</x:v>
      </x:c>
      <x:c r="H334" s="22" t="str">
        <x:v>前缀目录与元数据平面</x:v>
      </x:c>
      <x:c r="I334" s="22" t="str">
        <x:v>P0</x:v>
      </x:c>
      <x:c r="J334" s="22" t="str">
        <x:v>P0</x:v>
      </x:c>
      <x:c r="K334" s="22" t="str">
        <x:v>验证与观测</x:v>
      </x:c>
      <x:c r="L334" s="22" t="str">
        <x:v>存储池/传输管理开发</x:v>
      </x:c>
      <x:c r="M334" s="22" t="str">
        <x:v>tests/metadata/directory/directory_mirror_test.cc + benchmarks/metadata/directory/directory_mirror_benchmark.cc</x:v>
      </x:c>
      <x:c r="N334" s="22" t="str">
        <x:v>DirectoryMirrorTest / DirectoryMirrorBenchmark</x:v>
      </x:c>
      <x:c r="O334" s="22" t="str">
        <x:v>新增正常、边界、并发、超时、stale metadata、迁移冲突、路径拥塞/故障与 feature-flag-off 用例；在 benchmark 中固定模型、tokenizer、prompt、并发、拓扑和 baseline，采集 lookup/load/attach、TTFT、TPOT、usable/abandoned hit、带宽/时延及 CPU/NPU 利用率。</x:v>
      </x:c>
      <x:c r="P334" s="22" t="str">
        <x:v>验收直接引用来源指标：“remote directory RTT 降低 ≥50%；”；故障用例必须证明错误 KV 不被消费且 fallback reason 可追踪。</x:v>
      </x:c>
      <x:c r="Q334" s="22" t="str">
        <x:v>来源验收项全部自动化；性能报告包含 P50/P95/P99、置信区间与 baseline；失败门槛接入 CI；测试数据和命令可复现。</x:v>
      </x:c>
      <x:c r="R334" s="22" t="str">
        <x:v>./bin/kvcache_bench --case=directory_mirror --baseline=native --report=json</x:v>
      </x:c>
      <x:c r="S334" s="22" t="str">
        <x:v>remote directory RTT 降低 ≥50%；</x:v>
      </x:c>
      <x:c r="T334" s="22" t="str">
        <x:v>SR-02-05-03</x:v>
      </x:c>
      <x:c r="U334" s="22" t="str">
        <x:v>待认领</x:v>
      </x:c>
      <x:c r="V334" s="22" t="str"/>
      <x:c r="W334" s="22" t="str"/>
      <x:c r="X334" s="22" t="str">
        <x:f>IF(COUNTIF($A$5:$A$451,A334)=1,"PASS","FAIL")</x:f>
        <x:v>PASS</x:v>
      </x:c>
      <x:c r="Y334" s="22" t="str">
        <x:f>IF(COUNTIF('SR系统设计'!$A$5:$A$153,B334)+COUNTIF('追溯与覆盖'!$A$5:$A$153,C334)=2,"PASS","FAIL")</x:f>
        <x:v>PASS</x:v>
      </x:c>
    </x:row>
    <x:row r="335" ht="84" customHeight="1">
      <x:c r="A335" s="25" t="str">
        <x:v>AR-L3-MS-HotLocalIndex-070-01</x:v>
      </x:c>
      <x:c r="B335" s="25" t="str">
        <x:v>SR-02-05-04</x:v>
      </x:c>
      <x:c r="C335" s="25" t="str">
        <x:v>L3-MS-HotLocalIndex-070</x:v>
      </x:c>
      <x:c r="D335" s="25" t="str">
        <x:v>SF-02</x:v>
      </x:c>
      <x:c r="E335" s="25" t="str">
        <x:v>IR-02-05</x:v>
      </x:c>
      <x:c r="F335" s="22" t="str">
        <x:v>L3 传输管理层</x:v>
      </x:c>
      <x:c r="G335" s="22" t="str">
        <x:v>TM2</x:v>
      </x:c>
      <x:c r="H335" s="22" t="str">
        <x:v>前缀目录与元数据平面</x:v>
      </x:c>
      <x:c r="I335" s="22" t="str">
        <x:v>P0</x:v>
      </x:c>
      <x:c r="J335" s="22" t="str">
        <x:v>P0</x:v>
      </x:c>
      <x:c r="K335" s="22" t="str">
        <x:v>核心实现</x:v>
      </x:c>
      <x:c r="L335" s="22" t="str">
        <x:v>存储池/传输管理开发</x:v>
      </x:c>
      <x:c r="M335" s="22" t="str">
        <x:v>src/metadata/directory/hot_local_index.{h,cc}</x:v>
      </x:c>
      <x:c r="N335" s="22" t="str">
        <x:v>HotLocalIndexDirectory</x:v>
      </x:c>
      <x:c r="O335" s="22" t="str">
        <x:v>在 `src/metadata/directory/hot_local_index.{h,cc}` 新增或重写 `HotLocalIndexDirectory`，把“Prefix lookup 避免远端 RTT 进入 TTFT”落实为 L3 传输管理层 可调用主路径：本需求要求每个推理节点维护 hot local prefix index，采用 fast fingerprint + semantic digest + placement summary 的两级结构，使确定 miss、热 prefix hit、stale 过滤尽量在本地完成； 输入必须显式消费 publish/invalidations + prefix query + topology，输出 PrefixDirectoryRecord + replica candidates + consume eligibility，不得用全局单例或隐藏同步 I/O 绕开预算与状态机。</x:v>
      </x:c>
      <x:c r="P335" s="22" t="str">
        <x:v>实现 publish/invalidations + prefix query + topology → PrefixDirectoryRecord + replica candidates + consume eligibility；遵守 主分片故障切副本；镜像过期强制精确查询；未ready/已tombstone对象不可返回</x:v>
      </x:c>
      <x:c r="Q335" s="22" t="str">
        <x:v>核心算法与状态转换完成；新增代码单测分支覆盖≥85%；线程安全/所有权明确；关闭 feature flag 时行为与 baseline 一致。</x:v>
      </x:c>
      <x:c r="R335" s="22" t="str">
        <x:v>ctest -R HotLocalIndex --output-on-failure</x:v>
      </x:c>
      <x:c r="S335" s="22" t="str">
        <x:v>Prefix命中判定P99耗时 &lt; 200us；在Share-Prefix业务下，Usable Hit Rate提升≥15%。</x:v>
      </x:c>
      <x:c r="T335" s="22" t="str">
        <x:v>SR-02-05-04</x:v>
      </x:c>
      <x:c r="U335" s="22" t="str">
        <x:v>待认领</x:v>
      </x:c>
      <x:c r="V335" s="22" t="str"/>
      <x:c r="W335" s="22" t="str"/>
      <x:c r="X335" s="22" t="str">
        <x:f>IF(COUNTIF($A$5:$A$451,A335)=1,"PASS","FAIL")</x:f>
        <x:v>PASS</x:v>
      </x:c>
      <x:c r="Y335" s="22" t="str">
        <x:f>IF(COUNTIF('SR系统设计'!$A$5:$A$153,B335)+COUNTIF('追溯与覆盖'!$A$5:$A$153,C335)=2,"PASS","FAIL")</x:f>
        <x:v>PASS</x:v>
      </x:c>
    </x:row>
    <x:row r="336" ht="84" customHeight="1">
      <x:c r="A336" s="25" t="str">
        <x:v>AR-L3-MS-HotLocalIndex-070-02</x:v>
      </x:c>
      <x:c r="B336" s="25" t="str">
        <x:v>SR-02-05-04</x:v>
      </x:c>
      <x:c r="C336" s="25" t="str">
        <x:v>L3-MS-HotLocalIndex-070</x:v>
      </x:c>
      <x:c r="D336" s="25" t="str">
        <x:v>SF-02</x:v>
      </x:c>
      <x:c r="E336" s="25" t="str">
        <x:v>IR-02-05</x:v>
      </x:c>
      <x:c r="F336" s="22" t="str">
        <x:v>L3 传输管理层</x:v>
      </x:c>
      <x:c r="G336" s="22" t="str">
        <x:v>TM2</x:v>
      </x:c>
      <x:c r="H336" s="22" t="str">
        <x:v>前缀目录与元数据平面</x:v>
      </x:c>
      <x:c r="I336" s="22" t="str">
        <x:v>P0</x:v>
      </x:c>
      <x:c r="J336" s="22" t="str">
        <x:v>P0</x:v>
      </x:c>
      <x:c r="K336" s="22" t="str">
        <x:v>契约配置与降级</x:v>
      </x:c>
      <x:c r="L336" s="22" t="str">
        <x:v>存储池/传输管理开发</x:v>
      </x:c>
      <x:c r="M336" s="22" t="str">
        <x:v>api/kvcache/v1/hot_local_index.proto + config/runtime/hot_local_index.yaml</x:v>
      </x:c>
      <x:c r="N336" s="22" t="str">
        <x:v>HotLocalIndexOptions / kvcache.hot_local_index.enabled</x:v>
      </x:c>
      <x:c r="O336" s="22" t="str">
        <x:v>为 `HotLocalIndexOptions` 增加 `kvcache.hot_local_index.enabled`、deadline/容量/队列预算及版本字段；在调用点接入 typed error、decision_reason、fallback_reason，确保配置热更新、灰度关闭和向后兼容均可审计。</x:v>
      </x:c>
      <x:c r="P336" s="22" t="str">
        <x:v>IDL/配置 schema 有版本号、默认值、边界校验和错误码；状态/租约/ready 不满足时按 主分片故障切副本；镜像过期强制精确查询；未ready/已tombstone对象不可返回</x:v>
      </x:c>
      <x:c r="Q336" s="22" t="str">
        <x:v>配置样例、schema 校验、升级兼容测试和回退路径齐全；任何隐式 fallback 被移除；新增指标可关联 request_id/query_plan_id/object_id/path_id。</x:v>
      </x:c>
      <x:c r="R336" s="22" t="str">
        <x:v>ctest -R HotLocalIndexConfig &amp;&amp; ./bin/kvcache_config_check --case=hot_local_index</x:v>
      </x:c>
      <x:c r="S336" s="22" t="str">
        <x:v>Prefix命中判定P99耗时 &lt; 200us；在Share-Prefix业务下，Usable Hit Rate提升≥15%。</x:v>
      </x:c>
      <x:c r="T336" s="22" t="str">
        <x:v>SR-02-05-04</x:v>
      </x:c>
      <x:c r="U336" s="22" t="str">
        <x:v>待认领</x:v>
      </x:c>
      <x:c r="V336" s="22" t="str"/>
      <x:c r="W336" s="22" t="str"/>
      <x:c r="X336" s="22" t="str">
        <x:f>IF(COUNTIF($A$5:$A$451,A336)=1,"PASS","FAIL")</x:f>
        <x:v>PASS</x:v>
      </x:c>
      <x:c r="Y336" s="22" t="str">
        <x:f>IF(COUNTIF('SR系统设计'!$A$5:$A$153,B336)+COUNTIF('追溯与覆盖'!$A$5:$A$153,C336)=2,"PASS","FAIL")</x:f>
        <x:v>PASS</x:v>
      </x:c>
    </x:row>
    <x:row r="337" ht="84" customHeight="1">
      <x:c r="A337" s="25" t="str">
        <x:v>AR-L3-MS-HotLocalIndex-070-03</x:v>
      </x:c>
      <x:c r="B337" s="25" t="str">
        <x:v>SR-02-05-04</x:v>
      </x:c>
      <x:c r="C337" s="25" t="str">
        <x:v>L3-MS-HotLocalIndex-070</x:v>
      </x:c>
      <x:c r="D337" s="25" t="str">
        <x:v>SF-02</x:v>
      </x:c>
      <x:c r="E337" s="25" t="str">
        <x:v>IR-02-05</x:v>
      </x:c>
      <x:c r="F337" s="22" t="str">
        <x:v>L3 传输管理层</x:v>
      </x:c>
      <x:c r="G337" s="22" t="str">
        <x:v>TM2</x:v>
      </x:c>
      <x:c r="H337" s="22" t="str">
        <x:v>前缀目录与元数据平面</x:v>
      </x:c>
      <x:c r="I337" s="22" t="str">
        <x:v>P0</x:v>
      </x:c>
      <x:c r="J337" s="22" t="str">
        <x:v>P0</x:v>
      </x:c>
      <x:c r="K337" s="22" t="str">
        <x:v>验证与观测</x:v>
      </x:c>
      <x:c r="L337" s="22" t="str">
        <x:v>存储池/传输管理开发</x:v>
      </x:c>
      <x:c r="M337" s="22" t="str">
        <x:v>tests/metadata/directory/hot_local_index_test.cc + benchmarks/metadata/directory/hot_local_index_benchmark.cc</x:v>
      </x:c>
      <x:c r="N337" s="22" t="str">
        <x:v>HotLocalIndexTest / HotLocalIndexBenchmark</x:v>
      </x:c>
      <x:c r="O337" s="22" t="str">
        <x:v>新增正常、边界、并发、超时、stale metadata、迁移冲突、路径拥塞/故障与 feature-flag-off 用例；在 benchmark 中固定模型、tokenizer、prompt、并发、拓扑和 baseline，采集 lookup/load/attach、TTFT、TPOT、usable/abandoned hit、带宽/时延及 CPU/NPU 利用率。</x:v>
      </x:c>
      <x:c r="P337" s="22" t="str">
        <x:v>验收直接引用来源指标：“Prefix命中判定P99耗时 &lt; 200us；在Share-Prefix业务下，Usable Hit Rate提升≥15%。”；故障用例必须证明错误 KV 不被消费且 fallback reason 可追踪。</x:v>
      </x:c>
      <x:c r="Q337" s="22" t="str">
        <x:v>来源验收项全部自动化；性能报告包含 P50/P95/P99、置信区间与 baseline；失败门槛接入 CI；测试数据和命令可复现。</x:v>
      </x:c>
      <x:c r="R337" s="22" t="str">
        <x:v>./bin/kvcache_bench --case=hot_local_index --baseline=native --report=json</x:v>
      </x:c>
      <x:c r="S337" s="22" t="str">
        <x:v>Prefix命中判定P99耗时 &lt; 200us；在Share-Prefix业务下，Usable Hit Rate提升≥15%。</x:v>
      </x:c>
      <x:c r="T337" s="22" t="str">
        <x:v>SR-02-05-04</x:v>
      </x:c>
      <x:c r="U337" s="22" t="str">
        <x:v>待认领</x:v>
      </x:c>
      <x:c r="V337" s="22" t="str"/>
      <x:c r="W337" s="22" t="str"/>
      <x:c r="X337" s="22" t="str">
        <x:f>IF(COUNTIF($A$5:$A$451,A337)=1,"PASS","FAIL")</x:f>
        <x:v>PASS</x:v>
      </x:c>
      <x:c r="Y337" s="22" t="str">
        <x:f>IF(COUNTIF('SR系统设计'!$A$5:$A$153,B337)+COUNTIF('追溯与覆盖'!$A$5:$A$153,C337)=2,"PASS","FAIL")</x:f>
        <x:v>PASS</x:v>
      </x:c>
    </x:row>
    <x:row r="338" ht="84" customHeight="1">
      <x:c r="A338" s="25" t="str">
        <x:v>AR-L3-MS-InvalidationTombstone-066-01</x:v>
      </x:c>
      <x:c r="B338" s="25" t="str">
        <x:v>SR-02-05-05</x:v>
      </x:c>
      <x:c r="C338" s="25" t="str">
        <x:v>L3-MS-InvalidationTombstone-066</x:v>
      </x:c>
      <x:c r="D338" s="25" t="str">
        <x:v>SF-02</x:v>
      </x:c>
      <x:c r="E338" s="25" t="str">
        <x:v>IR-02-05</x:v>
      </x:c>
      <x:c r="F338" s="22" t="str">
        <x:v>L3 传输管理层</x:v>
      </x:c>
      <x:c r="G338" s="22" t="str">
        <x:v>TM2</x:v>
      </x:c>
      <x:c r="H338" s="22" t="str">
        <x:v>前缀目录与元数据平面</x:v>
      </x:c>
      <x:c r="I338" s="22" t="str">
        <x:v>P0</x:v>
      </x:c>
      <x:c r="J338" s="22" t="str">
        <x:v>P0</x:v>
      </x:c>
      <x:c r="K338" s="22" t="str">
        <x:v>核心实现</x:v>
      </x:c>
      <x:c r="L338" s="22" t="str">
        <x:v>存储池/传输管理开发</x:v>
      </x:c>
      <x:c r="M338" s="22" t="str">
        <x:v>src/metadata/directory/invalidation_tombstone.{h,cc}</x:v>
      </x:c>
      <x:c r="N338" s="22" t="str">
        <x:v>InvalidationTombstoneDirectory</x:v>
      </x:c>
      <x:c r="O338" s="22" t="str">
        <x:v>在 `src/metadata/directory/invalidation_tombstone.{h,cc}` 新增或重写 `InvalidationTombstoneDirectory`，把“旧 KV 副本复活与 stale hit 防护”落实为 L3 传输管理层 可调用主路径：本需求要求全局 prefix directory 支持 version invalidation、namespace invalidation 和 tombstone 机制； 输入必须显式消费 publish/invalidations + prefix query + topology，输出 PrefixDirectoryRecord + replica candidates + consume eligibility，不得用全局单例或隐藏同步 I/O 绕开预算与状态机。</x:v>
      </x:c>
      <x:c r="P338" s="22" t="str">
        <x:v>实现 publish/invalidations + prefix query + topology → PrefixDirectoryRecord + replica candidates + consume eligibility；遵守 主分片故障切副本；镜像过期强制精确查询；未ready/已tombstone对象不可返回</x:v>
      </x:c>
      <x:c r="Q338" s="22" t="str">
        <x:v>核心算法与状态转换完成；新增代码单测分支覆盖≥85%；线程安全/所有权明确；关闭 feature flag 时行为与 baseline 一致。</x:v>
      </x:c>
      <x:c r="R338" s="22" t="str">
        <x:v>ctest -R InvalidationTombstone --output-on-failure</x:v>
      </x:c>
      <x:c r="S338" s="22" t="str">
        <x:v>Prefix命中判定P99耗时 &lt; 200us；在Share-Prefix业务下，Usable Hit Rate提升≥15%。</x:v>
      </x:c>
      <x:c r="T338" s="22" t="str">
        <x:v>SR-02-05-05</x:v>
      </x:c>
      <x:c r="U338" s="22" t="str">
        <x:v>待认领</x:v>
      </x:c>
      <x:c r="V338" s="22" t="str"/>
      <x:c r="W338" s="22" t="str"/>
      <x:c r="X338" s="22" t="str">
        <x:f>IF(COUNTIF($A$5:$A$451,A338)=1,"PASS","FAIL")</x:f>
        <x:v>PASS</x:v>
      </x:c>
      <x:c r="Y338" s="22" t="str">
        <x:f>IF(COUNTIF('SR系统设计'!$A$5:$A$153,B338)+COUNTIF('追溯与覆盖'!$A$5:$A$153,C338)=2,"PASS","FAIL")</x:f>
        <x:v>PASS</x:v>
      </x:c>
    </x:row>
    <x:row r="339" ht="84" customHeight="1">
      <x:c r="A339" s="25" t="str">
        <x:v>AR-L3-MS-InvalidationTombstone-066-02</x:v>
      </x:c>
      <x:c r="B339" s="25" t="str">
        <x:v>SR-02-05-05</x:v>
      </x:c>
      <x:c r="C339" s="25" t="str">
        <x:v>L3-MS-InvalidationTombstone-066</x:v>
      </x:c>
      <x:c r="D339" s="25" t="str">
        <x:v>SF-02</x:v>
      </x:c>
      <x:c r="E339" s="25" t="str">
        <x:v>IR-02-05</x:v>
      </x:c>
      <x:c r="F339" s="22" t="str">
        <x:v>L3 传输管理层</x:v>
      </x:c>
      <x:c r="G339" s="22" t="str">
        <x:v>TM2</x:v>
      </x:c>
      <x:c r="H339" s="22" t="str">
        <x:v>前缀目录与元数据平面</x:v>
      </x:c>
      <x:c r="I339" s="22" t="str">
        <x:v>P0</x:v>
      </x:c>
      <x:c r="J339" s="22" t="str">
        <x:v>P0</x:v>
      </x:c>
      <x:c r="K339" s="22" t="str">
        <x:v>契约配置与降级</x:v>
      </x:c>
      <x:c r="L339" s="22" t="str">
        <x:v>存储池/传输管理开发</x:v>
      </x:c>
      <x:c r="M339" s="22" t="str">
        <x:v>api/kvcache/v1/invalidation_tombstone.proto + config/runtime/invalidation_tombstone.yaml</x:v>
      </x:c>
      <x:c r="N339" s="22" t="str">
        <x:v>InvalidationTombstoneOptions / kvcache.invalidation_tombstone.enabled</x:v>
      </x:c>
      <x:c r="O339" s="22" t="str">
        <x:v>为 `InvalidationTombstoneOptions` 增加 `kvcache.invalidation_tombstone.enabled`、deadline/容量/队列预算及版本字段；在调用点接入 typed error、decision_reason、fallback_reason，确保配置热更新、灰度关闭和向后兼容均可审计。</x:v>
      </x:c>
      <x:c r="P339" s="22" t="str">
        <x:v>IDL/配置 schema 有版本号、默认值、边界校验和错误码；状态/租约/ready 不满足时按 主分片故障切副本；镜像过期强制精确查询；未ready/已tombstone对象不可返回</x:v>
      </x:c>
      <x:c r="Q339" s="22" t="str">
        <x:v>配置样例、schema 校验、升级兼容测试和回退路径齐全；任何隐式 fallback 被移除；新增指标可关联 request_id/query_plan_id/object_id/path_id。</x:v>
      </x:c>
      <x:c r="R339" s="22" t="str">
        <x:v>ctest -R InvalidationTombstoneConfig &amp;&amp; ./bin/kvcache_config_check --case=invalidation_tombstone</x:v>
      </x:c>
      <x:c r="S339" s="22" t="str">
        <x:v>Prefix命中判定P99耗时 &lt; 200us；在Share-Prefix业务下，Usable Hit Rate提升≥15%。</x:v>
      </x:c>
      <x:c r="T339" s="22" t="str">
        <x:v>SR-02-05-05</x:v>
      </x:c>
      <x:c r="U339" s="22" t="str">
        <x:v>待认领</x:v>
      </x:c>
      <x:c r="V339" s="22" t="str"/>
      <x:c r="W339" s="22" t="str"/>
      <x:c r="X339" s="22" t="str">
        <x:f>IF(COUNTIF($A$5:$A$451,A339)=1,"PASS","FAIL")</x:f>
        <x:v>PASS</x:v>
      </x:c>
      <x:c r="Y339" s="22" t="str">
        <x:f>IF(COUNTIF('SR系统设计'!$A$5:$A$153,B339)+COUNTIF('追溯与覆盖'!$A$5:$A$153,C339)=2,"PASS","FAIL")</x:f>
        <x:v>PASS</x:v>
      </x:c>
    </x:row>
    <x:row r="340" ht="84" customHeight="1">
      <x:c r="A340" s="25" t="str">
        <x:v>AR-L3-MS-InvalidationTombstone-066-03</x:v>
      </x:c>
      <x:c r="B340" s="25" t="str">
        <x:v>SR-02-05-05</x:v>
      </x:c>
      <x:c r="C340" s="25" t="str">
        <x:v>L3-MS-InvalidationTombstone-066</x:v>
      </x:c>
      <x:c r="D340" s="25" t="str">
        <x:v>SF-02</x:v>
      </x:c>
      <x:c r="E340" s="25" t="str">
        <x:v>IR-02-05</x:v>
      </x:c>
      <x:c r="F340" s="22" t="str">
        <x:v>L3 传输管理层</x:v>
      </x:c>
      <x:c r="G340" s="22" t="str">
        <x:v>TM2</x:v>
      </x:c>
      <x:c r="H340" s="22" t="str">
        <x:v>前缀目录与元数据平面</x:v>
      </x:c>
      <x:c r="I340" s="22" t="str">
        <x:v>P0</x:v>
      </x:c>
      <x:c r="J340" s="22" t="str">
        <x:v>P0</x:v>
      </x:c>
      <x:c r="K340" s="22" t="str">
        <x:v>验证与观测</x:v>
      </x:c>
      <x:c r="L340" s="22" t="str">
        <x:v>存储池/传输管理开发</x:v>
      </x:c>
      <x:c r="M340" s="22" t="str">
        <x:v>tests/metadata/directory/invalidation_tombstone_test.cc + benchmarks/metadata/directory/invalidation_tombstone_benchmark.cc</x:v>
      </x:c>
      <x:c r="N340" s="22" t="str">
        <x:v>InvalidationTombstoneTest / InvalidationTombstoneBenchmark</x:v>
      </x:c>
      <x:c r="O340" s="22" t="str">
        <x:v>新增正常、边界、并发、超时、stale metadata、迁移冲突、路径拥塞/故障与 feature-flag-off 用例；在 benchmark 中固定模型、tokenizer、prompt、并发、拓扑和 baseline，采集 lookup/load/attach、TTFT、TPOT、usable/abandoned hit、带宽/时延及 CPU/NPU 利用率。</x:v>
      </x:c>
      <x:c r="P340" s="22" t="str">
        <x:v>验收直接引用来源指标：“Prefix命中判定P99耗时 &lt; 200us；在Share-Prefix业务下，Usable Hit Rate提升≥15%。”；故障用例必须证明错误 KV 不被消费且 fallback reason 可追踪。</x:v>
      </x:c>
      <x:c r="Q340" s="22" t="str">
        <x:v>来源验收项全部自动化；性能报告包含 P50/P95/P99、置信区间与 baseline；失败门槛接入 CI；测试数据和命令可复现。</x:v>
      </x:c>
      <x:c r="R340" s="22" t="str">
        <x:v>./bin/kvcache_bench --case=invalidation_tombstone --baseline=native --report=json</x:v>
      </x:c>
      <x:c r="S340" s="22" t="str">
        <x:v>Prefix命中判定P99耗时 &lt; 200us；在Share-Prefix业务下，Usable Hit Rate提升≥15%。</x:v>
      </x:c>
      <x:c r="T340" s="22" t="str">
        <x:v>SR-02-05-05</x:v>
      </x:c>
      <x:c r="U340" s="22" t="str">
        <x:v>待认领</x:v>
      </x:c>
      <x:c r="V340" s="22" t="str"/>
      <x:c r="W340" s="22" t="str"/>
      <x:c r="X340" s="22" t="str">
        <x:f>IF(COUNTIF($A$5:$A$451,A340)=1,"PASS","FAIL")</x:f>
        <x:v>PASS</x:v>
      </x:c>
      <x:c r="Y340" s="22" t="str">
        <x:f>IF(COUNTIF('SR系统设计'!$A$5:$A$153,B340)+COUNTIF('追溯与覆盖'!$A$5:$A$153,C340)=2,"PASS","FAIL")</x:f>
        <x:v>PASS</x:v>
      </x:c>
    </x:row>
    <x:row r="341" ht="84" customHeight="1">
      <x:c r="A341" s="25" t="str">
        <x:v>AR-L3-MS-MetadataDataPlane-035-01</x:v>
      </x:c>
      <x:c r="B341" s="25" t="str">
        <x:v>SR-02-05-06</x:v>
      </x:c>
      <x:c r="C341" s="25" t="str">
        <x:v>L3-MS-MetadataDataPlane-035</x:v>
      </x:c>
      <x:c r="D341" s="25" t="str">
        <x:v>SF-02</x:v>
      </x:c>
      <x:c r="E341" s="25" t="str">
        <x:v>IR-02-05</x:v>
      </x:c>
      <x:c r="F341" s="22" t="str">
        <x:v>L3 传输管理层</x:v>
      </x:c>
      <x:c r="G341" s="22" t="str">
        <x:v>TM2</x:v>
      </x:c>
      <x:c r="H341" s="22" t="str">
        <x:v>前缀目录与元数据平面</x:v>
      </x:c>
      <x:c r="I341" s="22" t="str">
        <x:v>P0</x:v>
      </x:c>
      <x:c r="J341" s="22" t="str">
        <x:v>P0</x:v>
      </x:c>
      <x:c r="K341" s="22" t="str">
        <x:v>核心实现</x:v>
      </x:c>
      <x:c r="L341" s="22" t="str">
        <x:v>存储池/传输管理开发</x:v>
      </x:c>
      <x:c r="M341" s="22" t="str">
        <x:v>src/metadata/directory/metadata_data_plane.{h,cc}</x:v>
      </x:c>
      <x:c r="N341" s="22" t="str">
        <x:v>MetadataDataPlaneDirectory</x:v>
      </x:c>
      <x:c r="O341" s="22" t="str">
        <x:v>在 `src/metadata/directory/metadata_data_plane.{h,cc}` 新增或重写 `MetadataDataPlaneDirectory`，把“KVCache 元数据热路径加速”落实为 L3 传输管理层 可调用主路径：本需求要求将 KV metadata plane 与 KV data plane 物理和逻辑隔离：prefix directory、manifest、ready bitmap、placement summary 优先放 UB/C2C/local DDR； 输入必须显式消费 publish/invalidations + prefix query + topology，输出 PrefixDirectoryRecord + replica candidates + consume eligibility，不得用全局单例或隐藏同步 I/O 绕开预算与状态机。</x:v>
      </x:c>
      <x:c r="P341" s="22" t="str">
        <x:v>实现 publish/invalidations + prefix query + topology → PrefixDirectoryRecord + replica candidates + consume eligibility；遵守 主分片故障切副本；镜像过期强制精确查询；未ready/已tombstone对象不可返回</x:v>
      </x:c>
      <x:c r="Q341" s="22" t="str">
        <x:v>核心算法与状态转换完成；新增代码单测分支覆盖≥85%；线程安全/所有权明确；关闭 feature flag 时行为与 baseline 一致。</x:v>
      </x:c>
      <x:c r="R341" s="22" t="str">
        <x:v>ctest -R MetadataDataPlane --output-on-failure</x:v>
      </x:c>
      <x:c r="S341" s="22" t="str">
        <x:v>prefix lookup p99 降低 ≥30%；</x:v>
      </x:c>
      <x:c r="T341" s="22" t="str">
        <x:v>SR-02-05-06</x:v>
      </x:c>
      <x:c r="U341" s="22" t="str">
        <x:v>待认领</x:v>
      </x:c>
      <x:c r="V341" s="22" t="str"/>
      <x:c r="W341" s="22" t="str"/>
      <x:c r="X341" s="22" t="str">
        <x:f>IF(COUNTIF($A$5:$A$451,A341)=1,"PASS","FAIL")</x:f>
        <x:v>PASS</x:v>
      </x:c>
      <x:c r="Y341" s="22" t="str">
        <x:f>IF(COUNTIF('SR系统设计'!$A$5:$A$153,B341)+COUNTIF('追溯与覆盖'!$A$5:$A$153,C341)=2,"PASS","FAIL")</x:f>
        <x:v>PASS</x:v>
      </x:c>
    </x:row>
    <x:row r="342" ht="84" customHeight="1">
      <x:c r="A342" s="25" t="str">
        <x:v>AR-L3-MS-MetadataDataPlane-035-02</x:v>
      </x:c>
      <x:c r="B342" s="25" t="str">
        <x:v>SR-02-05-06</x:v>
      </x:c>
      <x:c r="C342" s="25" t="str">
        <x:v>L3-MS-MetadataDataPlane-035</x:v>
      </x:c>
      <x:c r="D342" s="25" t="str">
        <x:v>SF-02</x:v>
      </x:c>
      <x:c r="E342" s="25" t="str">
        <x:v>IR-02-05</x:v>
      </x:c>
      <x:c r="F342" s="22" t="str">
        <x:v>L3 传输管理层</x:v>
      </x:c>
      <x:c r="G342" s="22" t="str">
        <x:v>TM2</x:v>
      </x:c>
      <x:c r="H342" s="22" t="str">
        <x:v>前缀目录与元数据平面</x:v>
      </x:c>
      <x:c r="I342" s="22" t="str">
        <x:v>P0</x:v>
      </x:c>
      <x:c r="J342" s="22" t="str">
        <x:v>P0</x:v>
      </x:c>
      <x:c r="K342" s="22" t="str">
        <x:v>契约配置与降级</x:v>
      </x:c>
      <x:c r="L342" s="22" t="str">
        <x:v>存储池/传输管理开发</x:v>
      </x:c>
      <x:c r="M342" s="22" t="str">
        <x:v>api/kvcache/v1/metadata_data_plane.proto + config/runtime/metadata_data_plane.yaml</x:v>
      </x:c>
      <x:c r="N342" s="22" t="str">
        <x:v>MetadataDataPlaneOptions / kvcache.metadata_data_plane.enabled</x:v>
      </x:c>
      <x:c r="O342" s="22" t="str">
        <x:v>为 `MetadataDataPlaneOptions` 增加 `kvcache.metadata_data_plane.enabled`、deadline/容量/队列预算及版本字段；在调用点接入 typed error、decision_reason、fallback_reason，确保配置热更新、灰度关闭和向后兼容均可审计。</x:v>
      </x:c>
      <x:c r="P342" s="22" t="str">
        <x:v>IDL/配置 schema 有版本号、默认值、边界校验和错误码；状态/租约/ready 不满足时按 主分片故障切副本；镜像过期强制精确查询；未ready/已tombstone对象不可返回</x:v>
      </x:c>
      <x:c r="Q342" s="22" t="str">
        <x:v>配置样例、schema 校验、升级兼容测试和回退路径齐全；任何隐式 fallback 被移除；新增指标可关联 request_id/query_plan_id/object_id/path_id。</x:v>
      </x:c>
      <x:c r="R342" s="22" t="str">
        <x:v>ctest -R MetadataDataPlaneConfig &amp;&amp; ./bin/kvcache_config_check --case=metadata_data_plane</x:v>
      </x:c>
      <x:c r="S342" s="22" t="str">
        <x:v>prefix lookup p99 降低 ≥30%；</x:v>
      </x:c>
      <x:c r="T342" s="22" t="str">
        <x:v>SR-02-05-06</x:v>
      </x:c>
      <x:c r="U342" s="22" t="str">
        <x:v>待认领</x:v>
      </x:c>
      <x:c r="V342" s="22" t="str"/>
      <x:c r="W342" s="22" t="str"/>
      <x:c r="X342" s="22" t="str">
        <x:f>IF(COUNTIF($A$5:$A$451,A342)=1,"PASS","FAIL")</x:f>
        <x:v>PASS</x:v>
      </x:c>
      <x:c r="Y342" s="22" t="str">
        <x:f>IF(COUNTIF('SR系统设计'!$A$5:$A$153,B342)+COUNTIF('追溯与覆盖'!$A$5:$A$153,C342)=2,"PASS","FAIL")</x:f>
        <x:v>PASS</x:v>
      </x:c>
    </x:row>
    <x:row r="343" ht="84" customHeight="1">
      <x:c r="A343" s="25" t="str">
        <x:v>AR-L3-MS-MetadataDataPlane-035-03</x:v>
      </x:c>
      <x:c r="B343" s="25" t="str">
        <x:v>SR-02-05-06</x:v>
      </x:c>
      <x:c r="C343" s="25" t="str">
        <x:v>L3-MS-MetadataDataPlane-035</x:v>
      </x:c>
      <x:c r="D343" s="25" t="str">
        <x:v>SF-02</x:v>
      </x:c>
      <x:c r="E343" s="25" t="str">
        <x:v>IR-02-05</x:v>
      </x:c>
      <x:c r="F343" s="22" t="str">
        <x:v>L3 传输管理层</x:v>
      </x:c>
      <x:c r="G343" s="22" t="str">
        <x:v>TM2</x:v>
      </x:c>
      <x:c r="H343" s="22" t="str">
        <x:v>前缀目录与元数据平面</x:v>
      </x:c>
      <x:c r="I343" s="22" t="str">
        <x:v>P0</x:v>
      </x:c>
      <x:c r="J343" s="22" t="str">
        <x:v>P0</x:v>
      </x:c>
      <x:c r="K343" s="22" t="str">
        <x:v>验证与观测</x:v>
      </x:c>
      <x:c r="L343" s="22" t="str">
        <x:v>存储池/传输管理开发</x:v>
      </x:c>
      <x:c r="M343" s="22" t="str">
        <x:v>tests/metadata/directory/metadata_data_plane_test.cc + benchmarks/metadata/directory/metadata_data_plane_benchmark.cc</x:v>
      </x:c>
      <x:c r="N343" s="22" t="str">
        <x:v>MetadataDataPlaneTest / MetadataDataPlaneBenchmark</x:v>
      </x:c>
      <x:c r="O343" s="22" t="str">
        <x:v>新增正常、边界、并发、超时、stale metadata、迁移冲突、路径拥塞/故障与 feature-flag-off 用例；在 benchmark 中固定模型、tokenizer、prompt、并发、拓扑和 baseline，采集 lookup/load/attach、TTFT、TPOT、usable/abandoned hit、带宽/时延及 CPU/NPU 利用率。</x:v>
      </x:c>
      <x:c r="P343" s="22" t="str">
        <x:v>验收直接引用来源指标：“prefix lookup p99 降低 ≥30%；”；故障用例必须证明错误 KV 不被消费且 fallback reason 可追踪。</x:v>
      </x:c>
      <x:c r="Q343" s="22" t="str">
        <x:v>来源验收项全部自动化；性能报告包含 P50/P95/P99、置信区间与 baseline；失败门槛接入 CI；测试数据和命令可复现。</x:v>
      </x:c>
      <x:c r="R343" s="22" t="str">
        <x:v>./bin/kvcache_bench --case=metadata_data_plane --baseline=native --report=json</x:v>
      </x:c>
      <x:c r="S343" s="22" t="str">
        <x:v>prefix lookup p99 降低 ≥30%；</x:v>
      </x:c>
      <x:c r="T343" s="22" t="str">
        <x:v>SR-02-05-06</x:v>
      </x:c>
      <x:c r="U343" s="22" t="str">
        <x:v>待认领</x:v>
      </x:c>
      <x:c r="V343" s="22" t="str"/>
      <x:c r="W343" s="22" t="str"/>
      <x:c r="X343" s="22" t="str">
        <x:f>IF(COUNTIF($A$5:$A$451,A343)=1,"PASS","FAIL")</x:f>
        <x:v>PASS</x:v>
      </x:c>
      <x:c r="Y343" s="22" t="str">
        <x:f>IF(COUNTIF('SR系统设计'!$A$5:$A$153,B343)+COUNTIF('追溯与覆盖'!$A$5:$A$153,C343)=2,"PASS","FAIL")</x:f>
        <x:v>PASS</x:v>
      </x:c>
    </x:row>
    <x:row r="344" ht="84" customHeight="1">
      <x:c r="A344" s="25" t="str">
        <x:v>AR-L3-MS-PrefixDirectorySchema-069-01</x:v>
      </x:c>
      <x:c r="B344" s="25" t="str">
        <x:v>SR-02-05-07</x:v>
      </x:c>
      <x:c r="C344" s="25" t="str">
        <x:v>L3-MS-PrefixDirectorySchema-069</x:v>
      </x:c>
      <x:c r="D344" s="25" t="str">
        <x:v>SF-02</x:v>
      </x:c>
      <x:c r="E344" s="25" t="str">
        <x:v>IR-02-05</x:v>
      </x:c>
      <x:c r="F344" s="22" t="str">
        <x:v>L3 传输管理层</x:v>
      </x:c>
      <x:c r="G344" s="22" t="str">
        <x:v>TM2</x:v>
      </x:c>
      <x:c r="H344" s="22" t="str">
        <x:v>前缀目录与元数据平面</x:v>
      </x:c>
      <x:c r="I344" s="22" t="str">
        <x:v>P0</x:v>
      </x:c>
      <x:c r="J344" s="22" t="str">
        <x:v>P0</x:v>
      </x:c>
      <x:c r="K344" s="22" t="str">
        <x:v>核心实现</x:v>
      </x:c>
      <x:c r="L344" s="22" t="str">
        <x:v>存储池/传输管理开发</x:v>
      </x:c>
      <x:c r="M344" s="22" t="str">
        <x:v>src/metadata/directory/prefix_directory_schema.{h,cc}</x:v>
      </x:c>
      <x:c r="N344" s="22" t="str">
        <x:v>PrefixDirectorySchemaDirectory</x:v>
      </x:c>
      <x:c r="O344" s="22" t="str">
        <x:v>在 `src/metadata/directory/prefix_directory_schema.{h,cc}` 新增或重写 `PrefixDirectorySchemaDirectory`，把“前缀匹配元数据结构设计”落实为 L3 传输管理层 可调用主路径：本需求要求设计面向 TTFT 关键路径的 prefix directory entry 结构，entry 至少包含 prefix_hash、prefix_span、semantic identity digest、object_id list、continuous block range、tier summary、best placement summary、version、ready summary、estimated_load_c… 输入必须显式消费 publish/invalidations + prefix query + topology，输出 PrefixDirectoryRecord + replica candidates + consume eligibility，不得用全局单例或隐藏同步 I/O 绕开预算与状态机。</x:v>
      </x:c>
      <x:c r="P344" s="22" t="str">
        <x:v>实现 publish/invalidations + prefix query + topology → PrefixDirectoryRecord + replica candidates + consume eligibility；遵守 主分片故障切副本；镜像过期强制精确查询；未ready/已tombstone对象不可返回</x:v>
      </x:c>
      <x:c r="Q344" s="22" t="str">
        <x:v>核心算法与状态转换完成；新增代码单测分支覆盖≥85%；线程安全/所有权明确；关闭 feature flag 时行为与 baseline 一致。</x:v>
      </x:c>
      <x:c r="R344" s="22" t="str">
        <x:v>ctest -R PrefixDirectorySchema --output-on-failure</x:v>
      </x:c>
      <x:c r="S344" s="22" t="str">
        <x:v>Prefix命中判定P99耗时 &lt; 200us；在Share-Prefix业务下，Usable Hit Rate提升≥15%。</x:v>
      </x:c>
      <x:c r="T344" s="22" t="str">
        <x:v>SR-02-05-07</x:v>
      </x:c>
      <x:c r="U344" s="22" t="str">
        <x:v>待认领</x:v>
      </x:c>
      <x:c r="V344" s="22" t="str"/>
      <x:c r="W344" s="22" t="str"/>
      <x:c r="X344" s="22" t="str">
        <x:f>IF(COUNTIF($A$5:$A$451,A344)=1,"PASS","FAIL")</x:f>
        <x:v>PASS</x:v>
      </x:c>
      <x:c r="Y344" s="22" t="str">
        <x:f>IF(COUNTIF('SR系统设计'!$A$5:$A$153,B344)+COUNTIF('追溯与覆盖'!$A$5:$A$153,C344)=2,"PASS","FAIL")</x:f>
        <x:v>PASS</x:v>
      </x:c>
    </x:row>
    <x:row r="345" ht="84" customHeight="1">
      <x:c r="A345" s="25" t="str">
        <x:v>AR-L3-MS-PrefixDirectorySchema-069-02</x:v>
      </x:c>
      <x:c r="B345" s="25" t="str">
        <x:v>SR-02-05-07</x:v>
      </x:c>
      <x:c r="C345" s="25" t="str">
        <x:v>L3-MS-PrefixDirectorySchema-069</x:v>
      </x:c>
      <x:c r="D345" s="25" t="str">
        <x:v>SF-02</x:v>
      </x:c>
      <x:c r="E345" s="25" t="str">
        <x:v>IR-02-05</x:v>
      </x:c>
      <x:c r="F345" s="22" t="str">
        <x:v>L3 传输管理层</x:v>
      </x:c>
      <x:c r="G345" s="22" t="str">
        <x:v>TM2</x:v>
      </x:c>
      <x:c r="H345" s="22" t="str">
        <x:v>前缀目录与元数据平面</x:v>
      </x:c>
      <x:c r="I345" s="22" t="str">
        <x:v>P0</x:v>
      </x:c>
      <x:c r="J345" s="22" t="str">
        <x:v>P0</x:v>
      </x:c>
      <x:c r="K345" s="22" t="str">
        <x:v>契约配置与降级</x:v>
      </x:c>
      <x:c r="L345" s="22" t="str">
        <x:v>存储池/传输管理开发</x:v>
      </x:c>
      <x:c r="M345" s="22" t="str">
        <x:v>api/kvcache/v1/prefix_directory_schema.proto + config/runtime/prefix_directory_schema.yaml</x:v>
      </x:c>
      <x:c r="N345" s="22" t="str">
        <x:v>PrefixDirectorySchemaOptions / kvcache.prefix_directory_schema.enabled</x:v>
      </x:c>
      <x:c r="O345" s="22" t="str">
        <x:v>为 `PrefixDirectorySchemaOptions` 增加 `kvcache.prefix_directory_schema.enabled`、deadline/容量/队列预算及版本字段；在调用点接入 typed error、decision_reason、fallback_reason，确保配置热更新、灰度关闭和向后兼容均可审计。</x:v>
      </x:c>
      <x:c r="P345" s="22" t="str">
        <x:v>IDL/配置 schema 有版本号、默认值、边界校验和错误码；状态/租约/ready 不满足时按 主分片故障切副本；镜像过期强制精确查询；未ready/已tombstone对象不可返回</x:v>
      </x:c>
      <x:c r="Q345" s="22" t="str">
        <x:v>配置样例、schema 校验、升级兼容测试和回退路径齐全；任何隐式 fallback 被移除；新增指标可关联 request_id/query_plan_id/object_id/path_id。</x:v>
      </x:c>
      <x:c r="R345" s="22" t="str">
        <x:v>ctest -R PrefixDirectorySchemaConfig &amp;&amp; ./bin/kvcache_config_check --case=prefix_directory_schema</x:v>
      </x:c>
      <x:c r="S345" s="22" t="str">
        <x:v>Prefix命中判定P99耗时 &lt; 200us；在Share-Prefix业务下，Usable Hit Rate提升≥15%。</x:v>
      </x:c>
      <x:c r="T345" s="22" t="str">
        <x:v>SR-02-05-07</x:v>
      </x:c>
      <x:c r="U345" s="22" t="str">
        <x:v>待认领</x:v>
      </x:c>
      <x:c r="V345" s="22" t="str"/>
      <x:c r="W345" s="22" t="str"/>
      <x:c r="X345" s="22" t="str">
        <x:f>IF(COUNTIF($A$5:$A$451,A345)=1,"PASS","FAIL")</x:f>
        <x:v>PASS</x:v>
      </x:c>
      <x:c r="Y345" s="22" t="str">
        <x:f>IF(COUNTIF('SR系统设计'!$A$5:$A$153,B345)+COUNTIF('追溯与覆盖'!$A$5:$A$153,C345)=2,"PASS","FAIL")</x:f>
        <x:v>PASS</x:v>
      </x:c>
    </x:row>
    <x:row r="346" ht="84" customHeight="1">
      <x:c r="A346" s="25" t="str">
        <x:v>AR-L3-MS-PrefixDirectorySchema-069-03</x:v>
      </x:c>
      <x:c r="B346" s="25" t="str">
        <x:v>SR-02-05-07</x:v>
      </x:c>
      <x:c r="C346" s="25" t="str">
        <x:v>L3-MS-PrefixDirectorySchema-069</x:v>
      </x:c>
      <x:c r="D346" s="25" t="str">
        <x:v>SF-02</x:v>
      </x:c>
      <x:c r="E346" s="25" t="str">
        <x:v>IR-02-05</x:v>
      </x:c>
      <x:c r="F346" s="22" t="str">
        <x:v>L3 传输管理层</x:v>
      </x:c>
      <x:c r="G346" s="22" t="str">
        <x:v>TM2</x:v>
      </x:c>
      <x:c r="H346" s="22" t="str">
        <x:v>前缀目录与元数据平面</x:v>
      </x:c>
      <x:c r="I346" s="22" t="str">
        <x:v>P0</x:v>
      </x:c>
      <x:c r="J346" s="22" t="str">
        <x:v>P0</x:v>
      </x:c>
      <x:c r="K346" s="22" t="str">
        <x:v>验证与观测</x:v>
      </x:c>
      <x:c r="L346" s="22" t="str">
        <x:v>存储池/传输管理开发</x:v>
      </x:c>
      <x:c r="M346" s="22" t="str">
        <x:v>tests/metadata/directory/prefix_directory_schema_test.cc + benchmarks/metadata/directory/prefix_directory_schema_benchmark.cc</x:v>
      </x:c>
      <x:c r="N346" s="22" t="str">
        <x:v>PrefixDirectorySchemaTest / PrefixDirectorySchemaBenchmark</x:v>
      </x:c>
      <x:c r="O346" s="22" t="str">
        <x:v>新增正常、边界、并发、超时、stale metadata、迁移冲突、路径拥塞/故障与 feature-flag-off 用例；在 benchmark 中固定模型、tokenizer、prompt、并发、拓扑和 baseline，采集 lookup/load/attach、TTFT、TPOT、usable/abandoned hit、带宽/时延及 CPU/NPU 利用率。</x:v>
      </x:c>
      <x:c r="P346" s="22" t="str">
        <x:v>验收直接引用来源指标：“Prefix命中判定P99耗时 &lt; 200us；在Share-Prefix业务下，Usable Hit Rate提升≥15%。”；故障用例必须证明错误 KV 不被消费且 fallback reason 可追踪。</x:v>
      </x:c>
      <x:c r="Q346" s="22" t="str">
        <x:v>来源验收项全部自动化；性能报告包含 P50/P95/P99、置信区间与 baseline；失败门槛接入 CI；测试数据和命令可复现。</x:v>
      </x:c>
      <x:c r="R346" s="22" t="str">
        <x:v>./bin/kvcache_bench --case=prefix_directory_schema --baseline=native --report=json</x:v>
      </x:c>
      <x:c r="S346" s="22" t="str">
        <x:v>Prefix命中判定P99耗时 &lt; 200us；在Share-Prefix业务下，Usable Hit Rate提升≥15%。</x:v>
      </x:c>
      <x:c r="T346" s="22" t="str">
        <x:v>SR-02-05-07</x:v>
      </x:c>
      <x:c r="U346" s="22" t="str">
        <x:v>待认领</x:v>
      </x:c>
      <x:c r="V346" s="22" t="str"/>
      <x:c r="W346" s="22" t="str"/>
      <x:c r="X346" s="22" t="str">
        <x:f>IF(COUNTIF($A$5:$A$451,A346)=1,"PASS","FAIL")</x:f>
        <x:v>PASS</x:v>
      </x:c>
      <x:c r="Y346" s="22" t="str">
        <x:f>IF(COUNTIF('SR系统设计'!$A$5:$A$153,B346)+COUNTIF('追溯与覆盖'!$A$5:$A$153,C346)=2,"PASS","FAIL")</x:f>
        <x:v>PASS</x:v>
      </x:c>
    </x:row>
    <x:row r="347" ht="84" customHeight="1">
      <x:c r="A347" s="25" t="str">
        <x:v>AR-L3-MS-RangeBatchLookup-071-01</x:v>
      </x:c>
      <x:c r="B347" s="25" t="str">
        <x:v>SR-02-05-08</x:v>
      </x:c>
      <x:c r="C347" s="25" t="str">
        <x:v>L3-MS-RangeBatchLookup-071</x:v>
      </x:c>
      <x:c r="D347" s="25" t="str">
        <x:v>SF-02</x:v>
      </x:c>
      <x:c r="E347" s="25" t="str">
        <x:v>IR-02-05</x:v>
      </x:c>
      <x:c r="F347" s="22" t="str">
        <x:v>L3 传输管理层</x:v>
      </x:c>
      <x:c r="G347" s="22" t="str">
        <x:v>TM2</x:v>
      </x:c>
      <x:c r="H347" s="22" t="str">
        <x:v>前缀目录与元数据平面</x:v>
      </x:c>
      <x:c r="I347" s="22" t="str">
        <x:v>P0</x:v>
      </x:c>
      <x:c r="J347" s="22" t="str">
        <x:v>P0</x:v>
      </x:c>
      <x:c r="K347" s="22" t="str">
        <x:v>核心实现</x:v>
      </x:c>
      <x:c r="L347" s="22" t="str">
        <x:v>存储池/传输管理开发</x:v>
      </x:c>
      <x:c r="M347" s="22" t="str">
        <x:v>src/metadata/directory/range_batch_lookup.{h,cc}</x:v>
      </x:c>
      <x:c r="N347" s="22" t="str">
        <x:v>RangeBatchLookupDirectory</x:v>
      </x:c>
      <x:c r="O347" s="22" t="str">
        <x:v>在 `src/metadata/directory/range_batch_lookup.{h,cc}` 新增或重写 `RangeBatchLookupDirectory`，把“长前缀批量命中判定”落实为 L3 传输管理层 可调用主路径：本需求要求 prefix directory 支持 range/batch lookup：一次输入 block hash vector、radix span 或 page range，返回最长连续可消费区间、不可消费区间、候选 placement 列表和推荐 load/recompute 分界，避免逐 block 查询造成 metadata RTT 风暴。 输入必须显式消费 publish/invalidations + prefix query + topology，输出 PrefixDirectoryRecord + replica candidates + consume eligibility，不得用全局单例或隐藏同步 I/O 绕开预算与状态机。</x:v>
      </x:c>
      <x:c r="P347" s="22" t="str">
        <x:v>实现 publish/invalidations + prefix query + topology → PrefixDirectoryRecord + replica candidates + consume eligibility；遵守 主分片故障切副本；镜像过期强制精确查询；未ready/已tombstone对象不可返回</x:v>
      </x:c>
      <x:c r="Q347" s="22" t="str">
        <x:v>核心算法与状态转换完成；新增代码单测分支覆盖≥85%；线程安全/所有权明确；关闭 feature flag 时行为与 baseline 一致。</x:v>
      </x:c>
      <x:c r="R347" s="22" t="str">
        <x:v>ctest -R RangeBatchLookup --output-on-failure</x:v>
      </x:c>
      <x:c r="S347" s="22" t="str">
        <x:v>Prefix命中判定P99耗时 &lt; 200us；在Share-Prefix业务下，Usable Hit Rate提升≥15%。</x:v>
      </x:c>
      <x:c r="T347" s="22" t="str">
        <x:v>SR-02-05-08</x:v>
      </x:c>
      <x:c r="U347" s="22" t="str">
        <x:v>待认领</x:v>
      </x:c>
      <x:c r="V347" s="22" t="str"/>
      <x:c r="W347" s="22" t="str"/>
      <x:c r="X347" s="22" t="str">
        <x:f>IF(COUNTIF($A$5:$A$451,A347)=1,"PASS","FAIL")</x:f>
        <x:v>PASS</x:v>
      </x:c>
      <x:c r="Y347" s="22" t="str">
        <x:f>IF(COUNTIF('SR系统设计'!$A$5:$A$153,B347)+COUNTIF('追溯与覆盖'!$A$5:$A$153,C347)=2,"PASS","FAIL")</x:f>
        <x:v>PASS</x:v>
      </x:c>
    </x:row>
    <x:row r="348" ht="84" customHeight="1">
      <x:c r="A348" s="25" t="str">
        <x:v>AR-L3-MS-RangeBatchLookup-071-02</x:v>
      </x:c>
      <x:c r="B348" s="25" t="str">
        <x:v>SR-02-05-08</x:v>
      </x:c>
      <x:c r="C348" s="25" t="str">
        <x:v>L3-MS-RangeBatchLookup-071</x:v>
      </x:c>
      <x:c r="D348" s="25" t="str">
        <x:v>SF-02</x:v>
      </x:c>
      <x:c r="E348" s="25" t="str">
        <x:v>IR-02-05</x:v>
      </x:c>
      <x:c r="F348" s="22" t="str">
        <x:v>L3 传输管理层</x:v>
      </x:c>
      <x:c r="G348" s="22" t="str">
        <x:v>TM2</x:v>
      </x:c>
      <x:c r="H348" s="22" t="str">
        <x:v>前缀目录与元数据平面</x:v>
      </x:c>
      <x:c r="I348" s="22" t="str">
        <x:v>P0</x:v>
      </x:c>
      <x:c r="J348" s="22" t="str">
        <x:v>P0</x:v>
      </x:c>
      <x:c r="K348" s="22" t="str">
        <x:v>契约配置与降级</x:v>
      </x:c>
      <x:c r="L348" s="22" t="str">
        <x:v>存储池/传输管理开发</x:v>
      </x:c>
      <x:c r="M348" s="22" t="str">
        <x:v>api/kvcache/v1/range_batch_lookup.proto + config/runtime/range_batch_lookup.yaml</x:v>
      </x:c>
      <x:c r="N348" s="22" t="str">
        <x:v>RangeBatchLookupOptions / kvcache.range_batch_lookup.enabled</x:v>
      </x:c>
      <x:c r="O348" s="22" t="str">
        <x:v>为 `RangeBatchLookupOptions` 增加 `kvcache.range_batch_lookup.enabled`、deadline/容量/队列预算及版本字段；在调用点接入 typed error、decision_reason、fallback_reason，确保配置热更新、灰度关闭和向后兼容均可审计。</x:v>
      </x:c>
      <x:c r="P348" s="22" t="str">
        <x:v>IDL/配置 schema 有版本号、默认值、边界校验和错误码；状态/租约/ready 不满足时按 主分片故障切副本；镜像过期强制精确查询；未ready/已tombstone对象不可返回</x:v>
      </x:c>
      <x:c r="Q348" s="22" t="str">
        <x:v>配置样例、schema 校验、升级兼容测试和回退路径齐全；任何隐式 fallback 被移除；新增指标可关联 request_id/query_plan_id/object_id/path_id。</x:v>
      </x:c>
      <x:c r="R348" s="22" t="str">
        <x:v>ctest -R RangeBatchLookupConfig &amp;&amp; ./bin/kvcache_config_check --case=range_batch_lookup</x:v>
      </x:c>
      <x:c r="S348" s="22" t="str">
        <x:v>Prefix命中判定P99耗时 &lt; 200us；在Share-Prefix业务下，Usable Hit Rate提升≥15%。</x:v>
      </x:c>
      <x:c r="T348" s="22" t="str">
        <x:v>SR-02-05-08</x:v>
      </x:c>
      <x:c r="U348" s="22" t="str">
        <x:v>待认领</x:v>
      </x:c>
      <x:c r="V348" s="22" t="str"/>
      <x:c r="W348" s="22" t="str"/>
      <x:c r="X348" s="22" t="str">
        <x:f>IF(COUNTIF($A$5:$A$451,A348)=1,"PASS","FAIL")</x:f>
        <x:v>PASS</x:v>
      </x:c>
      <x:c r="Y348" s="22" t="str">
        <x:f>IF(COUNTIF('SR系统设计'!$A$5:$A$153,B348)+COUNTIF('追溯与覆盖'!$A$5:$A$153,C348)=2,"PASS","FAIL")</x:f>
        <x:v>PASS</x:v>
      </x:c>
    </x:row>
    <x:row r="349" ht="84" customHeight="1">
      <x:c r="A349" s="25" t="str">
        <x:v>AR-L3-MS-RangeBatchLookup-071-03</x:v>
      </x:c>
      <x:c r="B349" s="25" t="str">
        <x:v>SR-02-05-08</x:v>
      </x:c>
      <x:c r="C349" s="25" t="str">
        <x:v>L3-MS-RangeBatchLookup-071</x:v>
      </x:c>
      <x:c r="D349" s="25" t="str">
        <x:v>SF-02</x:v>
      </x:c>
      <x:c r="E349" s="25" t="str">
        <x:v>IR-02-05</x:v>
      </x:c>
      <x:c r="F349" s="22" t="str">
        <x:v>L3 传输管理层</x:v>
      </x:c>
      <x:c r="G349" s="22" t="str">
        <x:v>TM2</x:v>
      </x:c>
      <x:c r="H349" s="22" t="str">
        <x:v>前缀目录与元数据平面</x:v>
      </x:c>
      <x:c r="I349" s="22" t="str">
        <x:v>P0</x:v>
      </x:c>
      <x:c r="J349" s="22" t="str">
        <x:v>P0</x:v>
      </x:c>
      <x:c r="K349" s="22" t="str">
        <x:v>验证与观测</x:v>
      </x:c>
      <x:c r="L349" s="22" t="str">
        <x:v>存储池/传输管理开发</x:v>
      </x:c>
      <x:c r="M349" s="22" t="str">
        <x:v>tests/metadata/directory/range_batch_lookup_test.cc + benchmarks/metadata/directory/range_batch_lookup_benchmark.cc</x:v>
      </x:c>
      <x:c r="N349" s="22" t="str">
        <x:v>RangeBatchLookupTest / RangeBatchLookupBenchmark</x:v>
      </x:c>
      <x:c r="O349" s="22" t="str">
        <x:v>新增正常、边界、并发、超时、stale metadata、迁移冲突、路径拥塞/故障与 feature-flag-off 用例；在 benchmark 中固定模型、tokenizer、prompt、并发、拓扑和 baseline，采集 lookup/load/attach、TTFT、TPOT、usable/abandoned hit、带宽/时延及 CPU/NPU 利用率。</x:v>
      </x:c>
      <x:c r="P349" s="22" t="str">
        <x:v>验收直接引用来源指标：“Prefix命中判定P99耗时 &lt; 200us；在Share-Prefix业务下，Usable Hit Rate提升≥15%。”；故障用例必须证明错误 KV 不被消费且 fallback reason 可追踪。</x:v>
      </x:c>
      <x:c r="Q349" s="22" t="str">
        <x:v>来源验收项全部自动化；性能报告包含 P50/P95/P99、置信区间与 baseline；失败门槛接入 CI；测试数据和命令可复现。</x:v>
      </x:c>
      <x:c r="R349" s="22" t="str">
        <x:v>./bin/kvcache_bench --case=range_batch_lookup --baseline=native --report=json</x:v>
      </x:c>
      <x:c r="S349" s="22" t="str">
        <x:v>Prefix命中判定P99耗时 &lt; 200us；在Share-Prefix业务下，Usable Hit Rate提升≥15%。</x:v>
      </x:c>
      <x:c r="T349" s="22" t="str">
        <x:v>SR-02-05-08</x:v>
      </x:c>
      <x:c r="U349" s="22" t="str">
        <x:v>待认领</x:v>
      </x:c>
      <x:c r="V349" s="22" t="str"/>
      <x:c r="W349" s="22" t="str"/>
      <x:c r="X349" s="22" t="str">
        <x:f>IF(COUNTIF($A$5:$A$451,A349)=1,"PASS","FAIL")</x:f>
        <x:v>PASS</x:v>
      </x:c>
      <x:c r="Y349" s="22" t="str">
        <x:f>IF(COUNTIF('SR系统设计'!$A$5:$A$153,B349)+COUNTIF('追溯与覆盖'!$A$5:$A$153,C349)=2,"PASS","FAIL")</x:f>
        <x:v>PASS</x:v>
      </x:c>
    </x:row>
    <x:row r="350" ht="84" customHeight="1">
      <x:c r="A350" s="25" t="str">
        <x:v>AR-L3-MS-ReplicaPlacementState-059-01</x:v>
      </x:c>
      <x:c r="B350" s="25" t="str">
        <x:v>SR-02-05-09</x:v>
      </x:c>
      <x:c r="C350" s="25" t="str">
        <x:v>L3-MS-ReplicaPlacementState-059</x:v>
      </x:c>
      <x:c r="D350" s="25" t="str">
        <x:v>SF-02</x:v>
      </x:c>
      <x:c r="E350" s="25" t="str">
        <x:v>IR-02-05</x:v>
      </x:c>
      <x:c r="F350" s="22" t="str">
        <x:v>L3 传输管理层</x:v>
      </x:c>
      <x:c r="G350" s="22" t="str">
        <x:v>TM2</x:v>
      </x:c>
      <x:c r="H350" s="22" t="str">
        <x:v>前缀目录与元数据平面</x:v>
      </x:c>
      <x:c r="I350" s="22" t="str">
        <x:v>P0</x:v>
      </x:c>
      <x:c r="J350" s="22" t="str">
        <x:v>P0</x:v>
      </x:c>
      <x:c r="K350" s="22" t="str">
        <x:v>核心实现</x:v>
      </x:c>
      <x:c r="L350" s="22" t="str">
        <x:v>存储池/传输管理开发</x:v>
      </x:c>
      <x:c r="M350" s="22" t="str">
        <x:v>src/metadata/directory/replica_placement_state.{h,cc}</x:v>
      </x:c>
      <x:c r="N350" s="22" t="str">
        <x:v>ReplicaPlacementStateDirectory</x:v>
      </x:c>
      <x:c r="O350" s="22" t="str">
        <x:v>在 `src/metadata/directory/replica_placement_state.{h,cc}` 新增或重写 `ReplicaPlacementStateDirectory`，把“多副本 KV 的位置与状态管理”落实为 L3 传输管理层 可调用主路径：本需求要求同一 KV object 的每个副本独立维护 placement state，至少包含 tier、node_id、device_id、offset/extent、layout、visibility_level、queue_state、replica_health、version、last_access 和 migration_token； 输入必须显式消费 publish/invalidations + prefix query + topology，输出 PrefixDirectoryRecord + replica candidates + consume eligibility，不得用全局单例或隐藏同步 I/O 绕开预算与状态机。</x:v>
      </x:c>
      <x:c r="P350" s="22" t="str">
        <x:v>实现 publish/invalidations + prefix query + topology → PrefixDirectoryRecord + replica candidates + consume eligibility；遵守 主分片故障切副本；镜像过期强制精确查询；未ready/已tombstone对象不可返回</x:v>
      </x:c>
      <x:c r="Q350" s="22" t="str">
        <x:v>核心算法与状态转换完成；新增代码单测分支覆盖≥85%；线程安全/所有权明确；关闭 feature flag 时行为与 baseline 一致。</x:v>
      </x:c>
      <x:c r="R350" s="22" t="str">
        <x:v>ctest -R ReplicaPlacementState --output-on-failure</x:v>
      </x:c>
      <x:c r="S350" s="22" t="str">
        <x:v>节点动态加入/退出时的缓存失效控制在局部范围内（遵循一致性哈希比例）。</x:v>
      </x:c>
      <x:c r="T350" s="22" t="str">
        <x:v>SR-02-05-09</x:v>
      </x:c>
      <x:c r="U350" s="22" t="str">
        <x:v>待认领</x:v>
      </x:c>
      <x:c r="V350" s="22" t="str"/>
      <x:c r="W350" s="22" t="str"/>
      <x:c r="X350" s="22" t="str">
        <x:f>IF(COUNTIF($A$5:$A$451,A350)=1,"PASS","FAIL")</x:f>
        <x:v>PASS</x:v>
      </x:c>
      <x:c r="Y350" s="22" t="str">
        <x:f>IF(COUNTIF('SR系统设计'!$A$5:$A$153,B350)+COUNTIF('追溯与覆盖'!$A$5:$A$153,C350)=2,"PASS","FAIL")</x:f>
        <x:v>PASS</x:v>
      </x:c>
    </x:row>
    <x:row r="351" ht="84" customHeight="1">
      <x:c r="A351" s="25" t="str">
        <x:v>AR-L3-MS-ReplicaPlacementState-059-02</x:v>
      </x:c>
      <x:c r="B351" s="25" t="str">
        <x:v>SR-02-05-09</x:v>
      </x:c>
      <x:c r="C351" s="25" t="str">
        <x:v>L3-MS-ReplicaPlacementState-059</x:v>
      </x:c>
      <x:c r="D351" s="25" t="str">
        <x:v>SF-02</x:v>
      </x:c>
      <x:c r="E351" s="25" t="str">
        <x:v>IR-02-05</x:v>
      </x:c>
      <x:c r="F351" s="22" t="str">
        <x:v>L3 传输管理层</x:v>
      </x:c>
      <x:c r="G351" s="22" t="str">
        <x:v>TM2</x:v>
      </x:c>
      <x:c r="H351" s="22" t="str">
        <x:v>前缀目录与元数据平面</x:v>
      </x:c>
      <x:c r="I351" s="22" t="str">
        <x:v>P0</x:v>
      </x:c>
      <x:c r="J351" s="22" t="str">
        <x:v>P0</x:v>
      </x:c>
      <x:c r="K351" s="22" t="str">
        <x:v>契约配置与降级</x:v>
      </x:c>
      <x:c r="L351" s="22" t="str">
        <x:v>存储池/传输管理开发</x:v>
      </x:c>
      <x:c r="M351" s="22" t="str">
        <x:v>api/kvcache/v1/replica_placement_state.proto + config/runtime/replica_placement_state.yaml</x:v>
      </x:c>
      <x:c r="N351" s="22" t="str">
        <x:v>ReplicaPlacementStateOptions / kvcache.replica_placement_state.enabled</x:v>
      </x:c>
      <x:c r="O351" s="22" t="str">
        <x:v>为 `ReplicaPlacementStateOptions` 增加 `kvcache.replica_placement_state.enabled`、deadline/容量/队列预算及版本字段；在调用点接入 typed error、decision_reason、fallback_reason，确保配置热更新、灰度关闭和向后兼容均可审计。</x:v>
      </x:c>
      <x:c r="P351" s="22" t="str">
        <x:v>IDL/配置 schema 有版本号、默认值、边界校验和错误码；状态/租约/ready 不满足时按 主分片故障切副本；镜像过期强制精确查询；未ready/已tombstone对象不可返回</x:v>
      </x:c>
      <x:c r="Q351" s="22" t="str">
        <x:v>配置样例、schema 校验、升级兼容测试和回退路径齐全；任何隐式 fallback 被移除；新增指标可关联 request_id/query_plan_id/object_id/path_id。</x:v>
      </x:c>
      <x:c r="R351" s="22" t="str">
        <x:v>ctest -R ReplicaPlacementStateConfig &amp;&amp; ./bin/kvcache_config_check --case=replica_placement_state</x:v>
      </x:c>
      <x:c r="S351" s="22" t="str">
        <x:v>节点动态加入/退出时的缓存失效控制在局部范围内（遵循一致性哈希比例）。</x:v>
      </x:c>
      <x:c r="T351" s="22" t="str">
        <x:v>SR-02-05-09</x:v>
      </x:c>
      <x:c r="U351" s="22" t="str">
        <x:v>待认领</x:v>
      </x:c>
      <x:c r="V351" s="22" t="str"/>
      <x:c r="W351" s="22" t="str"/>
      <x:c r="X351" s="22" t="str">
        <x:f>IF(COUNTIF($A$5:$A$451,A351)=1,"PASS","FAIL")</x:f>
        <x:v>PASS</x:v>
      </x:c>
      <x:c r="Y351" s="22" t="str">
        <x:f>IF(COUNTIF('SR系统设计'!$A$5:$A$153,B351)+COUNTIF('追溯与覆盖'!$A$5:$A$153,C351)=2,"PASS","FAIL")</x:f>
        <x:v>PASS</x:v>
      </x:c>
    </x:row>
    <x:row r="352" ht="84" customHeight="1">
      <x:c r="A352" s="25" t="str">
        <x:v>AR-L3-MS-ReplicaPlacementState-059-03</x:v>
      </x:c>
      <x:c r="B352" s="25" t="str">
        <x:v>SR-02-05-09</x:v>
      </x:c>
      <x:c r="C352" s="25" t="str">
        <x:v>L3-MS-ReplicaPlacementState-059</x:v>
      </x:c>
      <x:c r="D352" s="25" t="str">
        <x:v>SF-02</x:v>
      </x:c>
      <x:c r="E352" s="25" t="str">
        <x:v>IR-02-05</x:v>
      </x:c>
      <x:c r="F352" s="22" t="str">
        <x:v>L3 传输管理层</x:v>
      </x:c>
      <x:c r="G352" s="22" t="str">
        <x:v>TM2</x:v>
      </x:c>
      <x:c r="H352" s="22" t="str">
        <x:v>前缀目录与元数据平面</x:v>
      </x:c>
      <x:c r="I352" s="22" t="str">
        <x:v>P0</x:v>
      </x:c>
      <x:c r="J352" s="22" t="str">
        <x:v>P0</x:v>
      </x:c>
      <x:c r="K352" s="22" t="str">
        <x:v>验证与观测</x:v>
      </x:c>
      <x:c r="L352" s="22" t="str">
        <x:v>存储池/传输管理开发</x:v>
      </x:c>
      <x:c r="M352" s="22" t="str">
        <x:v>tests/metadata/directory/replica_placement_state_test.cc + benchmarks/metadata/directory/replica_placement_state_benchmark.cc</x:v>
      </x:c>
      <x:c r="N352" s="22" t="str">
        <x:v>ReplicaPlacementStateTest / ReplicaPlacementStateBenchmark</x:v>
      </x:c>
      <x:c r="O352" s="22" t="str">
        <x:v>新增正常、边界、并发、超时、stale metadata、迁移冲突、路径拥塞/故障与 feature-flag-off 用例；在 benchmark 中固定模型、tokenizer、prompt、并发、拓扑和 baseline，采集 lookup/load/attach、TTFT、TPOT、usable/abandoned hit、带宽/时延及 CPU/NPU 利用率。</x:v>
      </x:c>
      <x:c r="P352" s="22" t="str">
        <x:v>验收直接引用来源指标：“节点动态加入/退出时的缓存失效控制在局部范围内（遵循一致性哈希比例）。”；故障用例必须证明错误 KV 不被消费且 fallback reason 可追踪。</x:v>
      </x:c>
      <x:c r="Q352" s="22" t="str">
        <x:v>来源验收项全部自动化；性能报告包含 P50/P95/P99、置信区间与 baseline；失败门槛接入 CI；测试数据和命令可复现。</x:v>
      </x:c>
      <x:c r="R352" s="22" t="str">
        <x:v>./bin/kvcache_bench --case=replica_placement_state --baseline=native --report=json</x:v>
      </x:c>
      <x:c r="S352" s="22" t="str">
        <x:v>节点动态加入/退出时的缓存失效控制在局部范围内（遵循一致性哈希比例）。</x:v>
      </x:c>
      <x:c r="T352" s="22" t="str">
        <x:v>SR-02-05-09</x:v>
      </x:c>
      <x:c r="U352" s="22" t="str">
        <x:v>待认领</x:v>
      </x:c>
      <x:c r="V352" s="22" t="str"/>
      <x:c r="W352" s="22" t="str"/>
      <x:c r="X352" s="22" t="str">
        <x:f>IF(COUNTIF($A$5:$A$451,A352)=1,"PASS","FAIL")</x:f>
        <x:v>PASS</x:v>
      </x:c>
      <x:c r="Y352" s="22" t="str">
        <x:f>IF(COUNTIF('SR系统设计'!$A$5:$A$153,B352)+COUNTIF('追溯与覆盖'!$A$5:$A$153,C352)=2,"PASS","FAIL")</x:f>
        <x:v>PASS</x:v>
      </x:c>
    </x:row>
    <x:row r="353" ht="84" customHeight="1">
      <x:c r="A353" s="25" t="str">
        <x:v>AR-L3-MS-StaleHitGuard-067-01</x:v>
      </x:c>
      <x:c r="B353" s="25" t="str">
        <x:v>SR-02-05-10</x:v>
      </x:c>
      <x:c r="C353" s="25" t="str">
        <x:v>L3-MS-StaleHitGuard-067</x:v>
      </x:c>
      <x:c r="D353" s="25" t="str">
        <x:v>SF-02</x:v>
      </x:c>
      <x:c r="E353" s="25" t="str">
        <x:v>IR-02-05</x:v>
      </x:c>
      <x:c r="F353" s="22" t="str">
        <x:v>L3 传输管理层</x:v>
      </x:c>
      <x:c r="G353" s="22" t="str">
        <x:v>TM2</x:v>
      </x:c>
      <x:c r="H353" s="22" t="str">
        <x:v>前缀目录与元数据平面</x:v>
      </x:c>
      <x:c r="I353" s="22" t="str">
        <x:v>P0</x:v>
      </x:c>
      <x:c r="J353" s="22" t="str">
        <x:v>P0</x:v>
      </x:c>
      <x:c r="K353" s="22" t="str">
        <x:v>核心实现</x:v>
      </x:c>
      <x:c r="L353" s="22" t="str">
        <x:v>存储池/传输管理开发</x:v>
      </x:c>
      <x:c r="M353" s="22" t="str">
        <x:v>src/metadata/directory/stale_hit_guard.{h,cc}</x:v>
      </x:c>
      <x:c r="N353" s="22" t="str">
        <x:v>StaleHitGuardDirectory</x:v>
      </x:c>
      <x:c r="O353" s="22" t="str">
        <x:v>在 `src/metadata/directory/stale_hit_guard.{h,cc}` 新增或重写 `StaleHitGuardDirectory`，把“本地元数据缓存过期导致误命中”落实为 L3 传输管理层 可调用主路径：本需求要求 L3 元数据查询结果必须携带 version、epoch、directory_generation 和 stale 标记； 输入必须显式消费 publish/invalidations + prefix query + topology，输出 PrefixDirectoryRecord + replica candidates + consume eligibility，不得用全局单例或隐藏同步 I/O 绕开预算与状态机。</x:v>
      </x:c>
      <x:c r="P353" s="22" t="str">
        <x:v>实现 publish/invalidations + prefix query + topology → PrefixDirectoryRecord + replica candidates + consume eligibility；遵守 主分片故障切副本；镜像过期强制精确查询；未ready/已tombstone对象不可返回</x:v>
      </x:c>
      <x:c r="Q353" s="22" t="str">
        <x:v>核心算法与状态转换完成；新增代码单测分支覆盖≥85%；线程安全/所有权明确；关闭 feature flag 时行为与 baseline 一致。</x:v>
      </x:c>
      <x:c r="R353" s="22" t="str">
        <x:v>ctest -R StaleHitGuard --output-on-failure</x:v>
      </x:c>
      <x:c r="S353" s="22" t="str">
        <x:v>节点动态加入/退出时的缓存失效控制在局部范围内（遵循一致性哈希比例）。</x:v>
      </x:c>
      <x:c r="T353" s="22" t="str">
        <x:v>SR-02-05-10</x:v>
      </x:c>
      <x:c r="U353" s="22" t="str">
        <x:v>待认领</x:v>
      </x:c>
      <x:c r="V353" s="22" t="str"/>
      <x:c r="W353" s="22" t="str"/>
      <x:c r="X353" s="22" t="str">
        <x:f>IF(COUNTIF($A$5:$A$451,A353)=1,"PASS","FAIL")</x:f>
        <x:v>PASS</x:v>
      </x:c>
      <x:c r="Y353" s="22" t="str">
        <x:f>IF(COUNTIF('SR系统设计'!$A$5:$A$153,B353)+COUNTIF('追溯与覆盖'!$A$5:$A$153,C353)=2,"PASS","FAIL")</x:f>
        <x:v>PASS</x:v>
      </x:c>
    </x:row>
    <x:row r="354" ht="84" customHeight="1">
      <x:c r="A354" s="25" t="str">
        <x:v>AR-L3-MS-StaleHitGuard-067-02</x:v>
      </x:c>
      <x:c r="B354" s="25" t="str">
        <x:v>SR-02-05-10</x:v>
      </x:c>
      <x:c r="C354" s="25" t="str">
        <x:v>L3-MS-StaleHitGuard-067</x:v>
      </x:c>
      <x:c r="D354" s="25" t="str">
        <x:v>SF-02</x:v>
      </x:c>
      <x:c r="E354" s="25" t="str">
        <x:v>IR-02-05</x:v>
      </x:c>
      <x:c r="F354" s="22" t="str">
        <x:v>L3 传输管理层</x:v>
      </x:c>
      <x:c r="G354" s="22" t="str">
        <x:v>TM2</x:v>
      </x:c>
      <x:c r="H354" s="22" t="str">
        <x:v>前缀目录与元数据平面</x:v>
      </x:c>
      <x:c r="I354" s="22" t="str">
        <x:v>P0</x:v>
      </x:c>
      <x:c r="J354" s="22" t="str">
        <x:v>P0</x:v>
      </x:c>
      <x:c r="K354" s="22" t="str">
        <x:v>契约配置与降级</x:v>
      </x:c>
      <x:c r="L354" s="22" t="str">
        <x:v>存储池/传输管理开发</x:v>
      </x:c>
      <x:c r="M354" s="22" t="str">
        <x:v>api/kvcache/v1/stale_hit_guard.proto + config/runtime/stale_hit_guard.yaml</x:v>
      </x:c>
      <x:c r="N354" s="22" t="str">
        <x:v>StaleHitGuardOptions / kvcache.stale_hit_guard.enabled</x:v>
      </x:c>
      <x:c r="O354" s="22" t="str">
        <x:v>为 `StaleHitGuardOptions` 增加 `kvcache.stale_hit_guard.enabled`、deadline/容量/队列预算及版本字段；在调用点接入 typed error、decision_reason、fallback_reason，确保配置热更新、灰度关闭和向后兼容均可审计。</x:v>
      </x:c>
      <x:c r="P354" s="22" t="str">
        <x:v>IDL/配置 schema 有版本号、默认值、边界校验和错误码；状态/租约/ready 不满足时按 主分片故障切副本；镜像过期强制精确查询；未ready/已tombstone对象不可返回</x:v>
      </x:c>
      <x:c r="Q354" s="22" t="str">
        <x:v>配置样例、schema 校验、升级兼容测试和回退路径齐全；任何隐式 fallback 被移除；新增指标可关联 request_id/query_plan_id/object_id/path_id。</x:v>
      </x:c>
      <x:c r="R354" s="22" t="str">
        <x:v>ctest -R StaleHitGuardConfig &amp;&amp; ./bin/kvcache_config_check --case=stale_hit_guard</x:v>
      </x:c>
      <x:c r="S354" s="22" t="str">
        <x:v>节点动态加入/退出时的缓存失效控制在局部范围内（遵循一致性哈希比例）。</x:v>
      </x:c>
      <x:c r="T354" s="22" t="str">
        <x:v>SR-02-05-10</x:v>
      </x:c>
      <x:c r="U354" s="22" t="str">
        <x:v>待认领</x:v>
      </x:c>
      <x:c r="V354" s="22" t="str"/>
      <x:c r="W354" s="22" t="str"/>
      <x:c r="X354" s="22" t="str">
        <x:f>IF(COUNTIF($A$5:$A$451,A354)=1,"PASS","FAIL")</x:f>
        <x:v>PASS</x:v>
      </x:c>
      <x:c r="Y354" s="22" t="str">
        <x:f>IF(COUNTIF('SR系统设计'!$A$5:$A$153,B354)+COUNTIF('追溯与覆盖'!$A$5:$A$153,C354)=2,"PASS","FAIL")</x:f>
        <x:v>PASS</x:v>
      </x:c>
    </x:row>
    <x:row r="355" ht="84" customHeight="1">
      <x:c r="A355" s="25" t="str">
        <x:v>AR-L3-MS-StaleHitGuard-067-03</x:v>
      </x:c>
      <x:c r="B355" s="25" t="str">
        <x:v>SR-02-05-10</x:v>
      </x:c>
      <x:c r="C355" s="25" t="str">
        <x:v>L3-MS-StaleHitGuard-067</x:v>
      </x:c>
      <x:c r="D355" s="25" t="str">
        <x:v>SF-02</x:v>
      </x:c>
      <x:c r="E355" s="25" t="str">
        <x:v>IR-02-05</x:v>
      </x:c>
      <x:c r="F355" s="22" t="str">
        <x:v>L3 传输管理层</x:v>
      </x:c>
      <x:c r="G355" s="22" t="str">
        <x:v>TM2</x:v>
      </x:c>
      <x:c r="H355" s="22" t="str">
        <x:v>前缀目录与元数据平面</x:v>
      </x:c>
      <x:c r="I355" s="22" t="str">
        <x:v>P0</x:v>
      </x:c>
      <x:c r="J355" s="22" t="str">
        <x:v>P0</x:v>
      </x:c>
      <x:c r="K355" s="22" t="str">
        <x:v>验证与观测</x:v>
      </x:c>
      <x:c r="L355" s="22" t="str">
        <x:v>存储池/传输管理开发</x:v>
      </x:c>
      <x:c r="M355" s="22" t="str">
        <x:v>tests/metadata/directory/stale_hit_guard_test.cc + benchmarks/metadata/directory/stale_hit_guard_benchmark.cc</x:v>
      </x:c>
      <x:c r="N355" s="22" t="str">
        <x:v>StaleHitGuardTest / StaleHitGuardBenchmark</x:v>
      </x:c>
      <x:c r="O355" s="22" t="str">
        <x:v>新增正常、边界、并发、超时、stale metadata、迁移冲突、路径拥塞/故障与 feature-flag-off 用例；在 benchmark 中固定模型、tokenizer、prompt、并发、拓扑和 baseline，采集 lookup/load/attach、TTFT、TPOT、usable/abandoned hit、带宽/时延及 CPU/NPU 利用率。</x:v>
      </x:c>
      <x:c r="P355" s="22" t="str">
        <x:v>验收直接引用来源指标：“节点动态加入/退出时的缓存失效控制在局部范围内（遵循一致性哈希比例）。”；故障用例必须证明错误 KV 不被消费且 fallback reason 可追踪。</x:v>
      </x:c>
      <x:c r="Q355" s="22" t="str">
        <x:v>来源验收项全部自动化；性能报告包含 P50/P95/P99、置信区间与 baseline；失败门槛接入 CI；测试数据和命令可复现。</x:v>
      </x:c>
      <x:c r="R355" s="22" t="str">
        <x:v>./bin/kvcache_bench --case=stale_hit_guard --baseline=native --report=json</x:v>
      </x:c>
      <x:c r="S355" s="22" t="str">
        <x:v>节点动态加入/退出时的缓存失效控制在局部范围内（遵循一致性哈希比例）。</x:v>
      </x:c>
      <x:c r="T355" s="22" t="str">
        <x:v>SR-02-05-10</x:v>
      </x:c>
      <x:c r="U355" s="22" t="str">
        <x:v>待认领</x:v>
      </x:c>
      <x:c r="V355" s="22" t="str"/>
      <x:c r="W355" s="22" t="str"/>
      <x:c r="X355" s="22" t="str">
        <x:f>IF(COUNTIF($A$5:$A$451,A355)=1,"PASS","FAIL")</x:f>
        <x:v>PASS</x:v>
      </x:c>
      <x:c r="Y355" s="22" t="str">
        <x:f>IF(COUNTIF('SR系统设计'!$A$5:$A$153,B355)+COUNTIF('追溯与覆盖'!$A$5:$A$153,C355)=2,"PASS","FAIL")</x:f>
        <x:v>PASS</x:v>
      </x:c>
    </x:row>
    <x:row r="356" ht="84" customHeight="1">
      <x:c r="A356" s="25" t="str">
        <x:v>AR-L3-MC-PFX-IDX-003-01</x:v>
      </x:c>
      <x:c r="B356" s="25" t="str">
        <x:v>SR-02-05-11</x:v>
      </x:c>
      <x:c r="C356" s="25" t="str">
        <x:v>L3-MC-PFX-IDX-003</x:v>
      </x:c>
      <x:c r="D356" s="25" t="str">
        <x:v>SF-02</x:v>
      </x:c>
      <x:c r="E356" s="25" t="str">
        <x:v>IR-02-05</x:v>
      </x:c>
      <x:c r="F356" s="22" t="str">
        <x:v>L3 传输管理层</x:v>
      </x:c>
      <x:c r="G356" s="22" t="str">
        <x:v>TM2</x:v>
      </x:c>
      <x:c r="H356" s="22" t="str">
        <x:v>前缀目录与元数据平面</x:v>
      </x:c>
      <x:c r="I356" s="22" t="str">
        <x:v>P1</x:v>
      </x:c>
      <x:c r="J356" s="22" t="str">
        <x:v>P1</x:v>
      </x:c>
      <x:c r="K356" s="22" t="str">
        <x:v>核心实现</x:v>
      </x:c>
      <x:c r="L356" s="22" t="str">
        <x:v>存储池/传输管理开发</x:v>
      </x:c>
      <x:c r="M356" s="22" t="str">
        <x:v>src/metadata/directory/pfx_idx.{h,cc}</x:v>
      </x:c>
      <x:c r="N356" s="22" t="str">
        <x:v>PFXIDXDirectory</x:v>
      </x:c>
      <x:c r="O356" s="22" t="str">
        <x:v>在 `src/metadata/directory/pfx_idx.{h,cc}` 新增或重写 `PFXIDXDirectory`，把“前缀命中判断加速”落实为 L3 传输管理层 可调用主路径：本需求要求将Mooncake的前缀元数据查询路径从基于TCP的etcd/Redis改造为基于RDMA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 输入必须显式消费 publish/invalidations + prefix query + topology，输出 PrefixDirectoryRecord + replica candidates + consume eligibility，不得用全局单例或隐藏同步 I/O 绕开预算与状态机。</x:v>
      </x:c>
      <x:c r="P356" s="22" t="str">
        <x:v>实现 publish/invalidations + prefix query + topology → PrefixDirectoryRecord + replica candidates + consume eligibility；遵守 主分片故障切副本；镜像过期强制精确查询；未ready/已tombstone对象不可返回</x:v>
      </x:c>
      <x:c r="Q356" s="22" t="str">
        <x:v>核心算法与状态转换完成；新增代码单测分支覆盖≥85%；线程安全/所有权明确；关闭 feature flag 时行为与 baseline 一致。</x:v>
      </x:c>
      <x:c r="R356" s="22" t="str">
        <x:v>ctest -R PFXIDX --output-on-failure</x:v>
      </x:c>
      <x:c r="S356" s="22" t="str">
        <x:v>Prefix命中判定P99耗时 &lt; 200us；在Share-Prefix业务下，Usable Hit Rate提升≥15%。</x:v>
      </x:c>
      <x:c r="T356" s="22" t="str">
        <x:v>SR-02-05-11</x:v>
      </x:c>
      <x:c r="U356" s="22" t="str">
        <x:v>待认领</x:v>
      </x:c>
      <x:c r="V356" s="22" t="str"/>
      <x:c r="W356" s="22" t="str"/>
      <x:c r="X356" s="22" t="str">
        <x:f>IF(COUNTIF($A$5:$A$451,A356)=1,"PASS","FAIL")</x:f>
        <x:v>PASS</x:v>
      </x:c>
      <x:c r="Y356" s="22" t="str">
        <x:f>IF(COUNTIF('SR系统设计'!$A$5:$A$153,B356)+COUNTIF('追溯与覆盖'!$A$5:$A$153,C356)=2,"PASS","FAIL")</x:f>
        <x:v>PASS</x:v>
      </x:c>
    </x:row>
    <x:row r="357" ht="84" customHeight="1">
      <x:c r="A357" s="25" t="str">
        <x:v>AR-L3-MC-PFX-IDX-003-02</x:v>
      </x:c>
      <x:c r="B357" s="25" t="str">
        <x:v>SR-02-05-11</x:v>
      </x:c>
      <x:c r="C357" s="25" t="str">
        <x:v>L3-MC-PFX-IDX-003</x:v>
      </x:c>
      <x:c r="D357" s="25" t="str">
        <x:v>SF-02</x:v>
      </x:c>
      <x:c r="E357" s="25" t="str">
        <x:v>IR-02-05</x:v>
      </x:c>
      <x:c r="F357" s="22" t="str">
        <x:v>L3 传输管理层</x:v>
      </x:c>
      <x:c r="G357" s="22" t="str">
        <x:v>TM2</x:v>
      </x:c>
      <x:c r="H357" s="22" t="str">
        <x:v>前缀目录与元数据平面</x:v>
      </x:c>
      <x:c r="I357" s="22" t="str">
        <x:v>P1</x:v>
      </x:c>
      <x:c r="J357" s="22" t="str">
        <x:v>P1</x:v>
      </x:c>
      <x:c r="K357" s="22" t="str">
        <x:v>契约配置与降级</x:v>
      </x:c>
      <x:c r="L357" s="22" t="str">
        <x:v>存储池/传输管理开发</x:v>
      </x:c>
      <x:c r="M357" s="22" t="str">
        <x:v>api/kvcache/v1/pfx_idx.proto + config/runtime/pfx_idx.yaml</x:v>
      </x:c>
      <x:c r="N357" s="22" t="str">
        <x:v>PFXIDXOptions / kvcache.pfx_idx.enabled</x:v>
      </x:c>
      <x:c r="O357" s="22" t="str">
        <x:v>为 `PFXIDXOptions` 增加 `kvcache.pfx_idx.enabled`、deadline/容量/队列预算及版本字段；在调用点接入 typed error、decision_reason、fallback_reason，确保配置热更新、灰度关闭和向后兼容均可审计。</x:v>
      </x:c>
      <x:c r="P357" s="22" t="str">
        <x:v>IDL/配置 schema 有版本号、默认值、边界校验和错误码；状态/租约/ready 不满足时按 主分片故障切副本；镜像过期强制精确查询；未ready/已tombstone对象不可返回</x:v>
      </x:c>
      <x:c r="Q357" s="22" t="str">
        <x:v>配置样例、schema 校验、升级兼容测试和回退路径齐全；任何隐式 fallback 被移除；新增指标可关联 request_id/query_plan_id/object_id/path_id。</x:v>
      </x:c>
      <x:c r="R357" s="22" t="str">
        <x:v>ctest -R PFXIDXConfig &amp;&amp; ./bin/kvcache_config_check --case=pfx_idx</x:v>
      </x:c>
      <x:c r="S357" s="22" t="str">
        <x:v>Prefix命中判定P99耗时 &lt; 200us；在Share-Prefix业务下，Usable Hit Rate提升≥15%。</x:v>
      </x:c>
      <x:c r="T357" s="22" t="str">
        <x:v>SR-02-05-11</x:v>
      </x:c>
      <x:c r="U357" s="22" t="str">
        <x:v>待认领</x:v>
      </x:c>
      <x:c r="V357" s="22" t="str"/>
      <x:c r="W357" s="22" t="str"/>
      <x:c r="X357" s="22" t="str">
        <x:f>IF(COUNTIF($A$5:$A$451,A357)=1,"PASS","FAIL")</x:f>
        <x:v>PASS</x:v>
      </x:c>
      <x:c r="Y357" s="22" t="str">
        <x:f>IF(COUNTIF('SR系统设计'!$A$5:$A$153,B357)+COUNTIF('追溯与覆盖'!$A$5:$A$153,C357)=2,"PASS","FAIL")</x:f>
        <x:v>PASS</x:v>
      </x:c>
    </x:row>
    <x:row r="358" ht="84" customHeight="1">
      <x:c r="A358" s="25" t="str">
        <x:v>AR-L3-MC-PFX-IDX-003-03</x:v>
      </x:c>
      <x:c r="B358" s="25" t="str">
        <x:v>SR-02-05-11</x:v>
      </x:c>
      <x:c r="C358" s="25" t="str">
        <x:v>L3-MC-PFX-IDX-003</x:v>
      </x:c>
      <x:c r="D358" s="25" t="str">
        <x:v>SF-02</x:v>
      </x:c>
      <x:c r="E358" s="25" t="str">
        <x:v>IR-02-05</x:v>
      </x:c>
      <x:c r="F358" s="22" t="str">
        <x:v>L3 传输管理层</x:v>
      </x:c>
      <x:c r="G358" s="22" t="str">
        <x:v>TM2</x:v>
      </x:c>
      <x:c r="H358" s="22" t="str">
        <x:v>前缀目录与元数据平面</x:v>
      </x:c>
      <x:c r="I358" s="22" t="str">
        <x:v>P1</x:v>
      </x:c>
      <x:c r="J358" s="22" t="str">
        <x:v>P1</x:v>
      </x:c>
      <x:c r="K358" s="22" t="str">
        <x:v>验证与观测</x:v>
      </x:c>
      <x:c r="L358" s="22" t="str">
        <x:v>存储池/传输管理开发</x:v>
      </x:c>
      <x:c r="M358" s="22" t="str">
        <x:v>tests/metadata/directory/pfx_idx_test.cc + benchmarks/metadata/directory/pfx_idx_benchmark.cc</x:v>
      </x:c>
      <x:c r="N358" s="22" t="str">
        <x:v>PFXIDXTest / PFXIDXBenchmark</x:v>
      </x:c>
      <x:c r="O358" s="22" t="str">
        <x:v>新增正常、边界、并发、超时、stale metadata、迁移冲突、路径拥塞/故障与 feature-flag-off 用例；在 benchmark 中固定模型、tokenizer、prompt、并发、拓扑和 baseline，采集 lookup/load/attach、TTFT、TPOT、usable/abandoned hit、带宽/时延及 CPU/NPU 利用率。</x:v>
      </x:c>
      <x:c r="P358" s="22" t="str">
        <x:v>验收直接引用来源指标：“Prefix命中判定P99耗时 &lt; 200us；在Share-Prefix业务下，Usable Hit Rate提升≥15%。”；故障用例必须证明错误 KV 不被消费且 fallback reason 可追踪。</x:v>
      </x:c>
      <x:c r="Q358" s="22" t="str">
        <x:v>来源验收项全部自动化；性能报告包含 P50/P95/P99、置信区间与 baseline；失败门槛接入 CI；测试数据和命令可复现。</x:v>
      </x:c>
      <x:c r="R358" s="22" t="str">
        <x:v>./bin/kvcache_bench --case=pfx_idx --baseline=native --report=json</x:v>
      </x:c>
      <x:c r="S358" s="22" t="str">
        <x:v>Prefix命中判定P99耗时 &lt; 200us；在Share-Prefix业务下，Usable Hit Rate提升≥15%。</x:v>
      </x:c>
      <x:c r="T358" s="22" t="str">
        <x:v>SR-02-05-11</x:v>
      </x:c>
      <x:c r="U358" s="22" t="str">
        <x:v>待认领</x:v>
      </x:c>
      <x:c r="V358" s="22" t="str"/>
      <x:c r="W358" s="22" t="str"/>
      <x:c r="X358" s="22" t="str">
        <x:f>IF(COUNTIF($A$5:$A$451,A358)=1,"PASS","FAIL")</x:f>
        <x:v>PASS</x:v>
      </x:c>
      <x:c r="Y358" s="22" t="str">
        <x:f>IF(COUNTIF('SR系统设计'!$A$5:$A$153,B358)+COUNTIF('追溯与覆盖'!$A$5:$A$153,C358)=2,"PASS","FAIL")</x:f>
        <x:v>PASS</x:v>
      </x:c>
    </x:row>
    <x:row r="359" ht="84" customHeight="1">
      <x:c r="A359" s="25" t="str">
        <x:v>AR-L3-MC-PFX-REPL-004-01</x:v>
      </x:c>
      <x:c r="B359" s="25" t="str">
        <x:v>SR-02-05-12</x:v>
      </x:c>
      <x:c r="C359" s="25" t="str">
        <x:v>L3-MC-PFX-REPL-004</x:v>
      </x:c>
      <x:c r="D359" s="25" t="str">
        <x:v>SF-02</x:v>
      </x:c>
      <x:c r="E359" s="25" t="str">
        <x:v>IR-02-05</x:v>
      </x:c>
      <x:c r="F359" s="22" t="str">
        <x:v>L3 传输管理层</x:v>
      </x:c>
      <x:c r="G359" s="22" t="str">
        <x:v>TM2</x:v>
      </x:c>
      <x:c r="H359" s="22" t="str">
        <x:v>前缀目录与元数据平面</x:v>
      </x:c>
      <x:c r="I359" s="22" t="str">
        <x:v>P1</x:v>
      </x:c>
      <x:c r="J359" s="22" t="str">
        <x:v>P1</x:v>
      </x:c>
      <x:c r="K359" s="22" t="str">
        <x:v>核心实现</x:v>
      </x:c>
      <x:c r="L359" s="22" t="str">
        <x:v>存储池/传输管理开发</x:v>
      </x:c>
      <x:c r="M359" s="22" t="str">
        <x:v>src/metadata/directory/pfx_repl.{h,cc}</x:v>
      </x:c>
      <x:c r="N359" s="22" t="str">
        <x:v>PFXREPLDirectory</x:v>
      </x:c>
      <x:c r="O359" s="22" t="str">
        <x:v>在 `src/metadata/directory/pfx_repl.{h,cc}` 新增或重写 `PFXREPLDirectory`，把“分布式索引高可用”落实为 L3 传输管理层 可调用主路径：本需求要求为Mooncake分布式前缀索引实现基于一致性哈希环（+一致性哈希多节点/物理节点）的均衡分片机制，并为每个分片提供N=2副本，通过RDMA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 输入必须显式消费 publish/invalidations + prefix query + topology，输出 PrefixDirectoryRecord + replica candidates + consume eligibility，不得用全局单例或隐藏同步 I/O 绕开预算与状态机。</x:v>
      </x:c>
      <x:c r="P359" s="22" t="str">
        <x:v>实现 publish/invalidations + prefix query + topology → PrefixDirectoryRecord + replica candidates + consume eligibility；遵守 主分片故障切副本；镜像过期强制精确查询；未ready/已tombstone对象不可返回</x:v>
      </x:c>
      <x:c r="Q359" s="22" t="str">
        <x:v>核心算法与状态转换完成；新增代码单测分支覆盖≥85%；线程安全/所有权明确；关闭 feature flag 时行为与 baseline 一致。</x:v>
      </x:c>
      <x:c r="R359" s="22" t="str">
        <x:v>ctest -R PFXREPL --output-on-failure</x:v>
      </x:c>
      <x:c r="S359" s="22" t="str">
        <x:v>Prefix命中判定P99耗时 &lt; 200us；在Share-Prefix业务下，Usable Hit Rate提升≥15%。</x:v>
      </x:c>
      <x:c r="T359" s="22" t="str">
        <x:v>SR-02-05-12</x:v>
      </x:c>
      <x:c r="U359" s="22" t="str">
        <x:v>待认领</x:v>
      </x:c>
      <x:c r="V359" s="22" t="str"/>
      <x:c r="W359" s="22" t="str"/>
      <x:c r="X359" s="22" t="str">
        <x:f>IF(COUNTIF($A$5:$A$451,A359)=1,"PASS","FAIL")</x:f>
        <x:v>PASS</x:v>
      </x:c>
      <x:c r="Y359" s="22" t="str">
        <x:f>IF(COUNTIF('SR系统设计'!$A$5:$A$153,B359)+COUNTIF('追溯与覆盖'!$A$5:$A$153,C359)=2,"PASS","FAIL")</x:f>
        <x:v>PASS</x:v>
      </x:c>
    </x:row>
    <x:row r="360" ht="84" customHeight="1">
      <x:c r="A360" s="25" t="str">
        <x:v>AR-L3-MC-PFX-REPL-004-02</x:v>
      </x:c>
      <x:c r="B360" s="25" t="str">
        <x:v>SR-02-05-12</x:v>
      </x:c>
      <x:c r="C360" s="25" t="str">
        <x:v>L3-MC-PFX-REPL-004</x:v>
      </x:c>
      <x:c r="D360" s="25" t="str">
        <x:v>SF-02</x:v>
      </x:c>
      <x:c r="E360" s="25" t="str">
        <x:v>IR-02-05</x:v>
      </x:c>
      <x:c r="F360" s="22" t="str">
        <x:v>L3 传输管理层</x:v>
      </x:c>
      <x:c r="G360" s="22" t="str">
        <x:v>TM2</x:v>
      </x:c>
      <x:c r="H360" s="22" t="str">
        <x:v>前缀目录与元数据平面</x:v>
      </x:c>
      <x:c r="I360" s="22" t="str">
        <x:v>P1</x:v>
      </x:c>
      <x:c r="J360" s="22" t="str">
        <x:v>P1</x:v>
      </x:c>
      <x:c r="K360" s="22" t="str">
        <x:v>契约配置与降级</x:v>
      </x:c>
      <x:c r="L360" s="22" t="str">
        <x:v>存储池/传输管理开发</x:v>
      </x:c>
      <x:c r="M360" s="22" t="str">
        <x:v>api/kvcache/v1/pfx_repl.proto + config/runtime/pfx_repl.yaml</x:v>
      </x:c>
      <x:c r="N360" s="22" t="str">
        <x:v>PFXREPLOptions / kvcache.pfx_repl.enabled</x:v>
      </x:c>
      <x:c r="O360" s="22" t="str">
        <x:v>为 `PFXREPLOptions` 增加 `kvcache.pfx_repl.enabled`、deadline/容量/队列预算及版本字段；在调用点接入 typed error、decision_reason、fallback_reason，确保配置热更新、灰度关闭和向后兼容均可审计。</x:v>
      </x:c>
      <x:c r="P360" s="22" t="str">
        <x:v>IDL/配置 schema 有版本号、默认值、边界校验和错误码；状态/租约/ready 不满足时按 主分片故障切副本；镜像过期强制精确查询；未ready/已tombstone对象不可返回</x:v>
      </x:c>
      <x:c r="Q360" s="22" t="str">
        <x:v>配置样例、schema 校验、升级兼容测试和回退路径齐全；任何隐式 fallback 被移除；新增指标可关联 request_id/query_plan_id/object_id/path_id。</x:v>
      </x:c>
      <x:c r="R360" s="22" t="str">
        <x:v>ctest -R PFXREPLConfig &amp;&amp; ./bin/kvcache_config_check --case=pfx_repl</x:v>
      </x:c>
      <x:c r="S360" s="22" t="str">
        <x:v>Prefix命中判定P99耗时 &lt; 200us；在Share-Prefix业务下，Usable Hit Rate提升≥15%。</x:v>
      </x:c>
      <x:c r="T360" s="22" t="str">
        <x:v>SR-02-05-12</x:v>
      </x:c>
      <x:c r="U360" s="22" t="str">
        <x:v>待认领</x:v>
      </x:c>
      <x:c r="V360" s="22" t="str"/>
      <x:c r="W360" s="22" t="str"/>
      <x:c r="X360" s="22" t="str">
        <x:f>IF(COUNTIF($A$5:$A$451,A360)=1,"PASS","FAIL")</x:f>
        <x:v>PASS</x:v>
      </x:c>
      <x:c r="Y360" s="22" t="str">
        <x:f>IF(COUNTIF('SR系统设计'!$A$5:$A$153,B360)+COUNTIF('追溯与覆盖'!$A$5:$A$153,C360)=2,"PASS","FAIL")</x:f>
        <x:v>PASS</x:v>
      </x:c>
    </x:row>
    <x:row r="361" ht="84" customHeight="1">
      <x:c r="A361" s="25" t="str">
        <x:v>AR-L3-MC-PFX-REPL-004-03</x:v>
      </x:c>
      <x:c r="B361" s="25" t="str">
        <x:v>SR-02-05-12</x:v>
      </x:c>
      <x:c r="C361" s="25" t="str">
        <x:v>L3-MC-PFX-REPL-004</x:v>
      </x:c>
      <x:c r="D361" s="25" t="str">
        <x:v>SF-02</x:v>
      </x:c>
      <x:c r="E361" s="25" t="str">
        <x:v>IR-02-05</x:v>
      </x:c>
      <x:c r="F361" s="22" t="str">
        <x:v>L3 传输管理层</x:v>
      </x:c>
      <x:c r="G361" s="22" t="str">
        <x:v>TM2</x:v>
      </x:c>
      <x:c r="H361" s="22" t="str">
        <x:v>前缀目录与元数据平面</x:v>
      </x:c>
      <x:c r="I361" s="22" t="str">
        <x:v>P1</x:v>
      </x:c>
      <x:c r="J361" s="22" t="str">
        <x:v>P1</x:v>
      </x:c>
      <x:c r="K361" s="22" t="str">
        <x:v>验证与观测</x:v>
      </x:c>
      <x:c r="L361" s="22" t="str">
        <x:v>存储池/传输管理开发</x:v>
      </x:c>
      <x:c r="M361" s="22" t="str">
        <x:v>tests/metadata/directory/pfx_repl_test.cc + benchmarks/metadata/directory/pfx_repl_benchmark.cc</x:v>
      </x:c>
      <x:c r="N361" s="22" t="str">
        <x:v>PFXREPLTest / PFXREPLBenchmark</x:v>
      </x:c>
      <x:c r="O361" s="22" t="str">
        <x:v>新增正常、边界、并发、超时、stale metadata、迁移冲突、路径拥塞/故障与 feature-flag-off 用例；在 benchmark 中固定模型、tokenizer、prompt、并发、拓扑和 baseline，采集 lookup/load/attach、TTFT、TPOT、usable/abandoned hit、带宽/时延及 CPU/NPU 利用率。</x:v>
      </x:c>
      <x:c r="P361" s="22" t="str">
        <x:v>验收直接引用来源指标：“Prefix命中判定P99耗时 &lt; 200us；在Share-Prefix业务下，Usable Hit Rate提升≥15%。”；故障用例必须证明错误 KV 不被消费且 fallback reason 可追踪。</x:v>
      </x:c>
      <x:c r="Q361" s="22" t="str">
        <x:v>来源验收项全部自动化；性能报告包含 P50/P95/P99、置信区间与 baseline；失败门槛接入 CI；测试数据和命令可复现。</x:v>
      </x:c>
      <x:c r="R361" s="22" t="str">
        <x:v>./bin/kvcache_bench --case=pfx_repl --baseline=native --report=json</x:v>
      </x:c>
      <x:c r="S361" s="22" t="str">
        <x:v>Prefix命中判定P99耗时 &lt; 200us；在Share-Prefix业务下，Usable Hit Rate提升≥15%。</x:v>
      </x:c>
      <x:c r="T361" s="22" t="str">
        <x:v>SR-02-05-12</x:v>
      </x:c>
      <x:c r="U361" s="22" t="str">
        <x:v>待认领</x:v>
      </x:c>
      <x:c r="V361" s="22" t="str"/>
      <x:c r="W361" s="22" t="str"/>
      <x:c r="X361" s="22" t="str">
        <x:f>IF(COUNTIF($A$5:$A$451,A361)=1,"PASS","FAIL")</x:f>
        <x:v>PASS</x:v>
      </x:c>
      <x:c r="Y361" s="22" t="str">
        <x:f>IF(COUNTIF('SR系统设计'!$A$5:$A$153,B361)+COUNTIF('追溯与覆盖'!$A$5:$A$153,C361)=2,"PASS","FAIL")</x:f>
        <x:v>PASS</x:v>
      </x:c>
    </x:row>
    <x:row r="362" ht="84" customHeight="1">
      <x:c r="A362" s="25" t="str">
        <x:v>AR-L3-MS-DirectoryShardPolicy-073-01</x:v>
      </x:c>
      <x:c r="B362" s="25" t="str">
        <x:v>SR-02-05-13</x:v>
      </x:c>
      <x:c r="C362" s="25" t="str">
        <x:v>L3-MS-DirectoryShardPolicy-073</x:v>
      </x:c>
      <x:c r="D362" s="25" t="str">
        <x:v>SF-02</x:v>
      </x:c>
      <x:c r="E362" s="25" t="str">
        <x:v>IR-02-05</x:v>
      </x:c>
      <x:c r="F362" s="22" t="str">
        <x:v>L3 传输管理层</x:v>
      </x:c>
      <x:c r="G362" s="22" t="str">
        <x:v>TM2</x:v>
      </x:c>
      <x:c r="H362" s="22" t="str">
        <x:v>前缀目录与元数据平面</x:v>
      </x:c>
      <x:c r="I362" s="22" t="str">
        <x:v>P1</x:v>
      </x:c>
      <x:c r="J362" s="22" t="str">
        <x:v>P1</x:v>
      </x:c>
      <x:c r="K362" s="22" t="str">
        <x:v>核心实现</x:v>
      </x:c>
      <x:c r="L362" s="22" t="str">
        <x:v>存储池/传输管理开发</x:v>
      </x:c>
      <x:c r="M362" s="22" t="str">
        <x:v>src/metadata/directory/directory_shard_policy.{h,cc}</x:v>
      </x:c>
      <x:c r="N362" s="22" t="str">
        <x:v>DirectoryShardPolicyDirectory</x:v>
      </x:c>
      <x:c r="O362" s="22" t="str">
        <x:v>在 `src/metadata/directory/directory_shard_policy.{h,cc}` 新增或重写 `DirectoryShardPolicyDirectory`，把“热点前缀目录分片与镜像”落实为 L3 传输管理层 可调用主路径：本需求要求 prefix directory 支持按 semantic identity、prefix hash、tenant/domain、model namespace 进行分片，并对 hot prefix 支持本地镜像和多副本目录，避免公共 system prompt、agent tool schema、RAG 模板等热点 prefix 造成单点目录瓶颈。 输入必须显式消费 publish/invalidations + prefix query + topology，输出 PrefixDirectoryRecord + replica candidates + consume eligibility，不得用全局单例或隐藏同步 I/O 绕开预算与状态机。</x:v>
      </x:c>
      <x:c r="P362" s="22" t="str">
        <x:v>实现 publish/invalidations + prefix query + topology → PrefixDirectoryRecord + replica candidates + consume eligibility；遵守 主分片故障切副本；镜像过期强制精确查询；未ready/已tombstone对象不可返回</x:v>
      </x:c>
      <x:c r="Q362" s="22" t="str">
        <x:v>核心算法与状态转换完成；新增代码单测分支覆盖≥85%；线程安全/所有权明确；关闭 feature flag 时行为与 baseline 一致。</x:v>
      </x:c>
      <x:c r="R362" s="22" t="str">
        <x:v>ctest -R DirectoryShardPolicy --output-on-failure</x:v>
      </x:c>
      <x:c r="S362" s="22" t="str">
        <x:v>Prefix命中判定P99耗时 &lt; 200us；在Share-Prefix业务下，Usable Hit Rate提升≥15%。</x:v>
      </x:c>
      <x:c r="T362" s="22" t="str">
        <x:v>SR-02-05-13</x:v>
      </x:c>
      <x:c r="U362" s="22" t="str">
        <x:v>待认领</x:v>
      </x:c>
      <x:c r="V362" s="22" t="str"/>
      <x:c r="W362" s="22" t="str"/>
      <x:c r="X362" s="22" t="str">
        <x:f>IF(COUNTIF($A$5:$A$451,A362)=1,"PASS","FAIL")</x:f>
        <x:v>PASS</x:v>
      </x:c>
      <x:c r="Y362" s="22" t="str">
        <x:f>IF(COUNTIF('SR系统设计'!$A$5:$A$153,B362)+COUNTIF('追溯与覆盖'!$A$5:$A$153,C362)=2,"PASS","FAIL")</x:f>
        <x:v>PASS</x:v>
      </x:c>
    </x:row>
    <x:row r="363" ht="84" customHeight="1">
      <x:c r="A363" s="25" t="str">
        <x:v>AR-L3-MS-DirectoryShardPolicy-073-02</x:v>
      </x:c>
      <x:c r="B363" s="25" t="str">
        <x:v>SR-02-05-13</x:v>
      </x:c>
      <x:c r="C363" s="25" t="str">
        <x:v>L3-MS-DirectoryShardPolicy-073</x:v>
      </x:c>
      <x:c r="D363" s="25" t="str">
        <x:v>SF-02</x:v>
      </x:c>
      <x:c r="E363" s="25" t="str">
        <x:v>IR-02-05</x:v>
      </x:c>
      <x:c r="F363" s="22" t="str">
        <x:v>L3 传输管理层</x:v>
      </x:c>
      <x:c r="G363" s="22" t="str">
        <x:v>TM2</x:v>
      </x:c>
      <x:c r="H363" s="22" t="str">
        <x:v>前缀目录与元数据平面</x:v>
      </x:c>
      <x:c r="I363" s="22" t="str">
        <x:v>P1</x:v>
      </x:c>
      <x:c r="J363" s="22" t="str">
        <x:v>P1</x:v>
      </x:c>
      <x:c r="K363" s="22" t="str">
        <x:v>契约配置与降级</x:v>
      </x:c>
      <x:c r="L363" s="22" t="str">
        <x:v>存储池/传输管理开发</x:v>
      </x:c>
      <x:c r="M363" s="22" t="str">
        <x:v>api/kvcache/v1/directory_shard_policy.proto + config/runtime/directory_shard_policy.yaml</x:v>
      </x:c>
      <x:c r="N363" s="22" t="str">
        <x:v>DirectoryShardPolicyOptions / kvcache.directory_shard_policy.enabled</x:v>
      </x:c>
      <x:c r="O363" s="22" t="str">
        <x:v>为 `DirectoryShardPolicyOptions` 增加 `kvcache.directory_shard_policy.enabled`、deadline/容量/队列预算及版本字段；在调用点接入 typed error、decision_reason、fallback_reason，确保配置热更新、灰度关闭和向后兼容均可审计。</x:v>
      </x:c>
      <x:c r="P363" s="22" t="str">
        <x:v>IDL/配置 schema 有版本号、默认值、边界校验和错误码；状态/租约/ready 不满足时按 主分片故障切副本；镜像过期强制精确查询；未ready/已tombstone对象不可返回</x:v>
      </x:c>
      <x:c r="Q363" s="22" t="str">
        <x:v>配置样例、schema 校验、升级兼容测试和回退路径齐全；任何隐式 fallback 被移除；新增指标可关联 request_id/query_plan_id/object_id/path_id。</x:v>
      </x:c>
      <x:c r="R363" s="22" t="str">
        <x:v>ctest -R DirectoryShardPolicyConfig &amp;&amp; ./bin/kvcache_config_check --case=directory_shard_policy</x:v>
      </x:c>
      <x:c r="S363" s="22" t="str">
        <x:v>Prefix命中判定P99耗时 &lt; 200us；在Share-Prefix业务下，Usable Hit Rate提升≥15%。</x:v>
      </x:c>
      <x:c r="T363" s="22" t="str">
        <x:v>SR-02-05-13</x:v>
      </x:c>
      <x:c r="U363" s="22" t="str">
        <x:v>待认领</x:v>
      </x:c>
      <x:c r="V363" s="22" t="str"/>
      <x:c r="W363" s="22" t="str"/>
      <x:c r="X363" s="22" t="str">
        <x:f>IF(COUNTIF($A$5:$A$451,A363)=1,"PASS","FAIL")</x:f>
        <x:v>PASS</x:v>
      </x:c>
      <x:c r="Y363" s="22" t="str">
        <x:f>IF(COUNTIF('SR系统设计'!$A$5:$A$153,B363)+COUNTIF('追溯与覆盖'!$A$5:$A$153,C363)=2,"PASS","FAIL")</x:f>
        <x:v>PASS</x:v>
      </x:c>
    </x:row>
    <x:row r="364" ht="84" customHeight="1">
      <x:c r="A364" s="25" t="str">
        <x:v>AR-L3-MS-DirectoryShardPolicy-073-03</x:v>
      </x:c>
      <x:c r="B364" s="25" t="str">
        <x:v>SR-02-05-13</x:v>
      </x:c>
      <x:c r="C364" s="25" t="str">
        <x:v>L3-MS-DirectoryShardPolicy-073</x:v>
      </x:c>
      <x:c r="D364" s="25" t="str">
        <x:v>SF-02</x:v>
      </x:c>
      <x:c r="E364" s="25" t="str">
        <x:v>IR-02-05</x:v>
      </x:c>
      <x:c r="F364" s="22" t="str">
        <x:v>L3 传输管理层</x:v>
      </x:c>
      <x:c r="G364" s="22" t="str">
        <x:v>TM2</x:v>
      </x:c>
      <x:c r="H364" s="22" t="str">
        <x:v>前缀目录与元数据平面</x:v>
      </x:c>
      <x:c r="I364" s="22" t="str">
        <x:v>P1</x:v>
      </x:c>
      <x:c r="J364" s="22" t="str">
        <x:v>P1</x:v>
      </x:c>
      <x:c r="K364" s="22" t="str">
        <x:v>验证与观测</x:v>
      </x:c>
      <x:c r="L364" s="22" t="str">
        <x:v>存储池/传输管理开发</x:v>
      </x:c>
      <x:c r="M364" s="22" t="str">
        <x:v>tests/metadata/directory/directory_shard_policy_test.cc + benchmarks/metadata/directory/directory_shard_policy_benchmark.cc</x:v>
      </x:c>
      <x:c r="N364" s="22" t="str">
        <x:v>DirectoryShardPolicyTest / DirectoryShardPolicyBenchmark</x:v>
      </x:c>
      <x:c r="O364" s="22" t="str">
        <x:v>新增正常、边界、并发、超时、stale metadata、迁移冲突、路径拥塞/故障与 feature-flag-off 用例；在 benchmark 中固定模型、tokenizer、prompt、并发、拓扑和 baseline，采集 lookup/load/attach、TTFT、TPOT、usable/abandoned hit、带宽/时延及 CPU/NPU 利用率。</x:v>
      </x:c>
      <x:c r="P364" s="22" t="str">
        <x:v>验收直接引用来源指标：“Prefix命中判定P99耗时 &lt; 200us；在Share-Prefix业务下，Usable Hit Rate提升≥15%。”；故障用例必须证明错误 KV 不被消费且 fallback reason 可追踪。</x:v>
      </x:c>
      <x:c r="Q364" s="22" t="str">
        <x:v>来源验收项全部自动化；性能报告包含 P50/P95/P99、置信区间与 baseline；失败门槛接入 CI；测试数据和命令可复现。</x:v>
      </x:c>
      <x:c r="R364" s="22" t="str">
        <x:v>./bin/kvcache_bench --case=directory_shard_policy --baseline=native --report=json</x:v>
      </x:c>
      <x:c r="S364" s="22" t="str">
        <x:v>Prefix命中判定P99耗时 &lt; 200us；在Share-Prefix业务下，Usable Hit Rate提升≥15%。</x:v>
      </x:c>
      <x:c r="T364" s="22" t="str">
        <x:v>SR-02-05-13</x:v>
      </x:c>
      <x:c r="U364" s="22" t="str">
        <x:v>待认领</x:v>
      </x:c>
      <x:c r="V364" s="22" t="str"/>
      <x:c r="W364" s="22" t="str"/>
      <x:c r="X364" s="22" t="str">
        <x:f>IF(COUNTIF($A$5:$A$451,A364)=1,"PASS","FAIL")</x:f>
        <x:v>PASS</x:v>
      </x:c>
      <x:c r="Y364" s="22" t="str">
        <x:f>IF(COUNTIF('SR系统设计'!$A$5:$A$153,B364)+COUNTIF('追溯与覆盖'!$A$5:$A$153,C364)=2,"PASS","FAIL")</x:f>
        <x:v>PASS</x:v>
      </x:c>
    </x:row>
    <x:row r="365" ht="84" customHeight="1">
      <x:c r="A365" s="25" t="str">
        <x:v>AR-L3-MS-MetadataCompactLayout-074-01</x:v>
      </x:c>
      <x:c r="B365" s="25" t="str">
        <x:v>SR-02-05-14</x:v>
      </x:c>
      <x:c r="C365" s="25" t="str">
        <x:v>L3-MS-MetadataCompactLayout-074</x:v>
      </x:c>
      <x:c r="D365" s="25" t="str">
        <x:v>SF-02</x:v>
      </x:c>
      <x:c r="E365" s="25" t="str">
        <x:v>IR-02-05</x:v>
      </x:c>
      <x:c r="F365" s="22" t="str">
        <x:v>L3 传输管理层</x:v>
      </x:c>
      <x:c r="G365" s="22" t="str">
        <x:v>TM2</x:v>
      </x:c>
      <x:c r="H365" s="22" t="str">
        <x:v>前缀目录与元数据平面</x:v>
      </x:c>
      <x:c r="I365" s="22" t="str">
        <x:v>P1</x:v>
      </x:c>
      <x:c r="J365" s="22" t="str">
        <x:v>P1</x:v>
      </x:c>
      <x:c r="K365" s="22" t="str">
        <x:v>核心实现</x:v>
      </x:c>
      <x:c r="L365" s="22" t="str">
        <x:v>存储池/传输管理开发</x:v>
      </x:c>
      <x:c r="M365" s="22" t="str">
        <x:v>src/metadata/directory/metadata_compact_layout.{h,cc}</x:v>
      </x:c>
      <x:c r="N365" s="22" t="str">
        <x:v>MetadataCompactLayoutDirectory</x:v>
      </x:c>
      <x:c r="O365" s="22" t="str">
        <x:v>在 `src/metadata/directory/metadata_compact_layout.{h,cc}` 新增或重写 `MetadataCompactLayoutDirectory`，把“前缀元数据查询结构优化”落实为 L3 传输管理层 可调用主路径：本需求要求 prefix metadata 采用紧凑内存布局，将 TTFT 快路径字段与冷字段分离； 输入必须显式消费 publish/invalidations + prefix query + topology，输出 PrefixDirectoryRecord + replica candidates + consume eligibility，不得用全局单例或隐藏同步 I/O 绕开预算与状态机。</x:v>
      </x:c>
      <x:c r="P365" s="22" t="str">
        <x:v>实现 publish/invalidations + prefix query + topology → PrefixDirectoryRecord + replica candidates + consume eligibility；遵守 主分片故障切副本；镜像过期强制精确查询；未ready/已tombstone对象不可返回</x:v>
      </x:c>
      <x:c r="Q365" s="22" t="str">
        <x:v>核心算法与状态转换完成；新增代码单测分支覆盖≥85%；线程安全/所有权明确；关闭 feature flag 时行为与 baseline 一致。</x:v>
      </x:c>
      <x:c r="R365" s="22" t="str">
        <x:v>ctest -R MetadataCompactLayout --output-on-failure</x:v>
      </x:c>
      <x:c r="S365" s="22" t="str">
        <x:v>Prefix命中判定P99耗时 &lt; 200us；在Share-Prefix业务下，Usable Hit Rate提升≥15%。</x:v>
      </x:c>
      <x:c r="T365" s="22" t="str">
        <x:v>SR-02-05-14</x:v>
      </x:c>
      <x:c r="U365" s="22" t="str">
        <x:v>待认领</x:v>
      </x:c>
      <x:c r="V365" s="22" t="str"/>
      <x:c r="W365" s="22" t="str"/>
      <x:c r="X365" s="22" t="str">
        <x:f>IF(COUNTIF($A$5:$A$451,A365)=1,"PASS","FAIL")</x:f>
        <x:v>PASS</x:v>
      </x:c>
      <x:c r="Y365" s="22" t="str">
        <x:f>IF(COUNTIF('SR系统设计'!$A$5:$A$153,B365)+COUNTIF('追溯与覆盖'!$A$5:$A$153,C365)=2,"PASS","FAIL")</x:f>
        <x:v>PASS</x:v>
      </x:c>
    </x:row>
    <x:row r="366" ht="84" customHeight="1">
      <x:c r="A366" s="25" t="str">
        <x:v>AR-L3-MS-MetadataCompactLayout-074-02</x:v>
      </x:c>
      <x:c r="B366" s="25" t="str">
        <x:v>SR-02-05-14</x:v>
      </x:c>
      <x:c r="C366" s="25" t="str">
        <x:v>L3-MS-MetadataCompactLayout-074</x:v>
      </x:c>
      <x:c r="D366" s="25" t="str">
        <x:v>SF-02</x:v>
      </x:c>
      <x:c r="E366" s="25" t="str">
        <x:v>IR-02-05</x:v>
      </x:c>
      <x:c r="F366" s="22" t="str">
        <x:v>L3 传输管理层</x:v>
      </x:c>
      <x:c r="G366" s="22" t="str">
        <x:v>TM2</x:v>
      </x:c>
      <x:c r="H366" s="22" t="str">
        <x:v>前缀目录与元数据平面</x:v>
      </x:c>
      <x:c r="I366" s="22" t="str">
        <x:v>P1</x:v>
      </x:c>
      <x:c r="J366" s="22" t="str">
        <x:v>P1</x:v>
      </x:c>
      <x:c r="K366" s="22" t="str">
        <x:v>契约配置与降级</x:v>
      </x:c>
      <x:c r="L366" s="22" t="str">
        <x:v>存储池/传输管理开发</x:v>
      </x:c>
      <x:c r="M366" s="22" t="str">
        <x:v>api/kvcache/v1/metadata_compact_layout.proto + config/runtime/metadata_compact_layout.yaml</x:v>
      </x:c>
      <x:c r="N366" s="22" t="str">
        <x:v>MetadataCompactLayoutOptions / kvcache.metadata_compact_layout.enabled</x:v>
      </x:c>
      <x:c r="O366" s="22" t="str">
        <x:v>为 `MetadataCompactLayoutOptions` 增加 `kvcache.metadata_compact_layout.enabled`、deadline/容量/队列预算及版本字段；在调用点接入 typed error、decision_reason、fallback_reason，确保配置热更新、灰度关闭和向后兼容均可审计。</x:v>
      </x:c>
      <x:c r="P366" s="22" t="str">
        <x:v>IDL/配置 schema 有版本号、默认值、边界校验和错误码；状态/租约/ready 不满足时按 主分片故障切副本；镜像过期强制精确查询；未ready/已tombstone对象不可返回</x:v>
      </x:c>
      <x:c r="Q366" s="22" t="str">
        <x:v>配置样例、schema 校验、升级兼容测试和回退路径齐全；任何隐式 fallback 被移除；新增指标可关联 request_id/query_plan_id/object_id/path_id。</x:v>
      </x:c>
      <x:c r="R366" s="22" t="str">
        <x:v>ctest -R MetadataCompactLayoutConfig &amp;&amp; ./bin/kvcache_config_check --case=metadata_compact_layout</x:v>
      </x:c>
      <x:c r="S366" s="22" t="str">
        <x:v>Prefix命中判定P99耗时 &lt; 200us；在Share-Prefix业务下，Usable Hit Rate提升≥15%。</x:v>
      </x:c>
      <x:c r="T366" s="22" t="str">
        <x:v>SR-02-05-14</x:v>
      </x:c>
      <x:c r="U366" s="22" t="str">
        <x:v>待认领</x:v>
      </x:c>
      <x:c r="V366" s="22" t="str"/>
      <x:c r="W366" s="22" t="str"/>
      <x:c r="X366" s="22" t="str">
        <x:f>IF(COUNTIF($A$5:$A$451,A366)=1,"PASS","FAIL")</x:f>
        <x:v>PASS</x:v>
      </x:c>
      <x:c r="Y366" s="22" t="str">
        <x:f>IF(COUNTIF('SR系统设计'!$A$5:$A$153,B366)+COUNTIF('追溯与覆盖'!$A$5:$A$153,C366)=2,"PASS","FAIL")</x:f>
        <x:v>PASS</x:v>
      </x:c>
    </x:row>
    <x:row r="367" ht="84" customHeight="1">
      <x:c r="A367" s="25" t="str">
        <x:v>AR-L3-MS-MetadataCompactLayout-074-03</x:v>
      </x:c>
      <x:c r="B367" s="25" t="str">
        <x:v>SR-02-05-14</x:v>
      </x:c>
      <x:c r="C367" s="25" t="str">
        <x:v>L3-MS-MetadataCompactLayout-074</x:v>
      </x:c>
      <x:c r="D367" s="25" t="str">
        <x:v>SF-02</x:v>
      </x:c>
      <x:c r="E367" s="25" t="str">
        <x:v>IR-02-05</x:v>
      </x:c>
      <x:c r="F367" s="22" t="str">
        <x:v>L3 传输管理层</x:v>
      </x:c>
      <x:c r="G367" s="22" t="str">
        <x:v>TM2</x:v>
      </x:c>
      <x:c r="H367" s="22" t="str">
        <x:v>前缀目录与元数据平面</x:v>
      </x:c>
      <x:c r="I367" s="22" t="str">
        <x:v>P1</x:v>
      </x:c>
      <x:c r="J367" s="22" t="str">
        <x:v>P1</x:v>
      </x:c>
      <x:c r="K367" s="22" t="str">
        <x:v>验证与观测</x:v>
      </x:c>
      <x:c r="L367" s="22" t="str">
        <x:v>存储池/传输管理开发</x:v>
      </x:c>
      <x:c r="M367" s="22" t="str">
        <x:v>tests/metadata/directory/metadata_compact_layout_test.cc + benchmarks/metadata/directory/metadata_compact_layout_benchmark.cc</x:v>
      </x:c>
      <x:c r="N367" s="22" t="str">
        <x:v>MetadataCompactLayoutTest / MetadataCompactLayoutBenchmark</x:v>
      </x:c>
      <x:c r="O367" s="22" t="str">
        <x:v>新增正常、边界、并发、超时、stale metadata、迁移冲突、路径拥塞/故障与 feature-flag-off 用例；在 benchmark 中固定模型、tokenizer、prompt、并发、拓扑和 baseline，采集 lookup/load/attach、TTFT、TPOT、usable/abandoned hit、带宽/时延及 CPU/NPU 利用率。</x:v>
      </x:c>
      <x:c r="P367" s="22" t="str">
        <x:v>验收直接引用来源指标：“Prefix命中判定P99耗时 &lt; 200us；在Share-Prefix业务下，Usable Hit Rate提升≥15%。”；故障用例必须证明错误 KV 不被消费且 fallback reason 可追踪。</x:v>
      </x:c>
      <x:c r="Q367" s="22" t="str">
        <x:v>来源验收项全部自动化；性能报告包含 P50/P95/P99、置信区间与 baseline；失败门槛接入 CI；测试数据和命令可复现。</x:v>
      </x:c>
      <x:c r="R367" s="22" t="str">
        <x:v>./bin/kvcache_bench --case=metadata_compact_layout --baseline=native --report=json</x:v>
      </x:c>
      <x:c r="S367" s="22" t="str">
        <x:v>Prefix命中判定P99耗时 &lt; 200us；在Share-Prefix业务下，Usable Hit Rate提升≥15%。</x:v>
      </x:c>
      <x:c r="T367" s="22" t="str">
        <x:v>SR-02-05-14</x:v>
      </x:c>
      <x:c r="U367" s="22" t="str">
        <x:v>待认领</x:v>
      </x:c>
      <x:c r="V367" s="22" t="str"/>
      <x:c r="W367" s="22" t="str"/>
      <x:c r="X367" s="22" t="str">
        <x:f>IF(COUNTIF($A$5:$A$451,A367)=1,"PASS","FAIL")</x:f>
        <x:v>PASS</x:v>
      </x:c>
      <x:c r="Y367" s="22" t="str">
        <x:f>IF(COUNTIF('SR系统设计'!$A$5:$A$153,B367)+COUNTIF('追溯与覆盖'!$A$5:$A$153,C367)=2,"PASS","FAIL")</x:f>
        <x:v>PASS</x:v>
      </x:c>
    </x:row>
    <x:row r="368" ht="84" customHeight="1">
      <x:c r="A368" s="25" t="str">
        <x:v>AR-L3-MS-MultiReplicaDirectory-037-01</x:v>
      </x:c>
      <x:c r="B368" s="25" t="str">
        <x:v>SR-02-05-15</x:v>
      </x:c>
      <x:c r="C368" s="25" t="str">
        <x:v>L3-MS-MultiReplicaDirectory-037</x:v>
      </x:c>
      <x:c r="D368" s="25" t="str">
        <x:v>SF-02</x:v>
      </x:c>
      <x:c r="E368" s="25" t="str">
        <x:v>IR-02-05</x:v>
      </x:c>
      <x:c r="F368" s="22" t="str">
        <x:v>L3 传输管理层</x:v>
      </x:c>
      <x:c r="G368" s="22" t="str">
        <x:v>TM2</x:v>
      </x:c>
      <x:c r="H368" s="22" t="str">
        <x:v>前缀目录与元数据平面</x:v>
      </x:c>
      <x:c r="I368" s="22" t="str">
        <x:v>P1</x:v>
      </x:c>
      <x:c r="J368" s="22" t="str">
        <x:v>P1</x:v>
      </x:c>
      <x:c r="K368" s="22" t="str">
        <x:v>核心实现</x:v>
      </x:c>
      <x:c r="L368" s="22" t="str">
        <x:v>存储池/传输管理开发</x:v>
      </x:c>
      <x:c r="M368" s="22" t="str">
        <x:v>src/metadata/directory/multi_replica_directory.{h,cc}</x:v>
      </x:c>
      <x:c r="N368" s="22" t="str">
        <x:v>MultiReplicaDirectoryDirectory</x:v>
      </x:c>
      <x:c r="O368" s="22" t="str">
        <x:v>在 `src/metadata/directory/multi_replica_directory.{h,cc}` 新增或重写 `MultiReplicaDirectoryDirectory`，把“多副本 KVCache 全局目录管理”落实为 L3 传输管理层 可调用主路径：本需求要求全局 KV directory 支持同一 KV object 的多语义副本记录：包括 UB/C2C memory view、local DDR、remote DDR RDMA source、SSD segment、object key，并维护 version、visibility、hotness 与 cost metadata。 输入必须显式消费 publish/invalidations + prefix query + topology，输出 PrefixDirectoryRecord + replica candidates + consume eligibility，不得用全局单例或隐藏同步 I/O 绕开预算与状态机。</x:v>
      </x:c>
      <x:c r="P368" s="22" t="str">
        <x:v>实现 publish/invalidations + prefix query + topology → PrefixDirectoryRecord + replica candidates + consume eligibility；遵守 主分片故障切副本；镜像过期强制精确查询；未ready/已tombstone对象不可返回</x:v>
      </x:c>
      <x:c r="Q368" s="22" t="str">
        <x:v>核心算法与状态转换完成；新增代码单测分支覆盖≥85%；线程安全/所有权明确；关闭 feature flag 时行为与 baseline 一致。</x:v>
      </x:c>
      <x:c r="R368" s="22" t="str">
        <x:v>ctest -R MultiReplicaDirectory --output-on-failure</x:v>
      </x:c>
      <x:c r="S368" s="22" t="str">
        <x:v>path selection 命中最优副本比例 ≥90%；</x:v>
      </x:c>
      <x:c r="T368" s="22" t="str">
        <x:v>SR-02-05-15</x:v>
      </x:c>
      <x:c r="U368" s="22" t="str">
        <x:v>待认领</x:v>
      </x:c>
      <x:c r="V368" s="22" t="str"/>
      <x:c r="W368" s="22" t="str"/>
      <x:c r="X368" s="22" t="str">
        <x:f>IF(COUNTIF($A$5:$A$451,A368)=1,"PASS","FAIL")</x:f>
        <x:v>PASS</x:v>
      </x:c>
      <x:c r="Y368" s="22" t="str">
        <x:f>IF(COUNTIF('SR系统设计'!$A$5:$A$153,B368)+COUNTIF('追溯与覆盖'!$A$5:$A$153,C368)=2,"PASS","FAIL")</x:f>
        <x:v>PASS</x:v>
      </x:c>
    </x:row>
    <x:row r="369" ht="84" customHeight="1">
      <x:c r="A369" s="25" t="str">
        <x:v>AR-L3-MS-MultiReplicaDirectory-037-02</x:v>
      </x:c>
      <x:c r="B369" s="25" t="str">
        <x:v>SR-02-05-15</x:v>
      </x:c>
      <x:c r="C369" s="25" t="str">
        <x:v>L3-MS-MultiReplicaDirectory-037</x:v>
      </x:c>
      <x:c r="D369" s="25" t="str">
        <x:v>SF-02</x:v>
      </x:c>
      <x:c r="E369" s="25" t="str">
        <x:v>IR-02-05</x:v>
      </x:c>
      <x:c r="F369" s="22" t="str">
        <x:v>L3 传输管理层</x:v>
      </x:c>
      <x:c r="G369" s="22" t="str">
        <x:v>TM2</x:v>
      </x:c>
      <x:c r="H369" s="22" t="str">
        <x:v>前缀目录与元数据平面</x:v>
      </x:c>
      <x:c r="I369" s="22" t="str">
        <x:v>P1</x:v>
      </x:c>
      <x:c r="J369" s="22" t="str">
        <x:v>P1</x:v>
      </x:c>
      <x:c r="K369" s="22" t="str">
        <x:v>契约配置与降级</x:v>
      </x:c>
      <x:c r="L369" s="22" t="str">
        <x:v>存储池/传输管理开发</x:v>
      </x:c>
      <x:c r="M369" s="22" t="str">
        <x:v>api/kvcache/v1/multi_replica_directory.proto + config/runtime/multi_replica_directory.yaml</x:v>
      </x:c>
      <x:c r="N369" s="22" t="str">
        <x:v>MultiReplicaDirectoryOptions / kvcache.multi_replica_directory.enabled</x:v>
      </x:c>
      <x:c r="O369" s="22" t="str">
        <x:v>为 `MultiReplicaDirectoryOptions` 增加 `kvcache.multi_replica_directory.enabled`、deadline/容量/队列预算及版本字段；在调用点接入 typed error、decision_reason、fallback_reason，确保配置热更新、灰度关闭和向后兼容均可审计。</x:v>
      </x:c>
      <x:c r="P369" s="22" t="str">
        <x:v>IDL/配置 schema 有版本号、默认值、边界校验和错误码；状态/租约/ready 不满足时按 主分片故障切副本；镜像过期强制精确查询；未ready/已tombstone对象不可返回</x:v>
      </x:c>
      <x:c r="Q369" s="22" t="str">
        <x:v>配置样例、schema 校验、升级兼容测试和回退路径齐全；任何隐式 fallback 被移除；新增指标可关联 request_id/query_plan_id/object_id/path_id。</x:v>
      </x:c>
      <x:c r="R369" s="22" t="str">
        <x:v>ctest -R MultiReplicaDirectoryConfig &amp;&amp; ./bin/kvcache_config_check --case=multi_replica_directory</x:v>
      </x:c>
      <x:c r="S369" s="22" t="str">
        <x:v>path selection 命中最优副本比例 ≥90%；</x:v>
      </x:c>
      <x:c r="T369" s="22" t="str">
        <x:v>SR-02-05-15</x:v>
      </x:c>
      <x:c r="U369" s="22" t="str">
        <x:v>待认领</x:v>
      </x:c>
      <x:c r="V369" s="22" t="str"/>
      <x:c r="W369" s="22" t="str"/>
      <x:c r="X369" s="22" t="str">
        <x:f>IF(COUNTIF($A$5:$A$451,A369)=1,"PASS","FAIL")</x:f>
        <x:v>PASS</x:v>
      </x:c>
      <x:c r="Y369" s="22" t="str">
        <x:f>IF(COUNTIF('SR系统设计'!$A$5:$A$153,B369)+COUNTIF('追溯与覆盖'!$A$5:$A$153,C369)=2,"PASS","FAIL")</x:f>
        <x:v>PASS</x:v>
      </x:c>
    </x:row>
    <x:row r="370" ht="84" customHeight="1">
      <x:c r="A370" s="25" t="str">
        <x:v>AR-L3-MS-MultiReplicaDirectory-037-03</x:v>
      </x:c>
      <x:c r="B370" s="25" t="str">
        <x:v>SR-02-05-15</x:v>
      </x:c>
      <x:c r="C370" s="25" t="str">
        <x:v>L3-MS-MultiReplicaDirectory-037</x:v>
      </x:c>
      <x:c r="D370" s="25" t="str">
        <x:v>SF-02</x:v>
      </x:c>
      <x:c r="E370" s="25" t="str">
        <x:v>IR-02-05</x:v>
      </x:c>
      <x:c r="F370" s="22" t="str">
        <x:v>L3 传输管理层</x:v>
      </x:c>
      <x:c r="G370" s="22" t="str">
        <x:v>TM2</x:v>
      </x:c>
      <x:c r="H370" s="22" t="str">
        <x:v>前缀目录与元数据平面</x:v>
      </x:c>
      <x:c r="I370" s="22" t="str">
        <x:v>P1</x:v>
      </x:c>
      <x:c r="J370" s="22" t="str">
        <x:v>P1</x:v>
      </x:c>
      <x:c r="K370" s="22" t="str">
        <x:v>验证与观测</x:v>
      </x:c>
      <x:c r="L370" s="22" t="str">
        <x:v>存储池/传输管理开发</x:v>
      </x:c>
      <x:c r="M370" s="22" t="str">
        <x:v>tests/metadata/directory/multi_replica_directory_test.cc + benchmarks/metadata/directory/multi_replica_directory_benchmark.cc</x:v>
      </x:c>
      <x:c r="N370" s="22" t="str">
        <x:v>MultiReplicaDirectoryTest / MultiReplicaDirectoryBenchmark</x:v>
      </x:c>
      <x:c r="O370" s="22" t="str">
        <x:v>新增正常、边界、并发、超时、stale metadata、迁移冲突、路径拥塞/故障与 feature-flag-off 用例；在 benchmark 中固定模型、tokenizer、prompt、并发、拓扑和 baseline，采集 lookup/load/attach、TTFT、TPOT、usable/abandoned hit、带宽/时延及 CPU/NPU 利用率。</x:v>
      </x:c>
      <x:c r="P370" s="22" t="str">
        <x:v>验收直接引用来源指标：“path selection 命中最优副本比例 ≥90%；”；故障用例必须证明错误 KV 不被消费且 fallback reason 可追踪。</x:v>
      </x:c>
      <x:c r="Q370" s="22" t="str">
        <x:v>来源验收项全部自动化；性能报告包含 P50/P95/P99、置信区间与 baseline；失败门槛接入 CI；测试数据和命令可复现。</x:v>
      </x:c>
      <x:c r="R370" s="22" t="str">
        <x:v>./bin/kvcache_bench --case=multi_replica_directory --baseline=native --report=json</x:v>
      </x:c>
      <x:c r="S370" s="22" t="str">
        <x:v>path selection 命中最优副本比例 ≥90%；</x:v>
      </x:c>
      <x:c r="T370" s="22" t="str">
        <x:v>SR-02-05-15</x:v>
      </x:c>
      <x:c r="U370" s="22" t="str">
        <x:v>待认领</x:v>
      </x:c>
      <x:c r="V370" s="22" t="str"/>
      <x:c r="W370" s="22" t="str"/>
      <x:c r="X370" s="22" t="str">
        <x:f>IF(COUNTIF($A$5:$A$451,A370)=1,"PASS","FAIL")</x:f>
        <x:v>PASS</x:v>
      </x:c>
      <x:c r="Y370" s="22" t="str">
        <x:f>IF(COUNTIF('SR系统设计'!$A$5:$A$153,B370)+COUNTIF('追溯与覆盖'!$A$5:$A$153,C370)=2,"PASS","FAIL")</x:f>
        <x:v>PASS</x:v>
      </x:c>
    </x:row>
    <x:row r="371" ht="84" customHeight="1">
      <x:c r="A371" s="25" t="str">
        <x:v>AR-L3-MS-TTFTIndexLayout-088-01</x:v>
      </x:c>
      <x:c r="B371" s="25" t="str">
        <x:v>SR-02-05-16</x:v>
      </x:c>
      <x:c r="C371" s="25" t="str">
        <x:v>L3-MS-TTFTIndexLayout-088</x:v>
      </x:c>
      <x:c r="D371" s="25" t="str">
        <x:v>SF-02</x:v>
      </x:c>
      <x:c r="E371" s="25" t="str">
        <x:v>IR-02-05</x:v>
      </x:c>
      <x:c r="F371" s="22" t="str">
        <x:v>L3 传输管理层</x:v>
      </x:c>
      <x:c r="G371" s="22" t="str">
        <x:v>TM2</x:v>
      </x:c>
      <x:c r="H371" s="22" t="str">
        <x:v>前缀目录与元数据平面</x:v>
      </x:c>
      <x:c r="I371" s="22" t="str">
        <x:v>P1</x:v>
      </x:c>
      <x:c r="J371" s="22" t="str">
        <x:v>P1</x:v>
      </x:c>
      <x:c r="K371" s="22" t="str">
        <x:v>核心实现</x:v>
      </x:c>
      <x:c r="L371" s="22" t="str">
        <x:v>存储池/传输管理开发</x:v>
      </x:c>
      <x:c r="M371" s="22" t="str">
        <x:v>src/metadata/directory/ttftindex_layout.{h,cc}</x:v>
      </x:c>
      <x:c r="N371" s="22" t="str">
        <x:v>TTFTIndexLayoutDirectory</x:v>
      </x:c>
      <x:c r="O371" s="22" t="str">
        <x:v>在 `src/metadata/directory/ttftindex_layout.{h,cc}` 新增或重写 `TTFTIndexLayoutDirectory`，把“TTFT 关键路径高性能元数据检索”落实为 L3 传输管理层 可调用主路径：本需求要求针对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 输入必须显式消费 publish/invalidations + prefix query + topology，输出 PrefixDirectoryRecord + replica candidates + consume eligibility，不得用全局单例或隐藏同步 I/O 绕开预算与状态机。</x:v>
      </x:c>
      <x:c r="P371" s="22" t="str">
        <x:v>实现 publish/invalidations + prefix query + topology → PrefixDirectoryRecord + replica candidates + consume eligibility；遵守 主分片故障切副本；镜像过期强制精确查询；未ready/已tombstone对象不可返回</x:v>
      </x:c>
      <x:c r="Q371" s="22" t="str">
        <x:v>核心算法与状态转换完成；新增代码单测分支覆盖≥85%；线程安全/所有权明确；关闭 feature flag 时行为与 baseline 一致。</x:v>
      </x:c>
      <x:c r="R371" s="22" t="str">
        <x:v>ctest -R TTFTIndexLayout --output-on-failure</x:v>
      </x:c>
      <x:c r="S371" s="22" t="str">
        <x:v>Prefix命中判定P99耗时 &lt; 200us；在Share-Prefix业务下，Usable Hit Rate提升≥15%。</x:v>
      </x:c>
      <x:c r="T371" s="22" t="str">
        <x:v>SR-02-05-16</x:v>
      </x:c>
      <x:c r="U371" s="22" t="str">
        <x:v>待认领</x:v>
      </x:c>
      <x:c r="V371" s="22" t="str"/>
      <x:c r="W371" s="22" t="str"/>
      <x:c r="X371" s="22" t="str">
        <x:f>IF(COUNTIF($A$5:$A$451,A371)=1,"PASS","FAIL")</x:f>
        <x:v>PASS</x:v>
      </x:c>
      <x:c r="Y371" s="22" t="str">
        <x:f>IF(COUNTIF('SR系统设计'!$A$5:$A$153,B371)+COUNTIF('追溯与覆盖'!$A$5:$A$153,C371)=2,"PASS","FAIL")</x:f>
        <x:v>PASS</x:v>
      </x:c>
    </x:row>
    <x:row r="372" ht="84" customHeight="1">
      <x:c r="A372" s="25" t="str">
        <x:v>AR-L3-MS-TTFTIndexLayout-088-02</x:v>
      </x:c>
      <x:c r="B372" s="25" t="str">
        <x:v>SR-02-05-16</x:v>
      </x:c>
      <x:c r="C372" s="25" t="str">
        <x:v>L3-MS-TTFTIndexLayout-088</x:v>
      </x:c>
      <x:c r="D372" s="25" t="str">
        <x:v>SF-02</x:v>
      </x:c>
      <x:c r="E372" s="25" t="str">
        <x:v>IR-02-05</x:v>
      </x:c>
      <x:c r="F372" s="22" t="str">
        <x:v>L3 传输管理层</x:v>
      </x:c>
      <x:c r="G372" s="22" t="str">
        <x:v>TM2</x:v>
      </x:c>
      <x:c r="H372" s="22" t="str">
        <x:v>前缀目录与元数据平面</x:v>
      </x:c>
      <x:c r="I372" s="22" t="str">
        <x:v>P1</x:v>
      </x:c>
      <x:c r="J372" s="22" t="str">
        <x:v>P1</x:v>
      </x:c>
      <x:c r="K372" s="22" t="str">
        <x:v>契约配置与降级</x:v>
      </x:c>
      <x:c r="L372" s="22" t="str">
        <x:v>存储池/传输管理开发</x:v>
      </x:c>
      <x:c r="M372" s="22" t="str">
        <x:v>api/kvcache/v1/ttftindex_layout.proto + config/runtime/ttftindex_layout.yaml</x:v>
      </x:c>
      <x:c r="N372" s="22" t="str">
        <x:v>TTFTIndexLayoutOptions / kvcache.ttftindex_layout.enabled</x:v>
      </x:c>
      <x:c r="O372" s="22" t="str">
        <x:v>为 `TTFTIndexLayoutOptions` 增加 `kvcache.ttftindex_layout.enabled`、deadline/容量/队列预算及版本字段；在调用点接入 typed error、decision_reason、fallback_reason，确保配置热更新、灰度关闭和向后兼容均可审计。</x:v>
      </x:c>
      <x:c r="P372" s="22" t="str">
        <x:v>IDL/配置 schema 有版本号、默认值、边界校验和错误码；状态/租约/ready 不满足时按 主分片故障切副本；镜像过期强制精确查询；未ready/已tombstone对象不可返回</x:v>
      </x:c>
      <x:c r="Q372" s="22" t="str">
        <x:v>配置样例、schema 校验、升级兼容测试和回退路径齐全；任何隐式 fallback 被移除；新增指标可关联 request_id/query_plan_id/object_id/path_id。</x:v>
      </x:c>
      <x:c r="R372" s="22" t="str">
        <x:v>ctest -R TTFTIndexLayoutConfig &amp;&amp; ./bin/kvcache_config_check --case=ttftindex_layout</x:v>
      </x:c>
      <x:c r="S372" s="22" t="str">
        <x:v>Prefix命中判定P99耗时 &lt; 200us；在Share-Prefix业务下，Usable Hit Rate提升≥15%。</x:v>
      </x:c>
      <x:c r="T372" s="22" t="str">
        <x:v>SR-02-05-16</x:v>
      </x:c>
      <x:c r="U372" s="22" t="str">
        <x:v>待认领</x:v>
      </x:c>
      <x:c r="V372" s="22" t="str"/>
      <x:c r="W372" s="22" t="str"/>
      <x:c r="X372" s="22" t="str">
        <x:f>IF(COUNTIF($A$5:$A$451,A372)=1,"PASS","FAIL")</x:f>
        <x:v>PASS</x:v>
      </x:c>
      <x:c r="Y372" s="22" t="str">
        <x:f>IF(COUNTIF('SR系统设计'!$A$5:$A$153,B372)+COUNTIF('追溯与覆盖'!$A$5:$A$153,C372)=2,"PASS","FAIL")</x:f>
        <x:v>PASS</x:v>
      </x:c>
    </x:row>
    <x:row r="373" ht="84" customHeight="1">
      <x:c r="A373" s="25" t="str">
        <x:v>AR-L3-MS-TTFTIndexLayout-088-03</x:v>
      </x:c>
      <x:c r="B373" s="25" t="str">
        <x:v>SR-02-05-16</x:v>
      </x:c>
      <x:c r="C373" s="25" t="str">
        <x:v>L3-MS-TTFTIndexLayout-088</x:v>
      </x:c>
      <x:c r="D373" s="25" t="str">
        <x:v>SF-02</x:v>
      </x:c>
      <x:c r="E373" s="25" t="str">
        <x:v>IR-02-05</x:v>
      </x:c>
      <x:c r="F373" s="22" t="str">
        <x:v>L3 传输管理层</x:v>
      </x:c>
      <x:c r="G373" s="22" t="str">
        <x:v>TM2</x:v>
      </x:c>
      <x:c r="H373" s="22" t="str">
        <x:v>前缀目录与元数据平面</x:v>
      </x:c>
      <x:c r="I373" s="22" t="str">
        <x:v>P1</x:v>
      </x:c>
      <x:c r="J373" s="22" t="str">
        <x:v>P1</x:v>
      </x:c>
      <x:c r="K373" s="22" t="str">
        <x:v>验证与观测</x:v>
      </x:c>
      <x:c r="L373" s="22" t="str">
        <x:v>存储池/传输管理开发</x:v>
      </x:c>
      <x:c r="M373" s="22" t="str">
        <x:v>tests/metadata/directory/ttftindex_layout_test.cc + benchmarks/metadata/directory/ttftindex_layout_benchmark.cc</x:v>
      </x:c>
      <x:c r="N373" s="22" t="str">
        <x:v>TTFTIndexLayoutTest / TTFTIndexLayoutBenchmark</x:v>
      </x:c>
      <x:c r="O373" s="22" t="str">
        <x:v>新增正常、边界、并发、超时、stale metadata、迁移冲突、路径拥塞/故障与 feature-flag-off 用例；在 benchmark 中固定模型、tokenizer、prompt、并发、拓扑和 baseline，采集 lookup/load/attach、TTFT、TPOT、usable/abandoned hit、带宽/时延及 CPU/NPU 利用率。</x:v>
      </x:c>
      <x:c r="P373" s="22" t="str">
        <x:v>验收直接引用来源指标：“Prefix命中判定P99耗时 &lt; 200us；在Share-Prefix业务下，Usable Hit Rate提升≥15%。”；故障用例必须证明错误 KV 不被消费且 fallback reason 可追踪。</x:v>
      </x:c>
      <x:c r="Q373" s="22" t="str">
        <x:v>来源验收项全部自动化；性能报告包含 P50/P95/P99、置信区间与 baseline；失败门槛接入 CI；测试数据和命令可复现。</x:v>
      </x:c>
      <x:c r="R373" s="22" t="str">
        <x:v>./bin/kvcache_bench --case=ttftindex_layout --baseline=native --report=json</x:v>
      </x:c>
      <x:c r="S373" s="22" t="str">
        <x:v>Prefix命中判定P99耗时 &lt; 200us；在Share-Prefix业务下，Usable Hit Rate提升≥15%。</x:v>
      </x:c>
      <x:c r="T373" s="22" t="str">
        <x:v>SR-02-05-16</x:v>
      </x:c>
      <x:c r="U373" s="22" t="str">
        <x:v>待认领</x:v>
      </x:c>
      <x:c r="V373" s="22" t="str"/>
      <x:c r="W373" s="22" t="str"/>
      <x:c r="X373" s="22" t="str">
        <x:f>IF(COUNTIF($A$5:$A$451,A373)=1,"PASS","FAIL")</x:f>
        <x:v>PASS</x:v>
      </x:c>
      <x:c r="Y373" s="22" t="str">
        <x:f>IF(COUNTIF('SR系统设计'!$A$5:$A$153,B373)+COUNTIF('追溯与覆盖'!$A$5:$A$153,C373)=2,"PASS","FAIL")</x:f>
        <x:v>PASS</x:v>
      </x:c>
    </x:row>
    <x:row r="374" ht="84" customHeight="1">
      <x:c r="A374" s="25" t="str">
        <x:v>AR-L3-PM-HitQuality-023-01</x:v>
      </x:c>
      <x:c r="B374" s="25" t="str">
        <x:v>SR-02-05-17</x:v>
      </x:c>
      <x:c r="C374" s="25" t="str">
        <x:v>L3-PM-HitQuality-023</x:v>
      </x:c>
      <x:c r="D374" s="25" t="str">
        <x:v>SF-02</x:v>
      </x:c>
      <x:c r="E374" s="25" t="str">
        <x:v>IR-02-05</x:v>
      </x:c>
      <x:c r="F374" s="22" t="str">
        <x:v>L3 传输管理层</x:v>
      </x:c>
      <x:c r="G374" s="22" t="str">
        <x:v>TM2</x:v>
      </x:c>
      <x:c r="H374" s="22" t="str">
        <x:v>前缀目录与元数据平面</x:v>
      </x:c>
      <x:c r="I374" s="22" t="str">
        <x:v>P1</x:v>
      </x:c>
      <x:c r="J374" s="22" t="str">
        <x:v>P1</x:v>
      </x:c>
      <x:c r="K374" s="22" t="str">
        <x:v>核心实现</x:v>
      </x:c>
      <x:c r="L374" s="22" t="str">
        <x:v>存储池/传输管理开发</x:v>
      </x:c>
      <x:c r="M374" s="22" t="str">
        <x:v>src/metadata/directory/hit_quality.{h,cc}</x:v>
      </x:c>
      <x:c r="N374" s="22" t="str">
        <x:v>HitQualityDirectory</x:v>
      </x:c>
      <x:c r="O374" s="22" t="str">
        <x:v>在 `src/metadata/directory/hit_quality.{h,cc}` 新增或重写 `HitQualityDirectory`，把“命中 KV 加载价值评估”落实为 L3 传输管理层 可调用主路径：本需求要求 Connector 在返回 prefix hit 时同时返回 hit quality metadata，包括所在 tier、bytes、layout、queue depth、replica count、estimated load latency、visibility state，使 Scheduler 能判断该 hit 是否能在 TTFT budget 内转化为 usable hit。 输入必须显式消费 publish/invalidations + prefix query + topology，输出 PrefixDirectoryRecord + replica candidates + consume eligibility，不得用全局单例或隐藏同步 I/O 绕开预算与状态机。</x:v>
      </x:c>
      <x:c r="P374" s="22" t="str">
        <x:v>实现 publish/invalidations + prefix query + topology → PrefixDirectoryRecord + replica candidates + consume eligibility；遵守 主分片故障切副本；镜像过期强制精确查询；未ready/已tombstone对象不可返回</x:v>
      </x:c>
      <x:c r="Q374" s="22" t="str">
        <x:v>核心算法与状态转换完成；新增代码单测分支覆盖≥85%；线程安全/所有权明确；关闭 feature flag 时行为与 baseline 一致。</x:v>
      </x:c>
      <x:c r="R374" s="22" t="str">
        <x:v>ctest -R HitQuality --output-on-failure</x:v>
      </x:c>
      <x:c r="S374" s="22" t="str">
        <x:v>Prefix命中判定P99耗时 &lt; 200us；在Share-Prefix业务下，Usable Hit Rate提升≥15%。</x:v>
      </x:c>
      <x:c r="T374" s="22" t="str">
        <x:v>SR-02-05-17</x:v>
      </x:c>
      <x:c r="U374" s="22" t="str">
        <x:v>待认领</x:v>
      </x:c>
      <x:c r="V374" s="22" t="str"/>
      <x:c r="W374" s="22" t="str"/>
      <x:c r="X374" s="22" t="str">
        <x:f>IF(COUNTIF($A$5:$A$451,A374)=1,"PASS","FAIL")</x:f>
        <x:v>PASS</x:v>
      </x:c>
      <x:c r="Y374" s="22" t="str">
        <x:f>IF(COUNTIF('SR系统设计'!$A$5:$A$153,B374)+COUNTIF('追溯与覆盖'!$A$5:$A$153,C374)=2,"PASS","FAIL")</x:f>
        <x:v>PASS</x:v>
      </x:c>
    </x:row>
    <x:row r="375" ht="84" customHeight="1">
      <x:c r="A375" s="25" t="str">
        <x:v>AR-L3-PM-HitQuality-023-02</x:v>
      </x:c>
      <x:c r="B375" s="25" t="str">
        <x:v>SR-02-05-17</x:v>
      </x:c>
      <x:c r="C375" s="25" t="str">
        <x:v>L3-PM-HitQuality-023</x:v>
      </x:c>
      <x:c r="D375" s="25" t="str">
        <x:v>SF-02</x:v>
      </x:c>
      <x:c r="E375" s="25" t="str">
        <x:v>IR-02-05</x:v>
      </x:c>
      <x:c r="F375" s="22" t="str">
        <x:v>L3 传输管理层</x:v>
      </x:c>
      <x:c r="G375" s="22" t="str">
        <x:v>TM2</x:v>
      </x:c>
      <x:c r="H375" s="22" t="str">
        <x:v>前缀目录与元数据平面</x:v>
      </x:c>
      <x:c r="I375" s="22" t="str">
        <x:v>P1</x:v>
      </x:c>
      <x:c r="J375" s="22" t="str">
        <x:v>P1</x:v>
      </x:c>
      <x:c r="K375" s="22" t="str">
        <x:v>契约配置与降级</x:v>
      </x:c>
      <x:c r="L375" s="22" t="str">
        <x:v>存储池/传输管理开发</x:v>
      </x:c>
      <x:c r="M375" s="22" t="str">
        <x:v>api/kvcache/v1/hit_quality.proto + config/runtime/hit_quality.yaml</x:v>
      </x:c>
      <x:c r="N375" s="22" t="str">
        <x:v>HitQualityOptions / kvcache.hit_quality.enabled</x:v>
      </x:c>
      <x:c r="O375" s="22" t="str">
        <x:v>为 `HitQualityOptions` 增加 `kvcache.hit_quality.enabled`、deadline/容量/队列预算及版本字段；在调用点接入 typed error、decision_reason、fallback_reason，确保配置热更新、灰度关闭和向后兼容均可审计。</x:v>
      </x:c>
      <x:c r="P375" s="22" t="str">
        <x:v>IDL/配置 schema 有版本号、默认值、边界校验和错误码；状态/租约/ready 不满足时按 主分片故障切副本；镜像过期强制精确查询；未ready/已tombstone对象不可返回</x:v>
      </x:c>
      <x:c r="Q375" s="22" t="str">
        <x:v>配置样例、schema 校验、升级兼容测试和回退路径齐全；任何隐式 fallback 被移除；新增指标可关联 request_id/query_plan_id/object_id/path_id。</x:v>
      </x:c>
      <x:c r="R375" s="22" t="str">
        <x:v>ctest -R HitQualityConfig &amp;&amp; ./bin/kvcache_config_check --case=hit_quality</x:v>
      </x:c>
      <x:c r="S375" s="22" t="str">
        <x:v>Prefix命中判定P99耗时 &lt; 200us；在Share-Prefix业务下，Usable Hit Rate提升≥15%。</x:v>
      </x:c>
      <x:c r="T375" s="22" t="str">
        <x:v>SR-02-05-17</x:v>
      </x:c>
      <x:c r="U375" s="22" t="str">
        <x:v>待认领</x:v>
      </x:c>
      <x:c r="V375" s="22" t="str"/>
      <x:c r="W375" s="22" t="str"/>
      <x:c r="X375" s="22" t="str">
        <x:f>IF(COUNTIF($A$5:$A$451,A375)=1,"PASS","FAIL")</x:f>
        <x:v>PASS</x:v>
      </x:c>
      <x:c r="Y375" s="22" t="str">
        <x:f>IF(COUNTIF('SR系统设计'!$A$5:$A$153,B375)+COUNTIF('追溯与覆盖'!$A$5:$A$153,C375)=2,"PASS","FAIL")</x:f>
        <x:v>PASS</x:v>
      </x:c>
    </x:row>
    <x:row r="376" ht="84" customHeight="1">
      <x:c r="A376" s="25" t="str">
        <x:v>AR-L3-PM-HitQuality-023-03</x:v>
      </x:c>
      <x:c r="B376" s="25" t="str">
        <x:v>SR-02-05-17</x:v>
      </x:c>
      <x:c r="C376" s="25" t="str">
        <x:v>L3-PM-HitQuality-023</x:v>
      </x:c>
      <x:c r="D376" s="25" t="str">
        <x:v>SF-02</x:v>
      </x:c>
      <x:c r="E376" s="25" t="str">
        <x:v>IR-02-05</x:v>
      </x:c>
      <x:c r="F376" s="22" t="str">
        <x:v>L3 传输管理层</x:v>
      </x:c>
      <x:c r="G376" s="22" t="str">
        <x:v>TM2</x:v>
      </x:c>
      <x:c r="H376" s="22" t="str">
        <x:v>前缀目录与元数据平面</x:v>
      </x:c>
      <x:c r="I376" s="22" t="str">
        <x:v>P1</x:v>
      </x:c>
      <x:c r="J376" s="22" t="str">
        <x:v>P1</x:v>
      </x:c>
      <x:c r="K376" s="22" t="str">
        <x:v>验证与观测</x:v>
      </x:c>
      <x:c r="L376" s="22" t="str">
        <x:v>存储池/传输管理开发</x:v>
      </x:c>
      <x:c r="M376" s="22" t="str">
        <x:v>tests/metadata/directory/hit_quality_test.cc + benchmarks/metadata/directory/hit_quality_benchmark.cc</x:v>
      </x:c>
      <x:c r="N376" s="22" t="str">
        <x:v>HitQualityTest / HitQualityBenchmark</x:v>
      </x:c>
      <x:c r="O376" s="22" t="str">
        <x:v>新增正常、边界、并发、超时、stale metadata、迁移冲突、路径拥塞/故障与 feature-flag-off 用例；在 benchmark 中固定模型、tokenizer、prompt、并发、拓扑和 baseline，采集 lookup/load/attach、TTFT、TPOT、usable/abandoned hit、带宽/时延及 CPU/NPU 利用率。</x:v>
      </x:c>
      <x:c r="P376" s="22" t="str">
        <x:v>验收直接引用来源指标：“Prefix命中判定P99耗时 &lt; 200us；在Share-Prefix业务下，Usable Hit Rate提升≥15%。”；故障用例必须证明错误 KV 不被消费且 fallback reason 可追踪。</x:v>
      </x:c>
      <x:c r="Q376" s="22" t="str">
        <x:v>来源验收项全部自动化；性能报告包含 P50/P95/P99、置信区间与 baseline；失败门槛接入 CI；测试数据和命令可复现。</x:v>
      </x:c>
      <x:c r="R376" s="22" t="str">
        <x:v>./bin/kvcache_bench --case=hit_quality --baseline=native --report=json</x:v>
      </x:c>
      <x:c r="S376" s="22" t="str">
        <x:v>Prefix命中判定P99耗时 &lt; 200us；在Share-Prefix业务下，Usable Hit Rate提升≥15%。</x:v>
      </x:c>
      <x:c r="T376" s="22" t="str">
        <x:v>SR-02-05-17</x:v>
      </x:c>
      <x:c r="U376" s="22" t="str">
        <x:v>待认领</x:v>
      </x:c>
      <x:c r="V376" s="22" t="str"/>
      <x:c r="W376" s="22" t="str"/>
      <x:c r="X376" s="22" t="str">
        <x:f>IF(COUNTIF($A$5:$A$451,A376)=1,"PASS","FAIL")</x:f>
        <x:v>PASS</x:v>
      </x:c>
      <x:c r="Y376" s="22" t="str">
        <x:f>IF(COUNTIF('SR系统设计'!$A$5:$A$153,B376)+COUNTIF('追溯与覆盖'!$A$5:$A$153,C376)=2,"PASS","FAIL")</x:f>
        <x:v>PASS</x:v>
      </x:c>
    </x:row>
    <x:row r="377" ht="84" customHeight="1">
      <x:c r="A377" s="25" t="str">
        <x:v>AR-L1-SGL-PRFCH-SCHED-004-01</x:v>
      </x:c>
      <x:c r="B377" s="25" t="str">
        <x:v>SR-02-06-01</x:v>
      </x:c>
      <x:c r="C377" s="25" t="str">
        <x:v>L1-SGL-PRFCH-SCHED-004</x:v>
      </x:c>
      <x:c r="D377" s="25" t="str">
        <x:v>SF-02</x:v>
      </x:c>
      <x:c r="E377" s="25" t="str">
        <x:v>IR-02-06</x:v>
      </x:c>
      <x:c r="F377" s="22" t="str">
        <x:v>L1 推理调度层</x:v>
      </x:c>
      <x:c r="G377" s="22" t="str">
        <x:v>TM4</x:v>
      </x:c>
      <x:c r="H377" s="22" t="str">
        <x:v>卸载/加载与预取优化</x:v>
      </x:c>
      <x:c r="I377" s="22" t="str">
        <x:v>P2</x:v>
      </x:c>
      <x:c r="J377" s="22" t="str">
        <x:v>P2</x:v>
      </x:c>
      <x:c r="K377" s="22" t="str">
        <x:v>核心实现</x:v>
      </x:c>
      <x:c r="L377" s="22" t="str">
        <x:v>推理框架开发</x:v>
      </x:c>
      <x:c r="M377" s="22" t="str">
        <x:v>src/runtime/load_pipeline/prfch_sched.{h,cc}</x:v>
      </x:c>
      <x:c r="N377" s="22" t="str">
        <x:v>PRFCHSCHEDPipeline</x:v>
      </x:c>
      <x:c r="O377" s="22" t="str">
        <x:v>在 `src/runtime/load_pipeline/prfch_sched.{h,cc}` 新增或重写 `PRFCHSCHEDPipeline`，把“投机性前缀预取”落实为 L1 推理调度层 可调用主路径：本需求要求在SGLang中实现基于请求到达批次分析的投机性前缀预取机制，通过检测短时间窗口内同前缀请求的批量到达模式，主动触发OFFLOADED状态RadixNode从CPU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 输入必须显式消费 schedule lookahead + block/page spans + stream budget，输出 prefetch/load ticket + per-layer ready，不得用全局单例或隐藏同步 I/O 绕开预算与状态机。</x:v>
      </x:c>
      <x:c r="P377" s="22" t="str">
        <x:v>实现 schedule lookahead + block/page spans + stream budget → prefetch/load ticket + per-layer ready；遵守 超时转同步安全路径或重算；取消请求必须释放预取 buffer</x:v>
      </x:c>
      <x:c r="Q377" s="22" t="str">
        <x:v>核心算法与状态转换完成；新增代码单测分支覆盖≥85%；线程安全/所有权明确；关闭 feature flag 时行为与 baseline 一致。</x:v>
      </x:c>
      <x:c r="R377" s="22" t="str">
        <x:v>ctest -R PRFCHSCHED --output-on-failure</x:v>
      </x:c>
      <x:c r="S377" s="22" t="str">
        <x:v>Prefix命中判定P99耗时 &lt; 200us；在Share-Prefix业务下，Usable Hit Rate提升≥15%。</x:v>
      </x:c>
      <x:c r="T377" s="22" t="str">
        <x:v>SR-02-06-01</x:v>
      </x:c>
      <x:c r="U377" s="22" t="str">
        <x:v>待认领</x:v>
      </x:c>
      <x:c r="V377" s="22" t="str"/>
      <x:c r="W377" s="22" t="str"/>
      <x:c r="X377" s="22" t="str">
        <x:f>IF(COUNTIF($A$5:$A$451,A377)=1,"PASS","FAIL")</x:f>
        <x:v>PASS</x:v>
      </x:c>
      <x:c r="Y377" s="22" t="str">
        <x:f>IF(COUNTIF('SR系统设计'!$A$5:$A$153,B377)+COUNTIF('追溯与覆盖'!$A$5:$A$153,C377)=2,"PASS","FAIL")</x:f>
        <x:v>PASS</x:v>
      </x:c>
    </x:row>
    <x:row r="378" ht="84" customHeight="1">
      <x:c r="A378" s="25" t="str">
        <x:v>AR-L1-SGL-PRFCH-SCHED-004-02</x:v>
      </x:c>
      <x:c r="B378" s="25" t="str">
        <x:v>SR-02-06-01</x:v>
      </x:c>
      <x:c r="C378" s="25" t="str">
        <x:v>L1-SGL-PRFCH-SCHED-004</x:v>
      </x:c>
      <x:c r="D378" s="25" t="str">
        <x:v>SF-02</x:v>
      </x:c>
      <x:c r="E378" s="25" t="str">
        <x:v>IR-02-06</x:v>
      </x:c>
      <x:c r="F378" s="22" t="str">
        <x:v>L1 推理调度层</x:v>
      </x:c>
      <x:c r="G378" s="22" t="str">
        <x:v>TM4</x:v>
      </x:c>
      <x:c r="H378" s="22" t="str">
        <x:v>卸载/加载与预取优化</x:v>
      </x:c>
      <x:c r="I378" s="22" t="str">
        <x:v>P2</x:v>
      </x:c>
      <x:c r="J378" s="22" t="str">
        <x:v>P2</x:v>
      </x:c>
      <x:c r="K378" s="22" t="str">
        <x:v>契约配置与降级</x:v>
      </x:c>
      <x:c r="L378" s="22" t="str">
        <x:v>推理框架开发</x:v>
      </x:c>
      <x:c r="M378" s="22" t="str">
        <x:v>api/kvcache/v1/prfch_sched.proto + config/runtime/prfch_sched.yaml</x:v>
      </x:c>
      <x:c r="N378" s="22" t="str">
        <x:v>PRFCHSCHEDOptions / kvcache.prfch_sched.enabled</x:v>
      </x:c>
      <x:c r="O378" s="22" t="str">
        <x:v>为 `PRFCHSCHEDOptions` 增加 `kvcache.prfch_sched.enabled`、deadline/容量/队列预算及版本字段；在调用点接入 typed error、decision_reason、fallback_reason，确保配置热更新、灰度关闭和向后兼容均可审计。</x:v>
      </x:c>
      <x:c r="P378" s="22" t="str">
        <x:v>IDL/配置 schema 有版本号、默认值、边界校验和错误码；状态/租约/ready 不满足时按 超时转同步安全路径或重算；取消请求必须释放预取 buffer</x:v>
      </x:c>
      <x:c r="Q378" s="22" t="str">
        <x:v>配置样例、schema 校验、升级兼容测试和回退路径齐全；任何隐式 fallback 被移除；新增指标可关联 request_id/query_plan_id/object_id/path_id。</x:v>
      </x:c>
      <x:c r="R378" s="22" t="str">
        <x:v>ctest -R PRFCHSCHEDConfig &amp;&amp; ./bin/kvcache_config_check --case=prfch_sched</x:v>
      </x:c>
      <x:c r="S378" s="22" t="str">
        <x:v>Prefix命中判定P99耗时 &lt; 200us；在Share-Prefix业务下，Usable Hit Rate提升≥15%。</x:v>
      </x:c>
      <x:c r="T378" s="22" t="str">
        <x:v>SR-02-06-01</x:v>
      </x:c>
      <x:c r="U378" s="22" t="str">
        <x:v>待认领</x:v>
      </x:c>
      <x:c r="V378" s="22" t="str"/>
      <x:c r="W378" s="22" t="str"/>
      <x:c r="X378" s="22" t="str">
        <x:f>IF(COUNTIF($A$5:$A$451,A378)=1,"PASS","FAIL")</x:f>
        <x:v>PASS</x:v>
      </x:c>
      <x:c r="Y378" s="22" t="str">
        <x:f>IF(COUNTIF('SR系统设计'!$A$5:$A$153,B378)+COUNTIF('追溯与覆盖'!$A$5:$A$153,C378)=2,"PASS","FAIL")</x:f>
        <x:v>PASS</x:v>
      </x:c>
    </x:row>
    <x:row r="379" ht="84" customHeight="1">
      <x:c r="A379" s="25" t="str">
        <x:v>AR-L1-SGL-PRFCH-SCHED-004-03</x:v>
      </x:c>
      <x:c r="B379" s="25" t="str">
        <x:v>SR-02-06-01</x:v>
      </x:c>
      <x:c r="C379" s="25" t="str">
        <x:v>L1-SGL-PRFCH-SCHED-004</x:v>
      </x:c>
      <x:c r="D379" s="25" t="str">
        <x:v>SF-02</x:v>
      </x:c>
      <x:c r="E379" s="25" t="str">
        <x:v>IR-02-06</x:v>
      </x:c>
      <x:c r="F379" s="22" t="str">
        <x:v>L1 推理调度层</x:v>
      </x:c>
      <x:c r="G379" s="22" t="str">
        <x:v>TM4</x:v>
      </x:c>
      <x:c r="H379" s="22" t="str">
        <x:v>卸载/加载与预取优化</x:v>
      </x:c>
      <x:c r="I379" s="22" t="str">
        <x:v>P2</x:v>
      </x:c>
      <x:c r="J379" s="22" t="str">
        <x:v>P2</x:v>
      </x:c>
      <x:c r="K379" s="22" t="str">
        <x:v>验证与观测</x:v>
      </x:c>
      <x:c r="L379" s="22" t="str">
        <x:v>推理框架开发</x:v>
      </x:c>
      <x:c r="M379" s="22" t="str">
        <x:v>tests/runtime/load_pipeline/prfch_sched_test.cc + benchmarks/runtime/load_pipeline/prfch_sched_benchmark.cc</x:v>
      </x:c>
      <x:c r="N379" s="22" t="str">
        <x:v>PRFCHSCHEDTest / PRFCHSCHEDBenchmark</x:v>
      </x:c>
      <x:c r="O379" s="22" t="str">
        <x:v>新增正常、边界、并发、超时、stale metadata、迁移冲突、路径拥塞/故障与 feature-flag-off 用例；在 benchmark 中固定模型、tokenizer、prompt、并发、拓扑和 baseline，采集 lookup/load/attach、TTFT、TPOT、usable/abandoned hit、带宽/时延及 CPU/NPU 利用率。</x:v>
      </x:c>
      <x:c r="P379" s="22" t="str">
        <x:v>验收直接引用来源指标：“Prefix命中判定P99耗时 &lt; 200us；在Share-Prefix业务下，Usable Hit Rate提升≥15%。”；故障用例必须证明错误 KV 不被消费且 fallback reason 可追踪。</x:v>
      </x:c>
      <x:c r="Q379" s="22" t="str">
        <x:v>来源验收项全部自动化；性能报告包含 P50/P95/P99、置信区间与 baseline；失败门槛接入 CI；测试数据和命令可复现。</x:v>
      </x:c>
      <x:c r="R379" s="22" t="str">
        <x:v>./bin/kvcache_bench --case=prfch_sched --baseline=native --report=json</x:v>
      </x:c>
      <x:c r="S379" s="22" t="str">
        <x:v>Prefix命中判定P99耗时 &lt; 200us；在Share-Prefix业务下，Usable Hit Rate提升≥15%。</x:v>
      </x:c>
      <x:c r="T379" s="22" t="str">
        <x:v>SR-02-06-01</x:v>
      </x:c>
      <x:c r="U379" s="22" t="str">
        <x:v>待认领</x:v>
      </x:c>
      <x:c r="V379" s="22" t="str"/>
      <x:c r="W379" s="22" t="str"/>
      <x:c r="X379" s="22" t="str">
        <x:f>IF(COUNTIF($A$5:$A$451,A379)=1,"PASS","FAIL")</x:f>
        <x:v>PASS</x:v>
      </x:c>
      <x:c r="Y379" s="22" t="str">
        <x:f>IF(COUNTIF('SR系统设计'!$A$5:$A$153,B379)+COUNTIF('追溯与覆盖'!$A$5:$A$153,C379)=2,"PASS","FAIL")</x:f>
        <x:v>PASS</x:v>
      </x:c>
    </x:row>
    <x:row r="380" ht="84" customHeight="1">
      <x:c r="A380" s="25" t="str">
        <x:v>AR-L1-SGL-SWP-XFER-002-01</x:v>
      </x:c>
      <x:c r="B380" s="25" t="str">
        <x:v>SR-02-06-02</x:v>
      </x:c>
      <x:c r="C380" s="25" t="str">
        <x:v>L1-SGL-SWP-XFER-002</x:v>
      </x:c>
      <x:c r="D380" s="25" t="str">
        <x:v>SF-02</x:v>
      </x:c>
      <x:c r="E380" s="25" t="str">
        <x:v>IR-02-06</x:v>
      </x:c>
      <x:c r="F380" s="22" t="str">
        <x:v>L1 推理调度层</x:v>
      </x:c>
      <x:c r="G380" s="22" t="str">
        <x:v>TM4</x:v>
      </x:c>
      <x:c r="H380" s="22" t="str">
        <x:v>卸载/加载与预取优化</x:v>
      </x:c>
      <x:c r="I380" s="22" t="str">
        <x:v>P2</x:v>
      </x:c>
      <x:c r="J380" s="22" t="str">
        <x:v>P2</x:v>
      </x:c>
      <x:c r="K380" s="22" t="str">
        <x:v>核心实现</x:v>
      </x:c>
      <x:c r="L380" s="22" t="str">
        <x:v>推理框架开发</x:v>
      </x:c>
      <x:c r="M380" s="22" t="str">
        <x:v>src/runtime/load_pipeline/swp_xfer.{h,cc}</x:v>
      </x:c>
      <x:c r="N380" s="22" t="str">
        <x:v>SWPXFERPipeline</x:v>
      </x:c>
      <x:c r="O380" s="22" t="str">
        <x:v>在 `src/runtime/load_pipeline/swp_xfer.{h,cc}` 新增或重写 `SWPXFERPipeline`，把“流式KV加载Pipeline”落实为 L1 推理调度层 可调用主路径：本需求要求实现SGLang的Layer级流式KVCache加载Pipeline，将整体KVCache加载从"等待全部L层就绪才开始计算"改为"每K层就绪即触发对应层的Attention计算"，通过分级 Stream与Event同步实现KVCache加载与prefill计算的深度流水线重叠。 输入必须显式消费 schedule lookahead + block/page spans + stream budget，输出 prefetch/load ticket + per-layer ready，不得用全局单例或隐藏同步 I/O 绕开预算与状态机。</x:v>
      </x:c>
      <x:c r="P380" s="22" t="str">
        <x:v>实现 schedule lookahead + block/page spans + stream budget → prefetch/load ticket + per-layer ready；遵守 超时转同步安全路径或重算；取消请求必须释放预取 buffer</x:v>
      </x:c>
      <x:c r="Q380" s="22" t="str">
        <x:v>核心算法与状态转换完成；新增代码单测分支覆盖≥85%；线程安全/所有权明确；关闭 feature flag 时行为与 baseline 一致。</x:v>
      </x:c>
      <x:c r="R380" s="22" t="str">
        <x:v>ctest -R SWPXFER --output-on-failure</x:v>
      </x:c>
      <x:c r="S380" s="22" t="str">
        <x:v>内存碎片率控制在&lt;5%，平均并发处理能力（QPS）提升≥10%。</x:v>
      </x:c>
      <x:c r="T380" s="22" t="str">
        <x:v>SR-02-06-02</x:v>
      </x:c>
      <x:c r="U380" s="22" t="str">
        <x:v>待认领</x:v>
      </x:c>
      <x:c r="V380" s="22" t="str"/>
      <x:c r="W380" s="22" t="str"/>
      <x:c r="X380" s="22" t="str">
        <x:f>IF(COUNTIF($A$5:$A$451,A380)=1,"PASS","FAIL")</x:f>
        <x:v>PASS</x:v>
      </x:c>
      <x:c r="Y380" s="22" t="str">
        <x:f>IF(COUNTIF('SR系统设计'!$A$5:$A$153,B380)+COUNTIF('追溯与覆盖'!$A$5:$A$153,C380)=2,"PASS","FAIL")</x:f>
        <x:v>PASS</x:v>
      </x:c>
    </x:row>
    <x:row r="381" ht="84" customHeight="1">
      <x:c r="A381" s="25" t="str">
        <x:v>AR-L1-SGL-SWP-XFER-002-02</x:v>
      </x:c>
      <x:c r="B381" s="25" t="str">
        <x:v>SR-02-06-02</x:v>
      </x:c>
      <x:c r="C381" s="25" t="str">
        <x:v>L1-SGL-SWP-XFER-002</x:v>
      </x:c>
      <x:c r="D381" s="25" t="str">
        <x:v>SF-02</x:v>
      </x:c>
      <x:c r="E381" s="25" t="str">
        <x:v>IR-02-06</x:v>
      </x:c>
      <x:c r="F381" s="22" t="str">
        <x:v>L1 推理调度层</x:v>
      </x:c>
      <x:c r="G381" s="22" t="str">
        <x:v>TM4</x:v>
      </x:c>
      <x:c r="H381" s="22" t="str">
        <x:v>卸载/加载与预取优化</x:v>
      </x:c>
      <x:c r="I381" s="22" t="str">
        <x:v>P2</x:v>
      </x:c>
      <x:c r="J381" s="22" t="str">
        <x:v>P2</x:v>
      </x:c>
      <x:c r="K381" s="22" t="str">
        <x:v>契约配置与降级</x:v>
      </x:c>
      <x:c r="L381" s="22" t="str">
        <x:v>推理框架开发</x:v>
      </x:c>
      <x:c r="M381" s="22" t="str">
        <x:v>api/kvcache/v1/swp_xfer.proto + config/runtime/swp_xfer.yaml</x:v>
      </x:c>
      <x:c r="N381" s="22" t="str">
        <x:v>SWPXFEROptions / kvcache.swp_xfer.enabled</x:v>
      </x:c>
      <x:c r="O381" s="22" t="str">
        <x:v>为 `SWPXFEROptions` 增加 `kvcache.swp_xfer.enabled`、deadline/容量/队列预算及版本字段；在调用点接入 typed error、decision_reason、fallback_reason，确保配置热更新、灰度关闭和向后兼容均可审计。</x:v>
      </x:c>
      <x:c r="P381" s="22" t="str">
        <x:v>IDL/配置 schema 有版本号、默认值、边界校验和错误码；状态/租约/ready 不满足时按 超时转同步安全路径或重算；取消请求必须释放预取 buffer</x:v>
      </x:c>
      <x:c r="Q381" s="22" t="str">
        <x:v>配置样例、schema 校验、升级兼容测试和回退路径齐全；任何隐式 fallback 被移除；新增指标可关联 request_id/query_plan_id/object_id/path_id。</x:v>
      </x:c>
      <x:c r="R381" s="22" t="str">
        <x:v>ctest -R SWPXFERConfig &amp;&amp; ./bin/kvcache_config_check --case=swp_xfer</x:v>
      </x:c>
      <x:c r="S381" s="22" t="str">
        <x:v>内存碎片率控制在&lt;5%，平均并发处理能力（QPS）提升≥10%。</x:v>
      </x:c>
      <x:c r="T381" s="22" t="str">
        <x:v>SR-02-06-02</x:v>
      </x:c>
      <x:c r="U381" s="22" t="str">
        <x:v>待认领</x:v>
      </x:c>
      <x:c r="V381" s="22" t="str"/>
      <x:c r="W381" s="22" t="str"/>
      <x:c r="X381" s="22" t="str">
        <x:f>IF(COUNTIF($A$5:$A$451,A381)=1,"PASS","FAIL")</x:f>
        <x:v>PASS</x:v>
      </x:c>
      <x:c r="Y381" s="22" t="str">
        <x:f>IF(COUNTIF('SR系统设计'!$A$5:$A$153,B381)+COUNTIF('追溯与覆盖'!$A$5:$A$153,C381)=2,"PASS","FAIL")</x:f>
        <x:v>PASS</x:v>
      </x:c>
    </x:row>
    <x:row r="382" ht="84" customHeight="1">
      <x:c r="A382" s="25" t="str">
        <x:v>AR-L1-SGL-SWP-XFER-002-03</x:v>
      </x:c>
      <x:c r="B382" s="25" t="str">
        <x:v>SR-02-06-02</x:v>
      </x:c>
      <x:c r="C382" s="25" t="str">
        <x:v>L1-SGL-SWP-XFER-002</x:v>
      </x:c>
      <x:c r="D382" s="25" t="str">
        <x:v>SF-02</x:v>
      </x:c>
      <x:c r="E382" s="25" t="str">
        <x:v>IR-02-06</x:v>
      </x:c>
      <x:c r="F382" s="22" t="str">
        <x:v>L1 推理调度层</x:v>
      </x:c>
      <x:c r="G382" s="22" t="str">
        <x:v>TM4</x:v>
      </x:c>
      <x:c r="H382" s="22" t="str">
        <x:v>卸载/加载与预取优化</x:v>
      </x:c>
      <x:c r="I382" s="22" t="str">
        <x:v>P2</x:v>
      </x:c>
      <x:c r="J382" s="22" t="str">
        <x:v>P2</x:v>
      </x:c>
      <x:c r="K382" s="22" t="str">
        <x:v>验证与观测</x:v>
      </x:c>
      <x:c r="L382" s="22" t="str">
        <x:v>推理框架开发</x:v>
      </x:c>
      <x:c r="M382" s="22" t="str">
        <x:v>tests/runtime/load_pipeline/swp_xfer_test.cc + benchmarks/runtime/load_pipeline/swp_xfer_benchmark.cc</x:v>
      </x:c>
      <x:c r="N382" s="22" t="str">
        <x:v>SWPXFERTest / SWPXFERBenchmark</x:v>
      </x:c>
      <x:c r="O382" s="22" t="str">
        <x:v>新增正常、边界、并发、超时、stale metadata、迁移冲突、路径拥塞/故障与 feature-flag-off 用例；在 benchmark 中固定模型、tokenizer、prompt、并发、拓扑和 baseline，采集 lookup/load/attach、TTFT、TPOT、usable/abandoned hit、带宽/时延及 CPU/NPU 利用率。</x:v>
      </x:c>
      <x:c r="P382" s="22" t="str">
        <x:v>验收直接引用来源指标：“内存碎片率控制在&lt;5%，平均并发处理能力（QPS）提升≥10%。”；故障用例必须证明错误 KV 不被消费且 fallback reason 可追踪。</x:v>
      </x:c>
      <x:c r="Q382" s="22" t="str">
        <x:v>来源验收项全部自动化；性能报告包含 P50/P95/P99、置信区间与 baseline；失败门槛接入 CI；测试数据和命令可复现。</x:v>
      </x:c>
      <x:c r="R382" s="22" t="str">
        <x:v>./bin/kvcache_bench --case=swp_xfer --baseline=native --report=json</x:v>
      </x:c>
      <x:c r="S382" s="22" t="str">
        <x:v>内存碎片率控制在&lt;5%，平均并发处理能力（QPS）提升≥10%。</x:v>
      </x:c>
      <x:c r="T382" s="22" t="str">
        <x:v>SR-02-06-02</x:v>
      </x:c>
      <x:c r="U382" s="22" t="str">
        <x:v>待认领</x:v>
      </x:c>
      <x:c r="V382" s="22" t="str"/>
      <x:c r="W382" s="22" t="str"/>
      <x:c r="X382" s="22" t="str">
        <x:f>IF(COUNTIF($A$5:$A$451,A382)=1,"PASS","FAIL")</x:f>
        <x:v>PASS</x:v>
      </x:c>
      <x:c r="Y382" s="22" t="str">
        <x:f>IF(COUNTIF('SR系统设计'!$A$5:$A$153,B382)+COUNTIF('追溯与覆盖'!$A$5:$A$153,C382)=2,"PASS","FAIL")</x:f>
        <x:v>PASS</x:v>
      </x:c>
    </x:row>
    <x:row r="383" ht="84" customHeight="1">
      <x:c r="A383" s="25" t="str">
        <x:v>AR-L1-VLLM-PRFCH-SCHED-004-01</x:v>
      </x:c>
      <x:c r="B383" s="25" t="str">
        <x:v>SR-02-06-03</x:v>
      </x:c>
      <x:c r="C383" s="25" t="str">
        <x:v>L1-VLLM-PRFCH-SCHED-004</x:v>
      </x:c>
      <x:c r="D383" s="25" t="str">
        <x:v>SF-02</x:v>
      </x:c>
      <x:c r="E383" s="25" t="str">
        <x:v>IR-02-06</x:v>
      </x:c>
      <x:c r="F383" s="22" t="str">
        <x:v>L1 推理调度层</x:v>
      </x:c>
      <x:c r="G383" s="22" t="str">
        <x:v>TM4</x:v>
      </x:c>
      <x:c r="H383" s="22" t="str">
        <x:v>卸载/加载与预取优化</x:v>
      </x:c>
      <x:c r="I383" s="22" t="str">
        <x:v>P2</x:v>
      </x:c>
      <x:c r="J383" s="22" t="str">
        <x:v>P2</x:v>
      </x:c>
      <x:c r="K383" s="22" t="str">
        <x:v>核心实现</x:v>
      </x:c>
      <x:c r="L383" s="22" t="str">
        <x:v>推理框架开发</x:v>
      </x:c>
      <x:c r="M383" s="22" t="str">
        <x:v>src/runtime/load_pipeline/prfch_sched.{h,cc}</x:v>
      </x:c>
      <x:c r="N383" s="22" t="str">
        <x:v>PRFCHSCHEDPipeline</x:v>
      </x:c>
      <x:c r="O383" s="22" t="str">
        <x:v>在 `src/runtime/load_pipeline/prfch_sched.{h,cc}` 新增或重写 `PRFCHSCHEDPipeline`，把“请求调度预取优化”落实为 L1 推理调度层 可调用主路径：本需求要求在vLLM Scheduler中实现N步Lookahead预测机制，对请求队列中即将被调度的序列提前发起低优先级异步KVCache预取，使数据传输时延与请求排队等待时延充分重叠，从而消除Swap In等待对TTFT关键路径的影响。 输入必须显式消费 schedule lookahead + block/page spans + stream budget，输出 prefetch/load ticket + per-layer ready，不得用全局单例或隐藏同步 I/O 绕开预算与状态机。</x:v>
      </x:c>
      <x:c r="P383" s="22" t="str">
        <x:v>实现 schedule lookahead + block/page spans + stream budget → prefetch/load ticket + per-layer ready；遵守 超时转同步安全路径或重算；取消请求必须释放预取 buffer</x:v>
      </x:c>
      <x:c r="Q383" s="22" t="str">
        <x:v>核心算法与状态转换完成；新增代码单测分支覆盖≥85%；线程安全/所有权明确；关闭 feature flag 时行为与 baseline 一致。</x:v>
      </x:c>
      <x:c r="R383" s="22" t="str">
        <x:v>ctest -R PRFCHSCHED --output-on-failure</x:v>
      </x:c>
      <x:c r="S383" s="22" t="str">
        <x:v>内存碎片率控制在&lt;5%，平均并发处理能力（QPS）提升≥10%。</x:v>
      </x:c>
      <x:c r="T383" s="22" t="str">
        <x:v>SR-02-06-03</x:v>
      </x:c>
      <x:c r="U383" s="22" t="str">
        <x:v>待认领</x:v>
      </x:c>
      <x:c r="V383" s="22" t="str"/>
      <x:c r="W383" s="22" t="str"/>
      <x:c r="X383" s="22" t="str">
        <x:f>IF(COUNTIF($A$5:$A$451,A383)=1,"PASS","FAIL")</x:f>
        <x:v>PASS</x:v>
      </x:c>
      <x:c r="Y383" s="22" t="str">
        <x:f>IF(COUNTIF('SR系统设计'!$A$5:$A$153,B383)+COUNTIF('追溯与覆盖'!$A$5:$A$153,C383)=2,"PASS","FAIL")</x:f>
        <x:v>PASS</x:v>
      </x:c>
    </x:row>
    <x:row r="384" ht="84" customHeight="1">
      <x:c r="A384" s="25" t="str">
        <x:v>AR-L1-VLLM-PRFCH-SCHED-004-02</x:v>
      </x:c>
      <x:c r="B384" s="25" t="str">
        <x:v>SR-02-06-03</x:v>
      </x:c>
      <x:c r="C384" s="25" t="str">
        <x:v>L1-VLLM-PRFCH-SCHED-004</x:v>
      </x:c>
      <x:c r="D384" s="25" t="str">
        <x:v>SF-02</x:v>
      </x:c>
      <x:c r="E384" s="25" t="str">
        <x:v>IR-02-06</x:v>
      </x:c>
      <x:c r="F384" s="22" t="str">
        <x:v>L1 推理调度层</x:v>
      </x:c>
      <x:c r="G384" s="22" t="str">
        <x:v>TM4</x:v>
      </x:c>
      <x:c r="H384" s="22" t="str">
        <x:v>卸载/加载与预取优化</x:v>
      </x:c>
      <x:c r="I384" s="22" t="str">
        <x:v>P2</x:v>
      </x:c>
      <x:c r="J384" s="22" t="str">
        <x:v>P2</x:v>
      </x:c>
      <x:c r="K384" s="22" t="str">
        <x:v>契约配置与降级</x:v>
      </x:c>
      <x:c r="L384" s="22" t="str">
        <x:v>推理框架开发</x:v>
      </x:c>
      <x:c r="M384" s="22" t="str">
        <x:v>api/kvcache/v1/prfch_sched.proto + config/runtime/prfch_sched.yaml</x:v>
      </x:c>
      <x:c r="N384" s="22" t="str">
        <x:v>PRFCHSCHEDOptions / kvcache.prfch_sched.enabled</x:v>
      </x:c>
      <x:c r="O384" s="22" t="str">
        <x:v>为 `PRFCHSCHEDOptions` 增加 `kvcache.prfch_sched.enabled`、deadline/容量/队列预算及版本字段；在调用点接入 typed error、decision_reason、fallback_reason，确保配置热更新、灰度关闭和向后兼容均可审计。</x:v>
      </x:c>
      <x:c r="P384" s="22" t="str">
        <x:v>IDL/配置 schema 有版本号、默认值、边界校验和错误码；状态/租约/ready 不满足时按 超时转同步安全路径或重算；取消请求必须释放预取 buffer</x:v>
      </x:c>
      <x:c r="Q384" s="22" t="str">
        <x:v>配置样例、schema 校验、升级兼容测试和回退路径齐全；任何隐式 fallback 被移除；新增指标可关联 request_id/query_plan_id/object_id/path_id。</x:v>
      </x:c>
      <x:c r="R384" s="22" t="str">
        <x:v>ctest -R PRFCHSCHEDConfig &amp;&amp; ./bin/kvcache_config_check --case=prfch_sched</x:v>
      </x:c>
      <x:c r="S384" s="22" t="str">
        <x:v>内存碎片率控制在&lt;5%，平均并发处理能力（QPS）提升≥10%。</x:v>
      </x:c>
      <x:c r="T384" s="22" t="str">
        <x:v>SR-02-06-03</x:v>
      </x:c>
      <x:c r="U384" s="22" t="str">
        <x:v>待认领</x:v>
      </x:c>
      <x:c r="V384" s="22" t="str"/>
      <x:c r="W384" s="22" t="str"/>
      <x:c r="X384" s="22" t="str">
        <x:f>IF(COUNTIF($A$5:$A$451,A384)=1,"PASS","FAIL")</x:f>
        <x:v>PASS</x:v>
      </x:c>
      <x:c r="Y384" s="22" t="str">
        <x:f>IF(COUNTIF('SR系统设计'!$A$5:$A$153,B384)+COUNTIF('追溯与覆盖'!$A$5:$A$153,C384)=2,"PASS","FAIL")</x:f>
        <x:v>PASS</x:v>
      </x:c>
    </x:row>
    <x:row r="385" ht="84" customHeight="1">
      <x:c r="A385" s="25" t="str">
        <x:v>AR-L1-VLLM-PRFCH-SCHED-004-03</x:v>
      </x:c>
      <x:c r="B385" s="25" t="str">
        <x:v>SR-02-06-03</x:v>
      </x:c>
      <x:c r="C385" s="25" t="str">
        <x:v>L1-VLLM-PRFCH-SCHED-004</x:v>
      </x:c>
      <x:c r="D385" s="25" t="str">
        <x:v>SF-02</x:v>
      </x:c>
      <x:c r="E385" s="25" t="str">
        <x:v>IR-02-06</x:v>
      </x:c>
      <x:c r="F385" s="22" t="str">
        <x:v>L1 推理调度层</x:v>
      </x:c>
      <x:c r="G385" s="22" t="str">
        <x:v>TM4</x:v>
      </x:c>
      <x:c r="H385" s="22" t="str">
        <x:v>卸载/加载与预取优化</x:v>
      </x:c>
      <x:c r="I385" s="22" t="str">
        <x:v>P2</x:v>
      </x:c>
      <x:c r="J385" s="22" t="str">
        <x:v>P2</x:v>
      </x:c>
      <x:c r="K385" s="22" t="str">
        <x:v>验证与观测</x:v>
      </x:c>
      <x:c r="L385" s="22" t="str">
        <x:v>推理框架开发</x:v>
      </x:c>
      <x:c r="M385" s="22" t="str">
        <x:v>tests/runtime/load_pipeline/prfch_sched_test.cc + benchmarks/runtime/load_pipeline/prfch_sched_benchmark.cc</x:v>
      </x:c>
      <x:c r="N385" s="22" t="str">
        <x:v>PRFCHSCHEDTest / PRFCHSCHEDBenchmark</x:v>
      </x:c>
      <x:c r="O385" s="22" t="str">
        <x:v>新增正常、边界、并发、超时、stale metadata、迁移冲突、路径拥塞/故障与 feature-flag-off 用例；在 benchmark 中固定模型、tokenizer、prompt、并发、拓扑和 baseline，采集 lookup/load/attach、TTFT、TPOT、usable/abandoned hit、带宽/时延及 CPU/NPU 利用率。</x:v>
      </x:c>
      <x:c r="P385" s="22" t="str">
        <x:v>验收直接引用来源指标：“内存碎片率控制在&lt;5%，平均并发处理能力（QPS）提升≥10%。”；故障用例必须证明错误 KV 不被消费且 fallback reason 可追踪。</x:v>
      </x:c>
      <x:c r="Q385" s="22" t="str">
        <x:v>来源验收项全部自动化；性能报告包含 P50/P95/P99、置信区间与 baseline；失败门槛接入 CI；测试数据和命令可复现。</x:v>
      </x:c>
      <x:c r="R385" s="22" t="str">
        <x:v>./bin/kvcache_bench --case=prfch_sched --baseline=native --report=json</x:v>
      </x:c>
      <x:c r="S385" s="22" t="str">
        <x:v>内存碎片率控制在&lt;5%，平均并发处理能力（QPS）提升≥10%。</x:v>
      </x:c>
      <x:c r="T385" s="22" t="str">
        <x:v>SR-02-06-03</x:v>
      </x:c>
      <x:c r="U385" s="22" t="str">
        <x:v>待认领</x:v>
      </x:c>
      <x:c r="V385" s="22" t="str"/>
      <x:c r="W385" s="22" t="str"/>
      <x:c r="X385" s="22" t="str">
        <x:f>IF(COUNTIF($A$5:$A$451,A385)=1,"PASS","FAIL")</x:f>
        <x:v>PASS</x:v>
      </x:c>
      <x:c r="Y385" s="22" t="str">
        <x:f>IF(COUNTIF('SR系统设计'!$A$5:$A$153,B385)+COUNTIF('追溯与覆盖'!$A$5:$A$153,C385)=2,"PASS","FAIL")</x:f>
        <x:v>PASS</x:v>
      </x:c>
    </x:row>
    <x:row r="386" ht="84" customHeight="1">
      <x:c r="A386" s="25" t="str">
        <x:v>AR-L2-CONN-SWP-XFER-003-01</x:v>
      </x:c>
      <x:c r="B386" s="25" t="str">
        <x:v>SR-02-06-04</x:v>
      </x:c>
      <x:c r="C386" s="25" t="str">
        <x:v>L2-CONN-SWP-XFER-003</x:v>
      </x:c>
      <x:c r="D386" s="25" t="str">
        <x:v>SF-02</x:v>
      </x:c>
      <x:c r="E386" s="25" t="str">
        <x:v>IR-02-06</x:v>
      </x:c>
      <x:c r="F386" s="22" t="str">
        <x:v>L2 KVConnector层</x:v>
      </x:c>
      <x:c r="G386" s="22" t="str">
        <x:v>TM4</x:v>
      </x:c>
      <x:c r="H386" s="22" t="str">
        <x:v>卸载/加载与预取优化</x:v>
      </x:c>
      <x:c r="I386" s="22" t="str">
        <x:v>P2</x:v>
      </x:c>
      <x:c r="J386" s="22" t="str">
        <x:v>P2</x:v>
      </x:c>
      <x:c r="K386" s="22" t="str">
        <x:v>核心实现</x:v>
      </x:c>
      <x:c r="L386" s="22" t="str">
        <x:v>Connector开发</x:v>
      </x:c>
      <x:c r="M386" s="22" t="str">
        <x:v>src/runtime/load_pipeline/swp_xfer.{h,cc}</x:v>
      </x:c>
      <x:c r="N386" s="22" t="str">
        <x:v>SWPXFERPipeline</x:v>
      </x:c>
      <x:c r="O386" s="22" t="str">
        <x:v>在 `src/runtime/load_pipeline/swp_xfer.{h,cc}` 新增或重写 `SWPXFERPipeline`，把“Swap批量传输优化”落实为 L2 KVConnector层 可调用主路径：本需求要求实现KVCache Block的批量聚合传输能力，将多个非连续Block的批量memcpy，将当前for循环逐Block传输模式替换为单次批量DMA提交，显著提升PCIe带宽利用率并降低CPU launch overhead。 输入必须显式消费 schedule lookahead + block/page spans + stream budget，输出 prefetch/load ticket + per-layer ready，不得用全局单例或隐藏同步 I/O 绕开预算与状态机。</x:v>
      </x:c>
      <x:c r="P386" s="22" t="str">
        <x:v>实现 schedule lookahead + block/page spans + stream budget → prefetch/load ticket + per-layer ready；遵守 超时转同步安全路径或重算；取消请求必须释放预取 buffer</x:v>
      </x:c>
      <x:c r="Q386" s="22" t="str">
        <x:v>核心算法与状态转换完成；新增代码单测分支覆盖≥85%；线程安全/所有权明确；关闭 feature flag 时行为与 baseline 一致。</x:v>
      </x:c>
      <x:c r="R386" s="22" t="str">
        <x:v>ctest -R SWPXFER --output-on-failure</x:v>
      </x:c>
      <x:c r="S386" s="22" t="str">
        <x:v>元数据转换和序列化开销降低至&lt;200ns/次。</x:v>
      </x:c>
      <x:c r="T386" s="22" t="str">
        <x:v>SR-02-06-04</x:v>
      </x:c>
      <x:c r="U386" s="22" t="str">
        <x:v>待认领</x:v>
      </x:c>
      <x:c r="V386" s="22" t="str"/>
      <x:c r="W386" s="22" t="str"/>
      <x:c r="X386" s="22" t="str">
        <x:f>IF(COUNTIF($A$5:$A$451,A386)=1,"PASS","FAIL")</x:f>
        <x:v>PASS</x:v>
      </x:c>
      <x:c r="Y386" s="22" t="str">
        <x:f>IF(COUNTIF('SR系统设计'!$A$5:$A$153,B386)+COUNTIF('追溯与覆盖'!$A$5:$A$153,C386)=2,"PASS","FAIL")</x:f>
        <x:v>PASS</x:v>
      </x:c>
    </x:row>
    <x:row r="387" ht="84" customHeight="1">
      <x:c r="A387" s="25" t="str">
        <x:v>AR-L2-CONN-SWP-XFER-003-02</x:v>
      </x:c>
      <x:c r="B387" s="25" t="str">
        <x:v>SR-02-06-04</x:v>
      </x:c>
      <x:c r="C387" s="25" t="str">
        <x:v>L2-CONN-SWP-XFER-003</x:v>
      </x:c>
      <x:c r="D387" s="25" t="str">
        <x:v>SF-02</x:v>
      </x:c>
      <x:c r="E387" s="25" t="str">
        <x:v>IR-02-06</x:v>
      </x:c>
      <x:c r="F387" s="22" t="str">
        <x:v>L2 KVConnector层</x:v>
      </x:c>
      <x:c r="G387" s="22" t="str">
        <x:v>TM4</x:v>
      </x:c>
      <x:c r="H387" s="22" t="str">
        <x:v>卸载/加载与预取优化</x:v>
      </x:c>
      <x:c r="I387" s="22" t="str">
        <x:v>P2</x:v>
      </x:c>
      <x:c r="J387" s="22" t="str">
        <x:v>P2</x:v>
      </x:c>
      <x:c r="K387" s="22" t="str">
        <x:v>契约配置与降级</x:v>
      </x:c>
      <x:c r="L387" s="22" t="str">
        <x:v>Connector开发</x:v>
      </x:c>
      <x:c r="M387" s="22" t="str">
        <x:v>api/kvcache/v1/swp_xfer.proto + config/runtime/swp_xfer.yaml</x:v>
      </x:c>
      <x:c r="N387" s="22" t="str">
        <x:v>SWPXFEROptions / kvcache.swp_xfer.enabled</x:v>
      </x:c>
      <x:c r="O387" s="22" t="str">
        <x:v>为 `SWPXFEROptions` 增加 `kvcache.swp_xfer.enabled`、deadline/容量/队列预算及版本字段；在调用点接入 typed error、decision_reason、fallback_reason，确保配置热更新、灰度关闭和向后兼容均可审计。</x:v>
      </x:c>
      <x:c r="P387" s="22" t="str">
        <x:v>IDL/配置 schema 有版本号、默认值、边界校验和错误码；状态/租约/ready 不满足时按 超时转同步安全路径或重算；取消请求必须释放预取 buffer</x:v>
      </x:c>
      <x:c r="Q387" s="22" t="str">
        <x:v>配置样例、schema 校验、升级兼容测试和回退路径齐全；任何隐式 fallback 被移除；新增指标可关联 request_id/query_plan_id/object_id/path_id。</x:v>
      </x:c>
      <x:c r="R387" s="22" t="str">
        <x:v>ctest -R SWPXFERConfig &amp;&amp; ./bin/kvcache_config_check --case=swp_xfer</x:v>
      </x:c>
      <x:c r="S387" s="22" t="str">
        <x:v>元数据转换和序列化开销降低至&lt;200ns/次。</x:v>
      </x:c>
      <x:c r="T387" s="22" t="str">
        <x:v>SR-02-06-04</x:v>
      </x:c>
      <x:c r="U387" s="22" t="str">
        <x:v>待认领</x:v>
      </x:c>
      <x:c r="V387" s="22" t="str"/>
      <x:c r="W387" s="22" t="str"/>
      <x:c r="X387" s="22" t="str">
        <x:f>IF(COUNTIF($A$5:$A$451,A387)=1,"PASS","FAIL")</x:f>
        <x:v>PASS</x:v>
      </x:c>
      <x:c r="Y387" s="22" t="str">
        <x:f>IF(COUNTIF('SR系统设计'!$A$5:$A$153,B387)+COUNTIF('追溯与覆盖'!$A$5:$A$153,C387)=2,"PASS","FAIL")</x:f>
        <x:v>PASS</x:v>
      </x:c>
    </x:row>
    <x:row r="388" ht="84" customHeight="1">
      <x:c r="A388" s="25" t="str">
        <x:v>AR-L2-CONN-SWP-XFER-003-03</x:v>
      </x:c>
      <x:c r="B388" s="25" t="str">
        <x:v>SR-02-06-04</x:v>
      </x:c>
      <x:c r="C388" s="25" t="str">
        <x:v>L2-CONN-SWP-XFER-003</x:v>
      </x:c>
      <x:c r="D388" s="25" t="str">
        <x:v>SF-02</x:v>
      </x:c>
      <x:c r="E388" s="25" t="str">
        <x:v>IR-02-06</x:v>
      </x:c>
      <x:c r="F388" s="22" t="str">
        <x:v>L2 KVConnector层</x:v>
      </x:c>
      <x:c r="G388" s="22" t="str">
        <x:v>TM4</x:v>
      </x:c>
      <x:c r="H388" s="22" t="str">
        <x:v>卸载/加载与预取优化</x:v>
      </x:c>
      <x:c r="I388" s="22" t="str">
        <x:v>P2</x:v>
      </x:c>
      <x:c r="J388" s="22" t="str">
        <x:v>P2</x:v>
      </x:c>
      <x:c r="K388" s="22" t="str">
        <x:v>验证与观测</x:v>
      </x:c>
      <x:c r="L388" s="22" t="str">
        <x:v>Connector开发</x:v>
      </x:c>
      <x:c r="M388" s="22" t="str">
        <x:v>tests/runtime/load_pipeline/swp_xfer_test.cc + benchmarks/runtime/load_pipeline/swp_xfer_benchmark.cc</x:v>
      </x:c>
      <x:c r="N388" s="22" t="str">
        <x:v>SWPXFERTest / SWPXFERBenchmark</x:v>
      </x:c>
      <x:c r="O388" s="22" t="str">
        <x:v>新增正常、边界、并发、超时、stale metadata、迁移冲突、路径拥塞/故障与 feature-flag-off 用例；在 benchmark 中固定模型、tokenizer、prompt、并发、拓扑和 baseline，采集 lookup/load/attach、TTFT、TPOT、usable/abandoned hit、带宽/时延及 CPU/NPU 利用率。</x:v>
      </x:c>
      <x:c r="P388" s="22" t="str">
        <x:v>验收直接引用来源指标：“元数据转换和序列化开销降低至&lt;200ns/次。”；故障用例必须证明错误 KV 不被消费且 fallback reason 可追踪。</x:v>
      </x:c>
      <x:c r="Q388" s="22" t="str">
        <x:v>来源验收项全部自动化；性能报告包含 P50/P95/P99、置信区间与 baseline；失败门槛接入 CI；测试数据和命令可复现。</x:v>
      </x:c>
      <x:c r="R388" s="22" t="str">
        <x:v>./bin/kvcache_bench --case=swp_xfer --baseline=native --report=json</x:v>
      </x:c>
      <x:c r="S388" s="22" t="str">
        <x:v>元数据转换和序列化开销降低至&lt;200ns/次。</x:v>
      </x:c>
      <x:c r="T388" s="22" t="str">
        <x:v>SR-02-06-04</x:v>
      </x:c>
      <x:c r="U388" s="22" t="str">
        <x:v>待认领</x:v>
      </x:c>
      <x:c r="V388" s="22" t="str"/>
      <x:c r="W388" s="22" t="str"/>
      <x:c r="X388" s="22" t="str">
        <x:f>IF(COUNTIF($A$5:$A$451,A388)=1,"PASS","FAIL")</x:f>
        <x:v>PASS</x:v>
      </x:c>
      <x:c r="Y388" s="22" t="str">
        <x:f>IF(COUNTIF('SR系统设计'!$A$5:$A$153,B388)+COUNTIF('追溯与覆盖'!$A$5:$A$153,C388)=2,"PASS","FAIL")</x:f>
        <x:v>PASS</x:v>
      </x:c>
    </x:row>
    <x:row r="389" ht="84" customHeight="1">
      <x:c r="A389" s="25" t="str">
        <x:v>AR-L2-CONN-PRFCH-ENGINE-007-01</x:v>
      </x:c>
      <x:c r="B389" s="25" t="str">
        <x:v>SR-02-07-01</x:v>
      </x:c>
      <x:c r="C389" s="25" t="str">
        <x:v>L2-CONN-PRFCH-ENGINE-007</x:v>
      </x:c>
      <x:c r="D389" s="25" t="str">
        <x:v>SF-02</x:v>
      </x:c>
      <x:c r="E389" s="25" t="str">
        <x:v>IR-02-07</x:v>
      </x:c>
      <x:c r="F389" s="22" t="str">
        <x:v>L2 KVConnector层</x:v>
      </x:c>
      <x:c r="G389" s="22" t="str">
        <x:v>TM4</x:v>
      </x:c>
      <x:c r="H389" s="22" t="str">
        <x:v>预取触发与命中评估</x:v>
      </x:c>
      <x:c r="I389" s="22" t="str">
        <x:v>P2</x:v>
      </x:c>
      <x:c r="J389" s="22" t="str">
        <x:v>P2</x:v>
      </x:c>
      <x:c r="K389" s="22" t="str">
        <x:v>核心实现</x:v>
      </x:c>
      <x:c r="L389" s="22" t="str">
        <x:v>Connector开发</x:v>
      </x:c>
      <x:c r="M389" s="22" t="str">
        <x:v>src/runtime/prefetch/prfch_engine.{h,cc}</x:v>
      </x:c>
      <x:c r="N389" s="22" t="str">
        <x:v>PRFCHENGINEPlanner</x:v>
      </x:c>
      <x:c r="O389" s="22" t="str">
        <x:v>在 `src/runtime/prefetch/prfch_engine.{h,cc}` 新增或重写 `PRFCHENGINEPlanner`，把“前缀KV隐藏加载时延”落实为 L2 KVConnector层 可调用主路径：本需求要求在Request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 输入必须显式消费 lookahead + reuse score + free blocks + deadline，输出 bounded prefetch plan + hit/waste feedback，不得用全局单例或隐藏同步 I/O 绕开预算与状态机。</x:v>
      </x:c>
      <x:c r="P389" s="22" t="str">
        <x:v>实现 lookahead + reuse score + free blocks + deadline → bounded prefetch plan + hit/waste feedback；遵守 预算不足或预测置信低时不预取；取消/过期即时回收</x:v>
      </x:c>
      <x:c r="Q389" s="22" t="str">
        <x:v>核心算法与状态转换完成；新增代码单测分支覆盖≥85%；线程安全/所有权明确；关闭 feature flag 时行为与 baseline 一致。</x:v>
      </x:c>
      <x:c r="R389" s="22" t="str">
        <x:v>ctest -R PRFCHENGINE --output-on-failure</x:v>
      </x:c>
      <x:c r="S389" s="22" t="str">
        <x:v>Prefix命中判定P99耗时 &lt; 200us；在Share-Prefix业务下，Usable Hit Rate提升≥15%。</x:v>
      </x:c>
      <x:c r="T389" s="22" t="str">
        <x:v>SR-02-07-01</x:v>
      </x:c>
      <x:c r="U389" s="22" t="str">
        <x:v>待认领</x:v>
      </x:c>
      <x:c r="V389" s="22" t="str"/>
      <x:c r="W389" s="22" t="str"/>
      <x:c r="X389" s="22" t="str">
        <x:f>IF(COUNTIF($A$5:$A$451,A389)=1,"PASS","FAIL")</x:f>
        <x:v>PASS</x:v>
      </x:c>
      <x:c r="Y389" s="22" t="str">
        <x:f>IF(COUNTIF('SR系统设计'!$A$5:$A$153,B389)+COUNTIF('追溯与覆盖'!$A$5:$A$153,C389)=2,"PASS","FAIL")</x:f>
        <x:v>PASS</x:v>
      </x:c>
    </x:row>
    <x:row r="390" ht="84" customHeight="1">
      <x:c r="A390" s="25" t="str">
        <x:v>AR-L2-CONN-PRFCH-ENGINE-007-02</x:v>
      </x:c>
      <x:c r="B390" s="25" t="str">
        <x:v>SR-02-07-01</x:v>
      </x:c>
      <x:c r="C390" s="25" t="str">
        <x:v>L2-CONN-PRFCH-ENGINE-007</x:v>
      </x:c>
      <x:c r="D390" s="25" t="str">
        <x:v>SF-02</x:v>
      </x:c>
      <x:c r="E390" s="25" t="str">
        <x:v>IR-02-07</x:v>
      </x:c>
      <x:c r="F390" s="22" t="str">
        <x:v>L2 KVConnector层</x:v>
      </x:c>
      <x:c r="G390" s="22" t="str">
        <x:v>TM4</x:v>
      </x:c>
      <x:c r="H390" s="22" t="str">
        <x:v>预取触发与命中评估</x:v>
      </x:c>
      <x:c r="I390" s="22" t="str">
        <x:v>P2</x:v>
      </x:c>
      <x:c r="J390" s="22" t="str">
        <x:v>P2</x:v>
      </x:c>
      <x:c r="K390" s="22" t="str">
        <x:v>契约配置与降级</x:v>
      </x:c>
      <x:c r="L390" s="22" t="str">
        <x:v>Connector开发</x:v>
      </x:c>
      <x:c r="M390" s="22" t="str">
        <x:v>api/kvcache/v1/prfch_engine.proto + config/runtime/prfch_engine.yaml</x:v>
      </x:c>
      <x:c r="N390" s="22" t="str">
        <x:v>PRFCHENGINEOptions / kvcache.prfch_engine.enabled</x:v>
      </x:c>
      <x:c r="O390" s="22" t="str">
        <x:v>为 `PRFCHENGINEOptions` 增加 `kvcache.prfch_engine.enabled`、deadline/容量/队列预算及版本字段；在调用点接入 typed error、decision_reason、fallback_reason，确保配置热更新、灰度关闭和向后兼容均可审计。</x:v>
      </x:c>
      <x:c r="P390" s="22" t="str">
        <x:v>IDL/配置 schema 有版本号、默认值、边界校验和错误码；状态/租约/ready 不满足时按 预算不足或预测置信低时不预取；取消/过期即时回收</x:v>
      </x:c>
      <x:c r="Q390" s="22" t="str">
        <x:v>配置样例、schema 校验、升级兼容测试和回退路径齐全；任何隐式 fallback 被移除；新增指标可关联 request_id/query_plan_id/object_id/path_id。</x:v>
      </x:c>
      <x:c r="R390" s="22" t="str">
        <x:v>ctest -R PRFCHENGINEConfig &amp;&amp; ./bin/kvcache_config_check --case=prfch_engine</x:v>
      </x:c>
      <x:c r="S390" s="22" t="str">
        <x:v>Prefix命中判定P99耗时 &lt; 200us；在Share-Prefix业务下，Usable Hit Rate提升≥15%。</x:v>
      </x:c>
      <x:c r="T390" s="22" t="str">
        <x:v>SR-02-07-01</x:v>
      </x:c>
      <x:c r="U390" s="22" t="str">
        <x:v>待认领</x:v>
      </x:c>
      <x:c r="V390" s="22" t="str"/>
      <x:c r="W390" s="22" t="str"/>
      <x:c r="X390" s="22" t="str">
        <x:f>IF(COUNTIF($A$5:$A$451,A390)=1,"PASS","FAIL")</x:f>
        <x:v>PASS</x:v>
      </x:c>
      <x:c r="Y390" s="22" t="str">
        <x:f>IF(COUNTIF('SR系统设计'!$A$5:$A$153,B390)+COUNTIF('追溯与覆盖'!$A$5:$A$153,C390)=2,"PASS","FAIL")</x:f>
        <x:v>PASS</x:v>
      </x:c>
    </x:row>
    <x:row r="391" ht="84" customHeight="1">
      <x:c r="A391" s="25" t="str">
        <x:v>AR-L2-CONN-PRFCH-ENGINE-007-03</x:v>
      </x:c>
      <x:c r="B391" s="25" t="str">
        <x:v>SR-02-07-01</x:v>
      </x:c>
      <x:c r="C391" s="25" t="str">
        <x:v>L2-CONN-PRFCH-ENGINE-007</x:v>
      </x:c>
      <x:c r="D391" s="25" t="str">
        <x:v>SF-02</x:v>
      </x:c>
      <x:c r="E391" s="25" t="str">
        <x:v>IR-02-07</x:v>
      </x:c>
      <x:c r="F391" s="22" t="str">
        <x:v>L2 KVConnector层</x:v>
      </x:c>
      <x:c r="G391" s="22" t="str">
        <x:v>TM4</x:v>
      </x:c>
      <x:c r="H391" s="22" t="str">
        <x:v>预取触发与命中评估</x:v>
      </x:c>
      <x:c r="I391" s="22" t="str">
        <x:v>P2</x:v>
      </x:c>
      <x:c r="J391" s="22" t="str">
        <x:v>P2</x:v>
      </x:c>
      <x:c r="K391" s="22" t="str">
        <x:v>验证与观测</x:v>
      </x:c>
      <x:c r="L391" s="22" t="str">
        <x:v>Connector开发</x:v>
      </x:c>
      <x:c r="M391" s="22" t="str">
        <x:v>tests/runtime/prefetch/prfch_engine_test.cc + benchmarks/runtime/prefetch/prfch_engine_benchmark.cc</x:v>
      </x:c>
      <x:c r="N391" s="22" t="str">
        <x:v>PRFCHENGINETest / PRFCHENGINEBenchmark</x:v>
      </x:c>
      <x:c r="O391" s="22" t="str">
        <x:v>新增正常、边界、并发、超时、stale metadata、迁移冲突、路径拥塞/故障与 feature-flag-off 用例；在 benchmark 中固定模型、tokenizer、prompt、并发、拓扑和 baseline，采集 lookup/load/attach、TTFT、TPOT、usable/abandoned hit、带宽/时延及 CPU/NPU 利用率。</x:v>
      </x:c>
      <x:c r="P391" s="22" t="str">
        <x:v>验收直接引用来源指标：“Prefix命中判定P99耗时 &lt; 200us；在Share-Prefix业务下，Usable Hit Rate提升≥15%。”；故障用例必须证明错误 KV 不被消费且 fallback reason 可追踪。</x:v>
      </x:c>
      <x:c r="Q391" s="22" t="str">
        <x:v>来源验收项全部自动化；性能报告包含 P50/P95/P99、置信区间与 baseline；失败门槛接入 CI；测试数据和命令可复现。</x:v>
      </x:c>
      <x:c r="R391" s="22" t="str">
        <x:v>./bin/kvcache_bench --case=prfch_engine --baseline=native --report=json</x:v>
      </x:c>
      <x:c r="S391" s="22" t="str">
        <x:v>Prefix命中判定P99耗时 &lt; 200us；在Share-Prefix业务下，Usable Hit Rate提升≥15%。</x:v>
      </x:c>
      <x:c r="T391" s="22" t="str">
        <x:v>SR-02-07-01</x:v>
      </x:c>
      <x:c r="U391" s="22" t="str">
        <x:v>待认领</x:v>
      </x:c>
      <x:c r="V391" s="22" t="str"/>
      <x:c r="W391" s="22" t="str"/>
      <x:c r="X391" s="22" t="str">
        <x:f>IF(COUNTIF($A$5:$A$451,A391)=1,"PASS","FAIL")</x:f>
        <x:v>PASS</x:v>
      </x:c>
      <x:c r="Y391" s="22" t="str">
        <x:f>IF(COUNTIF('SR系统设计'!$A$5:$A$153,B391)+COUNTIF('追溯与覆盖'!$A$5:$A$153,C391)=2,"PASS","FAIL")</x:f>
        <x:v>PASS</x:v>
      </x:c>
    </x:row>
    <x:row r="392" ht="84" customHeight="1">
      <x:c r="A392" s="25" t="str">
        <x:v>AR-L3-MM-Lifecycle-009-01</x:v>
      </x:c>
      <x:c r="B392" s="25" t="str">
        <x:v>SR-02-08-01</x:v>
      </x:c>
      <x:c r="C392" s="25" t="str">
        <x:v>L3-MM-Lifecycle-009</x:v>
      </x:c>
      <x:c r="D392" s="25" t="str">
        <x:v>SF-02</x:v>
      </x:c>
      <x:c r="E392" s="25" t="str">
        <x:v>IR-02-08</x:v>
      </x:c>
      <x:c r="F392" s="22" t="str">
        <x:v>L3 传输管理层</x:v>
      </x:c>
      <x:c r="G392" s="22" t="str">
        <x:v>TM3</x:v>
      </x:c>
      <x:c r="H392" s="22" t="str">
        <x:v>容量估算与生命周期</x:v>
      </x:c>
      <x:c r="I392" s="22" t="str">
        <x:v>P0</x:v>
      </x:c>
      <x:c r="J392" s="22" t="str">
        <x:v>P0</x:v>
      </x:c>
      <x:c r="K392" s="22" t="str">
        <x:v>核心实现</x:v>
      </x:c>
      <x:c r="L392" s="22" t="str">
        <x:v>存储池/传输管理开发</x:v>
      </x:c>
      <x:c r="M392" s="22" t="str">
        <x:v>src/pool/lifecycle/lifecycle.{h,cc}</x:v>
      </x:c>
      <x:c r="N392" s="22" t="str">
        <x:v>LifecycleManager</x:v>
      </x:c>
      <x:c r="O392" s="22" t="str">
        <x:v>在 `src/pool/lifecycle/lifecycle.{h,cc}` 新增或重写 `LifecycleManager`，把“KVCache 生命周期一致性管理”落实为 L3 传输管理层 可调用主路径：本需求要求实现分布式 KV 生命周期状态机，将 KV block/page 明确建模为 ALLOCATED → LOADING → READY → ACTIVE → OFFLOADING → EVICTABLE → RELEASED/FAILED； 输入必须显式消费 model config + workload + pool watermarks，输出 capacity budget + lifecycle event + admission，不得用全局单例或隐藏同步 I/O 绕开预算与状态机。</x:v>
      </x:c>
      <x:c r="P392" s="22" t="str">
        <x:v>实现 model config + workload + pool watermarks → capacity budget + lifecycle event + admission；遵守 容量不足平滑拒绝；状态转换失败保留旧副本或重算，不产生悬空引用</x:v>
      </x:c>
      <x:c r="Q392" s="22" t="str">
        <x:v>核心算法与状态转换完成；新增代码单测分支覆盖≥85%；线程安全/所有权明确；关闭 feature flag 时行为与 baseline 一致。</x:v>
      </x:c>
      <x:c r="R392" s="22" t="str">
        <x:v>ctest -R Lifecycle --output-on-failure</x:v>
      </x:c>
      <x:c r="S392" s="22" t="str">
        <x:v>节点动态加入/退出时的缓存失效控制在局部范围内（遵循一致性哈希比例）。</x:v>
      </x:c>
      <x:c r="T392" s="22" t="str">
        <x:v>SR-02-08-01</x:v>
      </x:c>
      <x:c r="U392" s="22" t="str">
        <x:v>待认领</x:v>
      </x:c>
      <x:c r="V392" s="22" t="str"/>
      <x:c r="W392" s="22" t="str"/>
      <x:c r="X392" s="22" t="str">
        <x:f>IF(COUNTIF($A$5:$A$451,A392)=1,"PASS","FAIL")</x:f>
        <x:v>PASS</x:v>
      </x:c>
      <x:c r="Y392" s="22" t="str">
        <x:f>IF(COUNTIF('SR系统设计'!$A$5:$A$153,B392)+COUNTIF('追溯与覆盖'!$A$5:$A$153,C392)=2,"PASS","FAIL")</x:f>
        <x:v>PASS</x:v>
      </x:c>
    </x:row>
    <x:row r="393" ht="84" customHeight="1">
      <x:c r="A393" s="25" t="str">
        <x:v>AR-L3-MM-Lifecycle-009-02</x:v>
      </x:c>
      <x:c r="B393" s="25" t="str">
        <x:v>SR-02-08-01</x:v>
      </x:c>
      <x:c r="C393" s="25" t="str">
        <x:v>L3-MM-Lifecycle-009</x:v>
      </x:c>
      <x:c r="D393" s="25" t="str">
        <x:v>SF-02</x:v>
      </x:c>
      <x:c r="E393" s="25" t="str">
        <x:v>IR-02-08</x:v>
      </x:c>
      <x:c r="F393" s="22" t="str">
        <x:v>L3 传输管理层</x:v>
      </x:c>
      <x:c r="G393" s="22" t="str">
        <x:v>TM3</x:v>
      </x:c>
      <x:c r="H393" s="22" t="str">
        <x:v>容量估算与生命周期</x:v>
      </x:c>
      <x:c r="I393" s="22" t="str">
        <x:v>P0</x:v>
      </x:c>
      <x:c r="J393" s="22" t="str">
        <x:v>P0</x:v>
      </x:c>
      <x:c r="K393" s="22" t="str">
        <x:v>契约配置与降级</x:v>
      </x:c>
      <x:c r="L393" s="22" t="str">
        <x:v>存储池/传输管理开发</x:v>
      </x:c>
      <x:c r="M393" s="22" t="str">
        <x:v>api/kvcache/v1/lifecycle.proto + config/runtime/lifecycle.yaml</x:v>
      </x:c>
      <x:c r="N393" s="22" t="str">
        <x:v>LifecycleOptions / kvcache.lifecycle.enabled</x:v>
      </x:c>
      <x:c r="O393" s="22" t="str">
        <x:v>为 `LifecycleOptions` 增加 `kvcache.lifecycle.enabled`、deadline/容量/队列预算及版本字段；在调用点接入 typed error、decision_reason、fallback_reason，确保配置热更新、灰度关闭和向后兼容均可审计。</x:v>
      </x:c>
      <x:c r="P393" s="22" t="str">
        <x:v>IDL/配置 schema 有版本号、默认值、边界校验和错误码；状态/租约/ready 不满足时按 容量不足平滑拒绝；状态转换失败保留旧副本或重算，不产生悬空引用</x:v>
      </x:c>
      <x:c r="Q393" s="22" t="str">
        <x:v>配置样例、schema 校验、升级兼容测试和回退路径齐全；任何隐式 fallback 被移除；新增指标可关联 request_id/query_plan_id/object_id/path_id。</x:v>
      </x:c>
      <x:c r="R393" s="22" t="str">
        <x:v>ctest -R LifecycleConfig &amp;&amp; ./bin/kvcache_config_check --case=lifecycle</x:v>
      </x:c>
      <x:c r="S393" s="22" t="str">
        <x:v>节点动态加入/退出时的缓存失效控制在局部范围内（遵循一致性哈希比例）。</x:v>
      </x:c>
      <x:c r="T393" s="22" t="str">
        <x:v>SR-02-08-01</x:v>
      </x:c>
      <x:c r="U393" s="22" t="str">
        <x:v>待认领</x:v>
      </x:c>
      <x:c r="V393" s="22" t="str"/>
      <x:c r="W393" s="22" t="str"/>
      <x:c r="X393" s="22" t="str">
        <x:f>IF(COUNTIF($A$5:$A$451,A393)=1,"PASS","FAIL")</x:f>
        <x:v>PASS</x:v>
      </x:c>
      <x:c r="Y393" s="22" t="str">
        <x:f>IF(COUNTIF('SR系统设计'!$A$5:$A$153,B393)+COUNTIF('追溯与覆盖'!$A$5:$A$153,C393)=2,"PASS","FAIL")</x:f>
        <x:v>PASS</x:v>
      </x:c>
    </x:row>
    <x:row r="394" ht="84" customHeight="1">
      <x:c r="A394" s="25" t="str">
        <x:v>AR-L3-MM-Lifecycle-009-03</x:v>
      </x:c>
      <x:c r="B394" s="25" t="str">
        <x:v>SR-02-08-01</x:v>
      </x:c>
      <x:c r="C394" s="25" t="str">
        <x:v>L3-MM-Lifecycle-009</x:v>
      </x:c>
      <x:c r="D394" s="25" t="str">
        <x:v>SF-02</x:v>
      </x:c>
      <x:c r="E394" s="25" t="str">
        <x:v>IR-02-08</x:v>
      </x:c>
      <x:c r="F394" s="22" t="str">
        <x:v>L3 传输管理层</x:v>
      </x:c>
      <x:c r="G394" s="22" t="str">
        <x:v>TM3</x:v>
      </x:c>
      <x:c r="H394" s="22" t="str">
        <x:v>容量估算与生命周期</x:v>
      </x:c>
      <x:c r="I394" s="22" t="str">
        <x:v>P0</x:v>
      </x:c>
      <x:c r="J394" s="22" t="str">
        <x:v>P0</x:v>
      </x:c>
      <x:c r="K394" s="22" t="str">
        <x:v>验证与观测</x:v>
      </x:c>
      <x:c r="L394" s="22" t="str">
        <x:v>存储池/传输管理开发</x:v>
      </x:c>
      <x:c r="M394" s="22" t="str">
        <x:v>tests/pool/lifecycle/lifecycle_test.cc + benchmarks/pool/lifecycle/lifecycle_benchmark.cc</x:v>
      </x:c>
      <x:c r="N394" s="22" t="str">
        <x:v>LifecycleTest / LifecycleBenchmark</x:v>
      </x:c>
      <x:c r="O394" s="22" t="str">
        <x:v>新增正常、边界、并发、超时、stale metadata、迁移冲突、路径拥塞/故障与 feature-flag-off 用例；在 benchmark 中固定模型、tokenizer、prompt、并发、拓扑和 baseline，采集 lookup/load/attach、TTFT、TPOT、usable/abandoned hit、带宽/时延及 CPU/NPU 利用率。</x:v>
      </x:c>
      <x:c r="P394" s="22" t="str">
        <x:v>验收直接引用来源指标：“节点动态加入/退出时的缓存失效控制在局部范围内（遵循一致性哈希比例）。”；故障用例必须证明错误 KV 不被消费且 fallback reason 可追踪。</x:v>
      </x:c>
      <x:c r="Q394" s="22" t="str">
        <x:v>来源验收项全部自动化；性能报告包含 P50/P95/P99、置信区间与 baseline；失败门槛接入 CI；测试数据和命令可复现。</x:v>
      </x:c>
      <x:c r="R394" s="22" t="str">
        <x:v>./bin/kvcache_bench --case=lifecycle --baseline=native --report=json</x:v>
      </x:c>
      <x:c r="S394" s="22" t="str">
        <x:v>节点动态加入/退出时的缓存失效控制在局部范围内（遵循一致性哈希比例）。</x:v>
      </x:c>
      <x:c r="T394" s="22" t="str">
        <x:v>SR-02-08-01</x:v>
      </x:c>
      <x:c r="U394" s="22" t="str">
        <x:v>待认领</x:v>
      </x:c>
      <x:c r="V394" s="22" t="str"/>
      <x:c r="W394" s="22" t="str"/>
      <x:c r="X394" s="22" t="str">
        <x:f>IF(COUNTIF($A$5:$A$451,A394)=1,"PASS","FAIL")</x:f>
        <x:v>PASS</x:v>
      </x:c>
      <x:c r="Y394" s="22" t="str">
        <x:f>IF(COUNTIF('SR系统设计'!$A$5:$A$153,B394)+COUNTIF('追溯与覆盖'!$A$5:$A$153,C394)=2,"PASS","FAIL")</x:f>
        <x:v>PASS</x:v>
      </x:c>
    </x:row>
    <x:row r="395" ht="84" customHeight="1">
      <x:c r="A395" s="25" t="str">
        <x:v>AR-L1-MM-DefragAware-023-01</x:v>
      </x:c>
      <x:c r="B395" s="25" t="str">
        <x:v>SR-02-08-02</x:v>
      </x:c>
      <x:c r="C395" s="25" t="str">
        <x:v>L1-MM-DefragAware-023</x:v>
      </x:c>
      <x:c r="D395" s="25" t="str">
        <x:v>SF-02</x:v>
      </x:c>
      <x:c r="E395" s="25" t="str">
        <x:v>IR-02-08</x:v>
      </x:c>
      <x:c r="F395" s="22" t="str">
        <x:v>L1 推理调度层</x:v>
      </x:c>
      <x:c r="G395" s="22" t="str">
        <x:v>TM3</x:v>
      </x:c>
      <x:c r="H395" s="22" t="str">
        <x:v>容量估算与生命周期</x:v>
      </x:c>
      <x:c r="I395" s="22" t="str">
        <x:v>P1</x:v>
      </x:c>
      <x:c r="J395" s="22" t="str">
        <x:v>P1</x:v>
      </x:c>
      <x:c r="K395" s="22" t="str">
        <x:v>核心实现</x:v>
      </x:c>
      <x:c r="L395" s="22" t="str">
        <x:v>推理框架开发</x:v>
      </x:c>
      <x:c r="M395" s="22" t="str">
        <x:v>src/pool/lifecycle/defrag_aware.{h,cc}</x:v>
      </x:c>
      <x:c r="N395" s="22" t="str">
        <x:v>DefragAwareManager</x:v>
      </x:c>
      <x:c r="O395" s="22" t="str">
        <x:v>在 `src/pool/lifecycle/defrag_aware.{h,cc}` 新增或重写 `DefragAwareManager`，把“内存高碎片率推理不中断”落实为 L1 推理调度层 可调用主路径：本需求要求 L调度器支持内存紧凑（Compaction）感知：当底层触发碎片整理时，调度器需动态规避正在被迁移的物理 Block，或通过热备 Block 替换机制维持当前推理序列的连续写入，避免碎片整理导致推理线程死锁或停顿。 输入必须显式消费 model config + workload + pool watermarks，输出 capacity budget + lifecycle event + admission，不得用全局单例或隐藏同步 I/O 绕开预算与状态机。</x:v>
      </x:c>
      <x:c r="P395" s="22" t="str">
        <x:v>实现 model config + workload + pool watermarks → capacity budget + lifecycle event + admission；遵守 容量不足平滑拒绝；状态转换失败保留旧副本或重算，不产生悬空引用</x:v>
      </x:c>
      <x:c r="Q395" s="22" t="str">
        <x:v>核心算法与状态转换完成；新增代码单测分支覆盖≥85%；线程安全/所有权明确；关闭 feature flag 时行为与 baseline 一致。</x:v>
      </x:c>
      <x:c r="R395" s="22" t="str">
        <x:v>ctest -R DefragAware --output-on-failure</x:v>
      </x:c>
      <x:c r="S395" s="22" t="str">
        <x:v>内存碎片率控制在&lt;5%，平均并发处理能力（QPS）提升≥10%。</x:v>
      </x:c>
      <x:c r="T395" s="22" t="str">
        <x:v>SR-02-08-02</x:v>
      </x:c>
      <x:c r="U395" s="22" t="str">
        <x:v>待认领</x:v>
      </x:c>
      <x:c r="V395" s="22" t="str"/>
      <x:c r="W395" s="22" t="str"/>
      <x:c r="X395" s="22" t="str">
        <x:f>IF(COUNTIF($A$5:$A$451,A395)=1,"PASS","FAIL")</x:f>
        <x:v>PASS</x:v>
      </x:c>
      <x:c r="Y395" s="22" t="str">
        <x:f>IF(COUNTIF('SR系统设计'!$A$5:$A$153,B395)+COUNTIF('追溯与覆盖'!$A$5:$A$153,C395)=2,"PASS","FAIL")</x:f>
        <x:v>PASS</x:v>
      </x:c>
    </x:row>
    <x:row r="396" ht="84" customHeight="1">
      <x:c r="A396" s="25" t="str">
        <x:v>AR-L1-MM-DefragAware-023-02</x:v>
      </x:c>
      <x:c r="B396" s="25" t="str">
        <x:v>SR-02-08-02</x:v>
      </x:c>
      <x:c r="C396" s="25" t="str">
        <x:v>L1-MM-DefragAware-023</x:v>
      </x:c>
      <x:c r="D396" s="25" t="str">
        <x:v>SF-02</x:v>
      </x:c>
      <x:c r="E396" s="25" t="str">
        <x:v>IR-02-08</x:v>
      </x:c>
      <x:c r="F396" s="22" t="str">
        <x:v>L1 推理调度层</x:v>
      </x:c>
      <x:c r="G396" s="22" t="str">
        <x:v>TM3</x:v>
      </x:c>
      <x:c r="H396" s="22" t="str">
        <x:v>容量估算与生命周期</x:v>
      </x:c>
      <x:c r="I396" s="22" t="str">
        <x:v>P1</x:v>
      </x:c>
      <x:c r="J396" s="22" t="str">
        <x:v>P1</x:v>
      </x:c>
      <x:c r="K396" s="22" t="str">
        <x:v>契约配置与降级</x:v>
      </x:c>
      <x:c r="L396" s="22" t="str">
        <x:v>推理框架开发</x:v>
      </x:c>
      <x:c r="M396" s="22" t="str">
        <x:v>api/kvcache/v1/defrag_aware.proto + config/runtime/defrag_aware.yaml</x:v>
      </x:c>
      <x:c r="N396" s="22" t="str">
        <x:v>DefragAwareOptions / kvcache.defrag_aware.enabled</x:v>
      </x:c>
      <x:c r="O396" s="22" t="str">
        <x:v>为 `DefragAwareOptions` 增加 `kvcache.defrag_aware.enabled`、deadline/容量/队列预算及版本字段；在调用点接入 typed error、decision_reason、fallback_reason，确保配置热更新、灰度关闭和向后兼容均可审计。</x:v>
      </x:c>
      <x:c r="P396" s="22" t="str">
        <x:v>IDL/配置 schema 有版本号、默认值、边界校验和错误码；状态/租约/ready 不满足时按 容量不足平滑拒绝；状态转换失败保留旧副本或重算，不产生悬空引用</x:v>
      </x:c>
      <x:c r="Q396" s="22" t="str">
        <x:v>配置样例、schema 校验、升级兼容测试和回退路径齐全；任何隐式 fallback 被移除；新增指标可关联 request_id/query_plan_id/object_id/path_id。</x:v>
      </x:c>
      <x:c r="R396" s="22" t="str">
        <x:v>ctest -R DefragAwareConfig &amp;&amp; ./bin/kvcache_config_check --case=defrag_aware</x:v>
      </x:c>
      <x:c r="S396" s="22" t="str">
        <x:v>内存碎片率控制在&lt;5%，平均并发处理能力（QPS）提升≥10%。</x:v>
      </x:c>
      <x:c r="T396" s="22" t="str">
        <x:v>SR-02-08-02</x:v>
      </x:c>
      <x:c r="U396" s="22" t="str">
        <x:v>待认领</x:v>
      </x:c>
      <x:c r="V396" s="22" t="str"/>
      <x:c r="W396" s="22" t="str"/>
      <x:c r="X396" s="22" t="str">
        <x:f>IF(COUNTIF($A$5:$A$451,A396)=1,"PASS","FAIL")</x:f>
        <x:v>PASS</x:v>
      </x:c>
      <x:c r="Y396" s="22" t="str">
        <x:f>IF(COUNTIF('SR系统设计'!$A$5:$A$153,B396)+COUNTIF('追溯与覆盖'!$A$5:$A$153,C396)=2,"PASS","FAIL")</x:f>
        <x:v>PASS</x:v>
      </x:c>
    </x:row>
    <x:row r="397" ht="84" customHeight="1">
      <x:c r="A397" s="25" t="str">
        <x:v>AR-L1-MM-DefragAware-023-03</x:v>
      </x:c>
      <x:c r="B397" s="25" t="str">
        <x:v>SR-02-08-02</x:v>
      </x:c>
      <x:c r="C397" s="25" t="str">
        <x:v>L1-MM-DefragAware-023</x:v>
      </x:c>
      <x:c r="D397" s="25" t="str">
        <x:v>SF-02</x:v>
      </x:c>
      <x:c r="E397" s="25" t="str">
        <x:v>IR-02-08</x:v>
      </x:c>
      <x:c r="F397" s="22" t="str">
        <x:v>L1 推理调度层</x:v>
      </x:c>
      <x:c r="G397" s="22" t="str">
        <x:v>TM3</x:v>
      </x:c>
      <x:c r="H397" s="22" t="str">
        <x:v>容量估算与生命周期</x:v>
      </x:c>
      <x:c r="I397" s="22" t="str">
        <x:v>P1</x:v>
      </x:c>
      <x:c r="J397" s="22" t="str">
        <x:v>P1</x:v>
      </x:c>
      <x:c r="K397" s="22" t="str">
        <x:v>验证与观测</x:v>
      </x:c>
      <x:c r="L397" s="22" t="str">
        <x:v>推理框架开发</x:v>
      </x:c>
      <x:c r="M397" s="22" t="str">
        <x:v>tests/pool/lifecycle/defrag_aware_test.cc + benchmarks/pool/lifecycle/defrag_aware_benchmark.cc</x:v>
      </x:c>
      <x:c r="N397" s="22" t="str">
        <x:v>DefragAwareTest / DefragAwareBenchmark</x:v>
      </x:c>
      <x:c r="O397" s="22" t="str">
        <x:v>新增正常、边界、并发、超时、stale metadata、迁移冲突、路径拥塞/故障与 feature-flag-off 用例；在 benchmark 中固定模型、tokenizer、prompt、并发、拓扑和 baseline，采集 lookup/load/attach、TTFT、TPOT、usable/abandoned hit、带宽/时延及 CPU/NPU 利用率。</x:v>
      </x:c>
      <x:c r="P397" s="22" t="str">
        <x:v>验收直接引用来源指标：“内存碎片率控制在&lt;5%，平均并发处理能力（QPS）提升≥10%。”；故障用例必须证明错误 KV 不被消费且 fallback reason 可追踪。</x:v>
      </x:c>
      <x:c r="Q397" s="22" t="str">
        <x:v>来源验收项全部自动化；性能报告包含 P50/P95/P99、置信区间与 baseline；失败门槛接入 CI；测试数据和命令可复现。</x:v>
      </x:c>
      <x:c r="R397" s="22" t="str">
        <x:v>./bin/kvcache_bench --case=defrag_aware --baseline=native --report=json</x:v>
      </x:c>
      <x:c r="S397" s="22" t="str">
        <x:v>内存碎片率控制在&lt;5%，平均并发处理能力（QPS）提升≥10%。</x:v>
      </x:c>
      <x:c r="T397" s="22" t="str">
        <x:v>SR-02-08-02</x:v>
      </x:c>
      <x:c r="U397" s="22" t="str">
        <x:v>待认领</x:v>
      </x:c>
      <x:c r="V397" s="22" t="str"/>
      <x:c r="W397" s="22" t="str"/>
      <x:c r="X397" s="22" t="str">
        <x:f>IF(COUNTIF($A$5:$A$451,A397)=1,"PASS","FAIL")</x:f>
        <x:v>PASS</x:v>
      </x:c>
      <x:c r="Y397" s="22" t="str">
        <x:f>IF(COUNTIF('SR系统设计'!$A$5:$A$153,B397)+COUNTIF('追溯与覆盖'!$A$5:$A$153,C397)=2,"PASS","FAIL")</x:f>
        <x:v>PASS</x:v>
      </x:c>
    </x:row>
    <x:row r="398" ht="84" customHeight="1">
      <x:c r="A398" s="25" t="str">
        <x:v>AR-L1-MM-KVSizing-008-01</x:v>
      </x:c>
      <x:c r="B398" s="25" t="str">
        <x:v>SR-02-08-03</x:v>
      </x:c>
      <x:c r="C398" s="25" t="str">
        <x:v>L1-MM-KVSizing-008</x:v>
      </x:c>
      <x:c r="D398" s="25" t="str">
        <x:v>SF-02</x:v>
      </x:c>
      <x:c r="E398" s="25" t="str">
        <x:v>IR-02-08</x:v>
      </x:c>
      <x:c r="F398" s="22" t="str">
        <x:v>L1 推理调度层</x:v>
      </x:c>
      <x:c r="G398" s="22" t="str">
        <x:v>TM3</x:v>
      </x:c>
      <x:c r="H398" s="22" t="str">
        <x:v>容量估算与生命周期</x:v>
      </x:c>
      <x:c r="I398" s="22" t="str">
        <x:v>P1</x:v>
      </x:c>
      <x:c r="J398" s="22" t="str">
        <x:v>P1</x:v>
      </x:c>
      <x:c r="K398" s="22" t="str">
        <x:v>核心实现</x:v>
      </x:c>
      <x:c r="L398" s="22" t="str">
        <x:v>推理框架开发</x:v>
      </x:c>
      <x:c r="M398" s="22" t="str">
        <x:v>src/pool/lifecycle/kvsizing.{h,cc}</x:v>
      </x:c>
      <x:c r="N398" s="22" t="str">
        <x:v>KVSizingManager</x:v>
      </x:c>
      <x:c r="O398" s="22" t="str">
        <x:v>在 `src/pool/lifecycle/kvsizing.{h,cc}` 新增或重写 `KVSizingManager`，把“模型 KVCache 容量规格化”落实为 L1 推理调度层 可调用主路径：本需求要求提供模型结构感知的 KV block/page 容量估算 API，覆盖 MHA、GQA、MLA、sliding-window、hybrid/recurrent state、TP rank、dtype、layout version 等因素，确保 HBM/DDR/CXL/SSD 预留容量与实际 KV footprint 误差小于 5%。 输入必须显式消费 model config + workload + pool watermarks，输出 capacity budget + lifecycle event + admission，不得用全局单例或隐藏同步 I/O 绕开预算与状态机。</x:v>
      </x:c>
      <x:c r="P398" s="22" t="str">
        <x:v>实现 model config + workload + pool watermarks → capacity budget + lifecycle event + admission；遵守 容量不足平滑拒绝；状态转换失败保留旧副本或重算，不产生悬空引用</x:v>
      </x:c>
      <x:c r="Q398" s="22" t="str">
        <x:v>核心算法与状态转换完成；新增代码单测分支覆盖≥85%；线程安全/所有权明确；关闭 feature flag 时行为与 baseline 一致。</x:v>
      </x:c>
      <x:c r="R398" s="22" t="str">
        <x:v>ctest -R KVSizing --output-on-failure</x:v>
      </x:c>
      <x:c r="S398" s="22" t="str">
        <x:v>OOM/preemption 次数降低 ≥50%；</x:v>
      </x:c>
      <x:c r="T398" s="22" t="str">
        <x:v>SR-02-08-03</x:v>
      </x:c>
      <x:c r="U398" s="22" t="str">
        <x:v>待认领</x:v>
      </x:c>
      <x:c r="V398" s="22" t="str"/>
      <x:c r="W398" s="22" t="str"/>
      <x:c r="X398" s="22" t="str">
        <x:f>IF(COUNTIF($A$5:$A$451,A398)=1,"PASS","FAIL")</x:f>
        <x:v>PASS</x:v>
      </x:c>
      <x:c r="Y398" s="22" t="str">
        <x:f>IF(COUNTIF('SR系统设计'!$A$5:$A$153,B398)+COUNTIF('追溯与覆盖'!$A$5:$A$153,C398)=2,"PASS","FAIL")</x:f>
        <x:v>PASS</x:v>
      </x:c>
    </x:row>
    <x:row r="399" ht="84" customHeight="1">
      <x:c r="A399" s="25" t="str">
        <x:v>AR-L1-MM-KVSizing-008-02</x:v>
      </x:c>
      <x:c r="B399" s="25" t="str">
        <x:v>SR-02-08-03</x:v>
      </x:c>
      <x:c r="C399" s="25" t="str">
        <x:v>L1-MM-KVSizing-008</x:v>
      </x:c>
      <x:c r="D399" s="25" t="str">
        <x:v>SF-02</x:v>
      </x:c>
      <x:c r="E399" s="25" t="str">
        <x:v>IR-02-08</x:v>
      </x:c>
      <x:c r="F399" s="22" t="str">
        <x:v>L1 推理调度层</x:v>
      </x:c>
      <x:c r="G399" s="22" t="str">
        <x:v>TM3</x:v>
      </x:c>
      <x:c r="H399" s="22" t="str">
        <x:v>容量估算与生命周期</x:v>
      </x:c>
      <x:c r="I399" s="22" t="str">
        <x:v>P1</x:v>
      </x:c>
      <x:c r="J399" s="22" t="str">
        <x:v>P1</x:v>
      </x:c>
      <x:c r="K399" s="22" t="str">
        <x:v>契约配置与降级</x:v>
      </x:c>
      <x:c r="L399" s="22" t="str">
        <x:v>推理框架开发</x:v>
      </x:c>
      <x:c r="M399" s="22" t="str">
        <x:v>api/kvcache/v1/kvsizing.proto + config/runtime/kvsizing.yaml</x:v>
      </x:c>
      <x:c r="N399" s="22" t="str">
        <x:v>KVSizingOptions / kvcache.kvsizing.enabled</x:v>
      </x:c>
      <x:c r="O399" s="22" t="str">
        <x:v>为 `KVSizingOptions` 增加 `kvcache.kvsizing.enabled`、deadline/容量/队列预算及版本字段；在调用点接入 typed error、decision_reason、fallback_reason，确保配置热更新、灰度关闭和向后兼容均可审计。</x:v>
      </x:c>
      <x:c r="P399" s="22" t="str">
        <x:v>IDL/配置 schema 有版本号、默认值、边界校验和错误码；状态/租约/ready 不满足时按 容量不足平滑拒绝；状态转换失败保留旧副本或重算，不产生悬空引用</x:v>
      </x:c>
      <x:c r="Q399" s="22" t="str">
        <x:v>配置样例、schema 校验、升级兼容测试和回退路径齐全；任何隐式 fallback 被移除；新增指标可关联 request_id/query_plan_id/object_id/path_id。</x:v>
      </x:c>
      <x:c r="R399" s="22" t="str">
        <x:v>ctest -R KVSizingConfig &amp;&amp; ./bin/kvcache_config_check --case=kvsizing</x:v>
      </x:c>
      <x:c r="S399" s="22" t="str">
        <x:v>OOM/preemption 次数降低 ≥50%；</x:v>
      </x:c>
      <x:c r="T399" s="22" t="str">
        <x:v>SR-02-08-03</x:v>
      </x:c>
      <x:c r="U399" s="22" t="str">
        <x:v>待认领</x:v>
      </x:c>
      <x:c r="V399" s="22" t="str"/>
      <x:c r="W399" s="22" t="str"/>
      <x:c r="X399" s="22" t="str">
        <x:f>IF(COUNTIF($A$5:$A$451,A399)=1,"PASS","FAIL")</x:f>
        <x:v>PASS</x:v>
      </x:c>
      <x:c r="Y399" s="22" t="str">
        <x:f>IF(COUNTIF('SR系统设计'!$A$5:$A$153,B399)+COUNTIF('追溯与覆盖'!$A$5:$A$153,C399)=2,"PASS","FAIL")</x:f>
        <x:v>PASS</x:v>
      </x:c>
    </x:row>
    <x:row r="400" ht="84" customHeight="1">
      <x:c r="A400" s="25" t="str">
        <x:v>AR-L1-MM-KVSizing-008-03</x:v>
      </x:c>
      <x:c r="B400" s="25" t="str">
        <x:v>SR-02-08-03</x:v>
      </x:c>
      <x:c r="C400" s="25" t="str">
        <x:v>L1-MM-KVSizing-008</x:v>
      </x:c>
      <x:c r="D400" s="25" t="str">
        <x:v>SF-02</x:v>
      </x:c>
      <x:c r="E400" s="25" t="str">
        <x:v>IR-02-08</x:v>
      </x:c>
      <x:c r="F400" s="22" t="str">
        <x:v>L1 推理调度层</x:v>
      </x:c>
      <x:c r="G400" s="22" t="str">
        <x:v>TM3</x:v>
      </x:c>
      <x:c r="H400" s="22" t="str">
        <x:v>容量估算与生命周期</x:v>
      </x:c>
      <x:c r="I400" s="22" t="str">
        <x:v>P1</x:v>
      </x:c>
      <x:c r="J400" s="22" t="str">
        <x:v>P1</x:v>
      </x:c>
      <x:c r="K400" s="22" t="str">
        <x:v>验证与观测</x:v>
      </x:c>
      <x:c r="L400" s="22" t="str">
        <x:v>推理框架开发</x:v>
      </x:c>
      <x:c r="M400" s="22" t="str">
        <x:v>tests/pool/lifecycle/kvsizing_test.cc + benchmarks/pool/lifecycle/kvsizing_benchmark.cc</x:v>
      </x:c>
      <x:c r="N400" s="22" t="str">
        <x:v>KVSizingTest / KVSizingBenchmark</x:v>
      </x:c>
      <x:c r="O400" s="22" t="str">
        <x:v>新增正常、边界、并发、超时、stale metadata、迁移冲突、路径拥塞/故障与 feature-flag-off 用例；在 benchmark 中固定模型、tokenizer、prompt、并发、拓扑和 baseline，采集 lookup/load/attach、TTFT、TPOT、usable/abandoned hit、带宽/时延及 CPU/NPU 利用率。</x:v>
      </x:c>
      <x:c r="P400" s="22" t="str">
        <x:v>验收直接引用来源指标：“OOM/preemption 次数降低 ≥50%；”；故障用例必须证明错误 KV 不被消费且 fallback reason 可追踪。</x:v>
      </x:c>
      <x:c r="Q400" s="22" t="str">
        <x:v>来源验收项全部自动化；性能报告包含 P50/P95/P99、置信区间与 baseline；失败门槛接入 CI；测试数据和命令可复现。</x:v>
      </x:c>
      <x:c r="R400" s="22" t="str">
        <x:v>./bin/kvcache_bench --case=kvsizing --baseline=native --report=json</x:v>
      </x:c>
      <x:c r="S400" s="22" t="str">
        <x:v>OOM/preemption 次数降低 ≥50%；</x:v>
      </x:c>
      <x:c r="T400" s="22" t="str">
        <x:v>SR-02-08-03</x:v>
      </x:c>
      <x:c r="U400" s="22" t="str">
        <x:v>待认领</x:v>
      </x:c>
      <x:c r="V400" s="22" t="str"/>
      <x:c r="W400" s="22" t="str"/>
      <x:c r="X400" s="22" t="str">
        <x:f>IF(COUNTIF($A$5:$A$451,A400)=1,"PASS","FAIL")</x:f>
        <x:v>PASS</x:v>
      </x:c>
      <x:c r="Y400" s="22" t="str">
        <x:f>IF(COUNTIF('SR系统设计'!$A$5:$A$153,B400)+COUNTIF('追溯与覆盖'!$A$5:$A$153,C400)=2,"PASS","FAIL")</x:f>
        <x:v>PASS</x:v>
      </x:c>
    </x:row>
    <x:row r="401" ht="84" customHeight="1">
      <x:c r="A401" s="25" t="str">
        <x:v>AR-L1-OL-ActiveWarmClass-010-01</x:v>
      </x:c>
      <x:c r="B401" s="25" t="str">
        <x:v>SR-02-09-01</x:v>
      </x:c>
      <x:c r="C401" s="25" t="str">
        <x:v>L1-OL-ActiveWarmClass-010</x:v>
      </x:c>
      <x:c r="D401" s="25" t="str">
        <x:v>SF-02</x:v>
      </x:c>
      <x:c r="E401" s="25" t="str">
        <x:v>IR-02-09</x:v>
      </x:c>
      <x:c r="F401" s="22" t="str">
        <x:v>L1 推理调度层</x:v>
      </x:c>
      <x:c r="G401" s="22" t="str">
        <x:v>TM3</x:v>
      </x:c>
      <x:c r="H401" s="22" t="str">
        <x:v>驻留策略与局部复用</x:v>
      </x:c>
      <x:c r="I401" s="22" t="str">
        <x:v>P1</x:v>
      </x:c>
      <x:c r="J401" s="22" t="str">
        <x:v>P1</x:v>
      </x:c>
      <x:c r="K401" s="22" t="str">
        <x:v>核心实现</x:v>
      </x:c>
      <x:c r="L401" s="22" t="str">
        <x:v>推理框架开发</x:v>
      </x:c>
      <x:c r="M401" s="22" t="str">
        <x:v>src/policy/residency/active_warm_class.{h,cc}</x:v>
      </x:c>
      <x:c r="N401" s="22" t="str">
        <x:v>ActiveWarmClassPolicy</x:v>
      </x:c>
      <x:c r="O401" s="22" t="str">
        <x:v>在 `src/policy/residency/active_warm_class.{h,cc}` 新增或重写 `ActiveWarmClassPolicy`，把“活跃 KV 与热 KV 分层驻留”落实为 L1 推理调度层 可调用主路径：本需求要求框架层显式区分 decode-active KV 与 warm prefix KV：decode-active KV 默认必须驻留 HBM，warm prefix KV 可驻留本地 DDR、本地DDR、本地SSD 或远端节点； 输入必须显式消费 reuse score + access mode + tier cost，输出 residency class + placement action，不得用全局单例或隐藏同步 I/O 绕开预算与状态机。</x:v>
      </x:c>
      <x:c r="P401" s="22" t="str">
        <x:v>实现 reuse score + access mode + tier cost → residency class + placement action；遵守 active对象受保护；直接访问预计拖慢decode时强制copy-to-HBM</x:v>
      </x:c>
      <x:c r="Q401" s="22" t="str">
        <x:v>核心算法与状态转换完成；新增代码单测分支覆盖≥85%；线程安全/所有权明确；关闭 feature flag 时行为与 baseline 一致。</x:v>
      </x:c>
      <x:c r="R401" s="22" t="str">
        <x:v>ctest -R ActiveWarmClass --output-on-failure</x:v>
      </x:c>
      <x:c r="S401" s="22" t="str">
        <x:v>TPOT 不回退；HBM effective capacity 提升 ≥20%；</x:v>
      </x:c>
      <x:c r="T401" s="22" t="str">
        <x:v>SR-02-09-01</x:v>
      </x:c>
      <x:c r="U401" s="22" t="str">
        <x:v>待认领</x:v>
      </x:c>
      <x:c r="V401" s="22" t="str"/>
      <x:c r="W401" s="22" t="str"/>
      <x:c r="X401" s="22" t="str">
        <x:f>IF(COUNTIF($A$5:$A$451,A401)=1,"PASS","FAIL")</x:f>
        <x:v>PASS</x:v>
      </x:c>
      <x:c r="Y401" s="22" t="str">
        <x:f>IF(COUNTIF('SR系统设计'!$A$5:$A$153,B401)+COUNTIF('追溯与覆盖'!$A$5:$A$153,C401)=2,"PASS","FAIL")</x:f>
        <x:v>PASS</x:v>
      </x:c>
    </x:row>
    <x:row r="402" ht="84" customHeight="1">
      <x:c r="A402" s="25" t="str">
        <x:v>AR-L1-OL-ActiveWarmClass-010-02</x:v>
      </x:c>
      <x:c r="B402" s="25" t="str">
        <x:v>SR-02-09-01</x:v>
      </x:c>
      <x:c r="C402" s="25" t="str">
        <x:v>L1-OL-ActiveWarmClass-010</x:v>
      </x:c>
      <x:c r="D402" s="25" t="str">
        <x:v>SF-02</x:v>
      </x:c>
      <x:c r="E402" s="25" t="str">
        <x:v>IR-02-09</x:v>
      </x:c>
      <x:c r="F402" s="22" t="str">
        <x:v>L1 推理调度层</x:v>
      </x:c>
      <x:c r="G402" s="22" t="str">
        <x:v>TM3</x:v>
      </x:c>
      <x:c r="H402" s="22" t="str">
        <x:v>驻留策略与局部复用</x:v>
      </x:c>
      <x:c r="I402" s="22" t="str">
        <x:v>P1</x:v>
      </x:c>
      <x:c r="J402" s="22" t="str">
        <x:v>P1</x:v>
      </x:c>
      <x:c r="K402" s="22" t="str">
        <x:v>契约配置与降级</x:v>
      </x:c>
      <x:c r="L402" s="22" t="str">
        <x:v>推理框架开发</x:v>
      </x:c>
      <x:c r="M402" s="22" t="str">
        <x:v>api/kvcache/v1/active_warm_class.proto + config/runtime/active_warm_class.yaml</x:v>
      </x:c>
      <x:c r="N402" s="22" t="str">
        <x:v>ActiveWarmClassOptions / kvcache.active_warm_class.enabled</x:v>
      </x:c>
      <x:c r="O402" s="22" t="str">
        <x:v>为 `ActiveWarmClassOptions` 增加 `kvcache.active_warm_class.enabled`、deadline/容量/队列预算及版本字段；在调用点接入 typed error、decision_reason、fallback_reason，确保配置热更新、灰度关闭和向后兼容均可审计。</x:v>
      </x:c>
      <x:c r="P402" s="22" t="str">
        <x:v>IDL/配置 schema 有版本号、默认值、边界校验和错误码；状态/租约/ready 不满足时按 active对象受保护；直接访问预计拖慢decode时强制copy-to-HBM</x:v>
      </x:c>
      <x:c r="Q402" s="22" t="str">
        <x:v>配置样例、schema 校验、升级兼容测试和回退路径齐全；任何隐式 fallback 被移除；新增指标可关联 request_id/query_plan_id/object_id/path_id。</x:v>
      </x:c>
      <x:c r="R402" s="22" t="str">
        <x:v>ctest -R ActiveWarmClassConfig &amp;&amp; ./bin/kvcache_config_check --case=active_warm_class</x:v>
      </x:c>
      <x:c r="S402" s="22" t="str">
        <x:v>TPOT 不回退；HBM effective capacity 提升 ≥20%；</x:v>
      </x:c>
      <x:c r="T402" s="22" t="str">
        <x:v>SR-02-09-01</x:v>
      </x:c>
      <x:c r="U402" s="22" t="str">
        <x:v>待认领</x:v>
      </x:c>
      <x:c r="V402" s="22" t="str"/>
      <x:c r="W402" s="22" t="str"/>
      <x:c r="X402" s="22" t="str">
        <x:f>IF(COUNTIF($A$5:$A$451,A402)=1,"PASS","FAIL")</x:f>
        <x:v>PASS</x:v>
      </x:c>
      <x:c r="Y402" s="22" t="str">
        <x:f>IF(COUNTIF('SR系统设计'!$A$5:$A$153,B402)+COUNTIF('追溯与覆盖'!$A$5:$A$153,C402)=2,"PASS","FAIL")</x:f>
        <x:v>PASS</x:v>
      </x:c>
    </x:row>
    <x:row r="403" ht="84" customHeight="1">
      <x:c r="A403" s="25" t="str">
        <x:v>AR-L1-OL-ActiveWarmClass-010-03</x:v>
      </x:c>
      <x:c r="B403" s="25" t="str">
        <x:v>SR-02-09-01</x:v>
      </x:c>
      <x:c r="C403" s="25" t="str">
        <x:v>L1-OL-ActiveWarmClass-010</x:v>
      </x:c>
      <x:c r="D403" s="25" t="str">
        <x:v>SF-02</x:v>
      </x:c>
      <x:c r="E403" s="25" t="str">
        <x:v>IR-02-09</x:v>
      </x:c>
      <x:c r="F403" s="22" t="str">
        <x:v>L1 推理调度层</x:v>
      </x:c>
      <x:c r="G403" s="22" t="str">
        <x:v>TM3</x:v>
      </x:c>
      <x:c r="H403" s="22" t="str">
        <x:v>驻留策略与局部复用</x:v>
      </x:c>
      <x:c r="I403" s="22" t="str">
        <x:v>P1</x:v>
      </x:c>
      <x:c r="J403" s="22" t="str">
        <x:v>P1</x:v>
      </x:c>
      <x:c r="K403" s="22" t="str">
        <x:v>验证与观测</x:v>
      </x:c>
      <x:c r="L403" s="22" t="str">
        <x:v>推理框架开发</x:v>
      </x:c>
      <x:c r="M403" s="22" t="str">
        <x:v>tests/policy/residency/active_warm_class_test.cc + benchmarks/policy/residency/active_warm_class_benchmark.cc</x:v>
      </x:c>
      <x:c r="N403" s="22" t="str">
        <x:v>ActiveWarmClassTest / ActiveWarmClassBenchmark</x:v>
      </x:c>
      <x:c r="O403" s="22" t="str">
        <x:v>新增正常、边界、并发、超时、stale metadata、迁移冲突、路径拥塞/故障与 feature-flag-off 用例；在 benchmark 中固定模型、tokenizer、prompt、并发、拓扑和 baseline，采集 lookup/load/attach、TTFT、TPOT、usable/abandoned hit、带宽/时延及 CPU/NPU 利用率。</x:v>
      </x:c>
      <x:c r="P403" s="22" t="str">
        <x:v>验收直接引用来源指标：“TPOT 不回退；HBM effective capacity 提升 ≥20%；”；故障用例必须证明错误 KV 不被消费且 fallback reason 可追踪。</x:v>
      </x:c>
      <x:c r="Q403" s="22" t="str">
        <x:v>来源验收项全部自动化；性能报告包含 P50/P95/P99、置信区间与 baseline；失败门槛接入 CI；测试数据和命令可复现。</x:v>
      </x:c>
      <x:c r="R403" s="22" t="str">
        <x:v>./bin/kvcache_bench --case=active_warm_class --baseline=native --report=json</x:v>
      </x:c>
      <x:c r="S403" s="22" t="str">
        <x:v>TPOT 不回退；HBM effective capacity 提升 ≥20%；</x:v>
      </x:c>
      <x:c r="T403" s="22" t="str">
        <x:v>SR-02-09-01</x:v>
      </x:c>
      <x:c r="U403" s="22" t="str">
        <x:v>待认领</x:v>
      </x:c>
      <x:c r="V403" s="22" t="str"/>
      <x:c r="W403" s="22" t="str"/>
      <x:c r="X403" s="22" t="str">
        <x:f>IF(COUNTIF($A$5:$A$451,A403)=1,"PASS","FAIL")</x:f>
        <x:v>PASS</x:v>
      </x:c>
      <x:c r="Y403" s="22" t="str">
        <x:f>IF(COUNTIF('SR系统设计'!$A$5:$A$153,B403)+COUNTIF('追溯与覆盖'!$A$5:$A$153,C403)=2,"PASS","FAIL")</x:f>
        <x:v>PASS</x:v>
      </x:c>
    </x:row>
    <x:row r="404" ht="84" customHeight="1">
      <x:c r="A404" s="25" t="str">
        <x:v>AR-L1-OL-PartialBoundary-012-01</x:v>
      </x:c>
      <x:c r="B404" s="25" t="str">
        <x:v>SR-02-09-02</x:v>
      </x:c>
      <x:c r="C404" s="25" t="str">
        <x:v>L1-OL-PartialBoundary-012</x:v>
      </x:c>
      <x:c r="D404" s="25" t="str">
        <x:v>SF-02</x:v>
      </x:c>
      <x:c r="E404" s="25" t="str">
        <x:v>IR-02-09</x:v>
      </x:c>
      <x:c r="F404" s="22" t="str">
        <x:v>L1 推理调度层</x:v>
      </x:c>
      <x:c r="G404" s="22" t="str">
        <x:v>TM3</x:v>
      </x:c>
      <x:c r="H404" s="22" t="str">
        <x:v>驻留策略与局部复用</x:v>
      </x:c>
      <x:c r="I404" s="22" t="str">
        <x:v>P2</x:v>
      </x:c>
      <x:c r="J404" s="22" t="str">
        <x:v>P2</x:v>
      </x:c>
      <x:c r="K404" s="22" t="str">
        <x:v>核心实现</x:v>
      </x:c>
      <x:c r="L404" s="22" t="str">
        <x:v>推理框架开发</x:v>
      </x:c>
      <x:c r="M404" s="22" t="str">
        <x:v>src/policy/residency/partial_boundary.{h,cc}</x:v>
      </x:c>
      <x:c r="N404" s="22" t="str">
        <x:v>PartialBoundaryPolicy</x:v>
      </x:c>
      <x:c r="O404" s="22" t="str">
        <x:v>在 `src/policy/residency/partial_boundary.{h,cc}` 新增或重写 `PartialBoundaryPolicy`，把“部分前缀命中复用”落实为 L1 推理调度层 可调用主路径：本需求要求在 partial prefix hit 场景中自动选择最优 recompute boundary：系统应根据 block/page 边界、命中长度、load 时间和 recompute 时间决定 “加载已命中 prefix + recompute suffix” 的切点，而不是在 partial hit 时简单放弃全部命中。 输入必须显式消费 reuse score + access mode + tier cost，输出 residency class + placement action，不得用全局单例或隐藏同步 I/O 绕开预算与状态机。</x:v>
      </x:c>
      <x:c r="P404" s="22" t="str">
        <x:v>实现 reuse score + access mode + tier cost → residency class + placement action；遵守 active对象受保护；直接访问预计拖慢decode时强制copy-to-HBM</x:v>
      </x:c>
      <x:c r="Q404" s="22" t="str">
        <x:v>核心算法与状态转换完成；新增代码单测分支覆盖≥85%；线程安全/所有权明确；关闭 feature flag 时行为与 baseline 一致。</x:v>
      </x:c>
      <x:c r="R404" s="22" t="str">
        <x:v>ctest -R PartialBoundary --output-on-failure</x:v>
      </x:c>
      <x:c r="S404" s="22" t="str">
        <x:v>prefill FLOPs/request 降低 ≥15%；</x:v>
      </x:c>
      <x:c r="T404" s="22" t="str">
        <x:v>SR-02-09-02</x:v>
      </x:c>
      <x:c r="U404" s="22" t="str">
        <x:v>待认领</x:v>
      </x:c>
      <x:c r="V404" s="22" t="str"/>
      <x:c r="W404" s="22" t="str"/>
      <x:c r="X404" s="22" t="str">
        <x:f>IF(COUNTIF($A$5:$A$451,A404)=1,"PASS","FAIL")</x:f>
        <x:v>PASS</x:v>
      </x:c>
      <x:c r="Y404" s="22" t="str">
        <x:f>IF(COUNTIF('SR系统设计'!$A$5:$A$153,B404)+COUNTIF('追溯与覆盖'!$A$5:$A$153,C404)=2,"PASS","FAIL")</x:f>
        <x:v>PASS</x:v>
      </x:c>
    </x:row>
    <x:row r="405" ht="84" customHeight="1">
      <x:c r="A405" s="25" t="str">
        <x:v>AR-L1-OL-PartialBoundary-012-02</x:v>
      </x:c>
      <x:c r="B405" s="25" t="str">
        <x:v>SR-02-09-02</x:v>
      </x:c>
      <x:c r="C405" s="25" t="str">
        <x:v>L1-OL-PartialBoundary-012</x:v>
      </x:c>
      <x:c r="D405" s="25" t="str">
        <x:v>SF-02</x:v>
      </x:c>
      <x:c r="E405" s="25" t="str">
        <x:v>IR-02-09</x:v>
      </x:c>
      <x:c r="F405" s="22" t="str">
        <x:v>L1 推理调度层</x:v>
      </x:c>
      <x:c r="G405" s="22" t="str">
        <x:v>TM3</x:v>
      </x:c>
      <x:c r="H405" s="22" t="str">
        <x:v>驻留策略与局部复用</x:v>
      </x:c>
      <x:c r="I405" s="22" t="str">
        <x:v>P2</x:v>
      </x:c>
      <x:c r="J405" s="22" t="str">
        <x:v>P2</x:v>
      </x:c>
      <x:c r="K405" s="22" t="str">
        <x:v>契约配置与降级</x:v>
      </x:c>
      <x:c r="L405" s="22" t="str">
        <x:v>推理框架开发</x:v>
      </x:c>
      <x:c r="M405" s="22" t="str">
        <x:v>api/kvcache/v1/partial_boundary.proto + config/runtime/partial_boundary.yaml</x:v>
      </x:c>
      <x:c r="N405" s="22" t="str">
        <x:v>PartialBoundaryOptions / kvcache.partial_boundary.enabled</x:v>
      </x:c>
      <x:c r="O405" s="22" t="str">
        <x:v>为 `PartialBoundaryOptions` 增加 `kvcache.partial_boundary.enabled`、deadline/容量/队列预算及版本字段；在调用点接入 typed error、decision_reason、fallback_reason，确保配置热更新、灰度关闭和向后兼容均可审计。</x:v>
      </x:c>
      <x:c r="P405" s="22" t="str">
        <x:v>IDL/配置 schema 有版本号、默认值、边界校验和错误码；状态/租约/ready 不满足时按 active对象受保护；直接访问预计拖慢decode时强制copy-to-HBM</x:v>
      </x:c>
      <x:c r="Q405" s="22" t="str">
        <x:v>配置样例、schema 校验、升级兼容测试和回退路径齐全；任何隐式 fallback 被移除；新增指标可关联 request_id/query_plan_id/object_id/path_id。</x:v>
      </x:c>
      <x:c r="R405" s="22" t="str">
        <x:v>ctest -R PartialBoundaryConfig &amp;&amp; ./bin/kvcache_config_check --case=partial_boundary</x:v>
      </x:c>
      <x:c r="S405" s="22" t="str">
        <x:v>prefill FLOPs/request 降低 ≥15%；</x:v>
      </x:c>
      <x:c r="T405" s="22" t="str">
        <x:v>SR-02-09-02</x:v>
      </x:c>
      <x:c r="U405" s="22" t="str">
        <x:v>待认领</x:v>
      </x:c>
      <x:c r="V405" s="22" t="str"/>
      <x:c r="W405" s="22" t="str"/>
      <x:c r="X405" s="22" t="str">
        <x:f>IF(COUNTIF($A$5:$A$451,A405)=1,"PASS","FAIL")</x:f>
        <x:v>PASS</x:v>
      </x:c>
      <x:c r="Y405" s="22" t="str">
        <x:f>IF(COUNTIF('SR系统设计'!$A$5:$A$153,B405)+COUNTIF('追溯与覆盖'!$A$5:$A$153,C405)=2,"PASS","FAIL")</x:f>
        <x:v>PASS</x:v>
      </x:c>
    </x:row>
    <x:row r="406" ht="84" customHeight="1">
      <x:c r="A406" s="25" t="str">
        <x:v>AR-L1-OL-PartialBoundary-012-03</x:v>
      </x:c>
      <x:c r="B406" s="25" t="str">
        <x:v>SR-02-09-02</x:v>
      </x:c>
      <x:c r="C406" s="25" t="str">
        <x:v>L1-OL-PartialBoundary-012</x:v>
      </x:c>
      <x:c r="D406" s="25" t="str">
        <x:v>SF-02</x:v>
      </x:c>
      <x:c r="E406" s="25" t="str">
        <x:v>IR-02-09</x:v>
      </x:c>
      <x:c r="F406" s="22" t="str">
        <x:v>L1 推理调度层</x:v>
      </x:c>
      <x:c r="G406" s="22" t="str">
        <x:v>TM3</x:v>
      </x:c>
      <x:c r="H406" s="22" t="str">
        <x:v>驻留策略与局部复用</x:v>
      </x:c>
      <x:c r="I406" s="22" t="str">
        <x:v>P2</x:v>
      </x:c>
      <x:c r="J406" s="22" t="str">
        <x:v>P2</x:v>
      </x:c>
      <x:c r="K406" s="22" t="str">
        <x:v>验证与观测</x:v>
      </x:c>
      <x:c r="L406" s="22" t="str">
        <x:v>推理框架开发</x:v>
      </x:c>
      <x:c r="M406" s="22" t="str">
        <x:v>tests/policy/residency/partial_boundary_test.cc + benchmarks/policy/residency/partial_boundary_benchmark.cc</x:v>
      </x:c>
      <x:c r="N406" s="22" t="str">
        <x:v>PartialBoundaryTest / PartialBoundaryBenchmark</x:v>
      </x:c>
      <x:c r="O406" s="22" t="str">
        <x:v>新增正常、边界、并发、超时、stale metadata、迁移冲突、路径拥塞/故障与 feature-flag-off 用例；在 benchmark 中固定模型、tokenizer、prompt、并发、拓扑和 baseline，采集 lookup/load/attach、TTFT、TPOT、usable/abandoned hit、带宽/时延及 CPU/NPU 利用率。</x:v>
      </x:c>
      <x:c r="P406" s="22" t="str">
        <x:v>验收直接引用来源指标：“prefill FLOPs/request 降低 ≥15%；”；故障用例必须证明错误 KV 不被消费且 fallback reason 可追踪。</x:v>
      </x:c>
      <x:c r="Q406" s="22" t="str">
        <x:v>来源验收项全部自动化；性能报告包含 P50/P95/P99、置信区间与 baseline；失败门槛接入 CI；测试数据和命令可复现。</x:v>
      </x:c>
      <x:c r="R406" s="22" t="str">
        <x:v>./bin/kvcache_bench --case=partial_boundary --baseline=native --report=json</x:v>
      </x:c>
      <x:c r="S406" s="22" t="str">
        <x:v>prefill FLOPs/request 降低 ≥15%；</x:v>
      </x:c>
      <x:c r="T406" s="22" t="str">
        <x:v>SR-02-09-02</x:v>
      </x:c>
      <x:c r="U406" s="22" t="str">
        <x:v>待认领</x:v>
      </x:c>
      <x:c r="V406" s="22" t="str"/>
      <x:c r="W406" s="22" t="str"/>
      <x:c r="X406" s="22" t="str">
        <x:f>IF(COUNTIF($A$5:$A$451,A406)=1,"PASS","FAIL")</x:f>
        <x:v>PASS</x:v>
      </x:c>
      <x:c r="Y406" s="22" t="str">
        <x:f>IF(COUNTIF('SR系统设计'!$A$5:$A$153,B406)+COUNTIF('追溯与覆盖'!$A$5:$A$153,C406)=2,"PASS","FAIL")</x:f>
        <x:v>PASS</x:v>
      </x:c>
    </x:row>
    <x:row r="407" ht="84" customHeight="1">
      <x:c r="A407" s="25" t="str">
        <x:v>AR-L1-OL-ViewVsCopy-011-01</x:v>
      </x:c>
      <x:c r="B407" s="25" t="str">
        <x:v>SR-02-09-03</x:v>
      </x:c>
      <x:c r="C407" s="25" t="str">
        <x:v>L1-OL-ViewVsCopy-011</x:v>
      </x:c>
      <x:c r="D407" s="25" t="str">
        <x:v>SF-02</x:v>
      </x:c>
      <x:c r="E407" s="25" t="str">
        <x:v>IR-02-09</x:v>
      </x:c>
      <x:c r="F407" s="22" t="str">
        <x:v>L1 推理调度层</x:v>
      </x:c>
      <x:c r="G407" s="22" t="str">
        <x:v>TM3</x:v>
      </x:c>
      <x:c r="H407" s="22" t="str">
        <x:v>驻留策略与局部复用</x:v>
      </x:c>
      <x:c r="I407" s="22" t="str">
        <x:v>P2</x:v>
      </x:c>
      <x:c r="J407" s="22" t="str">
        <x:v>P2</x:v>
      </x:c>
      <x:c r="K407" s="22" t="str">
        <x:v>核心实现</x:v>
      </x:c>
      <x:c r="L407" s="22" t="str">
        <x:v>推理框架开发</x:v>
      </x:c>
      <x:c r="M407" s="22" t="str">
        <x:v>src/policy/residency/view_vs_copy.{h,cc}</x:v>
      </x:c>
      <x:c r="N407" s="22" t="str">
        <x:v>ViewVsCopyPolicy</x:v>
      </x:c>
      <x:c r="O407" s="22" t="str">
        <x:v>在 `src/policy/residency/view_vs_copy.{h,cc}` 新增或重写 `ViewVsCopyPolicy`，把“热 KV 近端访问与 HBM 回填选择”落实为 L1 推理调度层 可调用主路径：本需求要求实现 direct-view eligibility 判断：当 KV 对象为 metadata、短 prefix span 或 warm preview 时允许memory view； 输入必须显式消费 reuse score + access mode + tier cost，输出 residency class + placement action，不得用全局单例或隐藏同步 I/O 绕开预算与状态机。</x:v>
      </x:c>
      <x:c r="P407" s="22" t="str">
        <x:v>实现 reuse score + access mode + tier cost → residency class + placement action；遵守 active对象受保护；直接访问预计拖慢decode时强制copy-to-HBM</x:v>
      </x:c>
      <x:c r="Q407" s="22" t="str">
        <x:v>核心算法与状态转换完成；新增代码单测分支覆盖≥85%；线程安全/所有权明确；关闭 feature flag 时行为与 baseline 一致。</x:v>
      </x:c>
      <x:c r="R407" s="22" t="str">
        <x:v>ctest -R ViewVsCopy --output-on-failure</x:v>
      </x:c>
      <x:c r="S407" s="22" t="str">
        <x:v>TTFT 不劣化，TPOT p99 回退 &lt;3%；</x:v>
      </x:c>
      <x:c r="T407" s="22" t="str">
        <x:v>SR-02-09-03</x:v>
      </x:c>
      <x:c r="U407" s="22" t="str">
        <x:v>待认领</x:v>
      </x:c>
      <x:c r="V407" s="22" t="str"/>
      <x:c r="W407" s="22" t="str"/>
      <x:c r="X407" s="22" t="str">
        <x:f>IF(COUNTIF($A$5:$A$451,A407)=1,"PASS","FAIL")</x:f>
        <x:v>PASS</x:v>
      </x:c>
      <x:c r="Y407" s="22" t="str">
        <x:f>IF(COUNTIF('SR系统设计'!$A$5:$A$153,B407)+COUNTIF('追溯与覆盖'!$A$5:$A$153,C407)=2,"PASS","FAIL")</x:f>
        <x:v>PASS</x:v>
      </x:c>
    </x:row>
    <x:row r="408" ht="84" customHeight="1">
      <x:c r="A408" s="25" t="str">
        <x:v>AR-L1-OL-ViewVsCopy-011-02</x:v>
      </x:c>
      <x:c r="B408" s="25" t="str">
        <x:v>SR-02-09-03</x:v>
      </x:c>
      <x:c r="C408" s="25" t="str">
        <x:v>L1-OL-ViewVsCopy-011</x:v>
      </x:c>
      <x:c r="D408" s="25" t="str">
        <x:v>SF-02</x:v>
      </x:c>
      <x:c r="E408" s="25" t="str">
        <x:v>IR-02-09</x:v>
      </x:c>
      <x:c r="F408" s="22" t="str">
        <x:v>L1 推理调度层</x:v>
      </x:c>
      <x:c r="G408" s="22" t="str">
        <x:v>TM3</x:v>
      </x:c>
      <x:c r="H408" s="22" t="str">
        <x:v>驻留策略与局部复用</x:v>
      </x:c>
      <x:c r="I408" s="22" t="str">
        <x:v>P2</x:v>
      </x:c>
      <x:c r="J408" s="22" t="str">
        <x:v>P2</x:v>
      </x:c>
      <x:c r="K408" s="22" t="str">
        <x:v>契约配置与降级</x:v>
      </x:c>
      <x:c r="L408" s="22" t="str">
        <x:v>推理框架开发</x:v>
      </x:c>
      <x:c r="M408" s="22" t="str">
        <x:v>api/kvcache/v1/view_vs_copy.proto + config/runtime/view_vs_copy.yaml</x:v>
      </x:c>
      <x:c r="N408" s="22" t="str">
        <x:v>ViewVsCopyOptions / kvcache.view_vs_copy.enabled</x:v>
      </x:c>
      <x:c r="O408" s="22" t="str">
        <x:v>为 `ViewVsCopyOptions` 增加 `kvcache.view_vs_copy.enabled`、deadline/容量/队列预算及版本字段；在调用点接入 typed error、decision_reason、fallback_reason，确保配置热更新、灰度关闭和向后兼容均可审计。</x:v>
      </x:c>
      <x:c r="P408" s="22" t="str">
        <x:v>IDL/配置 schema 有版本号、默认值、边界校验和错误码；状态/租约/ready 不满足时按 active对象受保护；直接访问预计拖慢decode时强制copy-to-HBM</x:v>
      </x:c>
      <x:c r="Q408" s="22" t="str">
        <x:v>配置样例、schema 校验、升级兼容测试和回退路径齐全；任何隐式 fallback 被移除；新增指标可关联 request_id/query_plan_id/object_id/path_id。</x:v>
      </x:c>
      <x:c r="R408" s="22" t="str">
        <x:v>ctest -R ViewVsCopyConfig &amp;&amp; ./bin/kvcache_config_check --case=view_vs_copy</x:v>
      </x:c>
      <x:c r="S408" s="22" t="str">
        <x:v>TTFT 不劣化，TPOT p99 回退 &lt;3%；</x:v>
      </x:c>
      <x:c r="T408" s="22" t="str">
        <x:v>SR-02-09-03</x:v>
      </x:c>
      <x:c r="U408" s="22" t="str">
        <x:v>待认领</x:v>
      </x:c>
      <x:c r="V408" s="22" t="str"/>
      <x:c r="W408" s="22" t="str"/>
      <x:c r="X408" s="22" t="str">
        <x:f>IF(COUNTIF($A$5:$A$451,A408)=1,"PASS","FAIL")</x:f>
        <x:v>PASS</x:v>
      </x:c>
      <x:c r="Y408" s="22" t="str">
        <x:f>IF(COUNTIF('SR系统设计'!$A$5:$A$153,B408)+COUNTIF('追溯与覆盖'!$A$5:$A$153,C408)=2,"PASS","FAIL")</x:f>
        <x:v>PASS</x:v>
      </x:c>
    </x:row>
    <x:row r="409" ht="84" customHeight="1">
      <x:c r="A409" s="25" t="str">
        <x:v>AR-L1-OL-ViewVsCopy-011-03</x:v>
      </x:c>
      <x:c r="B409" s="25" t="str">
        <x:v>SR-02-09-03</x:v>
      </x:c>
      <x:c r="C409" s="25" t="str">
        <x:v>L1-OL-ViewVsCopy-011</x:v>
      </x:c>
      <x:c r="D409" s="25" t="str">
        <x:v>SF-02</x:v>
      </x:c>
      <x:c r="E409" s="25" t="str">
        <x:v>IR-02-09</x:v>
      </x:c>
      <x:c r="F409" s="22" t="str">
        <x:v>L1 推理调度层</x:v>
      </x:c>
      <x:c r="G409" s="22" t="str">
        <x:v>TM3</x:v>
      </x:c>
      <x:c r="H409" s="22" t="str">
        <x:v>驻留策略与局部复用</x:v>
      </x:c>
      <x:c r="I409" s="22" t="str">
        <x:v>P2</x:v>
      </x:c>
      <x:c r="J409" s="22" t="str">
        <x:v>P2</x:v>
      </x:c>
      <x:c r="K409" s="22" t="str">
        <x:v>验证与观测</x:v>
      </x:c>
      <x:c r="L409" s="22" t="str">
        <x:v>推理框架开发</x:v>
      </x:c>
      <x:c r="M409" s="22" t="str">
        <x:v>tests/policy/residency/view_vs_copy_test.cc + benchmarks/policy/residency/view_vs_copy_benchmark.cc</x:v>
      </x:c>
      <x:c r="N409" s="22" t="str">
        <x:v>ViewVsCopyTest / ViewVsCopyBenchmark</x:v>
      </x:c>
      <x:c r="O409" s="22" t="str">
        <x:v>新增正常、边界、并发、超时、stale metadata、迁移冲突、路径拥塞/故障与 feature-flag-off 用例；在 benchmark 中固定模型、tokenizer、prompt、并发、拓扑和 baseline，采集 lookup/load/attach、TTFT、TPOT、usable/abandoned hit、带宽/时延及 CPU/NPU 利用率。</x:v>
      </x:c>
      <x:c r="P409" s="22" t="str">
        <x:v>验收直接引用来源指标：“TTFT 不劣化，TPOT p99 回退 &lt;3%；”；故障用例必须证明错误 KV 不被消费且 fallback reason 可追踪。</x:v>
      </x:c>
      <x:c r="Q409" s="22" t="str">
        <x:v>来源验收项全部自动化；性能报告包含 P50/P95/P99、置信区间与 baseline；失败门槛接入 CI；测试数据和命令可复现。</x:v>
      </x:c>
      <x:c r="R409" s="22" t="str">
        <x:v>./bin/kvcache_bench --case=view_vs_copy --baseline=native --report=json</x:v>
      </x:c>
      <x:c r="S409" s="22" t="str">
        <x:v>TTFT 不劣化，TPOT p99 回退 &lt;3%；</x:v>
      </x:c>
      <x:c r="T409" s="22" t="str">
        <x:v>SR-02-09-03</x:v>
      </x:c>
      <x:c r="U409" s="22" t="str">
        <x:v>待认领</x:v>
      </x:c>
      <x:c r="V409" s="22" t="str"/>
      <x:c r="W409" s="22" t="str"/>
      <x:c r="X409" s="22" t="str">
        <x:f>IF(COUNTIF($A$5:$A$451,A409)=1,"PASS","FAIL")</x:f>
        <x:v>PASS</x:v>
      </x:c>
      <x:c r="Y409" s="22" t="str">
        <x:f>IF(COUNTIF('SR系统设计'!$A$5:$A$153,B409)+COUNTIF('追溯与覆盖'!$A$5:$A$153,C409)=2,"PASS","FAIL")</x:f>
        <x:v>PASS</x:v>
      </x:c>
    </x:row>
    <x:row r="410" ht="84" customHeight="1">
      <x:c r="A410" s="25" t="str">
        <x:v>AR-L1-SE-IntentAPI-014-01</x:v>
      </x:c>
      <x:c r="B410" s="25" t="str">
        <x:v>SR-02-10-01</x:v>
      </x:c>
      <x:c r="C410" s="25" t="str">
        <x:v>L1-SE-IntentAPI-014</x:v>
      </x:c>
      <x:c r="D410" s="25" t="str">
        <x:v>SF-02</x:v>
      </x:c>
      <x:c r="E410" s="25" t="str">
        <x:v>IR-02-10</x:v>
      </x:c>
      <x:c r="F410" s="22" t="str">
        <x:v>L1 推理调度层</x:v>
      </x:c>
      <x:c r="G410" s="22" t="str">
        <x:v>TM1</x:v>
      </x:c>
      <x:c r="H410" s="22" t="str">
        <x:v>多卡协同与观测治理</x:v>
      </x:c>
      <x:c r="I410" s="22" t="str">
        <x:v>P0</x:v>
      </x:c>
      <x:c r="J410" s="22" t="str">
        <x:v>P0</x:v>
      </x:c>
      <x:c r="K410" s="22" t="str">
        <x:v>核心实现</x:v>
      </x:c>
      <x:c r="L410" s="22" t="str">
        <x:v>推理框架开发</x:v>
      </x:c>
      <x:c r="M410" s="22" t="str">
        <x:v>src/runtime/rank_consensus/intent_api.{h,cc}</x:v>
      </x:c>
      <x:c r="N410" s="22" t="str">
        <x:v>IntentAPICoordinator</x:v>
      </x:c>
      <x:c r="O410" s="22" t="str">
        <x:v>在 `src/runtime/rank_consensus/intent_api.{h,cc}` 新增或重写 `IntentAPICoordinator`，把“统一 KVCache 访问意图编排”落实为 L1 推理调度层 可调用主路径：本需求要求北向接口默认采用 KVAccessIntent 语义：上层只描述操作目的、deadline、KV 大小、reuse value、visibility、fallback policy、isolation domain，不直接绑定 UB.memory、RDMA、TCP 等具体路径，由下层 policy engine 决定执行语义。 输入必须显式消费 per-rank hit/ready/error + request context，输出 consensus result + semantic metrics，不得用全局单例或隐藏同步 I/O 绕开预算与状态机。</x:v>
      </x:c>
      <x:c r="P410" s="22" t="str">
        <x:v>实现 per-rank hit/ready/error + request context → consensus result + semantic metrics；遵守 任一rank不满足消费条件则全组按约定降级，禁止部分rank误消费</x:v>
      </x:c>
      <x:c r="Q410" s="22" t="str">
        <x:v>核心算法与状态转换完成；新增代码单测分支覆盖≥85%；线程安全/所有权明确；关闭 feature flag 时行为与 baseline 一致。</x:v>
      </x:c>
      <x:c r="R410" s="22" t="str">
        <x:v>ctest -R IntentAPI --output-on-failure</x:v>
      </x:c>
      <x:c r="S410" s="22" t="str">
        <x:v>上层后端无关；新增后端无需改 Scheduler；</x:v>
      </x:c>
      <x:c r="T410" s="22" t="str">
        <x:v>SR-02-10-01</x:v>
      </x:c>
      <x:c r="U410" s="22" t="str">
        <x:v>待认领</x:v>
      </x:c>
      <x:c r="V410" s="22" t="str"/>
      <x:c r="W410" s="22" t="str"/>
      <x:c r="X410" s="22" t="str">
        <x:f>IF(COUNTIF($A$5:$A$451,A410)=1,"PASS","FAIL")</x:f>
        <x:v>PASS</x:v>
      </x:c>
      <x:c r="Y410" s="22" t="str">
        <x:f>IF(COUNTIF('SR系统设计'!$A$5:$A$153,B410)+COUNTIF('追溯与覆盖'!$A$5:$A$153,C410)=2,"PASS","FAIL")</x:f>
        <x:v>PASS</x:v>
      </x:c>
    </x:row>
    <x:row r="411" ht="84" customHeight="1">
      <x:c r="A411" s="25" t="str">
        <x:v>AR-L1-SE-IntentAPI-014-02</x:v>
      </x:c>
      <x:c r="B411" s="25" t="str">
        <x:v>SR-02-10-01</x:v>
      </x:c>
      <x:c r="C411" s="25" t="str">
        <x:v>L1-SE-IntentAPI-014</x:v>
      </x:c>
      <x:c r="D411" s="25" t="str">
        <x:v>SF-02</x:v>
      </x:c>
      <x:c r="E411" s="25" t="str">
        <x:v>IR-02-10</x:v>
      </x:c>
      <x:c r="F411" s="22" t="str">
        <x:v>L1 推理调度层</x:v>
      </x:c>
      <x:c r="G411" s="22" t="str">
        <x:v>TM1</x:v>
      </x:c>
      <x:c r="H411" s="22" t="str">
        <x:v>多卡协同与观测治理</x:v>
      </x:c>
      <x:c r="I411" s="22" t="str">
        <x:v>P0</x:v>
      </x:c>
      <x:c r="J411" s="22" t="str">
        <x:v>P0</x:v>
      </x:c>
      <x:c r="K411" s="22" t="str">
        <x:v>契约配置与降级</x:v>
      </x:c>
      <x:c r="L411" s="22" t="str">
        <x:v>推理框架开发</x:v>
      </x:c>
      <x:c r="M411" s="22" t="str">
        <x:v>api/kvcache/v1/intent_api.proto + config/runtime/intent_api.yaml</x:v>
      </x:c>
      <x:c r="N411" s="22" t="str">
        <x:v>IntentAPIOptions / kvcache.intent_api.enabled</x:v>
      </x:c>
      <x:c r="O411" s="22" t="str">
        <x:v>为 `IntentAPIOptions` 增加 `kvcache.intent_api.enabled`、deadline/容量/队列预算及版本字段；在调用点接入 typed error、decision_reason、fallback_reason，确保配置热更新、灰度关闭和向后兼容均可审计。</x:v>
      </x:c>
      <x:c r="P411" s="22" t="str">
        <x:v>IDL/配置 schema 有版本号、默认值、边界校验和错误码；状态/租约/ready 不满足时按 任一rank不满足消费条件则全组按约定降级，禁止部分rank误消费</x:v>
      </x:c>
      <x:c r="Q411" s="22" t="str">
        <x:v>配置样例、schema 校验、升级兼容测试和回退路径齐全；任何隐式 fallback 被移除；新增指标可关联 request_id/query_plan_id/object_id/path_id。</x:v>
      </x:c>
      <x:c r="R411" s="22" t="str">
        <x:v>ctest -R IntentAPIConfig &amp;&amp; ./bin/kvcache_config_check --case=intent_api</x:v>
      </x:c>
      <x:c r="S411" s="22" t="str">
        <x:v>上层后端无关；新增后端无需改 Scheduler；</x:v>
      </x:c>
      <x:c r="T411" s="22" t="str">
        <x:v>SR-02-10-01</x:v>
      </x:c>
      <x:c r="U411" s="22" t="str">
        <x:v>待认领</x:v>
      </x:c>
      <x:c r="V411" s="22" t="str"/>
      <x:c r="W411" s="22" t="str"/>
      <x:c r="X411" s="22" t="str">
        <x:f>IF(COUNTIF($A$5:$A$451,A411)=1,"PASS","FAIL")</x:f>
        <x:v>PASS</x:v>
      </x:c>
      <x:c r="Y411" s="22" t="str">
        <x:f>IF(COUNTIF('SR系统设计'!$A$5:$A$153,B411)+COUNTIF('追溯与覆盖'!$A$5:$A$153,C411)=2,"PASS","FAIL")</x:f>
        <x:v>PASS</x:v>
      </x:c>
    </x:row>
    <x:row r="412" ht="84" customHeight="1">
      <x:c r="A412" s="25" t="str">
        <x:v>AR-L1-SE-IntentAPI-014-03</x:v>
      </x:c>
      <x:c r="B412" s="25" t="str">
        <x:v>SR-02-10-01</x:v>
      </x:c>
      <x:c r="C412" s="25" t="str">
        <x:v>L1-SE-IntentAPI-014</x:v>
      </x:c>
      <x:c r="D412" s="25" t="str">
        <x:v>SF-02</x:v>
      </x:c>
      <x:c r="E412" s="25" t="str">
        <x:v>IR-02-10</x:v>
      </x:c>
      <x:c r="F412" s="22" t="str">
        <x:v>L1 推理调度层</x:v>
      </x:c>
      <x:c r="G412" s="22" t="str">
        <x:v>TM1</x:v>
      </x:c>
      <x:c r="H412" s="22" t="str">
        <x:v>多卡协同与观测治理</x:v>
      </x:c>
      <x:c r="I412" s="22" t="str">
        <x:v>P0</x:v>
      </x:c>
      <x:c r="J412" s="22" t="str">
        <x:v>P0</x:v>
      </x:c>
      <x:c r="K412" s="22" t="str">
        <x:v>验证与观测</x:v>
      </x:c>
      <x:c r="L412" s="22" t="str">
        <x:v>推理框架开发</x:v>
      </x:c>
      <x:c r="M412" s="22" t="str">
        <x:v>tests/runtime/rank_consensus/intent_api_test.cc + benchmarks/runtime/rank_consensus/intent_api_benchmark.cc</x:v>
      </x:c>
      <x:c r="N412" s="22" t="str">
        <x:v>IntentAPITest / IntentAPIBenchmark</x:v>
      </x:c>
      <x:c r="O412" s="22" t="str">
        <x:v>新增正常、边界、并发、超时、stale metadata、迁移冲突、路径拥塞/故障与 feature-flag-off 用例；在 benchmark 中固定模型、tokenizer、prompt、并发、拓扑和 baseline，采集 lookup/load/attach、TTFT、TPOT、usable/abandoned hit、带宽/时延及 CPU/NPU 利用率。</x:v>
      </x:c>
      <x:c r="P412" s="22" t="str">
        <x:v>验收直接引用来源指标：“上层后端无关；新增后端无需改 Scheduler；”；故障用例必须证明错误 KV 不被消费且 fallback reason 可追踪。</x:v>
      </x:c>
      <x:c r="Q412" s="22" t="str">
        <x:v>来源验收项全部自动化；性能报告包含 P50/P95/P99、置信区间与 baseline；失败门槛接入 CI；测试数据和命令可复现。</x:v>
      </x:c>
      <x:c r="R412" s="22" t="str">
        <x:v>./bin/kvcache_bench --case=intent_api --baseline=native --report=json</x:v>
      </x:c>
      <x:c r="S412" s="22" t="str">
        <x:v>上层后端无关；新增后端无需改 Scheduler；</x:v>
      </x:c>
      <x:c r="T412" s="22" t="str">
        <x:v>SR-02-10-01</x:v>
      </x:c>
      <x:c r="U412" s="22" t="str">
        <x:v>待认领</x:v>
      </x:c>
      <x:c r="V412" s="22" t="str"/>
      <x:c r="W412" s="22" t="str"/>
      <x:c r="X412" s="22" t="str">
        <x:f>IF(COUNTIF($A$5:$A$451,A412)=1,"PASS","FAIL")</x:f>
        <x:v>PASS</x:v>
      </x:c>
      <x:c r="Y412" s="22" t="str">
        <x:f>IF(COUNTIF('SR系统设计'!$A$5:$A$153,B412)+COUNTIF('追溯与覆盖'!$A$5:$A$153,C412)=2,"PASS","FAIL")</x:f>
        <x:v>PASS</x:v>
      </x:c>
    </x:row>
    <x:row r="413" ht="84" customHeight="1">
      <x:c r="A413" s="25" t="str">
        <x:v>AR-L1-OB-SemanticMetrics-016-01</x:v>
      </x:c>
      <x:c r="B413" s="25" t="str">
        <x:v>SR-02-10-02</x:v>
      </x:c>
      <x:c r="C413" s="25" t="str">
        <x:v>L1-OB-SemanticMetrics-016</x:v>
      </x:c>
      <x:c r="D413" s="25" t="str">
        <x:v>SF-02</x:v>
      </x:c>
      <x:c r="E413" s="25" t="str">
        <x:v>IR-02-10</x:v>
      </x:c>
      <x:c r="F413" s="22" t="str">
        <x:v>L1 推理调度层</x:v>
      </x:c>
      <x:c r="G413" s="22" t="str">
        <x:v>TM6</x:v>
      </x:c>
      <x:c r="H413" s="22" t="str">
        <x:v>多卡协同与观测治理</x:v>
      </x:c>
      <x:c r="I413" s="22" t="str">
        <x:v>P1</x:v>
      </x:c>
      <x:c r="J413" s="22" t="str">
        <x:v>P1</x:v>
      </x:c>
      <x:c r="K413" s="22" t="str">
        <x:v>核心实现</x:v>
      </x:c>
      <x:c r="L413" s="22" t="str">
        <x:v>推理框架开发</x:v>
      </x:c>
      <x:c r="M413" s="22" t="str">
        <x:v>src/runtime/rank_consensus/semantic_metrics.{h,cc}</x:v>
      </x:c>
      <x:c r="N413" s="22" t="str">
        <x:v>SemanticMetricsCoordinator</x:v>
      </x:c>
      <x:c r="O413" s="22" t="str">
        <x:v>在 `src/runtime/rank_consensus/semantic_metrics.{h,cc}` 新增或重写 `SemanticMetricsCoordinator`，把“KVCache 命中收益可观测”落实为 L1 推理调度层 可调用主路径：本需求要求框架层输出语义化 KV 命中指标，不得只统计 prefix hit rate； 输入必须显式消费 per-rank hit/ready/error + request context，输出 consensus result + semantic metrics，不得用全局单例或隐藏同步 I/O 绕开预算与状态机。</x:v>
      </x:c>
      <x:c r="P413" s="22" t="str">
        <x:v>实现 per-rank hit/ready/error + request context → consensus result + semantic metrics；遵守 任一rank不满足消费条件则全组按约定降级，禁止部分rank误消费</x:v>
      </x:c>
      <x:c r="Q413" s="22" t="str">
        <x:v>核心算法与状态转换完成；新增代码单测分支覆盖≥85%；线程安全/所有权明确；关闭 feature flag 时行为与 baseline 一致。</x:v>
      </x:c>
      <x:c r="R413" s="22" t="str">
        <x:v>ctest -R SemanticMetrics --output-on-failure</x:v>
      </x:c>
      <x:c r="S413" s="22" t="str">
        <x:v>指标覆盖率 受SLO约束的比例；</x:v>
      </x:c>
      <x:c r="T413" s="22" t="str">
        <x:v>SR-02-10-02</x:v>
      </x:c>
      <x:c r="U413" s="22" t="str">
        <x:v>待认领</x:v>
      </x:c>
      <x:c r="V413" s="22" t="str"/>
      <x:c r="W413" s="22" t="str"/>
      <x:c r="X413" s="22" t="str">
        <x:f>IF(COUNTIF($A$5:$A$451,A413)=1,"PASS","FAIL")</x:f>
        <x:v>PASS</x:v>
      </x:c>
      <x:c r="Y413" s="22" t="str">
        <x:f>IF(COUNTIF('SR系统设计'!$A$5:$A$153,B413)+COUNTIF('追溯与覆盖'!$A$5:$A$153,C413)=2,"PASS","FAIL")</x:f>
        <x:v>PASS</x:v>
      </x:c>
    </x:row>
    <x:row r="414" ht="84" customHeight="1">
      <x:c r="A414" s="25" t="str">
        <x:v>AR-L1-OB-SemanticMetrics-016-02</x:v>
      </x:c>
      <x:c r="B414" s="25" t="str">
        <x:v>SR-02-10-02</x:v>
      </x:c>
      <x:c r="C414" s="25" t="str">
        <x:v>L1-OB-SemanticMetrics-016</x:v>
      </x:c>
      <x:c r="D414" s="25" t="str">
        <x:v>SF-02</x:v>
      </x:c>
      <x:c r="E414" s="25" t="str">
        <x:v>IR-02-10</x:v>
      </x:c>
      <x:c r="F414" s="22" t="str">
        <x:v>L1 推理调度层</x:v>
      </x:c>
      <x:c r="G414" s="22" t="str">
        <x:v>TM6</x:v>
      </x:c>
      <x:c r="H414" s="22" t="str">
        <x:v>多卡协同与观测治理</x:v>
      </x:c>
      <x:c r="I414" s="22" t="str">
        <x:v>P1</x:v>
      </x:c>
      <x:c r="J414" s="22" t="str">
        <x:v>P1</x:v>
      </x:c>
      <x:c r="K414" s="22" t="str">
        <x:v>契约配置与降级</x:v>
      </x:c>
      <x:c r="L414" s="22" t="str">
        <x:v>推理框架开发</x:v>
      </x:c>
      <x:c r="M414" s="22" t="str">
        <x:v>api/kvcache/v1/semantic_metrics.proto + config/runtime/semantic_metrics.yaml</x:v>
      </x:c>
      <x:c r="N414" s="22" t="str">
        <x:v>SemanticMetricsOptions / kvcache.semantic_metrics.enabled</x:v>
      </x:c>
      <x:c r="O414" s="22" t="str">
        <x:v>为 `SemanticMetricsOptions` 增加 `kvcache.semantic_metrics.enabled`、deadline/容量/队列预算及版本字段；在调用点接入 typed error、decision_reason、fallback_reason，确保配置热更新、灰度关闭和向后兼容均可审计。</x:v>
      </x:c>
      <x:c r="P414" s="22" t="str">
        <x:v>IDL/配置 schema 有版本号、默认值、边界校验和错误码；状态/租约/ready 不满足时按 任一rank不满足消费条件则全组按约定降级，禁止部分rank误消费</x:v>
      </x:c>
      <x:c r="Q414" s="22" t="str">
        <x:v>配置样例、schema 校验、升级兼容测试和回退路径齐全；任何隐式 fallback 被移除；新增指标可关联 request_id/query_plan_id/object_id/path_id。</x:v>
      </x:c>
      <x:c r="R414" s="22" t="str">
        <x:v>ctest -R SemanticMetricsConfig &amp;&amp; ./bin/kvcache_config_check --case=semantic_metrics</x:v>
      </x:c>
      <x:c r="S414" s="22" t="str">
        <x:v>指标覆盖率 受SLO约束的比例；</x:v>
      </x:c>
      <x:c r="T414" s="22" t="str">
        <x:v>SR-02-10-02</x:v>
      </x:c>
      <x:c r="U414" s="22" t="str">
        <x:v>待认领</x:v>
      </x:c>
      <x:c r="V414" s="22" t="str"/>
      <x:c r="W414" s="22" t="str"/>
      <x:c r="X414" s="22" t="str">
        <x:f>IF(COUNTIF($A$5:$A$451,A414)=1,"PASS","FAIL")</x:f>
        <x:v>PASS</x:v>
      </x:c>
      <x:c r="Y414" s="22" t="str">
        <x:f>IF(COUNTIF('SR系统设计'!$A$5:$A$153,B414)+COUNTIF('追溯与覆盖'!$A$5:$A$153,C414)=2,"PASS","FAIL")</x:f>
        <x:v>PASS</x:v>
      </x:c>
    </x:row>
    <x:row r="415" ht="84" customHeight="1">
      <x:c r="A415" s="25" t="str">
        <x:v>AR-L1-OB-SemanticMetrics-016-03</x:v>
      </x:c>
      <x:c r="B415" s="25" t="str">
        <x:v>SR-02-10-02</x:v>
      </x:c>
      <x:c r="C415" s="25" t="str">
        <x:v>L1-OB-SemanticMetrics-016</x:v>
      </x:c>
      <x:c r="D415" s="25" t="str">
        <x:v>SF-02</x:v>
      </x:c>
      <x:c r="E415" s="25" t="str">
        <x:v>IR-02-10</x:v>
      </x:c>
      <x:c r="F415" s="22" t="str">
        <x:v>L1 推理调度层</x:v>
      </x:c>
      <x:c r="G415" s="22" t="str">
        <x:v>TM6</x:v>
      </x:c>
      <x:c r="H415" s="22" t="str">
        <x:v>多卡协同与观测治理</x:v>
      </x:c>
      <x:c r="I415" s="22" t="str">
        <x:v>P1</x:v>
      </x:c>
      <x:c r="J415" s="22" t="str">
        <x:v>P1</x:v>
      </x:c>
      <x:c r="K415" s="22" t="str">
        <x:v>验证与观测</x:v>
      </x:c>
      <x:c r="L415" s="22" t="str">
        <x:v>推理框架开发</x:v>
      </x:c>
      <x:c r="M415" s="22" t="str">
        <x:v>tests/runtime/rank_consensus/semantic_metrics_test.cc + benchmarks/runtime/rank_consensus/semantic_metrics_benchmark.cc</x:v>
      </x:c>
      <x:c r="N415" s="22" t="str">
        <x:v>SemanticMetricsTest / SemanticMetricsBenchmark</x:v>
      </x:c>
      <x:c r="O415" s="22" t="str">
        <x:v>新增正常、边界、并发、超时、stale metadata、迁移冲突、路径拥塞/故障与 feature-flag-off 用例；在 benchmark 中固定模型、tokenizer、prompt、并发、拓扑和 baseline，采集 lookup/load/attach、TTFT、TPOT、usable/abandoned hit、带宽/时延及 CPU/NPU 利用率。</x:v>
      </x:c>
      <x:c r="P415" s="22" t="str">
        <x:v>验收直接引用来源指标：“指标覆盖率 受SLO约束的比例；”；故障用例必须证明错误 KV 不被消费且 fallback reason 可追踪。</x:v>
      </x:c>
      <x:c r="Q415" s="22" t="str">
        <x:v>来源验收项全部自动化；性能报告包含 P50/P95/P99、置信区间与 baseline；失败门槛接入 CI；测试数据和命令可复现。</x:v>
      </x:c>
      <x:c r="R415" s="22" t="str">
        <x:v>./bin/kvcache_bench --case=semantic_metrics --baseline=native --report=json</x:v>
      </x:c>
      <x:c r="S415" s="22" t="str">
        <x:v>指标覆盖率 受SLO约束的比例；</x:v>
      </x:c>
      <x:c r="T415" s="22" t="str">
        <x:v>SR-02-10-02</x:v>
      </x:c>
      <x:c r="U415" s="22" t="str">
        <x:v>待认领</x:v>
      </x:c>
      <x:c r="V415" s="22" t="str"/>
      <x:c r="W415" s="22" t="str"/>
      <x:c r="X415" s="22" t="str">
        <x:f>IF(COUNTIF($A$5:$A$451,A415)=1,"PASS","FAIL")</x:f>
        <x:v>PASS</x:v>
      </x:c>
      <x:c r="Y415" s="22" t="str">
        <x:f>IF(COUNTIF('SR系统设计'!$A$5:$A$153,B415)+COUNTIF('追溯与覆盖'!$A$5:$A$153,C415)=2,"PASS","FAIL")</x:f>
        <x:v>PASS</x:v>
      </x:c>
    </x:row>
    <x:row r="416" ht="84" customHeight="1">
      <x:c r="A416" s="25" t="str">
        <x:v>AR-L1-PD-RankConsensus-013-01</x:v>
      </x:c>
      <x:c r="B416" s="25" t="str">
        <x:v>SR-02-10-03</x:v>
      </x:c>
      <x:c r="C416" s="25" t="str">
        <x:v>L1-PD-RankConsensus-013</x:v>
      </x:c>
      <x:c r="D416" s="25" t="str">
        <x:v>SF-02</x:v>
      </x:c>
      <x:c r="E416" s="25" t="str">
        <x:v>IR-02-10</x:v>
      </x:c>
      <x:c r="F416" s="22" t="str">
        <x:v>L1 推理调度层</x:v>
      </x:c>
      <x:c r="G416" s="22" t="str">
        <x:v>TM5</x:v>
      </x:c>
      <x:c r="H416" s="22" t="str">
        <x:v>多卡协同与观测治理</x:v>
      </x:c>
      <x:c r="I416" s="22" t="str">
        <x:v>P1</x:v>
      </x:c>
      <x:c r="J416" s="22" t="str">
        <x:v>P1</x:v>
      </x:c>
      <x:c r="K416" s="22" t="str">
        <x:v>核心实现</x:v>
      </x:c>
      <x:c r="L416" s="22" t="str">
        <x:v>推理框架开发</x:v>
      </x:c>
      <x:c r="M416" s="22" t="str">
        <x:v>src/runtime/rank_consensus/rank_consensus.{h,cc}</x:v>
      </x:c>
      <x:c r="N416" s="22" t="str">
        <x:v>RankConsensusCoordinator</x:v>
      </x:c>
      <x:c r="O416" s="22" t="str">
        <x:v>在 `src/runtime/rank_consensus/rank_consensus.{h,cc}` 新增或重写 `RankConsensusCoordinator`，把“多卡共享前缀一致复用”落实为 L1 推理调度层 可调用主路径：本需求要求在 TP/PP/P-D 分离场景中实现 rank-level prefix consensus：所有参与 rank 必须对 usable prefix length、KV version、ready bitmap、layout version 达成一致后才允许 attach； 输入必须显式消费 per-rank hit/ready/error + request context，输出 consensus result + semantic metrics，不得用全局单例或隐藏同步 I/O 绕开预算与状态机。</x:v>
      </x:c>
      <x:c r="P416" s="22" t="str">
        <x:v>实现 per-rank hit/ready/error + request context → consensus result + semantic metrics；遵守 任一rank不满足消费条件则全组按约定降级，禁止部分rank误消费</x:v>
      </x:c>
      <x:c r="Q416" s="22" t="str">
        <x:v>核心算法与状态转换完成；新增代码单测分支覆盖≥85%；线程安全/所有权明确；关闭 feature flag 时行为与 baseline 一致。</x:v>
      </x:c>
      <x:c r="R416" s="22" t="str">
        <x:v>ctest -R RankConsensus --output-on-failure</x:v>
      </x:c>
      <x:c r="S416" s="22" t="str">
        <x:v>correctness fault = 0；rank wait p99 &lt;100us；</x:v>
      </x:c>
      <x:c r="T416" s="22" t="str">
        <x:v>SR-02-10-03</x:v>
      </x:c>
      <x:c r="U416" s="22" t="str">
        <x:v>待认领</x:v>
      </x:c>
      <x:c r="V416" s="22" t="str"/>
      <x:c r="W416" s="22" t="str"/>
      <x:c r="X416" s="22" t="str">
        <x:f>IF(COUNTIF($A$5:$A$451,A416)=1,"PASS","FAIL")</x:f>
        <x:v>PASS</x:v>
      </x:c>
      <x:c r="Y416" s="22" t="str">
        <x:f>IF(COUNTIF('SR系统设计'!$A$5:$A$153,B416)+COUNTIF('追溯与覆盖'!$A$5:$A$153,C416)=2,"PASS","FAIL")</x:f>
        <x:v>PASS</x:v>
      </x:c>
    </x:row>
    <x:row r="417" ht="84" customHeight="1">
      <x:c r="A417" s="25" t="str">
        <x:v>AR-L1-PD-RankConsensus-013-02</x:v>
      </x:c>
      <x:c r="B417" s="25" t="str">
        <x:v>SR-02-10-03</x:v>
      </x:c>
      <x:c r="C417" s="25" t="str">
        <x:v>L1-PD-RankConsensus-013</x:v>
      </x:c>
      <x:c r="D417" s="25" t="str">
        <x:v>SF-02</x:v>
      </x:c>
      <x:c r="E417" s="25" t="str">
        <x:v>IR-02-10</x:v>
      </x:c>
      <x:c r="F417" s="22" t="str">
        <x:v>L1 推理调度层</x:v>
      </x:c>
      <x:c r="G417" s="22" t="str">
        <x:v>TM5</x:v>
      </x:c>
      <x:c r="H417" s="22" t="str">
        <x:v>多卡协同与观测治理</x:v>
      </x:c>
      <x:c r="I417" s="22" t="str">
        <x:v>P1</x:v>
      </x:c>
      <x:c r="J417" s="22" t="str">
        <x:v>P1</x:v>
      </x:c>
      <x:c r="K417" s="22" t="str">
        <x:v>契约配置与降级</x:v>
      </x:c>
      <x:c r="L417" s="22" t="str">
        <x:v>推理框架开发</x:v>
      </x:c>
      <x:c r="M417" s="22" t="str">
        <x:v>api/kvcache/v1/rank_consensus.proto + config/runtime/rank_consensus.yaml</x:v>
      </x:c>
      <x:c r="N417" s="22" t="str">
        <x:v>RankConsensusOptions / kvcache.rank_consensus.enabled</x:v>
      </x:c>
      <x:c r="O417" s="22" t="str">
        <x:v>为 `RankConsensusOptions` 增加 `kvcache.rank_consensus.enabled`、deadline/容量/队列预算及版本字段；在调用点接入 typed error、decision_reason、fallback_reason，确保配置热更新、灰度关闭和向后兼容均可审计。</x:v>
      </x:c>
      <x:c r="P417" s="22" t="str">
        <x:v>IDL/配置 schema 有版本号、默认值、边界校验和错误码；状态/租约/ready 不满足时按 任一rank不满足消费条件则全组按约定降级，禁止部分rank误消费</x:v>
      </x:c>
      <x:c r="Q417" s="22" t="str">
        <x:v>配置样例、schema 校验、升级兼容测试和回退路径齐全；任何隐式 fallback 被移除；新增指标可关联 request_id/query_plan_id/object_id/path_id。</x:v>
      </x:c>
      <x:c r="R417" s="22" t="str">
        <x:v>ctest -R RankConsensusConfig &amp;&amp; ./bin/kvcache_config_check --case=rank_consensus</x:v>
      </x:c>
      <x:c r="S417" s="22" t="str">
        <x:v>correctness fault = 0；rank wait p99 &lt;100us；</x:v>
      </x:c>
      <x:c r="T417" s="22" t="str">
        <x:v>SR-02-10-03</x:v>
      </x:c>
      <x:c r="U417" s="22" t="str">
        <x:v>待认领</x:v>
      </x:c>
      <x:c r="V417" s="22" t="str"/>
      <x:c r="W417" s="22" t="str"/>
      <x:c r="X417" s="22" t="str">
        <x:f>IF(COUNTIF($A$5:$A$451,A417)=1,"PASS","FAIL")</x:f>
        <x:v>PASS</x:v>
      </x:c>
      <x:c r="Y417" s="22" t="str">
        <x:f>IF(COUNTIF('SR系统设计'!$A$5:$A$153,B417)+COUNTIF('追溯与覆盖'!$A$5:$A$153,C417)=2,"PASS","FAIL")</x:f>
        <x:v>PASS</x:v>
      </x:c>
    </x:row>
    <x:row r="418" ht="84" customHeight="1">
      <x:c r="A418" s="25" t="str">
        <x:v>AR-L1-PD-RankConsensus-013-03</x:v>
      </x:c>
      <x:c r="B418" s="25" t="str">
        <x:v>SR-02-10-03</x:v>
      </x:c>
      <x:c r="C418" s="25" t="str">
        <x:v>L1-PD-RankConsensus-013</x:v>
      </x:c>
      <x:c r="D418" s="25" t="str">
        <x:v>SF-02</x:v>
      </x:c>
      <x:c r="E418" s="25" t="str">
        <x:v>IR-02-10</x:v>
      </x:c>
      <x:c r="F418" s="22" t="str">
        <x:v>L1 推理调度层</x:v>
      </x:c>
      <x:c r="G418" s="22" t="str">
        <x:v>TM5</x:v>
      </x:c>
      <x:c r="H418" s="22" t="str">
        <x:v>多卡协同与观测治理</x:v>
      </x:c>
      <x:c r="I418" s="22" t="str">
        <x:v>P1</x:v>
      </x:c>
      <x:c r="J418" s="22" t="str">
        <x:v>P1</x:v>
      </x:c>
      <x:c r="K418" s="22" t="str">
        <x:v>验证与观测</x:v>
      </x:c>
      <x:c r="L418" s="22" t="str">
        <x:v>推理框架开发</x:v>
      </x:c>
      <x:c r="M418" s="22" t="str">
        <x:v>tests/runtime/rank_consensus/rank_consensus_test.cc + benchmarks/runtime/rank_consensus/rank_consensus_benchmark.cc</x:v>
      </x:c>
      <x:c r="N418" s="22" t="str">
        <x:v>RankConsensusTest / RankConsensusBenchmark</x:v>
      </x:c>
      <x:c r="O418" s="22" t="str">
        <x:v>新增正常、边界、并发、超时、stale metadata、迁移冲突、路径拥塞/故障与 feature-flag-off 用例；在 benchmark 中固定模型、tokenizer、prompt、并发、拓扑和 baseline，采集 lookup/load/attach、TTFT、TPOT、usable/abandoned hit、带宽/时延及 CPU/NPU 利用率。</x:v>
      </x:c>
      <x:c r="P418" s="22" t="str">
        <x:v>验收直接引用来源指标：“correctness fault = 0；rank wait p99 &lt;100us；”；故障用例必须证明错误 KV 不被消费且 fallback reason 可追踪。</x:v>
      </x:c>
      <x:c r="Q418" s="22" t="str">
        <x:v>来源验收项全部自动化；性能报告包含 P50/P95/P99、置信区间与 baseline；失败门槛接入 CI；测试数据和命令可复现。</x:v>
      </x:c>
      <x:c r="R418" s="22" t="str">
        <x:v>./bin/kvcache_bench --case=rank_consensus --baseline=native --report=json</x:v>
      </x:c>
      <x:c r="S418" s="22" t="str">
        <x:v>correctness fault = 0；rank wait p99 &lt;100us；</x:v>
      </x:c>
      <x:c r="T418" s="22" t="str">
        <x:v>SR-02-10-03</x:v>
      </x:c>
      <x:c r="U418" s="22" t="str">
        <x:v>待认领</x:v>
      </x:c>
      <x:c r="V418" s="22" t="str"/>
      <x:c r="W418" s="22" t="str"/>
      <x:c r="X418" s="22" t="str">
        <x:f>IF(COUNTIF($A$5:$A$451,A418)=1,"PASS","FAIL")</x:f>
        <x:v>PASS</x:v>
      </x:c>
      <x:c r="Y418" s="22" t="str">
        <x:f>IF(COUNTIF('SR系统设计'!$A$5:$A$153,B418)+COUNTIF('追溯与覆盖'!$A$5:$A$153,C418)=2,"PASS","FAIL")</x:f>
        <x:v>PASS</x:v>
      </x:c>
    </x:row>
    <x:row r="419" ht="84" customHeight="1">
      <x:c r="A419" s="25" t="str">
        <x:v>AR-L1-SE-ExpertOverride-015-01</x:v>
      </x:c>
      <x:c r="B419" s="25" t="str">
        <x:v>SR-02-10-04</x:v>
      </x:c>
      <x:c r="C419" s="25" t="str">
        <x:v>L1-SE-ExpertOverride-015</x:v>
      </x:c>
      <x:c r="D419" s="25" t="str">
        <x:v>SF-02</x:v>
      </x:c>
      <x:c r="E419" s="25" t="str">
        <x:v>IR-02-10</x:v>
      </x:c>
      <x:c r="F419" s="22" t="str">
        <x:v>L1 推理调度层</x:v>
      </x:c>
      <x:c r="G419" s="22" t="str">
        <x:v>TM1</x:v>
      </x:c>
      <x:c r="H419" s="22" t="str">
        <x:v>多卡协同与观测治理</x:v>
      </x:c>
      <x:c r="I419" s="22" t="str">
        <x:v>P3</x:v>
      </x:c>
      <x:c r="J419" s="22" t="str">
        <x:v>P3</x:v>
      </x:c>
      <x:c r="K419" s="22" t="str">
        <x:v>核心实现</x:v>
      </x:c>
      <x:c r="L419" s="22" t="str">
        <x:v>推理框架开发</x:v>
      </x:c>
      <x:c r="M419" s="22" t="str">
        <x:v>src/runtime/rank_consensus/expert_override.{h,cc}</x:v>
      </x:c>
      <x:c r="N419" s="22" t="str">
        <x:v>ExpertOverrideCoordinator</x:v>
      </x:c>
      <x:c r="O419" s="22" t="str">
        <x:v>在 `src/runtime/rank_consensus/expert_override.{h,cc}` 新增或重写 `ExpertOverrideCoordinator`，把“专家级 KV 传输策略控制”落实为 L1 推理调度层 可调用主路径：本需求要求在默认 intent API 之外提供专家级 override：允许研发和运维在 A/B 实验、故障绕行、极致性能调优中显式指定 preferred semantics、forbidden semantics、force copy-to-HBM、allow direct view、forbid TCP fallback 等策略。 输入必须显式消费 per-rank hit/ready/error + request context，输出 consensus result + semantic metrics，不得用全局单例或隐藏同步 I/O 绕开预算与状态机。</x:v>
      </x:c>
      <x:c r="P419" s="22" t="str">
        <x:v>实现 per-rank hit/ready/error + request context → consensus result + semantic metrics；遵守 任一rank不满足消费条件则全组按约定降级，禁止部分rank误消费</x:v>
      </x:c>
      <x:c r="Q419" s="22" t="str">
        <x:v>核心算法与状态转换完成；新增代码单测分支覆盖≥85%；线程安全/所有权明确；关闭 feature flag 时行为与 baseline 一致。</x:v>
      </x:c>
      <x:c r="R419" s="22" t="str">
        <x:v>ctest -R ExpertOverride --output-on-failure</x:v>
      </x:c>
      <x:c r="S419" s="22" t="str">
        <x:v>path selection 可控；</x:v>
      </x:c>
      <x:c r="T419" s="22" t="str">
        <x:v>SR-02-10-04</x:v>
      </x:c>
      <x:c r="U419" s="22" t="str">
        <x:v>待认领</x:v>
      </x:c>
      <x:c r="V419" s="22" t="str"/>
      <x:c r="W419" s="22" t="str"/>
      <x:c r="X419" s="22" t="str">
        <x:f>IF(COUNTIF($A$5:$A$451,A419)=1,"PASS","FAIL")</x:f>
        <x:v>PASS</x:v>
      </x:c>
      <x:c r="Y419" s="22" t="str">
        <x:f>IF(COUNTIF('SR系统设计'!$A$5:$A$153,B419)+COUNTIF('追溯与覆盖'!$A$5:$A$153,C419)=2,"PASS","FAIL")</x:f>
        <x:v>PASS</x:v>
      </x:c>
    </x:row>
    <x:row r="420" ht="84" customHeight="1">
      <x:c r="A420" s="25" t="str">
        <x:v>AR-L1-SE-ExpertOverride-015-02</x:v>
      </x:c>
      <x:c r="B420" s="25" t="str">
        <x:v>SR-02-10-04</x:v>
      </x:c>
      <x:c r="C420" s="25" t="str">
        <x:v>L1-SE-ExpertOverride-015</x:v>
      </x:c>
      <x:c r="D420" s="25" t="str">
        <x:v>SF-02</x:v>
      </x:c>
      <x:c r="E420" s="25" t="str">
        <x:v>IR-02-10</x:v>
      </x:c>
      <x:c r="F420" s="22" t="str">
        <x:v>L1 推理调度层</x:v>
      </x:c>
      <x:c r="G420" s="22" t="str">
        <x:v>TM1</x:v>
      </x:c>
      <x:c r="H420" s="22" t="str">
        <x:v>多卡协同与观测治理</x:v>
      </x:c>
      <x:c r="I420" s="22" t="str">
        <x:v>P3</x:v>
      </x:c>
      <x:c r="J420" s="22" t="str">
        <x:v>P3</x:v>
      </x:c>
      <x:c r="K420" s="22" t="str">
        <x:v>契约配置与降级</x:v>
      </x:c>
      <x:c r="L420" s="22" t="str">
        <x:v>推理框架开发</x:v>
      </x:c>
      <x:c r="M420" s="22" t="str">
        <x:v>api/kvcache/v1/expert_override.proto + config/runtime/expert_override.yaml</x:v>
      </x:c>
      <x:c r="N420" s="22" t="str">
        <x:v>ExpertOverrideOptions / kvcache.expert_override.enabled</x:v>
      </x:c>
      <x:c r="O420" s="22" t="str">
        <x:v>为 `ExpertOverrideOptions` 增加 `kvcache.expert_override.enabled`、deadline/容量/队列预算及版本字段；在调用点接入 typed error、decision_reason、fallback_reason，确保配置热更新、灰度关闭和向后兼容均可审计。</x:v>
      </x:c>
      <x:c r="P420" s="22" t="str">
        <x:v>IDL/配置 schema 有版本号、默认值、边界校验和错误码；状态/租约/ready 不满足时按 任一rank不满足消费条件则全组按约定降级，禁止部分rank误消费</x:v>
      </x:c>
      <x:c r="Q420" s="22" t="str">
        <x:v>配置样例、schema 校验、升级兼容测试和回退路径齐全；任何隐式 fallback 被移除；新增指标可关联 request_id/query_plan_id/object_id/path_id。</x:v>
      </x:c>
      <x:c r="R420" s="22" t="str">
        <x:v>ctest -R ExpertOverrideConfig &amp;&amp; ./bin/kvcache_config_check --case=expert_override</x:v>
      </x:c>
      <x:c r="S420" s="22" t="str">
        <x:v>path selection 可控；</x:v>
      </x:c>
      <x:c r="T420" s="22" t="str">
        <x:v>SR-02-10-04</x:v>
      </x:c>
      <x:c r="U420" s="22" t="str">
        <x:v>待认领</x:v>
      </x:c>
      <x:c r="V420" s="22" t="str"/>
      <x:c r="W420" s="22" t="str"/>
      <x:c r="X420" s="22" t="str">
        <x:f>IF(COUNTIF($A$5:$A$451,A420)=1,"PASS","FAIL")</x:f>
        <x:v>PASS</x:v>
      </x:c>
      <x:c r="Y420" s="22" t="str">
        <x:f>IF(COUNTIF('SR系统设计'!$A$5:$A$153,B420)+COUNTIF('追溯与覆盖'!$A$5:$A$153,C420)=2,"PASS","FAIL")</x:f>
        <x:v>PASS</x:v>
      </x:c>
    </x:row>
    <x:row r="421" ht="84" customHeight="1">
      <x:c r="A421" s="25" t="str">
        <x:v>AR-L1-SE-ExpertOverride-015-03</x:v>
      </x:c>
      <x:c r="B421" s="25" t="str">
        <x:v>SR-02-10-04</x:v>
      </x:c>
      <x:c r="C421" s="25" t="str">
        <x:v>L1-SE-ExpertOverride-015</x:v>
      </x:c>
      <x:c r="D421" s="25" t="str">
        <x:v>SF-02</x:v>
      </x:c>
      <x:c r="E421" s="25" t="str">
        <x:v>IR-02-10</x:v>
      </x:c>
      <x:c r="F421" s="22" t="str">
        <x:v>L1 推理调度层</x:v>
      </x:c>
      <x:c r="G421" s="22" t="str">
        <x:v>TM1</x:v>
      </x:c>
      <x:c r="H421" s="22" t="str">
        <x:v>多卡协同与观测治理</x:v>
      </x:c>
      <x:c r="I421" s="22" t="str">
        <x:v>P3</x:v>
      </x:c>
      <x:c r="J421" s="22" t="str">
        <x:v>P3</x:v>
      </x:c>
      <x:c r="K421" s="22" t="str">
        <x:v>验证与观测</x:v>
      </x:c>
      <x:c r="L421" s="22" t="str">
        <x:v>推理框架开发</x:v>
      </x:c>
      <x:c r="M421" s="22" t="str">
        <x:v>tests/runtime/rank_consensus/expert_override_test.cc + benchmarks/runtime/rank_consensus/expert_override_benchmark.cc</x:v>
      </x:c>
      <x:c r="N421" s="22" t="str">
        <x:v>ExpertOverrideTest / ExpertOverrideBenchmark</x:v>
      </x:c>
      <x:c r="O421" s="22" t="str">
        <x:v>新增正常、边界、并发、超时、stale metadata、迁移冲突、路径拥塞/故障与 feature-flag-off 用例；在 benchmark 中固定模型、tokenizer、prompt、并发、拓扑和 baseline，采集 lookup/load/attach、TTFT、TPOT、usable/abandoned hit、带宽/时延及 CPU/NPU 利用率。</x:v>
      </x:c>
      <x:c r="P421" s="22" t="str">
        <x:v>验收直接引用来源指标：“path selection 可控；”；故障用例必须证明错误 KV 不被消费且 fallback reason 可追踪。</x:v>
      </x:c>
      <x:c r="Q421" s="22" t="str">
        <x:v>来源验收项全部自动化；性能报告包含 P50/P95/P99、置信区间与 baseline；失败门槛接入 CI；测试数据和命令可复现。</x:v>
      </x:c>
      <x:c r="R421" s="22" t="str">
        <x:v>./bin/kvcache_bench --case=expert_override --baseline=native --report=json</x:v>
      </x:c>
      <x:c r="S421" s="22" t="str">
        <x:v>path selection 可控；</x:v>
      </x:c>
      <x:c r="T421" s="22" t="str">
        <x:v>SR-02-10-04</x:v>
      </x:c>
      <x:c r="U421" s="22" t="str">
        <x:v>待认领</x:v>
      </x:c>
      <x:c r="V421" s="22" t="str"/>
      <x:c r="W421" s="22" t="str"/>
      <x:c r="X421" s="22" t="str">
        <x:f>IF(COUNTIF($A$5:$A$451,A421)=1,"PASS","FAIL")</x:f>
        <x:v>PASS</x:v>
      </x:c>
      <x:c r="Y421" s="22" t="str">
        <x:f>IF(COUNTIF('SR系统设计'!$A$5:$A$153,B421)+COUNTIF('追溯与覆盖'!$A$5:$A$153,C421)=2,"PASS","FAIL")</x:f>
        <x:v>PASS</x:v>
      </x:c>
    </x:row>
    <x:row r="422" ht="84" customHeight="1">
      <x:c r="A422" s="25" t="str">
        <x:v>AR-L3-OB-PerPathTelemetry-047-01</x:v>
      </x:c>
      <x:c r="B422" s="25" t="str">
        <x:v>SR-02-11-01</x:v>
      </x:c>
      <x:c r="C422" s="25" t="str">
        <x:v>L3-OB-PerPathTelemetry-047</x:v>
      </x:c>
      <x:c r="D422" s="25" t="str">
        <x:v>SF-02</x:v>
      </x:c>
      <x:c r="E422" s="25" t="str">
        <x:v>IR-02-11</x:v>
      </x:c>
      <x:c r="F422" s="22" t="str">
        <x:v>L3 传输管理层</x:v>
      </x:c>
      <x:c r="G422" s="22" t="str">
        <x:v>TM6</x:v>
      </x:c>
      <x:c r="H422" s="22" t="str">
        <x:v>全路径观测与故障追踪</x:v>
      </x:c>
      <x:c r="I422" s="22" t="str">
        <x:v>P0</x:v>
      </x:c>
      <x:c r="J422" s="22" t="str">
        <x:v>P0</x:v>
      </x:c>
      <x:c r="K422" s="22" t="str">
        <x:v>核心实现</x:v>
      </x:c>
      <x:c r="L422" s="22" t="str">
        <x:v>存储池/传输管理开发</x:v>
      </x:c>
      <x:c r="M422" s="22" t="str">
        <x:v>src/observability/per_path_telemetry.{h,cc}</x:v>
      </x:c>
      <x:c r="N422" s="22" t="str">
        <x:v>PerPathTelemetryCollector</x:v>
      </x:c>
      <x:c r="O422" s="22" t="str">
        <x:v>在 `src/observability/per_path_telemetry.{h,cc}` 新增或重写 `PerPathTelemetryCollector`，把“KVCache 全路径性能观测”落实为 L3 传输管理层 可调用主路径：本需求要求 Transfer Manager 按路径持续导出 telemetry：包括 UB/C2C view latency、RDMA bandwidth、RDMA CQ latency、copy engine queue、SSD/GDS latency、TCP p99、retry、throttle、fault 和 fallback count。 输入必须显式消费 cross-layer events + hardware counters + SLO result，输出 trace/metrics/inspect response + alert，不得用全局单例或隐藏同步 I/O 绕开预算与状态机。</x:v>
      </x:c>
      <x:c r="P422" s="22" t="str">
        <x:v>实现 cross-layer events + hardware counters + SLO result → trace/metrics/inspect response + alert；遵守 采集失败不得阻塞数据面；高基数标签必须限额并可采样</x:v>
      </x:c>
      <x:c r="Q422" s="22" t="str">
        <x:v>核心算法与状态转换完成；新增代码单测分支覆盖≥85%；线程安全/所有权明确；关闭 feature flag 时行为与 baseline 一致。</x:v>
      </x:c>
      <x:c r="R422" s="22" t="str">
        <x:v>ctest -R PerPathTelemetry --output-on-failure</x:v>
      </x:c>
      <x:c r="S422" s="22" t="str">
        <x:v>load cost 预测误差 &lt;20%；</x:v>
      </x:c>
      <x:c r="T422" s="22" t="str">
        <x:v>SR-02-11-01</x:v>
      </x:c>
      <x:c r="U422" s="22" t="str">
        <x:v>待认领</x:v>
      </x:c>
      <x:c r="V422" s="22" t="str"/>
      <x:c r="W422" s="22" t="str"/>
      <x:c r="X422" s="22" t="str">
        <x:f>IF(COUNTIF($A$5:$A$451,A422)=1,"PASS","FAIL")</x:f>
        <x:v>PASS</x:v>
      </x:c>
      <x:c r="Y422" s="22" t="str">
        <x:f>IF(COUNTIF('SR系统设计'!$A$5:$A$153,B422)+COUNTIF('追溯与覆盖'!$A$5:$A$153,C422)=2,"PASS","FAIL")</x:f>
        <x:v>PASS</x:v>
      </x:c>
    </x:row>
    <x:row r="423" ht="84" customHeight="1">
      <x:c r="A423" s="25" t="str">
        <x:v>AR-L3-OB-PerPathTelemetry-047-02</x:v>
      </x:c>
      <x:c r="B423" s="25" t="str">
        <x:v>SR-02-11-01</x:v>
      </x:c>
      <x:c r="C423" s="25" t="str">
        <x:v>L3-OB-PerPathTelemetry-047</x:v>
      </x:c>
      <x:c r="D423" s="25" t="str">
        <x:v>SF-02</x:v>
      </x:c>
      <x:c r="E423" s="25" t="str">
        <x:v>IR-02-11</x:v>
      </x:c>
      <x:c r="F423" s="22" t="str">
        <x:v>L3 传输管理层</x:v>
      </x:c>
      <x:c r="G423" s="22" t="str">
        <x:v>TM6</x:v>
      </x:c>
      <x:c r="H423" s="22" t="str">
        <x:v>全路径观测与故障追踪</x:v>
      </x:c>
      <x:c r="I423" s="22" t="str">
        <x:v>P0</x:v>
      </x:c>
      <x:c r="J423" s="22" t="str">
        <x:v>P0</x:v>
      </x:c>
      <x:c r="K423" s="22" t="str">
        <x:v>契约配置与降级</x:v>
      </x:c>
      <x:c r="L423" s="22" t="str">
        <x:v>存储池/传输管理开发</x:v>
      </x:c>
      <x:c r="M423" s="22" t="str">
        <x:v>api/kvcache/v1/per_path_telemetry.proto + config/runtime/per_path_telemetry.yaml</x:v>
      </x:c>
      <x:c r="N423" s="22" t="str">
        <x:v>PerPathTelemetryOptions / kvcache.per_path_telemetry.enabled</x:v>
      </x:c>
      <x:c r="O423" s="22" t="str">
        <x:v>为 `PerPathTelemetryOptions` 增加 `kvcache.per_path_telemetry.enabled`、deadline/容量/队列预算及版本字段；在调用点接入 typed error、decision_reason、fallback_reason，确保配置热更新、灰度关闭和向后兼容均可审计。</x:v>
      </x:c>
      <x:c r="P423" s="22" t="str">
        <x:v>IDL/配置 schema 有版本号、默认值、边界校验和错误码；状态/租约/ready 不满足时按 采集失败不得阻塞数据面；高基数标签必须限额并可采样</x:v>
      </x:c>
      <x:c r="Q423" s="22" t="str">
        <x:v>配置样例、schema 校验、升级兼容测试和回退路径齐全；任何隐式 fallback 被移除；新增指标可关联 request_id/query_plan_id/object_id/path_id。</x:v>
      </x:c>
      <x:c r="R423" s="22" t="str">
        <x:v>ctest -R PerPathTelemetryConfig &amp;&amp; ./bin/kvcache_config_check --case=per_path_telemetry</x:v>
      </x:c>
      <x:c r="S423" s="22" t="str">
        <x:v>load cost 预测误差 &lt;20%；</x:v>
      </x:c>
      <x:c r="T423" s="22" t="str">
        <x:v>SR-02-11-01</x:v>
      </x:c>
      <x:c r="U423" s="22" t="str">
        <x:v>待认领</x:v>
      </x:c>
      <x:c r="V423" s="22" t="str"/>
      <x:c r="W423" s="22" t="str"/>
      <x:c r="X423" s="22" t="str">
        <x:f>IF(COUNTIF($A$5:$A$451,A423)=1,"PASS","FAIL")</x:f>
        <x:v>PASS</x:v>
      </x:c>
      <x:c r="Y423" s="22" t="str">
        <x:f>IF(COUNTIF('SR系统设计'!$A$5:$A$153,B423)+COUNTIF('追溯与覆盖'!$A$5:$A$153,C423)=2,"PASS","FAIL")</x:f>
        <x:v>PASS</x:v>
      </x:c>
    </x:row>
    <x:row r="424" ht="84" customHeight="1">
      <x:c r="A424" s="25" t="str">
        <x:v>AR-L3-OB-PerPathTelemetry-047-03</x:v>
      </x:c>
      <x:c r="B424" s="25" t="str">
        <x:v>SR-02-11-01</x:v>
      </x:c>
      <x:c r="C424" s="25" t="str">
        <x:v>L3-OB-PerPathTelemetry-047</x:v>
      </x:c>
      <x:c r="D424" s="25" t="str">
        <x:v>SF-02</x:v>
      </x:c>
      <x:c r="E424" s="25" t="str">
        <x:v>IR-02-11</x:v>
      </x:c>
      <x:c r="F424" s="22" t="str">
        <x:v>L3 传输管理层</x:v>
      </x:c>
      <x:c r="G424" s="22" t="str">
        <x:v>TM6</x:v>
      </x:c>
      <x:c r="H424" s="22" t="str">
        <x:v>全路径观测与故障追踪</x:v>
      </x:c>
      <x:c r="I424" s="22" t="str">
        <x:v>P0</x:v>
      </x:c>
      <x:c r="J424" s="22" t="str">
        <x:v>P0</x:v>
      </x:c>
      <x:c r="K424" s="22" t="str">
        <x:v>验证与观测</x:v>
      </x:c>
      <x:c r="L424" s="22" t="str">
        <x:v>存储池/传输管理开发</x:v>
      </x:c>
      <x:c r="M424" s="22" t="str">
        <x:v>tests/observability/per_path_telemetry_test.cc + benchmarks/observability/per_path_telemetry_benchmark.cc</x:v>
      </x:c>
      <x:c r="N424" s="22" t="str">
        <x:v>PerPathTelemetryTest / PerPathTelemetryBenchmark</x:v>
      </x:c>
      <x:c r="O424" s="22" t="str">
        <x:v>新增正常、边界、并发、超时、stale metadata、迁移冲突、路径拥塞/故障与 feature-flag-off 用例；在 benchmark 中固定模型、tokenizer、prompt、并发、拓扑和 baseline，采集 lookup/load/attach、TTFT、TPOT、usable/abandoned hit、带宽/时延及 CPU/NPU 利用率。</x:v>
      </x:c>
      <x:c r="P424" s="22" t="str">
        <x:v>验收直接引用来源指标：“load cost 预测误差 &lt;20%；”；故障用例必须证明错误 KV 不被消费且 fallback reason 可追踪。</x:v>
      </x:c>
      <x:c r="Q424" s="22" t="str">
        <x:v>来源验收项全部自动化；性能报告包含 P50/P95/P99、置信区间与 baseline；失败门槛接入 CI；测试数据和命令可复现。</x:v>
      </x:c>
      <x:c r="R424" s="22" t="str">
        <x:v>./bin/kvcache_bench --case=per_path_telemetry --baseline=native --report=json</x:v>
      </x:c>
      <x:c r="S424" s="22" t="str">
        <x:v>load cost 预测误差 &lt;20%；</x:v>
      </x:c>
      <x:c r="T424" s="22" t="str">
        <x:v>SR-02-11-01</x:v>
      </x:c>
      <x:c r="U424" s="22" t="str">
        <x:v>待认领</x:v>
      </x:c>
      <x:c r="V424" s="22" t="str"/>
      <x:c r="W424" s="22" t="str"/>
      <x:c r="X424" s="22" t="str">
        <x:f>IF(COUNTIF($A$5:$A$451,A424)=1,"PASS","FAIL")</x:f>
        <x:v>PASS</x:v>
      </x:c>
      <x:c r="Y424" s="22" t="str">
        <x:f>IF(COUNTIF('SR系统设计'!$A$5:$A$153,B424)+COUNTIF('追溯与覆盖'!$A$5:$A$153,C424)=2,"PASS","FAIL")</x:f>
        <x:v>PASS</x:v>
      </x:c>
    </x:row>
    <x:row r="425" ht="84" customHeight="1">
      <x:c r="A425" s="25" t="str">
        <x:v>AR-L3-FT-FallbackTrace-046-01</x:v>
      </x:c>
      <x:c r="B425" s="25" t="str">
        <x:v>SR-02-11-02</x:v>
      </x:c>
      <x:c r="C425" s="25" t="str">
        <x:v>L3-FT-FallbackTrace-046</x:v>
      </x:c>
      <x:c r="D425" s="25" t="str">
        <x:v>SF-02</x:v>
      </x:c>
      <x:c r="E425" s="25" t="str">
        <x:v>IR-02-11</x:v>
      </x:c>
      <x:c r="F425" s="22" t="str">
        <x:v>L3 传输管理层</x:v>
      </x:c>
      <x:c r="G425" s="22" t="str">
        <x:v>TM6</x:v>
      </x:c>
      <x:c r="H425" s="22" t="str">
        <x:v>全路径观测与故障追踪</x:v>
      </x:c>
      <x:c r="I425" s="22" t="str">
        <x:v>P1</x:v>
      </x:c>
      <x:c r="J425" s="22" t="str">
        <x:v>P1</x:v>
      </x:c>
      <x:c r="K425" s="22" t="str">
        <x:v>核心实现</x:v>
      </x:c>
      <x:c r="L425" s="22" t="str">
        <x:v>存储池/传输管理开发</x:v>
      </x:c>
      <x:c r="M425" s="22" t="str">
        <x:v>src/observability/fallback_trace.{h,cc}</x:v>
      </x:c>
      <x:c r="N425" s="22" t="str">
        <x:v>FallbackTraceCollector</x:v>
      </x:c>
      <x:c r="O425" s="22" t="str">
        <x:v>在 `src/observability/fallback_trace.{h,cc}` 新增或重写 `FallbackTraceCollector`，把“KVCache 降级链路故障追踪”落实为 L3 传输管理层 可调用主路径：本需求要求为每次路径降级生成 fallback causality trace：记录 view→bulk、bulk→stream、bulk→recompute 或 RDMA→TCP 的触发原因、耗时、丢失收益、影响请求和关联硬件 telemetry。 输入必须显式消费 cross-layer events + hardware counters + SLO result，输出 trace/metrics/inspect response + alert，不得用全局单例或隐藏同步 I/O 绕开预算与状态机。</x:v>
      </x:c>
      <x:c r="P425" s="22" t="str">
        <x:v>实现 cross-layer events + hardware counters + SLO result → trace/metrics/inspect response + alert；遵守 采集失败不得阻塞数据面；高基数标签必须限额并可采样</x:v>
      </x:c>
      <x:c r="Q425" s="22" t="str">
        <x:v>核心算法与状态转换完成；新增代码单测分支覆盖≥85%；线程安全/所有权明确；关闭 feature flag 时行为与 baseline 一致。</x:v>
      </x:c>
      <x:c r="R425" s="22" t="str">
        <x:v>ctest -R FallbackTrace --output-on-failure</x:v>
      </x:c>
      <x:c r="S425" s="22" t="str">
        <x:v>建立统一降级追踪根因体系，MTTR降低至分钟级；同时要求探针常态开销不超过总体 P99 TPOT 的 1%。</x:v>
      </x:c>
      <x:c r="T425" s="22" t="str">
        <x:v>SR-02-11-02</x:v>
      </x:c>
      <x:c r="U425" s="22" t="str">
        <x:v>待认领</x:v>
      </x:c>
      <x:c r="V425" s="22" t="str"/>
      <x:c r="W425" s="22" t="str"/>
      <x:c r="X425" s="22" t="str">
        <x:f>IF(COUNTIF($A$5:$A$451,A425)=1,"PASS","FAIL")</x:f>
        <x:v>PASS</x:v>
      </x:c>
      <x:c r="Y425" s="22" t="str">
        <x:f>IF(COUNTIF('SR系统设计'!$A$5:$A$153,B425)+COUNTIF('追溯与覆盖'!$A$5:$A$153,C425)=2,"PASS","FAIL")</x:f>
        <x:v>PASS</x:v>
      </x:c>
    </x:row>
    <x:row r="426" ht="84" customHeight="1">
      <x:c r="A426" s="25" t="str">
        <x:v>AR-L3-FT-FallbackTrace-046-02</x:v>
      </x:c>
      <x:c r="B426" s="25" t="str">
        <x:v>SR-02-11-02</x:v>
      </x:c>
      <x:c r="C426" s="25" t="str">
        <x:v>L3-FT-FallbackTrace-046</x:v>
      </x:c>
      <x:c r="D426" s="25" t="str">
        <x:v>SF-02</x:v>
      </x:c>
      <x:c r="E426" s="25" t="str">
        <x:v>IR-02-11</x:v>
      </x:c>
      <x:c r="F426" s="22" t="str">
        <x:v>L3 传输管理层</x:v>
      </x:c>
      <x:c r="G426" s="22" t="str">
        <x:v>TM6</x:v>
      </x:c>
      <x:c r="H426" s="22" t="str">
        <x:v>全路径观测与故障追踪</x:v>
      </x:c>
      <x:c r="I426" s="22" t="str">
        <x:v>P1</x:v>
      </x:c>
      <x:c r="J426" s="22" t="str">
        <x:v>P1</x:v>
      </x:c>
      <x:c r="K426" s="22" t="str">
        <x:v>契约配置与降级</x:v>
      </x:c>
      <x:c r="L426" s="22" t="str">
        <x:v>存储池/传输管理开发</x:v>
      </x:c>
      <x:c r="M426" s="22" t="str">
        <x:v>api/kvcache/v1/fallback_trace.proto + config/runtime/fallback_trace.yaml</x:v>
      </x:c>
      <x:c r="N426" s="22" t="str">
        <x:v>FallbackTraceOptions / kvcache.fallback_trace.enabled</x:v>
      </x:c>
      <x:c r="O426" s="22" t="str">
        <x:v>为 `FallbackTraceOptions` 增加 `kvcache.fallback_trace.enabled`、deadline/容量/队列预算及版本字段；在调用点接入 typed error、decision_reason、fallback_reason，确保配置热更新、灰度关闭和向后兼容均可审计。</x:v>
      </x:c>
      <x:c r="P426" s="22" t="str">
        <x:v>IDL/配置 schema 有版本号、默认值、边界校验和错误码；状态/租约/ready 不满足时按 采集失败不得阻塞数据面；高基数标签必须限额并可采样</x:v>
      </x:c>
      <x:c r="Q426" s="22" t="str">
        <x:v>配置样例、schema 校验、升级兼容测试和回退路径齐全；任何隐式 fallback 被移除；新增指标可关联 request_id/query_plan_id/object_id/path_id。</x:v>
      </x:c>
      <x:c r="R426" s="22" t="str">
        <x:v>ctest -R FallbackTraceConfig &amp;&amp; ./bin/kvcache_config_check --case=fallback_trace</x:v>
      </x:c>
      <x:c r="S426" s="22" t="str">
        <x:v>建立统一降级追踪根因体系，MTTR降低至分钟级；同时要求探针常态开销不超过总体 P99 TPOT 的 1%。</x:v>
      </x:c>
      <x:c r="T426" s="22" t="str">
        <x:v>SR-02-11-02</x:v>
      </x:c>
      <x:c r="U426" s="22" t="str">
        <x:v>待认领</x:v>
      </x:c>
      <x:c r="V426" s="22" t="str"/>
      <x:c r="W426" s="22" t="str"/>
      <x:c r="X426" s="22" t="str">
        <x:f>IF(COUNTIF($A$5:$A$451,A426)=1,"PASS","FAIL")</x:f>
        <x:v>PASS</x:v>
      </x:c>
      <x:c r="Y426" s="22" t="str">
        <x:f>IF(COUNTIF('SR系统设计'!$A$5:$A$153,B426)+COUNTIF('追溯与覆盖'!$A$5:$A$153,C426)=2,"PASS","FAIL")</x:f>
        <x:v>PASS</x:v>
      </x:c>
    </x:row>
    <x:row r="427" ht="84" customHeight="1">
      <x:c r="A427" s="25" t="str">
        <x:v>AR-L3-FT-FallbackTrace-046-03</x:v>
      </x:c>
      <x:c r="B427" s="25" t="str">
        <x:v>SR-02-11-02</x:v>
      </x:c>
      <x:c r="C427" s="25" t="str">
        <x:v>L3-FT-FallbackTrace-046</x:v>
      </x:c>
      <x:c r="D427" s="25" t="str">
        <x:v>SF-02</x:v>
      </x:c>
      <x:c r="E427" s="25" t="str">
        <x:v>IR-02-11</x:v>
      </x:c>
      <x:c r="F427" s="22" t="str">
        <x:v>L3 传输管理层</x:v>
      </x:c>
      <x:c r="G427" s="22" t="str">
        <x:v>TM6</x:v>
      </x:c>
      <x:c r="H427" s="22" t="str">
        <x:v>全路径观测与故障追踪</x:v>
      </x:c>
      <x:c r="I427" s="22" t="str">
        <x:v>P1</x:v>
      </x:c>
      <x:c r="J427" s="22" t="str">
        <x:v>P1</x:v>
      </x:c>
      <x:c r="K427" s="22" t="str">
        <x:v>验证与观测</x:v>
      </x:c>
      <x:c r="L427" s="22" t="str">
        <x:v>存储池/传输管理开发</x:v>
      </x:c>
      <x:c r="M427" s="22" t="str">
        <x:v>tests/observability/fallback_trace_test.cc + benchmarks/observability/fallback_trace_benchmark.cc</x:v>
      </x:c>
      <x:c r="N427" s="22" t="str">
        <x:v>FallbackTraceTest / FallbackTraceBenchmark</x:v>
      </x:c>
      <x:c r="O427" s="22" t="str">
        <x:v>新增正常、边界、并发、超时、stale metadata、迁移冲突、路径拥塞/故障与 feature-flag-off 用例；在 benchmark 中固定模型、tokenizer、prompt、并发、拓扑和 baseline，采集 lookup/load/attach、TTFT、TPOT、usable/abandoned hit、带宽/时延及 CPU/NPU 利用率。</x:v>
      </x:c>
      <x:c r="P427" s="22" t="str">
        <x:v>验收直接引用来源指标：“建立统一降级追踪根因体系，MTTR降低至分钟级；同时要求探针常态开销不超过总体 P99 TPOT 的 1%。”；故障用例必须证明错误 KV 不被消费且 fallback reason 可追踪。</x:v>
      </x:c>
      <x:c r="Q427" s="22" t="str">
        <x:v>来源验收项全部自动化；性能报告包含 P50/P95/P99、置信区间与 baseline；失败门槛接入 CI；测试数据和命令可复现。</x:v>
      </x:c>
      <x:c r="R427" s="22" t="str">
        <x:v>./bin/kvcache_bench --case=fallback_trace --baseline=native --report=json</x:v>
      </x:c>
      <x:c r="S427" s="22" t="str">
        <x:v>建立统一降级追踪根因体系，MTTR降低至分钟级；同时要求探针常态开销不超过总体 P99 TPOT 的 1%。</x:v>
      </x:c>
      <x:c r="T427" s="22" t="str">
        <x:v>SR-02-11-02</x:v>
      </x:c>
      <x:c r="U427" s="22" t="str">
        <x:v>待认领</x:v>
      </x:c>
      <x:c r="V427" s="22" t="str"/>
      <x:c r="W427" s="22" t="str"/>
      <x:c r="X427" s="22" t="str">
        <x:f>IF(COUNTIF($A$5:$A$451,A427)=1,"PASS","FAIL")</x:f>
        <x:v>PASS</x:v>
      </x:c>
      <x:c r="Y427" s="22" t="str">
        <x:f>IF(COUNTIF('SR系统设计'!$A$5:$A$153,B427)+COUNTIF('追溯与覆盖'!$A$5:$A$153,C427)=2,"PASS","FAIL")</x:f>
        <x:v>PASS</x:v>
      </x:c>
    </x:row>
    <x:row r="428" ht="84" customHeight="1">
      <x:c r="A428" s="25" t="str">
        <x:v>AR-L3-MS-UBC2CTier-055-01</x:v>
      </x:c>
      <x:c r="B428" s="25" t="str">
        <x:v>SR-02-11-03</x:v>
      </x:c>
      <x:c r="C428" s="25" t="str">
        <x:v>L3-MS-UBC2CTier-055</x:v>
      </x:c>
      <x:c r="D428" s="25" t="str">
        <x:v>SF-02</x:v>
      </x:c>
      <x:c r="E428" s="25" t="str">
        <x:v>IR-02-11</x:v>
      </x:c>
      <x:c r="F428" s="22" t="str">
        <x:v>L3 传输管理层</x:v>
      </x:c>
      <x:c r="G428" s="22" t="str">
        <x:v>TM6</x:v>
      </x:c>
      <x:c r="H428" s="22" t="str">
        <x:v>全路径观测与故障追踪</x:v>
      </x:c>
      <x:c r="I428" s="22" t="str">
        <x:v>P1</x:v>
      </x:c>
      <x:c r="J428" s="22" t="str">
        <x:v>P1</x:v>
      </x:c>
      <x:c r="K428" s="22" t="str">
        <x:v>核心实现</x:v>
      </x:c>
      <x:c r="L428" s="22" t="str">
        <x:v>存储池/传输管理开发</x:v>
      </x:c>
      <x:c r="M428" s="22" t="str">
        <x:v>src/observability/ubc2_ctier.{h,cc}</x:v>
      </x:c>
      <x:c r="N428" s="22" t="str">
        <x:v>UBC2CTierCollector</x:v>
      </x:c>
      <x:c r="O428" s="22" t="str">
        <x:v>在 `src/observability/ubc2_ctier.{h,cc}` 新增或重写 `UBC2CTierCollector`，把“UBlink-C2C 近端热 KV 存储扩展”落实为 L3 传输管理层 可调用主路径：本需求要求 UB/C2C memory tier 首先承载KVCache相关的元数据，譬如 prefix metadata、directory mirror、manifest、ready bitmap、warm KV staging，而不是直接承载大规模 decode-active KV； 输入必须显式消费 cross-layer events + hardware counters + SLO result，输出 trace/metrics/inspect response + alert，不得用全局单例或隐藏同步 I/O 绕开预算与状态机。</x:v>
      </x:c>
      <x:c r="P428" s="22" t="str">
        <x:v>实现 cross-layer events + hardware counters + SLO result → trace/metrics/inspect response + alert；遵守 采集失败不得阻塞数据面；高基数标签必须限额并可采样</x:v>
      </x:c>
      <x:c r="Q428" s="22" t="str">
        <x:v>核心算法与状态转换完成；新增代码单测分支覆盖≥85%；线程安全/所有权明确；关闭 feature flag 时行为与 baseline 一致。</x:v>
      </x:c>
      <x:c r="R428" s="22" t="str">
        <x:v>ctest -R UBC2CTier --output-on-failure</x:v>
      </x:c>
      <x:c r="S428" s="22" t="str">
        <x:v>Prefix命中判定P99耗时 &lt; 200us；在Share-Prefix业务下，Usable Hit Rate提升≥15%。</x:v>
      </x:c>
      <x:c r="T428" s="22" t="str">
        <x:v>SR-02-11-03</x:v>
      </x:c>
      <x:c r="U428" s="22" t="str">
        <x:v>待认领</x:v>
      </x:c>
      <x:c r="V428" s="22" t="str"/>
      <x:c r="W428" s="22" t="str"/>
      <x:c r="X428" s="22" t="str">
        <x:f>IF(COUNTIF($A$5:$A$451,A428)=1,"PASS","FAIL")</x:f>
        <x:v>PASS</x:v>
      </x:c>
      <x:c r="Y428" s="22" t="str">
        <x:f>IF(COUNTIF('SR系统设计'!$A$5:$A$153,B428)+COUNTIF('追溯与覆盖'!$A$5:$A$153,C428)=2,"PASS","FAIL")</x:f>
        <x:v>PASS</x:v>
      </x:c>
    </x:row>
    <x:row r="429" ht="84" customHeight="1">
      <x:c r="A429" s="25" t="str">
        <x:v>AR-L3-MS-UBC2CTier-055-02</x:v>
      </x:c>
      <x:c r="B429" s="25" t="str">
        <x:v>SR-02-11-03</x:v>
      </x:c>
      <x:c r="C429" s="25" t="str">
        <x:v>L3-MS-UBC2CTier-055</x:v>
      </x:c>
      <x:c r="D429" s="25" t="str">
        <x:v>SF-02</x:v>
      </x:c>
      <x:c r="E429" s="25" t="str">
        <x:v>IR-02-11</x:v>
      </x:c>
      <x:c r="F429" s="22" t="str">
        <x:v>L3 传输管理层</x:v>
      </x:c>
      <x:c r="G429" s="22" t="str">
        <x:v>TM6</x:v>
      </x:c>
      <x:c r="H429" s="22" t="str">
        <x:v>全路径观测与故障追踪</x:v>
      </x:c>
      <x:c r="I429" s="22" t="str">
        <x:v>P1</x:v>
      </x:c>
      <x:c r="J429" s="22" t="str">
        <x:v>P1</x:v>
      </x:c>
      <x:c r="K429" s="22" t="str">
        <x:v>契约配置与降级</x:v>
      </x:c>
      <x:c r="L429" s="22" t="str">
        <x:v>存储池/传输管理开发</x:v>
      </x:c>
      <x:c r="M429" s="22" t="str">
        <x:v>api/kvcache/v1/ubc2_ctier.proto + config/runtime/ubc2_ctier.yaml</x:v>
      </x:c>
      <x:c r="N429" s="22" t="str">
        <x:v>UBC2CTierOptions / kvcache.ubc2_ctier.enabled</x:v>
      </x:c>
      <x:c r="O429" s="22" t="str">
        <x:v>为 `UBC2CTierOptions` 增加 `kvcache.ubc2_ctier.enabled`、deadline/容量/队列预算及版本字段；在调用点接入 typed error、decision_reason、fallback_reason，确保配置热更新、灰度关闭和向后兼容均可审计。</x:v>
      </x:c>
      <x:c r="P429" s="22" t="str">
        <x:v>IDL/配置 schema 有版本号、默认值、边界校验和错误码；状态/租约/ready 不满足时按 采集失败不得阻塞数据面；高基数标签必须限额并可采样</x:v>
      </x:c>
      <x:c r="Q429" s="22" t="str">
        <x:v>配置样例、schema 校验、升级兼容测试和回退路径齐全；任何隐式 fallback 被移除；新增指标可关联 request_id/query_plan_id/object_id/path_id。</x:v>
      </x:c>
      <x:c r="R429" s="22" t="str">
        <x:v>ctest -R UBC2CTierConfig &amp;&amp; ./bin/kvcache_config_check --case=ubc2_ctier</x:v>
      </x:c>
      <x:c r="S429" s="22" t="str">
        <x:v>Prefix命中判定P99耗时 &lt; 200us；在Share-Prefix业务下，Usable Hit Rate提升≥15%。</x:v>
      </x:c>
      <x:c r="T429" s="22" t="str">
        <x:v>SR-02-11-03</x:v>
      </x:c>
      <x:c r="U429" s="22" t="str">
        <x:v>待认领</x:v>
      </x:c>
      <x:c r="V429" s="22" t="str"/>
      <x:c r="W429" s="22" t="str"/>
      <x:c r="X429" s="22" t="str">
        <x:f>IF(COUNTIF($A$5:$A$451,A429)=1,"PASS","FAIL")</x:f>
        <x:v>PASS</x:v>
      </x:c>
      <x:c r="Y429" s="22" t="str">
        <x:f>IF(COUNTIF('SR系统设计'!$A$5:$A$153,B429)+COUNTIF('追溯与覆盖'!$A$5:$A$153,C429)=2,"PASS","FAIL")</x:f>
        <x:v>PASS</x:v>
      </x:c>
    </x:row>
    <x:row r="430" ht="84" customHeight="1">
      <x:c r="A430" s="25" t="str">
        <x:v>AR-L3-MS-UBC2CTier-055-03</x:v>
      </x:c>
      <x:c r="B430" s="25" t="str">
        <x:v>SR-02-11-03</x:v>
      </x:c>
      <x:c r="C430" s="25" t="str">
        <x:v>L3-MS-UBC2CTier-055</x:v>
      </x:c>
      <x:c r="D430" s="25" t="str">
        <x:v>SF-02</x:v>
      </x:c>
      <x:c r="E430" s="25" t="str">
        <x:v>IR-02-11</x:v>
      </x:c>
      <x:c r="F430" s="22" t="str">
        <x:v>L3 传输管理层</x:v>
      </x:c>
      <x:c r="G430" s="22" t="str">
        <x:v>TM6</x:v>
      </x:c>
      <x:c r="H430" s="22" t="str">
        <x:v>全路径观测与故障追踪</x:v>
      </x:c>
      <x:c r="I430" s="22" t="str">
        <x:v>P1</x:v>
      </x:c>
      <x:c r="J430" s="22" t="str">
        <x:v>P1</x:v>
      </x:c>
      <x:c r="K430" s="22" t="str">
        <x:v>验证与观测</x:v>
      </x:c>
      <x:c r="L430" s="22" t="str">
        <x:v>存储池/传输管理开发</x:v>
      </x:c>
      <x:c r="M430" s="22" t="str">
        <x:v>tests/observability/ubc2_ctier_test.cc + benchmarks/observability/ubc2_ctier_benchmark.cc</x:v>
      </x:c>
      <x:c r="N430" s="22" t="str">
        <x:v>UBC2CTierTest / UBC2CTierBenchmark</x:v>
      </x:c>
      <x:c r="O430" s="22" t="str">
        <x:v>新增正常、边界、并发、超时、stale metadata、迁移冲突、路径拥塞/故障与 feature-flag-off 用例；在 benchmark 中固定模型、tokenizer、prompt、并发、拓扑和 baseline，采集 lookup/load/attach、TTFT、TPOT、usable/abandoned hit、带宽/时延及 CPU/NPU 利用率。</x:v>
      </x:c>
      <x:c r="P430" s="22" t="str">
        <x:v>验收直接引用来源指标：“Prefix命中判定P99耗时 &lt; 200us；在Share-Prefix业务下，Usable Hit Rate提升≥15%。”；故障用例必须证明错误 KV 不被消费且 fallback reason 可追踪。</x:v>
      </x:c>
      <x:c r="Q430" s="22" t="str">
        <x:v>来源验收项全部自动化；性能报告包含 P50/P95/P99、置信区间与 baseline；失败门槛接入 CI；测试数据和命令可复现。</x:v>
      </x:c>
      <x:c r="R430" s="22" t="str">
        <x:v>./bin/kvcache_bench --case=ubc2_ctier --baseline=native --report=json</x:v>
      </x:c>
      <x:c r="S430" s="22" t="str">
        <x:v>Prefix命中判定P99耗时 &lt; 200us；在Share-Prefix业务下，Usable Hit Rate提升≥15%。</x:v>
      </x:c>
      <x:c r="T430" s="22" t="str">
        <x:v>SR-02-11-03</x:v>
      </x:c>
      <x:c r="U430" s="22" t="str">
        <x:v>待认领</x:v>
      </x:c>
      <x:c r="V430" s="22" t="str"/>
      <x:c r="W430" s="22" t="str"/>
      <x:c r="X430" s="22" t="str">
        <x:f>IF(COUNTIF($A$5:$A$451,A430)=1,"PASS","FAIL")</x:f>
        <x:v>PASS</x:v>
      </x:c>
      <x:c r="Y430" s="22" t="str">
        <x:f>IF(COUNTIF('SR系统设计'!$A$5:$A$153,B430)+COUNTIF('追溯与覆盖'!$A$5:$A$153,C430)=2,"PASS","FAIL")</x:f>
        <x:v>PASS</x:v>
      </x:c>
    </x:row>
    <x:row r="431" ht="84" customHeight="1">
      <x:c r="A431" s="25" t="str">
        <x:v>AR-L3-OB-KVStateTrace-083-01</x:v>
      </x:c>
      <x:c r="B431" s="25" t="str">
        <x:v>SR-02-11-04</x:v>
      </x:c>
      <x:c r="C431" s="25" t="str">
        <x:v>L3-OB-KVStateTrace-083</x:v>
      </x:c>
      <x:c r="D431" s="25" t="str">
        <x:v>SF-02</x:v>
      </x:c>
      <x:c r="E431" s="25" t="str">
        <x:v>IR-02-11</x:v>
      </x:c>
      <x:c r="F431" s="22" t="str">
        <x:v>L3 传输管理层</x:v>
      </x:c>
      <x:c r="G431" s="22" t="str">
        <x:v>TM6</x:v>
      </x:c>
      <x:c r="H431" s="22" t="str">
        <x:v>全路径观测与故障追踪</x:v>
      </x:c>
      <x:c r="I431" s="22" t="str">
        <x:v>P1</x:v>
      </x:c>
      <x:c r="J431" s="22" t="str">
        <x:v>P1</x:v>
      </x:c>
      <x:c r="K431" s="22" t="str">
        <x:v>核心实现</x:v>
      </x:c>
      <x:c r="L431" s="22" t="str">
        <x:v>存储池/传输管理开发</x:v>
      </x:c>
      <x:c r="M431" s="22" t="str">
        <x:v>src/observability/kvstate_trace.{h,cc}</x:v>
      </x:c>
      <x:c r="N431" s="22" t="str">
        <x:v>KVStateTraceCollector</x:v>
      </x:c>
      <x:c r="O431" s="22" t="str">
        <x:v>在 `src/observability/kvstate_trace.{h,cc}` 新增或重写 `KVStateTraceCollector`，把“KV 状态迁移可追踪”落实为 L3 传输管理层 可调用主路径：本需求要求为每个 KV object 记录状态迁移 trace，至少包含 publish、commit、lookup、load、attach、detach、migrate、evict、invalidate、quarantine 的时间、触发方、旧状态、新状态和失败原因，支撑“命中了但无法消费”的根因定位。 输入必须显式消费 cross-layer events + hardware counters + SLO result，输出 trace/metrics/inspect response + alert，不得用全局单例或隐藏同步 I/O 绕开预算与状态机。</x:v>
      </x:c>
      <x:c r="P431" s="22" t="str">
        <x:v>实现 cross-layer events + hardware counters + SLO result → trace/metrics/inspect response + alert；遵守 采集失败不得阻塞数据面；高基数标签必须限额并可采样</x:v>
      </x:c>
      <x:c r="Q431" s="22" t="str">
        <x:v>核心算法与状态转换完成；新增代码单测分支覆盖≥85%；线程安全/所有权明确；关闭 feature flag 时行为与 baseline 一致。</x:v>
      </x:c>
      <x:c r="R431" s="22" t="str">
        <x:v>ctest -R KVStateTrace --output-on-failure</x:v>
      </x:c>
      <x:c r="S431" s="22" t="str">
        <x:v>节点动态加入/退出时的缓存失效控制在局部范围内（遵循一致性哈希比例）。</x:v>
      </x:c>
      <x:c r="T431" s="22" t="str">
        <x:v>SR-02-11-04</x:v>
      </x:c>
      <x:c r="U431" s="22" t="str">
        <x:v>待认领</x:v>
      </x:c>
      <x:c r="V431" s="22" t="str"/>
      <x:c r="W431" s="22" t="str"/>
      <x:c r="X431" s="22" t="str">
        <x:f>IF(COUNTIF($A$5:$A$451,A431)=1,"PASS","FAIL")</x:f>
        <x:v>PASS</x:v>
      </x:c>
      <x:c r="Y431" s="22" t="str">
        <x:f>IF(COUNTIF('SR系统设计'!$A$5:$A$153,B431)+COUNTIF('追溯与覆盖'!$A$5:$A$153,C431)=2,"PASS","FAIL")</x:f>
        <x:v>PASS</x:v>
      </x:c>
    </x:row>
    <x:row r="432" ht="84" customHeight="1">
      <x:c r="A432" s="25" t="str">
        <x:v>AR-L3-OB-KVStateTrace-083-02</x:v>
      </x:c>
      <x:c r="B432" s="25" t="str">
        <x:v>SR-02-11-04</x:v>
      </x:c>
      <x:c r="C432" s="25" t="str">
        <x:v>L3-OB-KVStateTrace-083</x:v>
      </x:c>
      <x:c r="D432" s="25" t="str">
        <x:v>SF-02</x:v>
      </x:c>
      <x:c r="E432" s="25" t="str">
        <x:v>IR-02-11</x:v>
      </x:c>
      <x:c r="F432" s="22" t="str">
        <x:v>L3 传输管理层</x:v>
      </x:c>
      <x:c r="G432" s="22" t="str">
        <x:v>TM6</x:v>
      </x:c>
      <x:c r="H432" s="22" t="str">
        <x:v>全路径观测与故障追踪</x:v>
      </x:c>
      <x:c r="I432" s="22" t="str">
        <x:v>P1</x:v>
      </x:c>
      <x:c r="J432" s="22" t="str">
        <x:v>P1</x:v>
      </x:c>
      <x:c r="K432" s="22" t="str">
        <x:v>契约配置与降级</x:v>
      </x:c>
      <x:c r="L432" s="22" t="str">
        <x:v>存储池/传输管理开发</x:v>
      </x:c>
      <x:c r="M432" s="22" t="str">
        <x:v>api/kvcache/v1/kvstate_trace.proto + config/runtime/kvstate_trace.yaml</x:v>
      </x:c>
      <x:c r="N432" s="22" t="str">
        <x:v>KVStateTraceOptions / kvcache.kvstate_trace.enabled</x:v>
      </x:c>
      <x:c r="O432" s="22" t="str">
        <x:v>为 `KVStateTraceOptions` 增加 `kvcache.kvstate_trace.enabled`、deadline/容量/队列预算及版本字段；在调用点接入 typed error、decision_reason、fallback_reason，确保配置热更新、灰度关闭和向后兼容均可审计。</x:v>
      </x:c>
      <x:c r="P432" s="22" t="str">
        <x:v>IDL/配置 schema 有版本号、默认值、边界校验和错误码；状态/租约/ready 不满足时按 采集失败不得阻塞数据面；高基数标签必须限额并可采样</x:v>
      </x:c>
      <x:c r="Q432" s="22" t="str">
        <x:v>配置样例、schema 校验、升级兼容测试和回退路径齐全；任何隐式 fallback 被移除；新增指标可关联 request_id/query_plan_id/object_id/path_id。</x:v>
      </x:c>
      <x:c r="R432" s="22" t="str">
        <x:v>ctest -R KVStateTraceConfig &amp;&amp; ./bin/kvcache_config_check --case=kvstate_trace</x:v>
      </x:c>
      <x:c r="S432" s="22" t="str">
        <x:v>节点动态加入/退出时的缓存失效控制在局部范围内（遵循一致性哈希比例）。</x:v>
      </x:c>
      <x:c r="T432" s="22" t="str">
        <x:v>SR-02-11-04</x:v>
      </x:c>
      <x:c r="U432" s="22" t="str">
        <x:v>待认领</x:v>
      </x:c>
      <x:c r="V432" s="22" t="str"/>
      <x:c r="W432" s="22" t="str"/>
      <x:c r="X432" s="22" t="str">
        <x:f>IF(COUNTIF($A$5:$A$451,A432)=1,"PASS","FAIL")</x:f>
        <x:v>PASS</x:v>
      </x:c>
      <x:c r="Y432" s="22" t="str">
        <x:f>IF(COUNTIF('SR系统设计'!$A$5:$A$153,B432)+COUNTIF('追溯与覆盖'!$A$5:$A$153,C432)=2,"PASS","FAIL")</x:f>
        <x:v>PASS</x:v>
      </x:c>
    </x:row>
    <x:row r="433" ht="84" customHeight="1">
      <x:c r="A433" s="25" t="str">
        <x:v>AR-L3-OB-KVStateTrace-083-03</x:v>
      </x:c>
      <x:c r="B433" s="25" t="str">
        <x:v>SR-02-11-04</x:v>
      </x:c>
      <x:c r="C433" s="25" t="str">
        <x:v>L3-OB-KVStateTrace-083</x:v>
      </x:c>
      <x:c r="D433" s="25" t="str">
        <x:v>SF-02</x:v>
      </x:c>
      <x:c r="E433" s="25" t="str">
        <x:v>IR-02-11</x:v>
      </x:c>
      <x:c r="F433" s="22" t="str">
        <x:v>L3 传输管理层</x:v>
      </x:c>
      <x:c r="G433" s="22" t="str">
        <x:v>TM6</x:v>
      </x:c>
      <x:c r="H433" s="22" t="str">
        <x:v>全路径观测与故障追踪</x:v>
      </x:c>
      <x:c r="I433" s="22" t="str">
        <x:v>P1</x:v>
      </x:c>
      <x:c r="J433" s="22" t="str">
        <x:v>P1</x:v>
      </x:c>
      <x:c r="K433" s="22" t="str">
        <x:v>验证与观测</x:v>
      </x:c>
      <x:c r="L433" s="22" t="str">
        <x:v>存储池/传输管理开发</x:v>
      </x:c>
      <x:c r="M433" s="22" t="str">
        <x:v>tests/observability/kvstate_trace_test.cc + benchmarks/observability/kvstate_trace_benchmark.cc</x:v>
      </x:c>
      <x:c r="N433" s="22" t="str">
        <x:v>KVStateTraceTest / KVStateTraceBenchmark</x:v>
      </x:c>
      <x:c r="O433" s="22" t="str">
        <x:v>新增正常、边界、并发、超时、stale metadata、迁移冲突、路径拥塞/故障与 feature-flag-off 用例；在 benchmark 中固定模型、tokenizer、prompt、并发、拓扑和 baseline，采集 lookup/load/attach、TTFT、TPOT、usable/abandoned hit、带宽/时延及 CPU/NPU 利用率。</x:v>
      </x:c>
      <x:c r="P433" s="22" t="str">
        <x:v>验收直接引用来源指标：“节点动态加入/退出时的缓存失效控制在局部范围内（遵循一致性哈希比例）。”；故障用例必须证明错误 KV 不被消费且 fallback reason 可追踪。</x:v>
      </x:c>
      <x:c r="Q433" s="22" t="str">
        <x:v>来源验收项全部自动化；性能报告包含 P50/P95/P99、置信区间与 baseline；失败门槛接入 CI；测试数据和命令可复现。</x:v>
      </x:c>
      <x:c r="R433" s="22" t="str">
        <x:v>./bin/kvcache_bench --case=kvstate_trace --baseline=native --report=json</x:v>
      </x:c>
      <x:c r="S433" s="22" t="str">
        <x:v>节点动态加入/退出时的缓存失效控制在局部范围内（遵循一致性哈希比例）。</x:v>
      </x:c>
      <x:c r="T433" s="22" t="str">
        <x:v>SR-02-11-04</x:v>
      </x:c>
      <x:c r="U433" s="22" t="str">
        <x:v>待认领</x:v>
      </x:c>
      <x:c r="V433" s="22" t="str"/>
      <x:c r="W433" s="22" t="str"/>
      <x:c r="X433" s="22" t="str">
        <x:f>IF(COUNTIF($A$5:$A$451,A433)=1,"PASS","FAIL")</x:f>
        <x:v>PASS</x:v>
      </x:c>
      <x:c r="Y433" s="22" t="str">
        <x:f>IF(COUNTIF('SR系统设计'!$A$5:$A$153,B433)+COUNTIF('追溯与覆盖'!$A$5:$A$153,C433)=2,"PASS","FAIL")</x:f>
        <x:v>PASS</x:v>
      </x:c>
    </x:row>
    <x:row r="434" ht="84" customHeight="1">
      <x:c r="A434" s="25" t="str">
        <x:v>AR-L3-CTRL-KVInspectAPI-084-01</x:v>
      </x:c>
      <x:c r="B434" s="25" t="str">
        <x:v>SR-02-11-05</x:v>
      </x:c>
      <x:c r="C434" s="25" t="str">
        <x:v>L3-CTRL-KVInspectAPI-084</x:v>
      </x:c>
      <x:c r="D434" s="25" t="str">
        <x:v>SF-02</x:v>
      </x:c>
      <x:c r="E434" s="25" t="str">
        <x:v>IR-02-11</x:v>
      </x:c>
      <x:c r="F434" s="22" t="str">
        <x:v>L3 传输管理层</x:v>
      </x:c>
      <x:c r="G434" s="22" t="str">
        <x:v>TM6</x:v>
      </x:c>
      <x:c r="H434" s="22" t="str">
        <x:v>全路径观测与故障追踪</x:v>
      </x:c>
      <x:c r="I434" s="22" t="str">
        <x:v>P2</x:v>
      </x:c>
      <x:c r="J434" s="22" t="str">
        <x:v>P2</x:v>
      </x:c>
      <x:c r="K434" s="22" t="str">
        <x:v>核心实现</x:v>
      </x:c>
      <x:c r="L434" s="22" t="str">
        <x:v>存储池/传输管理开发</x:v>
      </x:c>
      <x:c r="M434" s="22" t="str">
        <x:v>src/observability/kvinspect_api.{h,cc}</x:v>
      </x:c>
      <x:c r="N434" s="22" t="str">
        <x:v>KVInspectAPICollector</x:v>
      </x:c>
      <x:c r="O434" s="22" t="str">
        <x:v>在 `src/observability/kvinspect_api.{h,cc}` 新增或重写 `KVInspectAPICollector`，把“统一 KV 内存池运维排障”落实为 L3 传输管理层 可调用主路径：本需求要求提供 KV object inspect 管理接口，可查询 object_id/prefix_hash 对应的 semantic identity、状态机状态、placement 列表、manifest、lease/refcount、version、ready bitmap、last access 和当前推荐消费路径。 输入必须显式消费 cross-layer events + hardware counters + SLO result，输出 trace/metrics/inspect response + alert，不得用全局单例或隐藏同步 I/O 绕开预算与状态机。</x:v>
      </x:c>
      <x:c r="P434" s="22" t="str">
        <x:v>实现 cross-layer events + hardware counters + SLO result → trace/metrics/inspect response + alert；遵守 采集失败不得阻塞数据面；高基数标签必须限额并可采样</x:v>
      </x:c>
      <x:c r="Q434" s="22" t="str">
        <x:v>核心算法与状态转换完成；新增代码单测分支覆盖≥85%；线程安全/所有权明确；关闭 feature flag 时行为与 baseline 一致。</x:v>
      </x:c>
      <x:c r="R434" s="22" t="str">
        <x:v>ctest -R KVInspectAPI --output-on-failure</x:v>
      </x:c>
      <x:c r="S434" s="22" t="str">
        <x:v>Prefix命中判定P99耗时 &lt; 200us；在Share-Prefix业务下，Usable Hit Rate提升≥15%。</x:v>
      </x:c>
      <x:c r="T434" s="22" t="str">
        <x:v>SR-02-11-05</x:v>
      </x:c>
      <x:c r="U434" s="22" t="str">
        <x:v>待认领</x:v>
      </x:c>
      <x:c r="V434" s="22" t="str"/>
      <x:c r="W434" s="22" t="str"/>
      <x:c r="X434" s="22" t="str">
        <x:f>IF(COUNTIF($A$5:$A$451,A434)=1,"PASS","FAIL")</x:f>
        <x:v>PASS</x:v>
      </x:c>
      <x:c r="Y434" s="22" t="str">
        <x:f>IF(COUNTIF('SR系统设计'!$A$5:$A$153,B434)+COUNTIF('追溯与覆盖'!$A$5:$A$153,C434)=2,"PASS","FAIL")</x:f>
        <x:v>PASS</x:v>
      </x:c>
    </x:row>
    <x:row r="435" ht="84" customHeight="1">
      <x:c r="A435" s="25" t="str">
        <x:v>AR-L3-CTRL-KVInspectAPI-084-02</x:v>
      </x:c>
      <x:c r="B435" s="25" t="str">
        <x:v>SR-02-11-05</x:v>
      </x:c>
      <x:c r="C435" s="25" t="str">
        <x:v>L3-CTRL-KVInspectAPI-084</x:v>
      </x:c>
      <x:c r="D435" s="25" t="str">
        <x:v>SF-02</x:v>
      </x:c>
      <x:c r="E435" s="25" t="str">
        <x:v>IR-02-11</x:v>
      </x:c>
      <x:c r="F435" s="22" t="str">
        <x:v>L3 传输管理层</x:v>
      </x:c>
      <x:c r="G435" s="22" t="str">
        <x:v>TM6</x:v>
      </x:c>
      <x:c r="H435" s="22" t="str">
        <x:v>全路径观测与故障追踪</x:v>
      </x:c>
      <x:c r="I435" s="22" t="str">
        <x:v>P2</x:v>
      </x:c>
      <x:c r="J435" s="22" t="str">
        <x:v>P2</x:v>
      </x:c>
      <x:c r="K435" s="22" t="str">
        <x:v>契约配置与降级</x:v>
      </x:c>
      <x:c r="L435" s="22" t="str">
        <x:v>存储池/传输管理开发</x:v>
      </x:c>
      <x:c r="M435" s="22" t="str">
        <x:v>api/kvcache/v1/kvinspect_api.proto + config/runtime/kvinspect_api.yaml</x:v>
      </x:c>
      <x:c r="N435" s="22" t="str">
        <x:v>KVInspectAPIOptions / kvcache.kvinspect_api.enabled</x:v>
      </x:c>
      <x:c r="O435" s="22" t="str">
        <x:v>为 `KVInspectAPIOptions` 增加 `kvcache.kvinspect_api.enabled`、deadline/容量/队列预算及版本字段；在调用点接入 typed error、decision_reason、fallback_reason，确保配置热更新、灰度关闭和向后兼容均可审计。</x:v>
      </x:c>
      <x:c r="P435" s="22" t="str">
        <x:v>IDL/配置 schema 有版本号、默认值、边界校验和错误码；状态/租约/ready 不满足时按 采集失败不得阻塞数据面；高基数标签必须限额并可采样</x:v>
      </x:c>
      <x:c r="Q435" s="22" t="str">
        <x:v>配置样例、schema 校验、升级兼容测试和回退路径齐全；任何隐式 fallback 被移除；新增指标可关联 request_id/query_plan_id/object_id/path_id。</x:v>
      </x:c>
      <x:c r="R435" s="22" t="str">
        <x:v>ctest -R KVInspectAPIConfig &amp;&amp; ./bin/kvcache_config_check --case=kvinspect_api</x:v>
      </x:c>
      <x:c r="S435" s="22" t="str">
        <x:v>Prefix命中判定P99耗时 &lt; 200us；在Share-Prefix业务下，Usable Hit Rate提升≥15%。</x:v>
      </x:c>
      <x:c r="T435" s="22" t="str">
        <x:v>SR-02-11-05</x:v>
      </x:c>
      <x:c r="U435" s="22" t="str">
        <x:v>待认领</x:v>
      </x:c>
      <x:c r="V435" s="22" t="str"/>
      <x:c r="W435" s="22" t="str"/>
      <x:c r="X435" s="22" t="str">
        <x:f>IF(COUNTIF($A$5:$A$451,A435)=1,"PASS","FAIL")</x:f>
        <x:v>PASS</x:v>
      </x:c>
      <x:c r="Y435" s="22" t="str">
        <x:f>IF(COUNTIF('SR系统设计'!$A$5:$A$153,B435)+COUNTIF('追溯与覆盖'!$A$5:$A$153,C435)=2,"PASS","FAIL")</x:f>
        <x:v>PASS</x:v>
      </x:c>
    </x:row>
    <x:row r="436" ht="84" customHeight="1">
      <x:c r="A436" s="25" t="str">
        <x:v>AR-L3-CTRL-KVInspectAPI-084-03</x:v>
      </x:c>
      <x:c r="B436" s="25" t="str">
        <x:v>SR-02-11-05</x:v>
      </x:c>
      <x:c r="C436" s="25" t="str">
        <x:v>L3-CTRL-KVInspectAPI-084</x:v>
      </x:c>
      <x:c r="D436" s="25" t="str">
        <x:v>SF-02</x:v>
      </x:c>
      <x:c r="E436" s="25" t="str">
        <x:v>IR-02-11</x:v>
      </x:c>
      <x:c r="F436" s="22" t="str">
        <x:v>L3 传输管理层</x:v>
      </x:c>
      <x:c r="G436" s="22" t="str">
        <x:v>TM6</x:v>
      </x:c>
      <x:c r="H436" s="22" t="str">
        <x:v>全路径观测与故障追踪</x:v>
      </x:c>
      <x:c r="I436" s="22" t="str">
        <x:v>P2</x:v>
      </x:c>
      <x:c r="J436" s="22" t="str">
        <x:v>P2</x:v>
      </x:c>
      <x:c r="K436" s="22" t="str">
        <x:v>验证与观测</x:v>
      </x:c>
      <x:c r="L436" s="22" t="str">
        <x:v>存储池/传输管理开发</x:v>
      </x:c>
      <x:c r="M436" s="22" t="str">
        <x:v>tests/observability/kvinspect_api_test.cc + benchmarks/observability/kvinspect_api_benchmark.cc</x:v>
      </x:c>
      <x:c r="N436" s="22" t="str">
        <x:v>KVInspectAPITest / KVInspectAPIBenchmark</x:v>
      </x:c>
      <x:c r="O436" s="22" t="str">
        <x:v>新增正常、边界、并发、超时、stale metadata、迁移冲突、路径拥塞/故障与 feature-flag-off 用例；在 benchmark 中固定模型、tokenizer、prompt、并发、拓扑和 baseline，采集 lookup/load/attach、TTFT、TPOT、usable/abandoned hit、带宽/时延及 CPU/NPU 利用率。</x:v>
      </x:c>
      <x:c r="P436" s="22" t="str">
        <x:v>验收直接引用来源指标：“Prefix命中判定P99耗时 &lt; 200us；在Share-Prefix业务下，Usable Hit Rate提升≥15%。”；故障用例必须证明错误 KV 不被消费且 fallback reason 可追踪。</x:v>
      </x:c>
      <x:c r="Q436" s="22" t="str">
        <x:v>来源验收项全部自动化；性能报告包含 P50/P95/P99、置信区间与 baseline；失败门槛接入 CI；测试数据和命令可复现。</x:v>
      </x:c>
      <x:c r="R436" s="22" t="str">
        <x:v>./bin/kvcache_bench --case=kvinspect_api --baseline=native --report=json</x:v>
      </x:c>
      <x:c r="S436" s="22" t="str">
        <x:v>Prefix命中判定P99耗时 &lt; 200us；在Share-Prefix业务下，Usable Hit Rate提升≥15%。</x:v>
      </x:c>
      <x:c r="T436" s="22" t="str">
        <x:v>SR-02-11-05</x:v>
      </x:c>
      <x:c r="U436" s="22" t="str">
        <x:v>待认领</x:v>
      </x:c>
      <x:c r="V436" s="22" t="str"/>
      <x:c r="W436" s="22" t="str"/>
      <x:c r="X436" s="22" t="str">
        <x:f>IF(COUNTIF($A$5:$A$451,A436)=1,"PASS","FAIL")</x:f>
        <x:v>PASS</x:v>
      </x:c>
      <x:c r="Y436" s="22" t="str">
        <x:f>IF(COUNTIF('SR系统设计'!$A$5:$A$153,B436)+COUNTIF('追溯与覆盖'!$A$5:$A$153,C436)=2,"PASS","FAIL")</x:f>
        <x:v>PASS</x:v>
      </x:c>
    </x:row>
    <x:row r="437" ht="84" customHeight="1">
      <x:c r="A437" s="25" t="str">
        <x:v>AR-SE-MONITOR-001-01</x:v>
      </x:c>
      <x:c r="B437" s="25" t="str">
        <x:v>SR-02-12-01</x:v>
      </x:c>
      <x:c r="C437" s="25" t="str">
        <x:v>SE-MONITOR-001</x:v>
      </x:c>
      <x:c r="D437" s="25" t="str">
        <x:v>SF-02</x:v>
      </x:c>
      <x:c r="E437" s="25" t="str">
        <x:v>IR-02-12</x:v>
      </x:c>
      <x:c r="F437" s="22" t="str">
        <x:v>SE 工程保障</x:v>
      </x:c>
      <x:c r="G437" s="22" t="str">
        <x:v>TM6</x:v>
      </x:c>
      <x:c r="H437" s="22" t="str">
        <x:v>工程质量与交付工具链</x:v>
      </x:c>
      <x:c r="I437" s="22" t="str">
        <x:v>P1</x:v>
      </x:c>
      <x:c r="J437" s="22" t="str">
        <x:v>阶段2前完成核心路径无锁打点及监控展示。</x:v>
      </x:c>
      <x:c r="K437" s="22" t="str">
        <x:v>核心实现</x:v>
      </x:c>
      <x:c r="L437" s="22" t="str">
        <x:v>测试效能/DevOps</x:v>
      </x:c>
      <x:c r="M437" s="22" t="str">
        <x:v>src/observability/kv_metrics_exporter.{h,cc}</x:v>
      </x:c>
      <x:c r="N437" s="22" t="str">
        <x:v>KvMetricsExporter</x:v>
      </x:c>
      <x:c r="O437" s="22" t="str">
        <x:v>实现 实现 thread-local 无锁计数器和 Prometheus exporter，发布 TTFT/TPOT/usable hit/per-tier I/O/path/fallback 指标，并交付 Grafana 大盘与分级告警。提交必须包含可复现入口、结构化报告和失败退出码，禁止依赖人工补步骤。</x:v>
      </x:c>
      <x:c r="P437" s="22" t="str">
        <x:v>输入为 source + test matrix + deployment manifest；输出 quality report + benchmark baseline + release artifact；任一P0门禁失败阻断合并；灰度SLO异常自动回滚</x:v>
      </x:c>
      <x:c r="Q437" s="22" t="str">
        <x:v>目标可在干净环境一键运行；日志/报告可机器解析；与主代码版本、硬件拓扑和配置绑定；失败能阻断合并或发布。</x:v>
      </x:c>
      <x:c r="R437" s="22" t="str">
        <x:v>ctest -R KvMetricsExporter &amp;&amp; ./bin/kvcache_bench --case=metrics_overhead</x:v>
      </x:c>
      <x:c r="S437" s="22" t="str">
        <x:v>大盘指标采集刷新延迟 &lt; 5s，对主业务端到端性能损耗影响 &lt; 1%。</x:v>
      </x:c>
      <x:c r="T437" s="22" t="str">
        <x:v>SR-02-12-01</x:v>
      </x:c>
      <x:c r="U437" s="22" t="str">
        <x:v>待认领</x:v>
      </x:c>
      <x:c r="V437" s="22" t="str"/>
      <x:c r="W437" s="22" t="str"/>
      <x:c r="X437" s="22" t="str">
        <x:f>IF(COUNTIF($A$5:$A$451,A437)=1,"PASS","FAIL")</x:f>
        <x:v>PASS</x:v>
      </x:c>
      <x:c r="Y437" s="22" t="str">
        <x:f>IF(COUNTIF('SR系统设计'!$A$5:$A$153,B437)+COUNTIF('追溯与覆盖'!$A$5:$A$153,C437)=2,"PASS","FAIL")</x:f>
        <x:v>PASS</x:v>
      </x:c>
    </x:row>
    <x:row r="438" ht="84" customHeight="1">
      <x:c r="A438" s="25" t="str">
        <x:v>AR-SE-MONITOR-001-02</x:v>
      </x:c>
      <x:c r="B438" s="25" t="str">
        <x:v>SR-02-12-01</x:v>
      </x:c>
      <x:c r="C438" s="25" t="str">
        <x:v>SE-MONITOR-001</x:v>
      </x:c>
      <x:c r="D438" s="25" t="str">
        <x:v>SF-02</x:v>
      </x:c>
      <x:c r="E438" s="25" t="str">
        <x:v>IR-02-12</x:v>
      </x:c>
      <x:c r="F438" s="22" t="str">
        <x:v>SE 工程保障</x:v>
      </x:c>
      <x:c r="G438" s="22" t="str">
        <x:v>TM6</x:v>
      </x:c>
      <x:c r="H438" s="22" t="str">
        <x:v>工程质量与交付工具链</x:v>
      </x:c>
      <x:c r="I438" s="22" t="str">
        <x:v>P1</x:v>
      </x:c>
      <x:c r="J438" s="22" t="str">
        <x:v>阶段2前完成核心路径无锁打点及监控展示。</x:v>
      </x:c>
      <x:c r="K438" s="22" t="str">
        <x:v>契约配置与降级</x:v>
      </x:c>
      <x:c r="L438" s="22" t="str">
        <x:v>测试效能/DevOps</x:v>
      </x:c>
      <x:c r="M438" s="22" t="str">
        <x:v>observability/grafana/kvcache-overview.json + observability/prometheus/kvcache-alerts.yaml</x:v>
      </x:c>
      <x:c r="N438" s="22" t="str">
        <x:v>metrics_flush_interval_ms / alert thresholds</x:v>
      </x:c>
      <x:c r="O438" s="22" t="str">
        <x:v>在 `observability/grafana/kvcache-overview.json + observability/prometheus/kvcache-alerts.yaml` 固化矩阵、阈值、超时、制品保留和失败策略；为 SE-MONITOR-001 增加可审计配置键“metrics_flush_interval_ms / alert thresholds”，并把 大盘指标采集刷新延迟 &lt; 5s，对主业务端到端性能损耗影响 &lt; 1%。 写入自动门禁。</x:v>
      </x:c>
      <x:c r="P438" s="22" t="str">
        <x:v>所有阈值有默认值、环境覆盖规则和版本记录；任一P0门禁失败阻断合并，灰度SLO异常自动回滚。</x:v>
      </x:c>
      <x:c r="Q438" s="22" t="str">
        <x:v>配置schema校验通过；本地与CI执行结果一致；错误路径保留诊断制品；敏感信息不写入日志。</x:v>
      </x:c>
      <x:c r="R438" s="22" t="str">
        <x:v>ctest -R KvMetricsExporter &amp;&amp; ./bin/kvcache_bench --case=metrics_overhead</x:v>
      </x:c>
      <x:c r="S438" s="22" t="str">
        <x:v>大盘指标采集刷新延迟 &lt; 5s，对主业务端到端性能损耗影响 &lt; 1%。</x:v>
      </x:c>
      <x:c r="T438" s="22" t="str">
        <x:v>SR-02-12-01</x:v>
      </x:c>
      <x:c r="U438" s="22" t="str">
        <x:v>待认领</x:v>
      </x:c>
      <x:c r="V438" s="22" t="str"/>
      <x:c r="W438" s="22" t="str"/>
      <x:c r="X438" s="22" t="str">
        <x:f>IF(COUNTIF($A$5:$A$451,A438)=1,"PASS","FAIL")</x:f>
        <x:v>PASS</x:v>
      </x:c>
      <x:c r="Y438" s="22" t="str">
        <x:f>IF(COUNTIF('SR系统设计'!$A$5:$A$153,B438)+COUNTIF('追溯与覆盖'!$A$5:$A$153,C438)=2,"PASS","FAIL")</x:f>
        <x:v>PASS</x:v>
      </x:c>
    </x:row>
    <x:row r="439" ht="84" customHeight="1">
      <x:c r="A439" s="25" t="str">
        <x:v>AR-SE-MONITOR-001-03</x:v>
      </x:c>
      <x:c r="B439" s="25" t="str">
        <x:v>SR-02-12-01</x:v>
      </x:c>
      <x:c r="C439" s="25" t="str">
        <x:v>SE-MONITOR-001</x:v>
      </x:c>
      <x:c r="D439" s="25" t="str">
        <x:v>SF-02</x:v>
      </x:c>
      <x:c r="E439" s="25" t="str">
        <x:v>IR-02-12</x:v>
      </x:c>
      <x:c r="F439" s="22" t="str">
        <x:v>SE 工程保障</x:v>
      </x:c>
      <x:c r="G439" s="22" t="str">
        <x:v>TM6</x:v>
      </x:c>
      <x:c r="H439" s="22" t="str">
        <x:v>工程质量与交付工具链</x:v>
      </x:c>
      <x:c r="I439" s="22" t="str">
        <x:v>P1</x:v>
      </x:c>
      <x:c r="J439" s="22" t="str">
        <x:v>阶段2前完成核心路径无锁打点及监控展示。</x:v>
      </x:c>
      <x:c r="K439" s="22" t="str">
        <x:v>验证与观测</x:v>
      </x:c>
      <x:c r="L439" s="22" t="str">
        <x:v>测试效能/DevOps</x:v>
      </x:c>
      <x:c r="M439" s="22" t="str">
        <x:v>tests/engineering/se_monitor_001_acceptance.md + reports/schema/se_monitor_001_report.schema.json</x:v>
      </x:c>
      <x:c r="N439" s="22" t="str">
        <x:v>SEMONITOR001Acceptance</x:v>
      </x:c>
      <x:c r="O439" s="22" t="str">
        <x:v>新增 SE-MONITOR-001 的自验收套件，覆盖正常、阈值边界、工具自身故障、超时与回滚；自动生成包含环境指纹、P50/P95/P99、覆盖率/泄漏/错误率及 baseline diff 的报告。</x:v>
      </x:c>
      <x:c r="P439" s="22" t="str">
        <x:v>直接验收来源要求：“提供 Grafana 大盘链接，包含 P50/P90/P99 延迟分位图表及分级告警规则(如命中率骤降等)。”</x:v>
      </x:c>
      <x:c r="Q439" s="22" t="str">
        <x:v>验收命令非零退出即失败；报告符合JSON schema；连续两次复跑差异在批准噪声区间内；失败证据可定位到责任模块。</x:v>
      </x:c>
      <x:c r="R439" s="22" t="str">
        <x:v>ctest -R KvMetricsExporter &amp;&amp; ./bin/kvcache_bench --case=metrics_overhead</x:v>
      </x:c>
      <x:c r="S439" s="22" t="str">
        <x:v>大盘指标采集刷新延迟 &lt; 5s，对主业务端到端性能损耗影响 &lt; 1%。</x:v>
      </x:c>
      <x:c r="T439" s="22" t="str">
        <x:v>SR-02-12-01</x:v>
      </x:c>
      <x:c r="U439" s="22" t="str">
        <x:v>待认领</x:v>
      </x:c>
      <x:c r="V439" s="22" t="str"/>
      <x:c r="W439" s="22" t="str"/>
      <x:c r="X439" s="22" t="str">
        <x:f>IF(COUNTIF($A$5:$A$451,A439)=1,"PASS","FAIL")</x:f>
        <x:v>PASS</x:v>
      </x:c>
      <x:c r="Y439" s="22" t="str">
        <x:f>IF(COUNTIF('SR系统设计'!$A$5:$A$153,B439)+COUNTIF('追溯与覆盖'!$A$5:$A$153,C439)=2,"PASS","FAIL")</x:f>
        <x:v>PASS</x:v>
      </x:c>
    </x:row>
    <x:row r="440" ht="84" customHeight="1">
      <x:c r="A440" s="25" t="str">
        <x:v>AR-SE-TEST-001-01</x:v>
      </x:c>
      <x:c r="B440" s="25" t="str">
        <x:v>SR-02-12-02</x:v>
      </x:c>
      <x:c r="C440" s="25" t="str">
        <x:v>SE-TEST-001</x:v>
      </x:c>
      <x:c r="D440" s="25" t="str">
        <x:v>SF-02</x:v>
      </x:c>
      <x:c r="E440" s="25" t="str">
        <x:v>IR-02-12</x:v>
      </x:c>
      <x:c r="F440" s="22" t="str">
        <x:v>SE 工程保障</x:v>
      </x:c>
      <x:c r="G440" s="22" t="str">
        <x:v>TM6</x:v>
      </x:c>
      <x:c r="H440" s="22" t="str">
        <x:v>工程质量与交付工具链</x:v>
      </x:c>
      <x:c r="I440" s="22" t="str">
        <x:v>P1</x:v>
      </x:c>
      <x:c r="J440" s="22" t="str">
        <x:v>里程碑1前完成基础框架并全量接入核心模块。</x:v>
      </x:c>
      <x:c r="K440" s="22" t="str">
        <x:v>核心实现</x:v>
      </x:c>
      <x:c r="L440" s="22" t="str">
        <x:v>测试效能/DevOps</x:v>
      </x:c>
      <x:c r="M440" s="22" t="str">
        <x:v>tests/fakes/fake_memory_backend.{h,cc} + tests/unit/CMakeLists.txt</x:v>
      </x:c>
      <x:c r="N440" s="22" t="str">
        <x:v>FakeMemoryBackend / UnitTestTargets</x:v>
      </x:c>
      <x:c r="O440" s="22" t="str">
        <x:v>实现 建立 mmap 软仿分配器、依赖注入测试夹具和 L1-L4 单测目标；lcov/gcov 生成分支覆盖率并在低于85%时阻断合并。提交必须包含可复现入口、结构化报告和失败退出码，禁止依赖人工补步骤。</x:v>
      </x:c>
      <x:c r="P440" s="22" t="str">
        <x:v>输入为 source + test matrix + deployment manifest；输出 quality report + benchmark baseline + release artifact；任一P0门禁失败阻断合并；灰度SLO异常自动回滚</x:v>
      </x:c>
      <x:c r="Q440" s="22" t="str">
        <x:v>目标可在干净环境一键运行；日志/报告可机器解析；与主代码版本、硬件拓扑和配置绑定；失败能阻断合并或发布。</x:v>
      </x:c>
      <x:c r="R440" s="22" t="str">
        <x:v>ctest --preset unit &amp;&amp; cmake --build --preset coverage</x:v>
      </x:c>
      <x:c r="S440" s="22" t="str">
        <x:v>核心模块(L1-L4)单元测试覆盖率 &gt; 85%，核心接口自动化通过率 100%。</x:v>
      </x:c>
      <x:c r="T440" s="22" t="str">
        <x:v>SR-02-12-02</x:v>
      </x:c>
      <x:c r="U440" s="22" t="str">
        <x:v>待认领</x:v>
      </x:c>
      <x:c r="V440" s="22" t="str"/>
      <x:c r="W440" s="22" t="str"/>
      <x:c r="X440" s="22" t="str">
        <x:f>IF(COUNTIF($A$5:$A$451,A440)=1,"PASS","FAIL")</x:f>
        <x:v>PASS</x:v>
      </x:c>
      <x:c r="Y440" s="22" t="str">
        <x:f>IF(COUNTIF('SR系统设计'!$A$5:$A$153,B440)+COUNTIF('追溯与覆盖'!$A$5:$A$153,C440)=2,"PASS","FAIL")</x:f>
        <x:v>PASS</x:v>
      </x:c>
    </x:row>
    <x:row r="441" ht="84" customHeight="1">
      <x:c r="A441" s="25" t="str">
        <x:v>AR-SE-TEST-001-02</x:v>
      </x:c>
      <x:c r="B441" s="25" t="str">
        <x:v>SR-02-12-02</x:v>
      </x:c>
      <x:c r="C441" s="25" t="str">
        <x:v>SE-TEST-001</x:v>
      </x:c>
      <x:c r="D441" s="25" t="str">
        <x:v>SF-02</x:v>
      </x:c>
      <x:c r="E441" s="25" t="str">
        <x:v>IR-02-12</x:v>
      </x:c>
      <x:c r="F441" s="22" t="str">
        <x:v>SE 工程保障</x:v>
      </x:c>
      <x:c r="G441" s="22" t="str">
        <x:v>TM6</x:v>
      </x:c>
      <x:c r="H441" s="22" t="str">
        <x:v>工程质量与交付工具链</x:v>
      </x:c>
      <x:c r="I441" s="22" t="str">
        <x:v>P1</x:v>
      </x:c>
      <x:c r="J441" s="22" t="str">
        <x:v>里程碑1前完成基础框架并全量接入核心模块。</x:v>
      </x:c>
      <x:c r="K441" s="22" t="str">
        <x:v>契约配置与降级</x:v>
      </x:c>
      <x:c r="L441" s="22" t="str">
        <x:v>测试效能/DevOps</x:v>
      </x:c>
      <x:c r="M441" s="22" t="str">
        <x:v>cmake/CodeCoverage.cmake + .gitlab/ci/unit-test.yml</x:v>
      </x:c>
      <x:c r="N441" s="22" t="str">
        <x:v>KVCACHE_ENABLE_COVERAGE / min_line_coverage=85</x:v>
      </x:c>
      <x:c r="O441" s="22" t="str">
        <x:v>在 `cmake/CodeCoverage.cmake + .gitlab/ci/unit-test.yml` 固化矩阵、阈值、超时、制品保留和失败策略；为 SE-TEST-001 增加可审计配置键“KVCACHE_ENABLE_COVERAGE / min_line_coverage=85”，并把 核心模块(L1-L4)单元测试覆盖率 &gt; 85%，核心接口自动化通过率 100%。 写入自动门禁。</x:v>
      </x:c>
      <x:c r="P441" s="22" t="str">
        <x:v>所有阈值有默认值、环境覆盖规则和版本记录；任一P0门禁失败阻断合并，灰度SLO异常自动回滚。</x:v>
      </x:c>
      <x:c r="Q441" s="22" t="str">
        <x:v>配置schema校验通过；本地与CI执行结果一致；错误路径保留诊断制品；敏感信息不写入日志。</x:v>
      </x:c>
      <x:c r="R441" s="22" t="str">
        <x:v>ctest --preset unit &amp;&amp; cmake --build --preset coverage</x:v>
      </x:c>
      <x:c r="S441" s="22" t="str">
        <x:v>核心模块(L1-L4)单元测试覆盖率 &gt; 85%，核心接口自动化通过率 100%。</x:v>
      </x:c>
      <x:c r="T441" s="22" t="str">
        <x:v>SR-02-12-02</x:v>
      </x:c>
      <x:c r="U441" s="22" t="str">
        <x:v>待认领</x:v>
      </x:c>
      <x:c r="V441" s="22" t="str"/>
      <x:c r="W441" s="22" t="str"/>
      <x:c r="X441" s="22" t="str">
        <x:f>IF(COUNTIF($A$5:$A$451,A441)=1,"PASS","FAIL")</x:f>
        <x:v>PASS</x:v>
      </x:c>
      <x:c r="Y441" s="22" t="str">
        <x:f>IF(COUNTIF('SR系统设计'!$A$5:$A$153,B441)+COUNTIF('追溯与覆盖'!$A$5:$A$153,C441)=2,"PASS","FAIL")</x:f>
        <x:v>PASS</x:v>
      </x:c>
    </x:row>
    <x:row r="442" ht="84" customHeight="1">
      <x:c r="A442" s="25" t="str">
        <x:v>AR-SE-TEST-001-03</x:v>
      </x:c>
      <x:c r="B442" s="25" t="str">
        <x:v>SR-02-12-02</x:v>
      </x:c>
      <x:c r="C442" s="25" t="str">
        <x:v>SE-TEST-001</x:v>
      </x:c>
      <x:c r="D442" s="25" t="str">
        <x:v>SF-02</x:v>
      </x:c>
      <x:c r="E442" s="25" t="str">
        <x:v>IR-02-12</x:v>
      </x:c>
      <x:c r="F442" s="22" t="str">
        <x:v>SE 工程保障</x:v>
      </x:c>
      <x:c r="G442" s="22" t="str">
        <x:v>TM6</x:v>
      </x:c>
      <x:c r="H442" s="22" t="str">
        <x:v>工程质量与交付工具链</x:v>
      </x:c>
      <x:c r="I442" s="22" t="str">
        <x:v>P1</x:v>
      </x:c>
      <x:c r="J442" s="22" t="str">
        <x:v>里程碑1前完成基础框架并全量接入核心模块。</x:v>
      </x:c>
      <x:c r="K442" s="22" t="str">
        <x:v>验证与观测</x:v>
      </x:c>
      <x:c r="L442" s="22" t="str">
        <x:v>测试效能/DevOps</x:v>
      </x:c>
      <x:c r="M442" s="22" t="str">
        <x:v>tests/engineering/se_test_001_acceptance.md + reports/schema/se_test_001_report.schema.json</x:v>
      </x:c>
      <x:c r="N442" s="22" t="str">
        <x:v>SETEST001Acceptance</x:v>
      </x:c>
      <x:c r="O442" s="22" t="str">
        <x:v>新增 SE-TEST-001 的自验收套件，覆盖正常、阈值边界、工具自身故障、超时与回滚；自动生成包含环境指纹、P50/P95/P99、覆盖率/泄漏/错误率及 baseline diff 的报告。</x:v>
      </x:c>
      <x:c r="P442" s="22" t="str">
        <x:v>直接验收来源要求：“提供自动化测试流水线运行报告，验证测试覆盖率与通过率。”</x:v>
      </x:c>
      <x:c r="Q442" s="22" t="str">
        <x:v>验收命令非零退出即失败；报告符合JSON schema；连续两次复跑差异在批准噪声区间内；失败证据可定位到责任模块。</x:v>
      </x:c>
      <x:c r="R442" s="22" t="str">
        <x:v>ctest --preset unit &amp;&amp; cmake --build --preset coverage</x:v>
      </x:c>
      <x:c r="S442" s="22" t="str">
        <x:v>核心模块(L1-L4)单元测试覆盖率 &gt; 85%，核心接口自动化通过率 100%。</x:v>
      </x:c>
      <x:c r="T442" s="22" t="str">
        <x:v>SR-02-12-02</x:v>
      </x:c>
      <x:c r="U442" s="22" t="str">
        <x:v>待认领</x:v>
      </x:c>
      <x:c r="V442" s="22" t="str"/>
      <x:c r="W442" s="22" t="str"/>
      <x:c r="X442" s="22" t="str">
        <x:f>IF(COUNTIF($A$5:$A$451,A442)=1,"PASS","FAIL")</x:f>
        <x:v>PASS</x:v>
      </x:c>
      <x:c r="Y442" s="22" t="str">
        <x:f>IF(COUNTIF('SR系统设计'!$A$5:$A$153,B442)+COUNTIF('追溯与覆盖'!$A$5:$A$153,C442)=2,"PASS","FAIL")</x:f>
        <x:v>PASS</x:v>
      </x:c>
    </x:row>
    <x:row r="443" ht="84" customHeight="1">
      <x:c r="A443" s="25" t="str">
        <x:v>AR-SE-TEST-002-01</x:v>
      </x:c>
      <x:c r="B443" s="25" t="str">
        <x:v>SR-02-12-03</x:v>
      </x:c>
      <x:c r="C443" s="25" t="str">
        <x:v>SE-TEST-002</x:v>
      </x:c>
      <x:c r="D443" s="25" t="str">
        <x:v>SF-02</x:v>
      </x:c>
      <x:c r="E443" s="25" t="str">
        <x:v>IR-02-12</x:v>
      </x:c>
      <x:c r="F443" s="22" t="str">
        <x:v>SE 工程保障</x:v>
      </x:c>
      <x:c r="G443" s="22" t="str">
        <x:v>TM6</x:v>
      </x:c>
      <x:c r="H443" s="22" t="str">
        <x:v>工程质量与交付工具链</x:v>
      </x:c>
      <x:c r="I443" s="22" t="str">
        <x:v>P1</x:v>
      </x:c>
      <x:c r="J443" s="22" t="str">
        <x:v>里程碑2前完成混沌工程与长稳环境搭建。</x:v>
      </x:c>
      <x:c r="K443" s="22" t="str">
        <x:v>核心实现</x:v>
      </x:c>
      <x:c r="L443" s="22" t="str">
        <x:v>测试效能/DevOps</x:v>
      </x:c>
      <x:c r="M443" s="22" t="str">
        <x:v>tests/e2e/run_e2e.py + tests/e2e/topology/heterogeneous_pool.yaml</x:v>
      </x:c>
      <x:c r="N443" s="22" t="str">
        <x:v>HeterogeneousPoolHarness</x:v>
      </x:c>
      <x:c r="O443" s="22" t="str">
        <x:v>实现 编排 HBM/DDR/NVMe/RDMA 多节点环境，注入断链、SSD阻塞、节点重启与元数据stale，验证&lt;500ms fallback、0业务错误和72h零泄漏。提交必须包含可复现入口、结构化报告和失败退出码，禁止依赖人工补步骤。</x:v>
      </x:c>
      <x:c r="P443" s="22" t="str">
        <x:v>输入为 source + test matrix + deployment manifest；输出 quality report + benchmark baseline + release artifact；任一P0门禁失败阻断合并；灰度SLO异常自动回滚</x:v>
      </x:c>
      <x:c r="Q443" s="22" t="str">
        <x:v>目标可在干净环境一键运行；日志/报告可机器解析；与主代码版本、硬件拓扑和配置绑定；失败能阻断合并或发布。</x:v>
      </x:c>
      <x:c r="R443" s="22" t="str">
        <x:v>python tests/e2e/run_e2e.py --topology heterogeneous_pool --chaos --soak 72h</x:v>
      </x:c>
      <x:c r="S443" s="22" t="str">
        <x:v>能够在一键脚本下完成所有硬件介质连通性验证。具备长稳运行(Soak Test)和故障容灾能力。</x:v>
      </x:c>
      <x:c r="T443" s="22" t="str">
        <x:v>SR-02-12-03</x:v>
      </x:c>
      <x:c r="U443" s="22" t="str">
        <x:v>待认领</x:v>
      </x:c>
      <x:c r="V443" s="22" t="str"/>
      <x:c r="W443" s="22" t="str"/>
      <x:c r="X443" s="22" t="str">
        <x:f>IF(COUNTIF($A$5:$A$451,A443)=1,"PASS","FAIL")</x:f>
        <x:v>PASS</x:v>
      </x:c>
      <x:c r="Y443" s="22" t="str">
        <x:f>IF(COUNTIF('SR系统设计'!$A$5:$A$153,B443)+COUNTIF('追溯与覆盖'!$A$5:$A$153,C443)=2,"PASS","FAIL")</x:f>
        <x:v>PASS</x:v>
      </x:c>
    </x:row>
    <x:row r="444" ht="84" customHeight="1">
      <x:c r="A444" s="25" t="str">
        <x:v>AR-SE-TEST-002-02</x:v>
      </x:c>
      <x:c r="B444" s="25" t="str">
        <x:v>SR-02-12-03</x:v>
      </x:c>
      <x:c r="C444" s="25" t="str">
        <x:v>SE-TEST-002</x:v>
      </x:c>
      <x:c r="D444" s="25" t="str">
        <x:v>SF-02</x:v>
      </x:c>
      <x:c r="E444" s="25" t="str">
        <x:v>IR-02-12</x:v>
      </x:c>
      <x:c r="F444" s="22" t="str">
        <x:v>SE 工程保障</x:v>
      </x:c>
      <x:c r="G444" s="22" t="str">
        <x:v>TM6</x:v>
      </x:c>
      <x:c r="H444" s="22" t="str">
        <x:v>工程质量与交付工具链</x:v>
      </x:c>
      <x:c r="I444" s="22" t="str">
        <x:v>P1</x:v>
      </x:c>
      <x:c r="J444" s="22" t="str">
        <x:v>里程碑2前完成混沌工程与长稳环境搭建。</x:v>
      </x:c>
      <x:c r="K444" s="22" t="str">
        <x:v>契约配置与降级</x:v>
      </x:c>
      <x:c r="L444" s="22" t="str">
        <x:v>测试效能/DevOps</x:v>
      </x:c>
      <x:c r="M444" s="22" t="str">
        <x:v>deploy/chaos/kv-path-faults.yaml + .gitlab/ci/e2e-soak.yml</x:v>
      </x:c>
      <x:c r="N444" s="22" t="str">
        <x:v>soak_hours=72 / fallback_deadline_ms=500</x:v>
      </x:c>
      <x:c r="O444" s="22" t="str">
        <x:v>在 `deploy/chaos/kv-path-faults.yaml + .gitlab/ci/e2e-soak.yml` 固化矩阵、阈值、超时、制品保留和失败策略；为 SE-TEST-002 增加可审计配置键“soak_hours=72 / fallback_deadline_ms=500”，并把 能够在一键脚本下完成所有硬件介质连通性验证。具备长稳运行(Soak Test)和故障容灾能力。 写入自动门禁。</x:v>
      </x:c>
      <x:c r="P444" s="22" t="str">
        <x:v>所有阈值有默认值、环境覆盖规则和版本记录；任一P0门禁失败阻断合并，灰度SLO异常自动回滚。</x:v>
      </x:c>
      <x:c r="Q444" s="22" t="str">
        <x:v>配置schema校验通过；本地与CI执行结果一致；错误路径保留诊断制品；敏感信息不写入日志。</x:v>
      </x:c>
      <x:c r="R444" s="22" t="str">
        <x:v>python tests/e2e/run_e2e.py --topology heterogeneous_pool --chaos --soak 72h</x:v>
      </x:c>
      <x:c r="S444" s="22" t="str">
        <x:v>能够在一键脚本下完成所有硬件介质连通性验证。具备长稳运行(Soak Test)和故障容灾能力。</x:v>
      </x:c>
      <x:c r="T444" s="22" t="str">
        <x:v>SR-02-12-03</x:v>
      </x:c>
      <x:c r="U444" s="22" t="str">
        <x:v>待认领</x:v>
      </x:c>
      <x:c r="V444" s="22" t="str"/>
      <x:c r="W444" s="22" t="str"/>
      <x:c r="X444" s="22" t="str">
        <x:f>IF(COUNTIF($A$5:$A$451,A444)=1,"PASS","FAIL")</x:f>
        <x:v>PASS</x:v>
      </x:c>
      <x:c r="Y444" s="22" t="str">
        <x:f>IF(COUNTIF('SR系统设计'!$A$5:$A$153,B444)+COUNTIF('追溯与覆盖'!$A$5:$A$153,C444)=2,"PASS","FAIL")</x:f>
        <x:v>PASS</x:v>
      </x:c>
    </x:row>
    <x:row r="445" ht="84" customHeight="1">
      <x:c r="A445" s="25" t="str">
        <x:v>AR-SE-TEST-002-03</x:v>
      </x:c>
      <x:c r="B445" s="25" t="str">
        <x:v>SR-02-12-03</x:v>
      </x:c>
      <x:c r="C445" s="25" t="str">
        <x:v>SE-TEST-002</x:v>
      </x:c>
      <x:c r="D445" s="25" t="str">
        <x:v>SF-02</x:v>
      </x:c>
      <x:c r="E445" s="25" t="str">
        <x:v>IR-02-12</x:v>
      </x:c>
      <x:c r="F445" s="22" t="str">
        <x:v>SE 工程保障</x:v>
      </x:c>
      <x:c r="G445" s="22" t="str">
        <x:v>TM6</x:v>
      </x:c>
      <x:c r="H445" s="22" t="str">
        <x:v>工程质量与交付工具链</x:v>
      </x:c>
      <x:c r="I445" s="22" t="str">
        <x:v>P1</x:v>
      </x:c>
      <x:c r="J445" s="22" t="str">
        <x:v>里程碑2前完成混沌工程与长稳环境搭建。</x:v>
      </x:c>
      <x:c r="K445" s="22" t="str">
        <x:v>验证与观测</x:v>
      </x:c>
      <x:c r="L445" s="22" t="str">
        <x:v>测试效能/DevOps</x:v>
      </x:c>
      <x:c r="M445" s="22" t="str">
        <x:v>tests/engineering/se_test_002_acceptance.md + reports/schema/se_test_002_report.schema.json</x:v>
      </x:c>
      <x:c r="N445" s="22" t="str">
        <x:v>SETEST002Acceptance</x:v>
      </x:c>
      <x:c r="O445" s="22" t="str">
        <x:v>新增 SE-TEST-002 的自验收套件，覆盖正常、阈值边界、工具自身故障、超时与回滚；自动生成包含环境指纹、P50/P95/P99、覆盖率/泄漏/错误率及 baseline diff 的报告。</x:v>
      </x:c>
      <x:c r="P445" s="22" t="str">
        <x:v>直接验收来源要求：“执行系统级回归用例，输出连续72小时端到端长稳测试报告与故障注入恢复报告。”</x:v>
      </x:c>
      <x:c r="Q445" s="22" t="str">
        <x:v>验收命令非零退出即失败；报告符合JSON schema；连续两次复跑差异在批准噪声区间内；失败证据可定位到责任模块。</x:v>
      </x:c>
      <x:c r="R445" s="22" t="str">
        <x:v>python tests/e2e/run_e2e.py --topology heterogeneous_pool --chaos --soak 72h</x:v>
      </x:c>
      <x:c r="S445" s="22" t="str">
        <x:v>能够在一键脚本下完成所有硬件介质连通性验证。具备长稳运行(Soak Test)和故障容灾能力。</x:v>
      </x:c>
      <x:c r="T445" s="22" t="str">
        <x:v>SR-02-12-03</x:v>
      </x:c>
      <x:c r="U445" s="22" t="str">
        <x:v>待认领</x:v>
      </x:c>
      <x:c r="V445" s="22" t="str"/>
      <x:c r="W445" s="22" t="str"/>
      <x:c r="X445" s="22" t="str">
        <x:f>IF(COUNTIF($A$5:$A$451,A445)=1,"PASS","FAIL")</x:f>
        <x:v>PASS</x:v>
      </x:c>
      <x:c r="Y445" s="22" t="str">
        <x:f>IF(COUNTIF('SR系统设计'!$A$5:$A$153,B445)+COUNTIF('追溯与覆盖'!$A$5:$A$153,C445)=2,"PASS","FAIL")</x:f>
        <x:v>PASS</x:v>
      </x:c>
    </x:row>
    <x:row r="446" ht="84" customHeight="1">
      <x:c r="A446" s="25" t="str">
        <x:v>AR-SE-CICD-001-01</x:v>
      </x:c>
      <x:c r="B446" s="25" t="str">
        <x:v>SR-02-12-04</x:v>
      </x:c>
      <x:c r="C446" s="25" t="str">
        <x:v>SE-CICD-001</x:v>
      </x:c>
      <x:c r="D446" s="25" t="str">
        <x:v>SF-02</x:v>
      </x:c>
      <x:c r="E446" s="25" t="str">
        <x:v>IR-02-12</x:v>
      </x:c>
      <x:c r="F446" s="22" t="str">
        <x:v>SE 工程保障</x:v>
      </x:c>
      <x:c r="G446" s="22" t="str">
        <x:v>TM6</x:v>
      </x:c>
      <x:c r="H446" s="22" t="str">
        <x:v>工程质量与交付工具链</x:v>
      </x:c>
      <x:c r="I446" s="22" t="str">
        <x:v>P2</x:v>
      </x:c>
      <x:c r="J446" s="22" t="str">
        <x:v>里程碑1前跑通主干代码流水线；里程碑2前完成全自动化发版。</x:v>
      </x:c>
      <x:c r="K446" s="22" t="str">
        <x:v>核心实现</x:v>
      </x:c>
      <x:c r="L446" s="22" t="str">
        <x:v>测试效能/DevOps</x:v>
      </x:c>
      <x:c r="M446" s="22" t="str">
        <x:v>.gitlab-ci.yml + cmake/presets/CMakePresets.json</x:v>
      </x:c>
      <x:c r="N446" s="22" t="str">
        <x:v>QualityGatePipeline</x:v>
      </x:c>
      <x:c r="O446" s="22" t="str">
        <x:v>实现 建立 ccache 增量构建、clang-tidy/Sonar、跨CPU/NPU矩阵、制品签名、1%→10%→50%→100%灰度和SLO异常&lt;1min自动回滚。提交必须包含可复现入口、结构化报告和失败退出码，禁止依赖人工补步骤。</x:v>
      </x:c>
      <x:c r="P446" s="22" t="str">
        <x:v>输入为 source + test matrix + deployment manifest；输出 quality report + benchmark baseline + release artifact；任一P0门禁失败阻断合并；灰度SLO异常自动回滚</x:v>
      </x:c>
      <x:c r="Q446" s="22" t="str">
        <x:v>目标可在干净环境一键运行；日志/报告可机器解析；与主代码版本、硬件拓扑和配置绑定；失败能阻断合并或发布。</x:v>
      </x:c>
      <x:c r="R446" s="22" t="str">
        <x:v>./tools/ci/validate_pipeline.ps1 &amp;&amp; helm lint deploy/helm/kvcache</x:v>
      </x:c>
      <x:c r="S446" s="22" t="str">
        <x:v>代码合并前拦截100%规范类与基础逻辑报错；灰度发布过程支持随时熔断与分钟级回滚。</x:v>
      </x:c>
      <x:c r="T446" s="22" t="str">
        <x:v>SR-02-12-04</x:v>
      </x:c>
      <x:c r="U446" s="22" t="str">
        <x:v>待认领</x:v>
      </x:c>
      <x:c r="V446" s="22" t="str"/>
      <x:c r="W446" s="22" t="str"/>
      <x:c r="X446" s="22" t="str">
        <x:f>IF(COUNTIF($A$5:$A$451,A446)=1,"PASS","FAIL")</x:f>
        <x:v>PASS</x:v>
      </x:c>
      <x:c r="Y446" s="22" t="str">
        <x:f>IF(COUNTIF('SR系统设计'!$A$5:$A$153,B446)+COUNTIF('追溯与覆盖'!$A$5:$A$153,C446)=2,"PASS","FAIL")</x:f>
        <x:v>PASS</x:v>
      </x:c>
    </x:row>
    <x:row r="447" ht="84" customHeight="1">
      <x:c r="A447" s="25" t="str">
        <x:v>AR-SE-CICD-001-02</x:v>
      </x:c>
      <x:c r="B447" s="25" t="str">
        <x:v>SR-02-12-04</x:v>
      </x:c>
      <x:c r="C447" s="25" t="str">
        <x:v>SE-CICD-001</x:v>
      </x:c>
      <x:c r="D447" s="25" t="str">
        <x:v>SF-02</x:v>
      </x:c>
      <x:c r="E447" s="25" t="str">
        <x:v>IR-02-12</x:v>
      </x:c>
      <x:c r="F447" s="22" t="str">
        <x:v>SE 工程保障</x:v>
      </x:c>
      <x:c r="G447" s="22" t="str">
        <x:v>TM6</x:v>
      </x:c>
      <x:c r="H447" s="22" t="str">
        <x:v>工程质量与交付工具链</x:v>
      </x:c>
      <x:c r="I447" s="22" t="str">
        <x:v>P2</x:v>
      </x:c>
      <x:c r="J447" s="22" t="str">
        <x:v>里程碑1前跑通主干代码流水线；里程碑2前完成全自动化发版。</x:v>
      </x:c>
      <x:c r="K447" s="22" t="str">
        <x:v>契约配置与降级</x:v>
      </x:c>
      <x:c r="L447" s="22" t="str">
        <x:v>测试效能/DevOps</x:v>
      </x:c>
      <x:c r="M447" s="22" t="str">
        <x:v>deploy/helm/kvcache/values.yaml + deploy/canary/rollback-policy.yaml</x:v>
      </x:c>
      <x:c r="N447" s="22" t="str">
        <x:v>1/10/50/100% canary / rollback_slo</x:v>
      </x:c>
      <x:c r="O447" s="22" t="str">
        <x:v>在 `deploy/helm/kvcache/values.yaml + deploy/canary/rollback-policy.yaml` 固化矩阵、阈值、超时、制品保留和失败策略；为 SE-CICD-001 增加可审计配置键“1/10/50/100% canary / rollback_slo”，并把 代码合并前拦截100%规范类与基础逻辑报错；灰度发布过程支持随时熔断与分钟级回滚。 写入自动门禁。</x:v>
      </x:c>
      <x:c r="P447" s="22" t="str">
        <x:v>所有阈值有默认值、环境覆盖规则和版本记录；任一P0门禁失败阻断合并，灰度SLO异常自动回滚。</x:v>
      </x:c>
      <x:c r="Q447" s="22" t="str">
        <x:v>配置schema校验通过；本地与CI执行结果一致；错误路径保留诊断制品；敏感信息不写入日志。</x:v>
      </x:c>
      <x:c r="R447" s="22" t="str">
        <x:v>./tools/ci/validate_pipeline.ps1 &amp;&amp; helm lint deploy/helm/kvcache</x:v>
      </x:c>
      <x:c r="S447" s="22" t="str">
        <x:v>代码合并前拦截100%规范类与基础逻辑报错；灰度发布过程支持随时熔断与分钟级回滚。</x:v>
      </x:c>
      <x:c r="T447" s="22" t="str">
        <x:v>SR-02-12-04</x:v>
      </x:c>
      <x:c r="U447" s="22" t="str">
        <x:v>待认领</x:v>
      </x:c>
      <x:c r="V447" s="22" t="str"/>
      <x:c r="W447" s="22" t="str"/>
      <x:c r="X447" s="22" t="str">
        <x:f>IF(COUNTIF($A$5:$A$451,A447)=1,"PASS","FAIL")</x:f>
        <x:v>PASS</x:v>
      </x:c>
      <x:c r="Y447" s="22" t="str">
        <x:f>IF(COUNTIF('SR系统设计'!$A$5:$A$153,B447)+COUNTIF('追溯与覆盖'!$A$5:$A$153,C447)=2,"PASS","FAIL")</x:f>
        <x:v>PASS</x:v>
      </x:c>
    </x:row>
    <x:row r="448" ht="84" customHeight="1">
      <x:c r="A448" s="25" t="str">
        <x:v>AR-SE-CICD-001-03</x:v>
      </x:c>
      <x:c r="B448" s="25" t="str">
        <x:v>SR-02-12-04</x:v>
      </x:c>
      <x:c r="C448" s="25" t="str">
        <x:v>SE-CICD-001</x:v>
      </x:c>
      <x:c r="D448" s="25" t="str">
        <x:v>SF-02</x:v>
      </x:c>
      <x:c r="E448" s="25" t="str">
        <x:v>IR-02-12</x:v>
      </x:c>
      <x:c r="F448" s="22" t="str">
        <x:v>SE 工程保障</x:v>
      </x:c>
      <x:c r="G448" s="22" t="str">
        <x:v>TM6</x:v>
      </x:c>
      <x:c r="H448" s="22" t="str">
        <x:v>工程质量与交付工具链</x:v>
      </x:c>
      <x:c r="I448" s="22" t="str">
        <x:v>P2</x:v>
      </x:c>
      <x:c r="J448" s="22" t="str">
        <x:v>里程碑1前跑通主干代码流水线；里程碑2前完成全自动化发版。</x:v>
      </x:c>
      <x:c r="K448" s="22" t="str">
        <x:v>验证与观测</x:v>
      </x:c>
      <x:c r="L448" s="22" t="str">
        <x:v>测试效能/DevOps</x:v>
      </x:c>
      <x:c r="M448" s="22" t="str">
        <x:v>tests/engineering/se_cicd_001_acceptance.md + reports/schema/se_cicd_001_report.schema.json</x:v>
      </x:c>
      <x:c r="N448" s="22" t="str">
        <x:v>SECICD001Acceptance</x:v>
      </x:c>
      <x:c r="O448" s="22" t="str">
        <x:v>新增 SE-CICD-001 的自验收套件，覆盖正常、阈值边界、工具自身故障、超时与回滚；自动生成包含环境指纹、P50/P95/P99、覆盖率/泄漏/错误率及 baseline diff 的报告。</x:v>
      </x:c>
      <x:c r="P448" s="22" t="str">
        <x:v>直接验收来源要求：“GitLab CI / GitHub Actions 等配置文件；制品库打包记录；灰度发布可视化大盘。”</x:v>
      </x:c>
      <x:c r="Q448" s="22" t="str">
        <x:v>验收命令非零退出即失败；报告符合JSON schema；连续两次复跑差异在批准噪声区间内；失败证据可定位到责任模块。</x:v>
      </x:c>
      <x:c r="R448" s="22" t="str">
        <x:v>./tools/ci/validate_pipeline.ps1 &amp;&amp; helm lint deploy/helm/kvcache</x:v>
      </x:c>
      <x:c r="S448" s="22" t="str">
        <x:v>代码合并前拦截100%规范类与基础逻辑报错；灰度发布过程支持随时熔断与分钟级回滚。</x:v>
      </x:c>
      <x:c r="T448" s="22" t="str">
        <x:v>SR-02-12-04</x:v>
      </x:c>
      <x:c r="U448" s="22" t="str">
        <x:v>待认领</x:v>
      </x:c>
      <x:c r="V448" s="22" t="str"/>
      <x:c r="W448" s="22" t="str"/>
      <x:c r="X448" s="22" t="str">
        <x:f>IF(COUNTIF($A$5:$A$451,A448)=1,"PASS","FAIL")</x:f>
        <x:v>PASS</x:v>
      </x:c>
      <x:c r="Y448" s="22" t="str">
        <x:f>IF(COUNTIF('SR系统设计'!$A$5:$A$153,B448)+COUNTIF('追溯与覆盖'!$A$5:$A$153,C448)=2,"PASS","FAIL")</x:f>
        <x:v>PASS</x:v>
      </x:c>
    </x:row>
    <x:row r="449" ht="84" customHeight="1">
      <x:c r="A449" s="25" t="str">
        <x:v>AR-SE-PERF-001-01</x:v>
      </x:c>
      <x:c r="B449" s="25" t="str">
        <x:v>SR-02-12-05</x:v>
      </x:c>
      <x:c r="C449" s="25" t="str">
        <x:v>SE-PERF-001</x:v>
      </x:c>
      <x:c r="D449" s="25" t="str">
        <x:v>SF-02</x:v>
      </x:c>
      <x:c r="E449" s="25" t="str">
        <x:v>IR-02-12</x:v>
      </x:c>
      <x:c r="F449" s="22" t="str">
        <x:v>SE 工程保障</x:v>
      </x:c>
      <x:c r="G449" s="22" t="str">
        <x:v>TM6</x:v>
      </x:c>
      <x:c r="H449" s="22" t="str">
        <x:v>工程质量与交付工具链</x:v>
      </x:c>
      <x:c r="I449" s="22" t="str">
        <x:v>P2</x:v>
      </x:c>
      <x:c r="J449" s="22" t="str">
        <x:v>阶段3前完成压测工具链，服务于Release发版。</x:v>
      </x:c>
      <x:c r="K449" s="22" t="str">
        <x:v>核心实现</x:v>
      </x:c>
      <x:c r="L449" s="22" t="str">
        <x:v>测试效能/DevOps</x:v>
      </x:c>
      <x:c r="M449" s="22" t="str">
        <x:v>benchmarks/loadgen/kvcache_loadgen.{h,cc} + benchmarks/workloads/*.yaml</x:v>
      </x:c>
      <x:c r="N449" s="22" t="str">
        <x:v>KvCacheLoadGenerator</x:v>
      </x:c>
      <x:c r="O449" s="22" t="str">
        <x:v>实现 实现 Poisson/Zipf/真实流量 replay、长短上下文和前缀复用分布的10W+ QPS负载生成器，自动对比原生 vLLM/SGLang baseline。提交必须包含可复现入口、结构化报告和失败退出码，禁止依赖人工补步骤。</x:v>
      </x:c>
      <x:c r="P449" s="22" t="str">
        <x:v>输入为 source + test matrix + deployment manifest；输出 quality report + benchmark baseline + release artifact；任一P0门禁失败阻断合并；灰度SLO异常自动回滚</x:v>
      </x:c>
      <x:c r="Q449" s="22" t="str">
        <x:v>目标可在干净环境一键运行；日志/报告可机器解析；与主代码版本、硬件拓扑和配置绑定；失败能阻断合并或发布。</x:v>
      </x:c>
      <x:c r="R449" s="22" t="str">
        <x:v>./bin/kvcache_loadgen --workload benchmarks/workloads/sharegpt_128k.yaml --qps 100000 --report json</x:v>
      </x:c>
      <x:c r="S449" s="22" t="str">
        <x:v>能模拟 10W+ QPS 请求量，并精准重放(Replay)线上真实的业务流量长度与到达率分布。</x:v>
      </x:c>
      <x:c r="T449" s="22" t="str">
        <x:v>SR-02-12-05</x:v>
      </x:c>
      <x:c r="U449" s="22" t="str">
        <x:v>待认领</x:v>
      </x:c>
      <x:c r="V449" s="22" t="str"/>
      <x:c r="W449" s="22" t="str"/>
      <x:c r="X449" s="22" t="str">
        <x:f>IF(COUNTIF($A$5:$A$451,A449)=1,"PASS","FAIL")</x:f>
        <x:v>PASS</x:v>
      </x:c>
      <x:c r="Y449" s="22" t="str">
        <x:f>IF(COUNTIF('SR系统设计'!$A$5:$A$153,B449)+COUNTIF('追溯与覆盖'!$A$5:$A$153,C449)=2,"PASS","FAIL")</x:f>
        <x:v>PASS</x:v>
      </x:c>
    </x:row>
    <x:row r="450" ht="84" customHeight="1">
      <x:c r="A450" s="25" t="str">
        <x:v>AR-SE-PERF-001-02</x:v>
      </x:c>
      <x:c r="B450" s="25" t="str">
        <x:v>SR-02-12-05</x:v>
      </x:c>
      <x:c r="C450" s="25" t="str">
        <x:v>SE-PERF-001</x:v>
      </x:c>
      <x:c r="D450" s="25" t="str">
        <x:v>SF-02</x:v>
      </x:c>
      <x:c r="E450" s="25" t="str">
        <x:v>IR-02-12</x:v>
      </x:c>
      <x:c r="F450" s="22" t="str">
        <x:v>SE 工程保障</x:v>
      </x:c>
      <x:c r="G450" s="22" t="str">
        <x:v>TM6</x:v>
      </x:c>
      <x:c r="H450" s="22" t="str">
        <x:v>工程质量与交付工具链</x:v>
      </x:c>
      <x:c r="I450" s="22" t="str">
        <x:v>P2</x:v>
      </x:c>
      <x:c r="J450" s="22" t="str">
        <x:v>阶段3前完成压测工具链，服务于Release发版。</x:v>
      </x:c>
      <x:c r="K450" s="22" t="str">
        <x:v>契约配置与降级</x:v>
      </x:c>
      <x:c r="L450" s="22" t="str">
        <x:v>测试效能/DevOps</x:v>
      </x:c>
      <x:c r="M450" s="22" t="str">
        <x:v>benchmarks/baselines/native_vllm_sglang.yaml + .gitlab/ci/performance.yml</x:v>
      </x:c>
      <x:c r="N450" s="22" t="str">
        <x:v>arrival_model / prefix_reuse / context_distribution / qps</x:v>
      </x:c>
      <x:c r="O450" s="22" t="str">
        <x:v>在 `benchmarks/baselines/native_vllm_sglang.yaml + .gitlab/ci/performance.yml` 固化矩阵、阈值、超时、制品保留和失败策略；为 SE-PERF-001 增加可审计配置键“arrival_model / prefix_reuse / context_distribution / qps”，并把 能模拟 10W+ QPS 请求量，并精准重放(Replay)线上真实的业务流量长度与到达率分布。 写入自动门禁。</x:v>
      </x:c>
      <x:c r="P450" s="22" t="str">
        <x:v>所有阈值有默认值、环境覆盖规则和版本记录；任一P0门禁失败阻断合并，灰度SLO异常自动回滚。</x:v>
      </x:c>
      <x:c r="Q450" s="22" t="str">
        <x:v>配置schema校验通过；本地与CI执行结果一致；错误路径保留诊断制品；敏感信息不写入日志。</x:v>
      </x:c>
      <x:c r="R450" s="22" t="str">
        <x:v>./bin/kvcache_loadgen --workload benchmarks/workloads/sharegpt_128k.yaml --qps 100000 --report json</x:v>
      </x:c>
      <x:c r="S450" s="22" t="str">
        <x:v>能模拟 10W+ QPS 请求量，并精准重放(Replay)线上真实的业务流量长度与到达率分布。</x:v>
      </x:c>
      <x:c r="T450" s="22" t="str">
        <x:v>SR-02-12-05</x:v>
      </x:c>
      <x:c r="U450" s="22" t="str">
        <x:v>待认领</x:v>
      </x:c>
      <x:c r="V450" s="22" t="str"/>
      <x:c r="W450" s="22" t="str"/>
      <x:c r="X450" s="22" t="str">
        <x:f>IF(COUNTIF($A$5:$A$451,A450)=1,"PASS","FAIL")</x:f>
        <x:v>PASS</x:v>
      </x:c>
      <x:c r="Y450" s="22" t="str">
        <x:f>IF(COUNTIF('SR系统设计'!$A$5:$A$153,B450)+COUNTIF('追溯与覆盖'!$A$5:$A$153,C450)=2,"PASS","FAIL")</x:f>
        <x:v>PASS</x:v>
      </x:c>
    </x:row>
    <x:row r="451" ht="84" customHeight="1">
      <x:c r="A451" s="26" t="str">
        <x:v>AR-SE-PERF-001-03</x:v>
      </x:c>
      <x:c r="B451" s="26" t="str">
        <x:v>SR-02-12-05</x:v>
      </x:c>
      <x:c r="C451" s="26" t="str">
        <x:v>SE-PERF-001</x:v>
      </x:c>
      <x:c r="D451" s="26" t="str">
        <x:v>SF-02</x:v>
      </x:c>
      <x:c r="E451" s="26" t="str">
        <x:v>IR-02-12</x:v>
      </x:c>
      <x:c r="F451" s="23" t="str">
        <x:v>SE 工程保障</x:v>
      </x:c>
      <x:c r="G451" s="23" t="str">
        <x:v>TM6</x:v>
      </x:c>
      <x:c r="H451" s="23" t="str">
        <x:v>工程质量与交付工具链</x:v>
      </x:c>
      <x:c r="I451" s="23" t="str">
        <x:v>P2</x:v>
      </x:c>
      <x:c r="J451" s="23" t="str">
        <x:v>阶段3前完成压测工具链，服务于Release发版。</x:v>
      </x:c>
      <x:c r="K451" s="23" t="str">
        <x:v>验证与观测</x:v>
      </x:c>
      <x:c r="L451" s="23" t="str">
        <x:v>测试效能/DevOps</x:v>
      </x:c>
      <x:c r="M451" s="23" t="str">
        <x:v>tests/engineering/se_perf_001_acceptance.md + reports/schema/se_perf_001_report.schema.json</x:v>
      </x:c>
      <x:c r="N451" s="23" t="str">
        <x:v>SEPERF001Acceptance</x:v>
      </x:c>
      <x:c r="O451" s="23" t="str">
        <x:v>新增 SE-PERF-001 的自验收套件，覆盖正常、阈值边界、工具自身故障、超时与回滚；自动生成包含环境指纹、P50/P95/P99、覆盖率/泄漏/错误率及 baseline diff 的报告。</x:v>
      </x:c>
      <x:c r="P451" s="23" t="str">
        <x:v>直接验收来源要求：“提供标准化的自动 Benchmark 报告生成工具，对比上一基线版本评估新功能的性能开销。”</x:v>
      </x:c>
      <x:c r="Q451" s="23" t="str">
        <x:v>验收命令非零退出即失败；报告符合JSON schema；连续两次复跑差异在批准噪声区间内；失败证据可定位到责任模块。</x:v>
      </x:c>
      <x:c r="R451" s="23" t="str">
        <x:v>./bin/kvcache_loadgen --workload benchmarks/workloads/sharegpt_128k.yaml --qps 100000 --report json</x:v>
      </x:c>
      <x:c r="S451" s="23" t="str">
        <x:v>能模拟 10W+ QPS 请求量，并精准重放(Replay)线上真实的业务流量长度与到达率分布。</x:v>
      </x:c>
      <x:c r="T451" s="23" t="str">
        <x:v>SR-02-12-05</x:v>
      </x:c>
      <x:c r="U451" s="23" t="str">
        <x:v>待认领</x:v>
      </x:c>
      <x:c r="V451" s="23" t="str"/>
      <x:c r="W451" s="23" t="str"/>
      <x:c r="X451" s="23" t="str">
        <x:f>IF(COUNTIF($A$5:$A$451,A451)=1,"PASS","FAIL")</x:f>
        <x:v>PASS</x:v>
      </x:c>
      <x:c r="Y451" s="23" t="str">
        <x:f>IF(COUNTIF('SR系统设计'!$A$5:$A$153,B451)+COUNTIF('追溯与覆盖'!$A$5:$A$153,C451)=2,"PASS","FAIL")</x:f>
        <x:v>PASS</x:v>
      </x:c>
    </x:row>
  </x:sheetData>
  <x:mergeCells>
    <x:mergeCell ref="A1:Y1"/>
    <x:mergeCell ref="A2:Y2"/>
  </x:mergeCells>
  <x:conditionalFormatting sqref="U5:U451">
    <x:cfRule type="containsText" dxfId="0" priority="1" operator="containsText" text="已完成"/>
    <x:cfRule type="containsText" dxfId="1" priority="2" operator="containsText" text="阻塞"/>
  </x:conditionalFormatting>
  <x:dataValidations count="1">
    <x:dataValidation type="list" sqref="U5:U451">
      <x:formula1>"待认领,进行中,阻塞,已完成,取消"</x:formula1>
    </x:dataValidation>
  </x:dataValidations>
  <x:pageMargins left="0.7" right="0.7" top="0.75" bottom="0.75" header="0.3" footer="0.3"/>
  <x:tableParts count="1">
    <x:tablePart xmlns:r="http://schemas.openxmlformats.org/officeDocument/2006/relationships" r:id="Rb6770cb938d542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14" hidden="0" customWidth="1"/>
    <x:col min="3" max="3" width="22" hidden="0" customWidth="1"/>
    <x:col min="4" max="4" width="48" hidden="0" customWidth="1"/>
    <x:col min="5" max="5" width="36" hidden="0" customWidth="1"/>
    <x:col min="6" max="6" width="34" hidden="0" customWidth="1"/>
    <x:col min="7" max="7" width="38" hidden="0" customWidth="1"/>
    <x:col min="8" max="8" width="34" hidden="0" customWidth="1"/>
    <x:col min="9" max="9" width="12" hidden="0" customWidth="1"/>
    <x:col min="10" max="10" width="45" hidden="0" customWidth="1"/>
  </x:cols>
  <x:sheetData>
    <x:row r="1" ht="34" customHeight="1">
      <x:c r="A1" s="3" t="str">
        <x:v>端到端 KPI 与验收矩阵</x:v>
      </x:c>
      <x:c r="B1" s="3"/>
      <x:c r="C1" s="3"/>
      <x:c r="D1" s="3"/>
      <x:c r="E1" s="3"/>
      <x:c r="F1" s="3"/>
      <x:c r="G1" s="3"/>
      <x:c r="H1" s="3"/>
      <x:c r="I1" s="3"/>
      <x:c r="J1" s="3"/>
    </x:row>
    <x:row r="2" ht="30" customHeight="1">
      <x:c r="A2" s="7" t="str">
        <x:v>指标采用同模型、tokenizer、prompt、并发、调度参数和硬件拓扑 A/B；建议门槛来自当前 SRS，P0 capability/baseline 后冻结。</x:v>
      </x:c>
      <x:c r="B2" s="7"/>
      <x:c r="C2" s="7"/>
      <x:c r="D2" s="7"/>
      <x:c r="E2" s="7"/>
      <x:c r="F2" s="7"/>
      <x:c r="G2" s="7"/>
      <x:c r="H2" s="7"/>
      <x:c r="I2" s="7"/>
      <x:c r="J2" s="7"/>
    </x:row>
    <x:row r="4" ht="42" customHeight="1">
      <x:c r="A4" s="13" t="str">
        <x:v>KPI ID</x:v>
      </x:c>
      <x:c r="B4" s="13" t="str">
        <x:v>类别</x:v>
      </x:c>
      <x:c r="C4" s="13" t="str">
        <x:v>指标</x:v>
      </x:c>
      <x:c r="D4" s="13" t="str">
        <x:v>计算口径</x:v>
      </x:c>
      <x:c r="E4" s="13" t="str">
        <x:v>建议通过门槛</x:v>
      </x:c>
      <x:c r="F4" s="13" t="str">
        <x:v>基线</x:v>
      </x:c>
      <x:c r="G4" s="13" t="str">
        <x:v>验收场景</x:v>
      </x:c>
      <x:c r="H4" s="13" t="str">
        <x:v>证据/采集工具</x:v>
      </x:c>
      <x:c r="I4" s="13" t="str">
        <x:v>阶段</x:v>
      </x:c>
      <x:c r="J4" s="13" t="str">
        <x:v>评审约束</x:v>
      </x:c>
    </x:row>
    <x:row r="5" ht="66" customHeight="1">
      <x:c r="A5" s="21" t="str">
        <x:v>KPI-01</x:v>
      </x:c>
      <x:c r="B5" s="21" t="str">
        <x:v>端到端性能</x:v>
      </x:c>
      <x:c r="C5" s="21" t="str">
        <x:v>TTFT Benefit</x:v>
      </x:c>
      <x:c r="D5" s="21" t="str">
        <x:v>(baseline p99 TTFT - candidate p99 TTFT) / baseline p99 TTFT</x:v>
      </x:c>
      <x:c r="E5" s="21" t="str">
        <x:v>≥20%（复用型工作负载）；同时报告P50/P95/P99</x:v>
      </x:c>
      <x:c r="F5" s="21" t="str">
        <x:v>vLLM/SGLang原生，固定模型/tokenizer/prompt/并发/拓扑</x:v>
      </x:c>
      <x:c r="G5" s="21" t="str">
        <x:v>ShareGPT、多轮Agent、RAG公共前缀</x:v>
      </x:c>
      <x:c r="H5" s="21" t="str">
        <x:v>OTel span + serving histogram</x:v>
      </x:c>
      <x:c r="I5" s="21" t="str">
        <x:v>P1</x:v>
      </x:c>
      <x:c r="J5" s="21" t="str">
        <x:v>不得只报命中请求子集</x:v>
      </x:c>
    </x:row>
    <x:row r="6" ht="66" customHeight="1">
      <x:c r="A6" s="22" t="str">
        <x:v>KPI-02</x:v>
      </x:c>
      <x:c r="B6" s="22" t="str">
        <x:v>端到端性能</x:v>
      </x:c>
      <x:c r="C6" s="22" t="str">
        <x:v>TPOT Interference</x:v>
      </x:c>
      <x:c r="D6" s="22" t="str">
        <x:v>(mixed p99 TPOT - foreground-only p99 TPOT) / foreground-only p99 TPOT</x:v>
      </x:c>
      <x:c r="E6" s="22" t="str">
        <x:v>&lt;3%</x:v>
      </x:c>
      <x:c r="F6" s="22" t="str">
        <x:v>无后台迁移/预取/回源的前台Decode</x:v>
      </x:c>
      <x:c r="G6" s="22" t="str">
        <x:v>迁移、预取、SSD回源、压缩混流</x:v>
      </x:c>
      <x:c r="H6" s="22" t="str">
        <x:v>serving TPOT histogram + queue telemetry</x:v>
      </x:c>
      <x:c r="I6" s="22" t="str">
        <x:v>P1/P2</x:v>
      </x:c>
      <x:c r="J6" s="22" t="str">
        <x:v>超门槛即限流/暂停后台任务</x:v>
      </x:c>
    </x:row>
    <x:row r="7" ht="66" customHeight="1">
      <x:c r="A7" s="22" t="str">
        <x:v>KPI-03</x:v>
      </x:c>
      <x:c r="B7" s="22" t="str">
        <x:v>命中质量</x:v>
      </x:c>
      <x:c r="C7" s="22" t="str">
        <x:v>Usable Hit Rate</x:v>
      </x:c>
      <x:c r="D7" s="22" t="str">
        <x:v>可通过 identity/version/layout/ready/lease/path/deadline/cost 校验的请求数 / 总请求数</x:v>
      </x:c>
      <x:c r="E7" s="22" t="str">
        <x:v>提升≥20%；Prefix lookup p99&lt;200 μs</x:v>
      </x:c>
      <x:c r="F7" s="22" t="str">
        <x:v>raw hit / native prefix cache</x:v>
      </x:c>
      <x:c r="G7" s="22" t="str">
        <x:v>ShareGPT/RAG/公共system prompt</x:v>
      </x:c>
      <x:c r="H7" s="22" t="str">
        <x:v>semantic metrics + QueryPlan trace</x:v>
      </x:c>
      <x:c r="I7" s="22" t="str">
        <x:v>P1</x:v>
      </x:c>
      <x:c r="J7" s="22" t="str">
        <x:v>Raw/Usable/Stale/Abandoned 分母必须一致</x:v>
      </x:c>
    </x:row>
    <x:row r="8" ht="66" customHeight="1">
      <x:c r="A8" s="22" t="str">
        <x:v>KPI-04</x:v>
      </x:c>
      <x:c r="B8" s="22" t="str">
        <x:v>命中质量</x:v>
      </x:c>
      <x:c r="C8" s="22" t="str">
        <x:v>Abandoned Hit Rate</x:v>
      </x:c>
      <x:c r="D8" s="22" t="str">
        <x:v>raw hit 后因 deadline/拥塞/迁移/版本/attach 失败放弃数 / raw hit 数</x:v>
      </x:c>
      <x:c r="E8" s="22" t="str">
        <x:v>相对基线降低≥50%；reason覆盖率=100%</x:v>
      </x:c>
      <x:c r="F8" s="22" t="str">
        <x:v>无收益准入或静态加载策略</x:v>
      </x:c>
      <x:c r="G8" s="22" t="str">
        <x:v>远端DDR/SSD拥塞、stale、版本冲突</x:v>
      </x:c>
      <x:c r="H8" s="22" t="str">
        <x:v>decision_reason + fallback_reason</x:v>
      </x:c>
      <x:c r="I8" s="22" t="str">
        <x:v>P1</x:v>
      </x:c>
      <x:c r="J8" s="22" t="str">
        <x:v>负收益命中应放弃，不追求虚高 hit rate</x:v>
      </x:c>
    </x:row>
    <x:row r="9" ht="66" customHeight="1">
      <x:c r="A9" s="22" t="str">
        <x:v>KPI-05</x:v>
      </x:c>
      <x:c r="B9" s="22" t="str">
        <x:v>容量</x:v>
      </x:c>
      <x:c r="C9" s="22" t="str">
        <x:v>HBM Effective Capacity</x:v>
      </x:c>
      <x:c r="D9" s="22" t="str">
        <x:v>稳定SLO下可服务 KV bytes / 仅HBM baseline可服务 KV bytes</x:v>
      </x:c>
      <x:c r="E9" s="22" t="str">
        <x:v>提升≥30%；OOM/preemption降低≥50%；碎片率&lt;5%</x:v>
      </x:c>
      <x:c r="F9" s="22" t="str">
        <x:v>仅HBM或原生swap</x:v>
      </x:c>
      <x:c r="G9" s="22" t="str">
        <x:v>128K/256K/1M长上下文、120%压力</x:v>
      </x:c>
      <x:c r="H9" s="22" t="str">
        <x:v>pool watermark + object state + serving SLO</x:v>
      </x:c>
      <x:c r="I9" s="22" t="str">
        <x:v>P1/P2</x:v>
      </x:c>
      <x:c r="J9" s="22" t="str">
        <x:v>必须同时满足TPOT与错误率门槛</x:v>
      </x:c>
    </x:row>
    <x:row r="10" ht="66" customHeight="1">
      <x:c r="A10" s="22" t="str">
        <x:v>KPI-06</x:v>
      </x:c>
      <x:c r="B10" s="22" t="str">
        <x:v>算力效率</x:v>
      </x:c>
      <x:c r="C10" s="22" t="str">
        <x:v>NPU有效利用率</x:v>
      </x:c>
      <x:c r="D10" s="22" t="str">
        <x:v>有效attention/prefill/decode时间 / NPU活跃时间；剔除等待错误路径的stall</x:v>
      </x:c>
      <x:c r="E10" s="22" t="str">
        <x:v>提升≥10%；重复prefill FLOPs/request降低≥15%</x:v>
      </x:c>
      <x:c r="F10" s="22" t="str">
        <x:v>原生recompute/无cache-aware routing</x:v>
      </x:c>
      <x:c r="G10" s="22" t="str">
        <x:v>高复用、多节点、P/D分离</x:v>
      </x:c>
      <x:c r="H10" s="22" t="str">
        <x:v>NPU profiler + QueryPlan trace</x:v>
      </x:c>
      <x:c r="I10" s="22" t="str">
        <x:v>P2</x:v>
      </x:c>
      <x:c r="J10" s="22" t="str">
        <x:v>不能用忙等待抬高利用率</x:v>
      </x:c>
    </x:row>
    <x:row r="11" ht="66" customHeight="1">
      <x:c r="A11" s="22" t="str">
        <x:v>KPI-07</x:v>
      </x:c>
      <x:c r="B11" s="22" t="str">
        <x:v>数据面</x:v>
      </x:c>
      <x:c r="C11" s="22" t="str">
        <x:v>Per-path BW/Latency</x:v>
      </x:c>
      <x:c r="D11" s="22" t="str">
        <x:v>按介质、block size、queue depth、并发统计P50/P95/P99与有效带宽</x:v>
      </x:c>
      <x:c r="E11" s="22" t="str">
        <x:v>有效带宽≥理论线速80%；拥塞切换&lt;200ms</x:v>
      </x:c>
      <x:c r="F11" s="22" t="str">
        <x:v>平台microbenchmark</x:v>
      </x:c>
      <x:c r="G11" s="22" t="str">
        <x:v>HBM↔DDR/SSD、远端DDR/SSD、C2C、URMA/RDMA</x:v>
      </x:c>
      <x:c r="H11" s="22" t="str">
        <x:v>hardware counter + path telemetry</x:v>
      </x:c>
      <x:c r="I11" s="22" t="str">
        <x:v>P0</x:v>
      </x:c>
      <x:c r="J11" s="22" t="str">
        <x:v>形成主用/条件启用/禁用 capability matrix</x:v>
      </x:c>
    </x:row>
    <x:row r="12" ht="66" customHeight="1">
      <x:c r="A12" s="22" t="str">
        <x:v>KPI-08</x:v>
      </x:c>
      <x:c r="B12" s="22" t="str">
        <x:v>数据面</x:v>
      </x:c>
      <x:c r="C12" s="22" t="str">
        <x:v>Load-to-HBM Latency</x:v>
      </x:c>
      <x:c r="D12" s="22" t="str">
        <x:v>QueryPlan选定至所有消费rank可attach/consume的端到端时延</x:v>
      </x:c>
      <x:c r="E12" s="22" t="str">
        <x:v>必须 &lt; saved_recompute_time 且满足请求deadline；成本预测误差&lt;20%</x:v>
      </x:c>
      <x:c r="F12" s="22" t="str">
        <x:v>本地recompute</x:v>
      </x:c>
      <x:c r="G12" s="22" t="str">
        <x:v>不同prefix长度、布局、tier、路径</x:v>
      </x:c>
      <x:c r="H12" s="22" t="str">
        <x:v>cross-layer trace</x:v>
      </x:c>
      <x:c r="I12" s="22" t="str">
        <x:v>P1</x:v>
      </x:c>
      <x:c r="J12" s="22" t="str">
        <x:v>按lookup/load/attach/rank_sync拆分</x:v>
      </x:c>
    </x:row>
    <x:row r="13" ht="66" customHeight="1">
      <x:c r="A13" s="22" t="str">
        <x:v>KPI-09</x:v>
      </x:c>
      <x:c r="B13" s="22" t="str">
        <x:v>正确性</x:v>
      </x:c>
      <x:c r="C13" s="22" t="str">
        <x:v>Stale/Integrity Fault</x:v>
      </x:c>
      <x:c r="D13" s="22" t="str">
        <x:v>错误、过期、未ready或越权KV被消费次数</x:v>
      </x:c>
      <x:c r="E13" s="22" t="str">
        <x:v>等于0；故障注入覆盖率=100%</x:v>
      </x:c>
      <x:c r="F13" s="22" t="str">
        <x:v>正确数据与正常路径</x:v>
      </x:c>
      <x:c r="G13" s="22" t="str">
        <x:v>乱序completion、损坏副本、租约过期、跨租户碰撞</x:v>
      </x:c>
      <x:c r="H13" s="22" t="str">
        <x:v>ready/quarantine/error map</x:v>
      </x:c>
      <x:c r="I13" s="22" t="str">
        <x:v>P0/P1</x:v>
      </x:c>
      <x:c r="J13" s="22" t="str">
        <x:v>任何故障必须阻断消费并可重算</x:v>
      </x:c>
    </x:row>
    <x:row r="14" ht="66" customHeight="1">
      <x:c r="A14" s="22" t="str">
        <x:v>KPI-10</x:v>
      </x:c>
      <x:c r="B14" s="22" t="str">
        <x:v>可恢复性</x:v>
      </x:c>
      <x:c r="C14" s="22" t="str">
        <x:v>Fallback Success / Time</x:v>
      </x:c>
      <x:c r="D14" s="22" t="str">
        <x:v>约定故障下成功切备用路径/本地cache/recompute的请求数 / 应回退请求数</x:v>
      </x:c>
      <x:c r="E14" s="22" t="str">
        <x:v>成功率=100%；触发至恢复&lt;500ms；错误率=0</x:v>
      </x:c>
      <x:c r="F14" s="22" t="str">
        <x:v>主路径正常</x:v>
      </x:c>
      <x:c r="G14" s="22" t="str">
        <x:v>RDMA断链、SSD阻塞、stale metadata、迁移冲突</x:v>
      </x:c>
      <x:c r="H14" s="22" t="str">
        <x:v>fallback trace + chaos report</x:v>
      </x:c>
      <x:c r="I14" s="22" t="str">
        <x:v>P1/P2</x:v>
      </x:c>
      <x:c r="J14" s="22" t="str">
        <x:v>禁止connector内部无界等待</x:v>
      </x:c>
    </x:row>
    <x:row r="15" ht="66" customHeight="1">
      <x:c r="A15" s="22" t="str">
        <x:v>KPI-11</x:v>
      </x:c>
      <x:c r="B15" s="22" t="str">
        <x:v>控制面</x:v>
      </x:c>
      <x:c r="C15" s="22" t="str">
        <x:v>Directory/Metadata Fast Path</x:v>
      </x:c>
      <x:c r="D15" s="22" t="str">
        <x:v>本地快判、远端目录RTT、批量查询QPS与stale比例</x:v>
      </x:c>
      <x:c r="E15" s="22" t="str">
        <x:v>本地命中&lt;10 μs；确定miss&lt;5 μs；remote RTT降低≥50%；stale hit=0</x:v>
      </x:c>
      <x:c r="F15" s="22" t="str">
        <x:v>同步远端目录查询</x:v>
      </x:c>
      <x:c r="G15" s="22" t="str">
        <x:v>100K+目录项、热点/低复用、跨rack</x:v>
      </x:c>
      <x:c r="H15" s="22" t="str">
        <x:v>prefix benchmark + directory metrics</x:v>
      </x:c>
      <x:c r="I15" s="22" t="str">
        <x:v>P1</x:v>
      </x:c>
      <x:c r="J15" s="22" t="str">
        <x:v>高基数与过期镜像必须限额</x:v>
      </x:c>
    </x:row>
    <x:row r="16" ht="66" customHeight="1">
      <x:c r="A16" s="22" t="str">
        <x:v>KPI-12</x:v>
      </x:c>
      <x:c r="B16" s="22" t="str">
        <x:v>数据面效率</x:v>
      </x:c>
      <x:c r="C16" s="22" t="str">
        <x:v>Descriptor/Submit Efficiency</x:v>
      </x:c>
      <x:c r="D16" s="22" t="str">
        <x:v>每请求descriptor数、CPU submit时间、小I/O比例与有效带宽</x:v>
      </x:c>
      <x:c r="E16" s="22" t="str">
        <x:v>descriptor降低≥50%；submit降低≥40%；有效BW提升≥30%</x:v>
      </x:c>
      <x:c r="F16" s="22" t="str">
        <x:v>逐block/page循环提交</x:v>
      </x:c>
      <x:c r="G16" s="22" t="str">
        <x:v>离散block、64MB+批量、不同对齐</x:v>
      </x:c>
      <x:c r="H16" s="22" t="str">
        <x:v>perf/Nsight/NPU profiler + transfer trace</x:v>
      </x:c>
      <x:c r="I16" s="22" t="str">
        <x:v>P1</x:v>
      </x:c>
      <x:c r="J16" s="22" t="str">
        <x:v>必须校验布局与checksum一致</x:v>
      </x:c>
    </x:row>
    <x:row r="17" ht="66" customHeight="1">
      <x:c r="A17" s="22" t="str">
        <x:v>KPI-13</x:v>
      </x:c>
      <x:c r="B17" s="22" t="str">
        <x:v>多租户</x:v>
      </x:c>
      <x:c r="C17" s="22" t="str">
        <x:v>Isolation / QoS</x:v>
      </x:c>
      <x:c r="D17" s="22" t="str">
        <x:v>越权访问、租户间干扰、前后台队列干扰</x:v>
      </x:c>
      <x:c r="E17" s="22" t="str">
        <x:v>越权=0；租户间干扰&lt;5%；后台干扰降低≥50%</x:v>
      </x:c>
      <x:c r="F17" s="22" t="str">
        <x:v>共享队列/无隔离</x:v>
      </x:c>
      <x:c r="G17" s="22" t="str">
        <x:v>多租户+TTFT/decode/writeback/cold restore混流</x:v>
      </x:c>
      <x:c r="H17" s="22" t="str">
        <x:v>quota/queue/traffic class telemetry</x:v>
      </x:c>
      <x:c r="I17" s="22" t="str">
        <x:v>P2</x:v>
      </x:c>
      <x:c r="J17" s="22" t="str">
        <x:v>安全域必须进入KVSemanticIdentity和MR保护</x:v>
      </x:c>
    </x:row>
    <x:row r="18" ht="66" customHeight="1">
      <x:c r="A18" s="23" t="str">
        <x:v>KPI-14</x:v>
      </x:c>
      <x:c r="B18" s="23" t="str">
        <x:v>工程质量</x:v>
      </x:c>
      <x:c r="C18" s="23" t="str">
        <x:v>Quality / Soak / Delivery</x:v>
      </x:c>
      <x:c r="D18" s="23" t="str">
        <x:v>覆盖率、CI时长、72h长稳、灰度回滚</x:v>
      </x:c>
      <x:c r="E18" s="23" t="str">
        <x:v>核心覆盖率&gt;85%；MR&lt;15min；72h零泄漏；回滚&lt;1min</x:v>
      </x:c>
      <x:c r="F18" s="23" t="str">
        <x:v>上一稳定版本</x:v>
      </x:c>
      <x:c r="G18" s="23" t="str">
        <x:v>跨CPU/NPU/后端矩阵+Chaos Mesh</x:v>
      </x:c>
      <x:c r="H18" s="23" t="str">
        <x:v>CI报告+ASAN/TSAN/LSAN+benchmark</x:v>
      </x:c>
      <x:c r="I18" s="23" t="str">
        <x:v>P0-P3</x:v>
      </x:c>
      <x:c r="J18" s="23" t="str">
        <x:v>P0门禁失败阻断合并</x:v>
      </x:c>
    </x:row>
  </x:sheetData>
  <x:mergeCells>
    <x:mergeCell ref="A1:J1"/>
    <x:mergeCell ref="A2:J2"/>
  </x:mergeCells>
  <x:pageMargins left="0.7" right="0.7" top="0.75" bottom="0.75" header="0.3" footer="0.3"/>
  <x:tableParts count="1">
    <x:tablePart xmlns:r="http://schemas.openxmlformats.org/officeDocument/2006/relationships" r:id="R1e7952bc93034f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34" hidden="0" customWidth="1"/>
    <x:col min="4" max="4" width="24" hidden="0" customWidth="1"/>
    <x:col min="5" max="5" width="18" hidden="0" customWidth="1"/>
    <x:col min="6" max="6" width="12" hidden="0" customWidth="1"/>
    <x:col min="7" max="7" width="22" hidden="0" customWidth="1"/>
    <x:col min="8" max="8" width="9" hidden="0" customWidth="1"/>
    <x:col min="9" max="9" width="16" hidden="0" customWidth="1"/>
    <x:col min="10" max="10" width="10" hidden="0" customWidth="1"/>
    <x:col min="11" max="11" width="13" hidden="0" customWidth="1"/>
    <x:col min="12" max="12" width="16" hidden="0" customWidth="1"/>
    <x:col min="13" max="13" width="30" hidden="0" customWidth="1"/>
    <x:col min="14" max="14" width="58" hidden="0" customWidth="1"/>
    <x:col min="15" max="15" width="38" hidden="0" customWidth="1"/>
    <x:col min="16" max="16" width="52" hidden="0" customWidth="1"/>
    <x:col min="17" max="17" width="10" hidden="0" customWidth="1"/>
    <x:col min="18" max="18" width="12" hidden="0" customWidth="1"/>
    <x:col min="19" max="19" width="26" hidden="0" customWidth="1"/>
  </x:cols>
  <x:sheetData>
    <x:row r="1" ht="34" customHeight="1">
      <x:c r="A1" s="3" t="str">
        <x:v>来源需求—SF/IR/SR/AR 全链路追溯</x:v>
      </x:c>
      <x:c r="B1" s="3"/>
      <x:c r="C1" s="3"/>
      <x:c r="D1" s="3"/>
      <x:c r="E1" s="3"/>
      <x:c r="F1" s="3"/>
      <x:c r="G1" s="3"/>
      <x:c r="H1" s="3"/>
      <x:c r="I1" s="3"/>
      <x:c r="J1" s="3"/>
      <x:c r="K1" s="3"/>
      <x:c r="L1" s="3"/>
      <x:c r="M1" s="3"/>
      <x:c r="N1" s="3"/>
      <x:c r="O1" s="3"/>
      <x:c r="P1" s="3"/>
      <x:c r="Q1" s="3"/>
      <x:c r="R1" s="3"/>
      <x:c r="S1" s="3"/>
    </x:row>
    <x:row r="2" ht="30" customHeight="1">
      <x:c r="A2" s="7" t="str">
        <x:v>以 V2.1 的 140 条正式 SRS 为主基线，保留 V1.0 的 4 条后续增量，并纳入 5 条软件工程建议；每条来源项必须映射 1 个 SR 和 3 个 AR。</x:v>
      </x:c>
      <x:c r="B2" s="7"/>
      <x:c r="C2" s="7"/>
      <x:c r="D2" s="7"/>
      <x:c r="E2" s="7"/>
      <x:c r="F2" s="7"/>
      <x:c r="G2" s="7"/>
      <x:c r="H2" s="7"/>
      <x:c r="I2" s="7"/>
      <x:c r="J2" s="7"/>
      <x:c r="K2" s="7"/>
      <x:c r="L2" s="7"/>
      <x:c r="M2" s="7"/>
      <x:c r="N2" s="7"/>
      <x:c r="O2" s="7"/>
      <x:c r="P2" s="7"/>
      <x:c r="Q2" s="7"/>
      <x:c r="R2" s="7"/>
      <x:c r="S2" s="7"/>
    </x:row>
    <x:row r="4" ht="42" customHeight="1">
      <x:c r="A4" s="13" t="str">
        <x:v>来源需求 ID</x:v>
      </x:c>
      <x:c r="B4" s="13" t="str">
        <x:v>来源类型</x:v>
      </x:c>
      <x:c r="C4" s="13" t="str">
        <x:v>来源文件</x:v>
      </x:c>
      <x:c r="D4" s="13" t="str">
        <x:v>来源 Sheet</x:v>
      </x:c>
      <x:c r="E4" s="13" t="str">
        <x:v>层级</x:v>
      </x:c>
      <x:c r="F4" s="13" t="str">
        <x:v>技术模块</x:v>
      </x:c>
      <x:c r="G4" s="13" t="str">
        <x:v>核心模块</x:v>
      </x:c>
      <x:c r="H4" s="13" t="str">
        <x:v>优先级</x:v>
      </x:c>
      <x:c r="I4" s="13" t="str">
        <x:v>阶段覆盖</x:v>
      </x:c>
      <x:c r="J4" s="13" t="str">
        <x:v>SF ID</x:v>
      </x:c>
      <x:c r="K4" s="13" t="str">
        <x:v>IR ID</x:v>
      </x:c>
      <x:c r="L4" s="13" t="str">
        <x:v>SR ID</x:v>
      </x:c>
      <x:c r="M4" s="13" t="str">
        <x:v>场景</x:v>
      </x:c>
      <x:c r="N4" s="13" t="str">
        <x:v>原始需求描述</x:v>
      </x:c>
      <x:c r="O4" s="13" t="str">
        <x:v>原始 KPI</x:v>
      </x:c>
      <x:c r="P4" s="13" t="str">
        <x:v>原始验收方法</x:v>
      </x:c>
      <x:c r="Q4" s="13" t="str">
        <x:v>AR 数</x:v>
      </x:c>
      <x:c r="R4" s="13" t="str">
        <x:v>覆盖检查</x:v>
      </x:c>
      <x:c r="S4" s="13" t="str">
        <x:v>V1.0 原上层路径</x:v>
      </x:c>
    </x:row>
    <x:row r="5" ht="78" customHeight="1">
      <x:c r="A5" s="24" t="str">
        <x:v>L3-MC-ExtentManifest-076</x:v>
      </x:c>
      <x:c r="B5" s="24" t="str">
        <x:v>V2.1基线</x:v>
      </x:c>
      <x:c r="C5" s="24" t="str">
        <x:v>KVCache SRS需求列表 V2.1.xlsx</x:v>
      </x:c>
      <x:c r="D5" s="24" t="str">
        <x:v>L3 传输管理层</x:v>
      </x:c>
      <x:c r="E5" s="24" t="str">
        <x:v>L3 传输管理层</x:v>
      </x:c>
      <x:c r="F5" s="24" t="str">
        <x:v>TM3</x:v>
      </x:c>
      <x:c r="G5" s="24" t="str">
        <x:v>统一存储池与分层管理</x:v>
      </x:c>
      <x:c r="H5" s="24" t="str">
        <x:v>P0</x:v>
      </x:c>
      <x:c r="I5" s="24" t="str">
        <x:v>P0</x:v>
      </x:c>
      <x:c r="J5" s="24" t="str">
        <x:v>SF-01</x:v>
      </x:c>
      <x:c r="K5" s="24" t="str">
        <x:v>IR-01-01</x:v>
      </x:c>
      <x:c r="L5" s="24" t="str">
        <x:v>SR-01-01-01</x:v>
      </x:c>
      <x:c r="M5" s="21" t="str">
        <x:v>非连续 KV 块存储与批量传输</x:v>
      </x:c>
      <x:c r="N5" s="21" t="str">
        <x:v>本需求要求为每个 KV object 维护 extent manifest，将逻辑 KV page/block 映射到物理 HBM/DDR/SSD/RDMA/UB extent；manifest 必须支持非连续物理块、连续逻辑区间、cross-layer block、page-first layout 和分层副本记录。</x:v>
      </x:c>
      <x:c r="O5" s="21" t="str">
        <x:v>全局内存利用率提升至≥85%，跨级冷热数据迁移过程中的TPOT抖动 &lt; 5%。</x:v>
      </x:c>
      <x:c r="P5" s="21" t="str">
        <x:v>采用LMSYS Chatbot Arena长会话数据集满载运行，后台通过API强制触发Tiering Down，监控前台Decode TPOT，要求波动振幅在5%以内视为达标。</x:v>
      </x:c>
      <x:c r="Q5" s="21" t="n">
        <x:f>COUNTIF('AR开发认领'!$C$5:$C$451,A5)</x:f>
        <x:v>3</x:v>
      </x:c>
      <x:c r="R5" s="21" t="str">
        <x:f>IF(Q5=3,"PASS","FAIL")</x:f>
        <x:v>PASS</x:v>
      </x:c>
      <x:c r="S5" s="21" t="str">
        <x:v>SF-03 / IR-03-01 / SR-03-01-01</x:v>
      </x:c>
    </x:row>
    <x:row r="6" ht="78" customHeight="1">
      <x:c r="A6" s="25" t="str">
        <x:v>L3-MC-KVBlockStorageSchema-075</x:v>
      </x:c>
      <x:c r="B6" s="25" t="str">
        <x:v>V2.1基线</x:v>
      </x:c>
      <x:c r="C6" s="25" t="str">
        <x:v>KVCache SRS需求列表 V2.1.xlsx</x:v>
      </x:c>
      <x:c r="D6" s="25" t="str">
        <x:v>L3 传输管理层</x:v>
      </x:c>
      <x:c r="E6" s="25" t="str">
        <x:v>L3 传输管理层</x:v>
      </x:c>
      <x:c r="F6" s="25" t="str">
        <x:v>TM3</x:v>
      </x:c>
      <x:c r="G6" s="25" t="str">
        <x:v>统一存储池与分层管理</x:v>
      </x:c>
      <x:c r="H6" s="25" t="str">
        <x:v>P0</x:v>
      </x:c>
      <x:c r="I6" s="25" t="str">
        <x:v>P0</x:v>
      </x:c>
      <x:c r="J6" s="25" t="str">
        <x:v>SF-01</x:v>
      </x:c>
      <x:c r="K6" s="25" t="str">
        <x:v>IR-01-01</x:v>
      </x:c>
      <x:c r="L6" s="25" t="str">
        <x:v>SR-01-01-02</x:v>
      </x:c>
      <x:c r="M6" s="22" t="str">
        <x:v>KV 块跨介质统一存储结构</x:v>
      </x:c>
      <x:c r="N6" s="22" t="str">
        <x:v>本需求要求统一 KV 内存池定义 KV block/page 存储 schema，至少包含 model layout、layer range、head range、token range、rank slice、dtype、scale metadata、physical extent list、alignment、checksum 和 compression flag，使 HBM/DDR/SSD/远端节点中的 KV 具备统一可解释结构。</x:v>
      </x:c>
      <x:c r="O6" s="22" t="str">
        <x:v>节点动态加入/退出时的缓存失效控制在局部范围内（遵循一致性哈希比例）。</x:v>
      </x:c>
      <x:c r="P6" s="22" t="str">
        <x:v>在千卡规模集群(64+节点)压测期间，随机Kill掉1-2个节点并拉起新节点（Chaos Testing），监控Hit Rate曲线，要求降幅符合理论比例且系统在5秒内自动恢复。</x:v>
      </x:c>
      <x:c r="Q6" s="22" t="n">
        <x:f>COUNTIF('AR开发认领'!$C$5:$C$451,A6)</x:f>
        <x:v>3</x:v>
      </x:c>
      <x:c r="R6" s="22" t="str">
        <x:f>IF(Q6=3,"PASS","FAIL")</x:f>
        <x:v>PASS</x:v>
      </x:c>
      <x:c r="S6" s="22" t="str">
        <x:v>SF-03 / IR-03-01 / SR-03-01-01</x:v>
      </x:c>
    </x:row>
    <x:row r="7" ht="78" customHeight="1">
      <x:c r="A7" s="25" t="str">
        <x:v>L3-MC-POOL-GLOBAL-001</x:v>
      </x:c>
      <x:c r="B7" s="25" t="str">
        <x:v>V2.1基线</x:v>
      </x:c>
      <x:c r="C7" s="25" t="str">
        <x:v>KVCache SRS需求列表 V2.1.xlsx</x:v>
      </x:c>
      <x:c r="D7" s="25" t="str">
        <x:v>L3 传输管理层</x:v>
      </x:c>
      <x:c r="E7" s="25" t="str">
        <x:v>L3 传输管理层</x:v>
      </x:c>
      <x:c r="F7" s="25" t="str">
        <x:v>TM3</x:v>
      </x:c>
      <x:c r="G7" s="25" t="str">
        <x:v>统一存储池与分层管理</x:v>
      </x:c>
      <x:c r="H7" s="25" t="str">
        <x:v>P0</x:v>
      </x:c>
      <x:c r="I7" s="25" t="str">
        <x:v>P0</x:v>
      </x:c>
      <x:c r="J7" s="25" t="str">
        <x:v>SF-01</x:v>
      </x:c>
      <x:c r="K7" s="25" t="str">
        <x:v>IR-01-01</x:v>
      </x:c>
      <x:c r="L7" s="25" t="str">
        <x:v>SR-01-01-03</x:v>
      </x:c>
      <x:c r="M7" s="22" t="str">
        <x:v>集群KVCache统一管理</x:v>
      </x:c>
      <x:c r="N7" s="22" t="str">
        <x:v>本需求要求实现Mooncake集群级统一KVCache内存池，维护全集群内存注册表，支持节点动态加入/退出，提供基于RDMA的跨节点KVCache直接读取路由，以及两级索引（本地 + 全局），将集群KVCache内存利用率提升至≥90%。</x:v>
      </x:c>
      <x:c r="O7" s="22" t="str">
        <x:v>同机架内本地及远端DDR命中率（Local Usable Hit Rate）提升≥30%。</x:v>
      </x:c>
      <x:c r="P7" s="22" t="str">
        <x:v>部署含千卡级别的多机柜大规模集群(如16-64节点)，使用vLLM benchmark工具注入Zipf分布的热点Prompt，统计路由命中本地/本同架的比例，要求大于80%达标。</x:v>
      </x:c>
      <x:c r="Q7" s="22" t="n">
        <x:f>COUNTIF('AR开发认领'!$C$5:$C$451,A7)</x:f>
        <x:v>3</x:v>
      </x:c>
      <x:c r="R7" s="22" t="str">
        <x:f>IF(Q7=3,"PASS","FAIL")</x:f>
        <x:v>PASS</x:v>
      </x:c>
      <x:c r="S7" s="22" t="str">
        <x:v>SF-03 / IR-03-02 / SR-03-02-01</x:v>
      </x:c>
    </x:row>
    <x:row r="8" ht="78" customHeight="1">
      <x:c r="A8" s="25" t="str">
        <x:v>L3-MS-KVObjectStateMachine-058</x:v>
      </x:c>
      <x:c r="B8" s="25" t="str">
        <x:v>V2.1基线</x:v>
      </x:c>
      <x:c r="C8" s="25" t="str">
        <x:v>KVCache SRS需求列表 V2.1.xlsx</x:v>
      </x:c>
      <x:c r="D8" s="25" t="str">
        <x:v>L3 传输管理层</x:v>
      </x:c>
      <x:c r="E8" s="25" t="str">
        <x:v>L3 传输管理层</x:v>
      </x:c>
      <x:c r="F8" s="25" t="str">
        <x:v>TM3</x:v>
      </x:c>
      <x:c r="G8" s="25" t="str">
        <x:v>统一存储池与分层管理</x:v>
      </x:c>
      <x:c r="H8" s="25" t="str">
        <x:v>P0</x:v>
      </x:c>
      <x:c r="I8" s="25" t="str">
        <x:v>P0</x:v>
      </x:c>
      <x:c r="J8" s="25" t="str">
        <x:v>SF-01</x:v>
      </x:c>
      <x:c r="K8" s="25" t="str">
        <x:v>IR-01-01</x:v>
      </x:c>
      <x:c r="L8" s="25" t="str">
        <x:v>SR-01-01-04</x:v>
      </x:c>
      <x:c r="M8" s="22" t="str">
        <x:v>KV 全生命周期状态一致性管理</x:v>
      </x:c>
      <x:c r="N8" s="22" t="str">
        <x:v>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x:v>
      </x:c>
      <x:c r="O8" s="22" t="str">
        <x:v>KV 对象状态机能准确防范半写入或悬空内存泄漏，状态机流转清晰，覆盖所有关键物理介质迁移状态。</x:v>
      </x:c>
      <x:c r="P8" s="22" t="str">
        <x:v>使用 Chaos Testing 在 active lease 期间随机注入 Evict/Migrate 冲突，监控内部悬空地址，要求零悬空且校验 100% 正确；状态流转日志必须能够溯源至任何 KV 生命周期异常。</x:v>
      </x:c>
      <x:c r="Q8" s="22" t="n">
        <x:f>COUNTIF('AR开发认领'!$C$5:$C$451,A8)</x:f>
        <x:v>3</x:v>
      </x:c>
      <x:c r="R8" s="22" t="str">
        <x:f>IF(Q8=3,"PASS","FAIL")</x:f>
        <x:v>PASS</x:v>
      </x:c>
      <x:c r="S8" s="22" t="str">
        <x:v>SF-03 / IR-03-03 / SR-03-03-01</x:v>
      </x:c>
    </x:row>
    <x:row r="9" ht="78" customHeight="1">
      <x:c r="A9" s="25" t="str">
        <x:v>L3-MS-MigrationInterlock-062</x:v>
      </x:c>
      <x:c r="B9" s="25" t="str">
        <x:v>V2.1基线</x:v>
      </x:c>
      <x:c r="C9" s="25" t="str">
        <x:v>KVCache SRS需求列表 V2.1.xlsx</x:v>
      </x:c>
      <x:c r="D9" s="25" t="str">
        <x:v>L3 传输管理层</x:v>
      </x:c>
      <x:c r="E9" s="25" t="str">
        <x:v>L3 传输管理层</x:v>
      </x:c>
      <x:c r="F9" s="25" t="str">
        <x:v>TM3</x:v>
      </x:c>
      <x:c r="G9" s="25" t="str">
        <x:v>统一存储池与分层管理</x:v>
      </x:c>
      <x:c r="H9" s="25" t="str">
        <x:v>P0</x:v>
      </x:c>
      <x:c r="I9" s="25" t="str">
        <x:v>P0</x:v>
      </x:c>
      <x:c r="J9" s="25" t="str">
        <x:v>SF-01</x:v>
      </x:c>
      <x:c r="K9" s="25" t="str">
        <x:v>IR-01-01</x:v>
      </x:c>
      <x:c r="L9" s="25" t="str">
        <x:v>SR-01-01-05</x:v>
      </x:c>
      <x:c r="M9" s="22" t="str">
        <x:v>KV 升降级/碎片整理期间的安全消费</x:v>
      </x:c>
      <x:c r="N9" s="22" t="str">
        <x:v>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O9" s="22" t="str">
        <x:v>节点动态加入/退出时的缓存失效控制在局部范围内（遵循一致性哈希比例）。</x:v>
      </x:c>
      <x:c r="P9" s="22" t="str">
        <x:v>在千卡规模集群(64+节点)压测期间，随机Kill掉1-2个节点并拉起新节点（Chaos Testing），监控Hit Rate曲线，要求降幅符合理论比例且系统在5秒内自动恢复。</x:v>
      </x:c>
      <x:c r="Q9" s="22" t="n">
        <x:f>COUNTIF('AR开发认领'!$C$5:$C$451,A9)</x:f>
        <x:v>3</x:v>
      </x:c>
      <x:c r="R9" s="22" t="str">
        <x:f>IF(Q9=3,"PASS","FAIL")</x:f>
        <x:v>PASS</x:v>
      </x:c>
      <x:c r="S9" s="22" t="str">
        <x:v>SF-03 / IR-03-03 / SR-03-03-03</x:v>
      </x:c>
    </x:row>
    <x:row r="10" ht="78" customHeight="1">
      <x:c r="A10" s="25" t="str">
        <x:v>L3-MS-StateAwareEviction-082</x:v>
      </x:c>
      <x:c r="B10" s="25" t="str">
        <x:v>V2.1基线</x:v>
      </x:c>
      <x:c r="C10" s="25" t="str">
        <x:v>KVCache SRS需求列表 V2.1.xlsx</x:v>
      </x:c>
      <x:c r="D10" s="25" t="str">
        <x:v>L3 传输管理层</x:v>
      </x:c>
      <x:c r="E10" s="25" t="str">
        <x:v>L3 传输管理层</x:v>
      </x:c>
      <x:c r="F10" s="25" t="str">
        <x:v>TM3</x:v>
      </x:c>
      <x:c r="G10" s="25" t="str">
        <x:v>统一存储池与分层管理</x:v>
      </x:c>
      <x:c r="H10" s="25" t="str">
        <x:v>P0</x:v>
      </x:c>
      <x:c r="I10" s="25" t="str">
        <x:v>P0</x:v>
      </x:c>
      <x:c r="J10" s="25" t="str">
        <x:v>SF-01</x:v>
      </x:c>
      <x:c r="K10" s="25" t="str">
        <x:v>IR-01-01</x:v>
      </x:c>
      <x:c r="L10" s="25" t="str">
        <x:v>SR-01-01-06</x:v>
      </x:c>
      <x:c r="M10" s="22" t="str">
        <x:v>防止活跃 KV 被误淘汰</x:v>
      </x:c>
      <x:c r="N10" s="22" t="str">
        <x:v>本需求要求淘汰/降级决策必须检查 active lease、refcount、ready bitmap、replica count 和 tombstone 状态；ACTIVE_ATTACHED 或唯一可用 READY 副本不得被直接释放，必须先完成副本创建、lease 结束或降级保护。</x:v>
      </x:c>
      <x:c r="O10" s="22" t="str">
        <x:v>节点动态加入/退出时的缓存失效控制在局部范围内（遵循一致性哈希比例）。</x:v>
      </x:c>
      <x:c r="P10" s="22" t="str">
        <x:v>在千卡规模集群(64+节点)压测期间，随机Kill掉1-2个节点并拉起新节点（Chaos Testing），监控Hit Rate曲线，要求降幅符合理论比例且系统在5秒内自动恢复。</x:v>
      </x:c>
      <x:c r="Q10" s="22" t="n">
        <x:f>COUNTIF('AR开发认领'!$C$5:$C$451,A10)</x:f>
        <x:v>3</x:v>
      </x:c>
      <x:c r="R10" s="22" t="str">
        <x:f>IF(Q10=3,"PASS","FAIL")</x:f>
        <x:v>PASS</x:v>
      </x:c>
      <x:c r="S10" s="22" t="str">
        <x:v>SF-03 / IR-03-03 / SR-03-03-01</x:v>
      </x:c>
    </x:row>
    <x:row r="11" ht="78" customHeight="1">
      <x:c r="A11" s="25" t="str">
        <x:v>L3-MS-Tiering-038</x:v>
      </x:c>
      <x:c r="B11" s="25" t="str">
        <x:v>V2.1基线</x:v>
      </x:c>
      <x:c r="C11" s="25" t="str">
        <x:v>KVCache SRS需求列表 V2.1.xlsx</x:v>
      </x:c>
      <x:c r="D11" s="25" t="str">
        <x:v>L3 传输管理层</x:v>
      </x:c>
      <x:c r="E11" s="25" t="str">
        <x:v>L3 传输管理层</x:v>
      </x:c>
      <x:c r="F11" s="25" t="str">
        <x:v>TM3</x:v>
      </x:c>
      <x:c r="G11" s="25" t="str">
        <x:v>统一存储池与分层管理</x:v>
      </x:c>
      <x:c r="H11" s="25" t="str">
        <x:v>P0</x:v>
      </x:c>
      <x:c r="I11" s="25" t="str">
        <x:v>P0</x:v>
      </x:c>
      <x:c r="J11" s="25" t="str">
        <x:v>SF-01</x:v>
      </x:c>
      <x:c r="K11" s="25" t="str">
        <x:v>IR-01-01</x:v>
      </x:c>
      <x:c r="L11" s="25" t="str">
        <x:v>SR-01-01-07</x:v>
      </x:c>
      <x:c r="M11" s="22" t="str">
        <x:v>KV 热存储容量扩展</x:v>
      </x:c>
      <x:c r="N11" s="22" t="str">
        <x:v>本需求要求实现多级 KV tiering manager：根据 active/warm/cold 状态、reuse probability、load cost、memory rent 和 SLO，将 KV 在 HBM、本地 DDR、远端 DDR、本地 SSD、远端 SSD/object 之间 提级或降级。</x:v>
      </x:c>
      <x:c r="O11" s="22" t="str">
        <x:v>HBM effective capacity 提升 ≥30%；GPU OOM/preemption 降低 ≥50%；</x:v>
      </x:c>
      <x:c r="P11" s="22" t="str">
        <x:v>在 HBM、本地 DDR 与远端 SSD 等多层介质混合部署的集群上，执行大量 128K 以上的长上下文请求并发压测。验证分层管理逻辑能否动态且平稳地在层级间进行数据驱逐与上浮，防止单一层级 OOM 崩溃。</x:v>
      </x:c>
      <x:c r="Q11" s="22" t="n">
        <x:f>COUNTIF('AR开发认领'!$C$5:$C$451,A11)</x:f>
        <x:v>3</x:v>
      </x:c>
      <x:c r="R11" s="22" t="str">
        <x:f>IF(Q11=3,"PASS","FAIL")</x:f>
        <x:v>PASS</x:v>
      </x:c>
      <x:c r="S11" s="22" t="str">
        <x:v>SF-03 / IR-03-02 / SR-03-02-02</x:v>
      </x:c>
    </x:row>
    <x:row r="12" ht="78" customHeight="1">
      <x:c r="A12" s="25" t="str">
        <x:v>L3-MC-CompactionEngine-056</x:v>
      </x:c>
      <x:c r="B12" s="25" t="str">
        <x:v>V2.1基线</x:v>
      </x:c>
      <x:c r="C12" s="25" t="str">
        <x:v>KVCache SRS需求列表 V2.1.xlsx</x:v>
      </x:c>
      <x:c r="D12" s="25" t="str">
        <x:v>L3 传输管理层</x:v>
      </x:c>
      <x:c r="E12" s="25" t="str">
        <x:v>L3 传输管理层</x:v>
      </x:c>
      <x:c r="F12" s="25" t="str">
        <x:v>TM3</x:v>
      </x:c>
      <x:c r="G12" s="25" t="str">
        <x:v>统一存储池与分层管理</x:v>
      </x:c>
      <x:c r="H12" s="25" t="str">
        <x:v>P1</x:v>
      </x:c>
      <x:c r="I12" s="25" t="str">
        <x:v>P1</x:v>
      </x:c>
      <x:c r="J12" s="25" t="str">
        <x:v>SF-01</x:v>
      </x:c>
      <x:c r="K12" s="25" t="str">
        <x:v>IR-01-01</x:v>
      </x:c>
      <x:c r="L12" s="25" t="str">
        <x:v>SR-01-01-08</x:v>
      </x:c>
      <x:c r="M12" s="22" t="str">
        <x:v>长周期运行内存紧凑整理</x:v>
      </x:c>
      <x:c r="N12" s="22" t="str">
        <x:v>本需求要求实现集群/节点双级 KVCache 内存紧凑引擎（Compaction Engine）。当 HBM/DDR 外部碎片率超过 30% 时自动触发，采用内存屏障（Memory Barrier）技术异步聚合非连续空闲 Block，将碎片率平抑至 10% 以内。</x:v>
      </x:c>
      <x:c r="O12" s="22" t="str">
        <x:v>节点动态加入/退出时的缓存失效控制在局部范围内（遵循一致性哈希比例）。</x:v>
      </x:c>
      <x:c r="P12" s="22" t="str">
        <x:v>在千卡规模集群(64+节点)压测期间，随机Kill掉1-2个节点并拉起新节点（Chaos Testing），监控Hit Rate曲线，要求降幅符合理论比例且系统在5秒内自动恢复。</x:v>
      </x:c>
      <x:c r="Q12" s="22" t="n">
        <x:f>COUNTIF('AR开发认领'!$C$5:$C$451,A12)</x:f>
        <x:v>3</x:v>
      </x:c>
      <x:c r="R12" s="22" t="str">
        <x:f>IF(Q12=3,"PASS","FAIL")</x:f>
        <x:v>PASS</x:v>
      </x:c>
      <x:c r="S12" s="22" t="str">
        <x:v>SF-03 / IR-03-03 / SR-03-03-03</x:v>
      </x:c>
    </x:row>
    <x:row r="13" ht="78" customHeight="1">
      <x:c r="A13" s="25" t="str">
        <x:v>L3-MC-HIER-STORE-002</x:v>
      </x:c>
      <x:c r="B13" s="25" t="str">
        <x:v>V2.1基线</x:v>
      </x:c>
      <x:c r="C13" s="25" t="str">
        <x:v>KVCache SRS需求列表 V2.1.xlsx</x:v>
      </x:c>
      <x:c r="D13" s="25" t="str">
        <x:v>L3 传输管理层</x:v>
      </x:c>
      <x:c r="E13" s="25" t="str">
        <x:v>L3 传输管理层</x:v>
      </x:c>
      <x:c r="F13" s="25" t="str">
        <x:v>TM3</x:v>
      </x:c>
      <x:c r="G13" s="25" t="str">
        <x:v>统一存储池与分层管理</x:v>
      </x:c>
      <x:c r="H13" s="25" t="str">
        <x:v>P1</x:v>
      </x:c>
      <x:c r="I13" s="25" t="str">
        <x:v>P1</x:v>
      </x:c>
      <x:c r="J13" s="25" t="str">
        <x:v>SF-01</x:v>
      </x:c>
      <x:c r="K13" s="25" t="str">
        <x:v>IR-01-01</x:v>
      </x:c>
      <x:c r="L13" s="25" t="str">
        <x:v>SR-01-01-09</x:v>
      </x:c>
      <x:c r="M13" s="22" t="str">
        <x:v>KVCache三层冷热分级</x:v>
      </x:c>
      <x:c r="N13" s="22" t="str">
        <x:v>本需求要求实现KVCache三层分级调度器，按访问时间将KVCache分配到DDR（热，&lt;1min）/本地SSD（温，1-60min）/远端SSD（冷，&gt;1hr）三层存储，支持后台异步下沉（目标≥2GB/s）和异步预热，以及NPUDirect Storage（File）实现SSD到NPU HBM的零CPU拷贝直读路径。</x:v>
      </x:c>
      <x:c r="O13" s="22" t="str">
        <x:v>节点动态加入/退出时的缓存失效控制在局部范围内（遵循一致性哈希比例）。</x:v>
      </x:c>
      <x:c r="P13" s="22" t="str">
        <x:v>在千卡规模集群(64+节点)压测期间，随机Kill掉1-2个节点并拉起新节点（Chaos Testing），监控Hit Rate曲线，要求降幅符合理论比例且系统在5秒内自动恢复。</x:v>
      </x:c>
      <x:c r="Q13" s="22" t="n">
        <x:f>COUNTIF('AR开发认领'!$C$5:$C$451,A13)</x:f>
        <x:v>3</x:v>
      </x:c>
      <x:c r="R13" s="22" t="str">
        <x:f>IF(Q13=3,"PASS","FAIL")</x:f>
        <x:v>PASS</x:v>
      </x:c>
      <x:c r="S13" s="22" t="str">
        <x:v>SF-03 / IR-03-02 / SR-03-02-02</x:v>
      </x:c>
    </x:row>
    <x:row r="14" ht="78" customHeight="1">
      <x:c r="A14" s="25" t="str">
        <x:v>L3-MC-IntelligentMigration-057</x:v>
      </x:c>
      <x:c r="B14" s="25" t="str">
        <x:v>V2.1基线</x:v>
      </x:c>
      <x:c r="C14" s="25" t="str">
        <x:v>KVCache SRS需求列表 V2.1.xlsx</x:v>
      </x:c>
      <x:c r="D14" s="25" t="str">
        <x:v>L3 传输管理层</x:v>
      </x:c>
      <x:c r="E14" s="25" t="str">
        <x:v>L3 传输管理层</x:v>
      </x:c>
      <x:c r="F14" s="25" t="str">
        <x:v>TM3</x:v>
      </x:c>
      <x:c r="G14" s="25" t="str">
        <x:v>统一存储池与分层管理</x:v>
      </x:c>
      <x:c r="H14" s="25" t="str">
        <x:v>P1</x:v>
      </x:c>
      <x:c r="I14" s="25" t="str">
        <x:v>P1</x:v>
      </x:c>
      <x:c r="J14" s="25" t="str">
        <x:v>SF-01</x:v>
      </x:c>
      <x:c r="K14" s="25" t="str">
        <x:v>IR-01-01</x:v>
      </x:c>
      <x:c r="L14" s="25" t="str">
        <x:v>SR-01-01-10</x:v>
      </x:c>
      <x:c r="M14" s="22" t="str">
        <x:v>跨异构介质智能主动搬移</x:v>
      </x:c>
      <x:c r="N14" s="22" t="str">
        <x:v>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x:v>
      </x:c>
      <x:c r="O14" s="22" t="str">
        <x:v>节点动态加入/退出时的缓存失效控制在局部范围内（遵循一致性哈希比例）。</x:v>
      </x:c>
      <x:c r="P14" s="22" t="str">
        <x:v>在千卡规模集群(64+节点)压测期间，随机Kill掉1-2个节点并拉起新节点（Chaos Testing），监控Hit Rate曲线，要求降幅符合理论比例且系统在5秒内自动恢复。</x:v>
      </x:c>
      <x:c r="Q14" s="22" t="n">
        <x:f>COUNTIF('AR开发认领'!$C$5:$C$451,A14)</x:f>
        <x:v>3</x:v>
      </x:c>
      <x:c r="R14" s="22" t="str">
        <x:f>IF(Q14=3,"PASS","FAIL")</x:f>
        <x:v>PASS</x:v>
      </x:c>
      <x:c r="S14" s="22" t="str">
        <x:v>SF-03 / IR-03-03 / SR-03-03-03</x:v>
      </x:c>
    </x:row>
    <x:row r="15" ht="78" customHeight="1">
      <x:c r="A15" s="25" t="str">
        <x:v>L3-MC-LayoutTransformPlan-078</x:v>
      </x:c>
      <x:c r="B15" s="25" t="str">
        <x:v>V2.1基线</x:v>
      </x:c>
      <x:c r="C15" s="25" t="str">
        <x:v>KVCache SRS需求列表 V2.1.xlsx</x:v>
      </x:c>
      <x:c r="D15" s="25" t="str">
        <x:v>L3 传输管理层</x:v>
      </x:c>
      <x:c r="E15" s="25" t="str">
        <x:v>L3 传输管理层</x:v>
      </x:c>
      <x:c r="F15" s="25" t="str">
        <x:v>TM3</x:v>
      </x:c>
      <x:c r="G15" s="25" t="str">
        <x:v>统一存储池与分层管理</x:v>
      </x:c>
      <x:c r="H15" s="25" t="str">
        <x:v>P1</x:v>
      </x:c>
      <x:c r="I15" s="25" t="str">
        <x:v>P1</x:v>
      </x:c>
      <x:c r="J15" s="25" t="str">
        <x:v>SF-01</x:v>
      </x:c>
      <x:c r="K15" s="25" t="str">
        <x:v>IR-01-01</x:v>
      </x:c>
      <x:c r="L15" s="25" t="str">
        <x:v>SR-01-01-11</x:v>
      </x:c>
      <x:c r="M15" s="22" t="str">
        <x:v>HND/NHD/page-first/cross-layer 布局兼容</x:v>
      </x:c>
      <x:c r="N15" s="22" t="str">
        <x:v>本需求要求当源 KV layout 与目标 attention runtime layout 不一致时，统一 KV 内存池必须生成 layout transform plan，明确是否需要 permute、copy-to-HBM、cross-layer regroup、dtype/scale 转换或直接拒绝复用。</x:v>
      </x:c>
      <x:c r="O15" s="22" t="str">
        <x:v>节点动态加入/退出时的缓存失效控制在局部范围内（遵循一致性哈希比例）。</x:v>
      </x:c>
      <x:c r="P15" s="22" t="str">
        <x:v>在千卡规模集群(64+节点)压测期间，随机Kill掉1-2个节点并拉起新节点（Chaos Testing），监控Hit Rate曲线，要求降幅符合理论比例且系统在5秒内自动恢复。</x:v>
      </x:c>
      <x:c r="Q15" s="22" t="n">
        <x:f>COUNTIF('AR开发认领'!$C$5:$C$451,A15)</x:f>
        <x:v>3</x:v>
      </x:c>
      <x:c r="R15" s="22" t="str">
        <x:f>IF(Q15=3,"PASS","FAIL")</x:f>
        <x:v>PASS</x:v>
      </x:c>
      <x:c r="S15" s="22" t="str">
        <x:v>SF-03 / IR-03-01 / SR-03-01-02</x:v>
      </x:c>
    </x:row>
    <x:row r="16" ht="78" customHeight="1">
      <x:c r="A16" s="25" t="str">
        <x:v>L3-MC-PageExtentAllocator-077</x:v>
      </x:c>
      <x:c r="B16" s="25" t="str">
        <x:v>V2.1基线</x:v>
      </x:c>
      <x:c r="C16" s="25" t="str">
        <x:v>KVCache SRS需求列表 V2.1.xlsx</x:v>
      </x:c>
      <x:c r="D16" s="25" t="str">
        <x:v>L3 传输管理层</x:v>
      </x:c>
      <x:c r="E16" s="25" t="str">
        <x:v>L3 传输管理层</x:v>
      </x:c>
      <x:c r="F16" s="25" t="str">
        <x:v>TM3</x:v>
      </x:c>
      <x:c r="G16" s="25" t="str">
        <x:v>统一存储池与分层管理</x:v>
      </x:c>
      <x:c r="H16" s="25" t="str">
        <x:v>P1</x:v>
      </x:c>
      <x:c r="I16" s="25" t="str">
        <x:v>P1</x:v>
      </x:c>
      <x:c r="J16" s="25" t="str">
        <x:v>SF-01</x:v>
      </x:c>
      <x:c r="K16" s="25" t="str">
        <x:v>IR-01-01</x:v>
      </x:c>
      <x:c r="L16" s="25" t="str">
        <x:v>SR-01-01-12</x:v>
      </x:c>
      <x:c r="M16" s="22" t="str">
        <x:v>长周期运行下 KV 存储碎片控制</x:v>
      </x:c>
      <x:c r="N16" s="22" t="str">
        <x:v>本需求要求统一 KV 内存池实现 page/extent allocator，支持按 layer、page、rank、tier 分配物理空间，并支持 split、merge、coalesce、relocate 和 defrag hint，避免长期运行后小块碎片破坏 bulk descriptor 合并效率。</x:v>
      </x:c>
      <x:c r="O16" s="22" t="str">
        <x:v>节点动态加入/退出时的缓存失效控制在局部范围内（遵循一致性哈希比例）。</x:v>
      </x:c>
      <x:c r="P16" s="22" t="str">
        <x:v>在千卡规模集群(64+节点)压测期间，随机Kill掉1-2个节点并拉起新节点（Chaos Testing），监控Hit Rate曲线，要求降幅符合理论比例且系统在5秒内自动恢复。</x:v>
      </x:c>
      <x:c r="Q16" s="22" t="n">
        <x:f>COUNTIF('AR开发认领'!$C$5:$C$451,A16)</x:f>
        <x:v>3</x:v>
      </x:c>
      <x:c r="R16" s="22" t="str">
        <x:f>IF(Q16=3,"PASS","FAIL")</x:f>
        <x:v>PASS</x:v>
      </x:c>
      <x:c r="S16" s="22" t="str">
        <x:v>SF-03 / IR-03-02 / SR-03-02-01</x:v>
      </x:c>
    </x:row>
    <x:row r="17" ht="78" customHeight="1">
      <x:c r="A17" s="25" t="str">
        <x:v>L3-MS-CostEviction-039</x:v>
      </x:c>
      <x:c r="B17" s="25" t="str">
        <x:v>V2.1基线</x:v>
      </x:c>
      <x:c r="C17" s="25" t="str">
        <x:v>KVCache SRS需求列表 V2.1.xlsx</x:v>
      </x:c>
      <x:c r="D17" s="25" t="str">
        <x:v>L3 传输管理层</x:v>
      </x:c>
      <x:c r="E17" s="25" t="str">
        <x:v>L3 传输管理层</x:v>
      </x:c>
      <x:c r="F17" s="25" t="str">
        <x:v>TM3</x:v>
      </x:c>
      <x:c r="G17" s="25" t="str">
        <x:v>统一存储池与分层管理</x:v>
      </x:c>
      <x:c r="H17" s="25" t="str">
        <x:v>P1</x:v>
      </x:c>
      <x:c r="I17" s="25" t="str">
        <x:v>P1</x:v>
      </x:c>
      <x:c r="J17" s="25" t="str">
        <x:v>SF-01</x:v>
      </x:c>
      <x:c r="K17" s="25" t="str">
        <x:v>IR-01-01</x:v>
      </x:c>
      <x:c r="L17" s="25" t="str">
        <x:v>SR-01-01-13</x:v>
      </x:c>
      <x:c r="M17" s="22" t="str">
        <x:v>KVCache 成本感知淘汰与降级</x:v>
      </x:c>
      <x:c r="N17" s="22" t="str">
        <x:v>本需求要求实现KV提级/降级算法，使用多维因素决定保留、降级或驱逐 KV：score 至少包含 saved prefill time、future reuse probability、transfer cost、interference cost、memory rent 和 tenant priority。</x:v>
      </x:c>
      <x:c r="O17" s="22" t="str">
        <x:v>每 GB KV 带来的 saved prefill tokens 提升 ≥25%；</x:v>
      </x:c>
      <x:c r="P17" s="22" t="str">
        <x:v>采集驱逐引擎（Eviction Engine）的历史记录，并离线绘制 Cache Value Curve（缓存价值曲线，依据计算代价、命中频次等）。验证引擎实际驱逐的对象永远是曲线上价值最低（Tail）的 Block，确保核心热点数据驻留率。</x:v>
      </x:c>
      <x:c r="Q17" s="22" t="n">
        <x:f>COUNTIF('AR开发认领'!$C$5:$C$451,A17)</x:f>
        <x:v>3</x:v>
      </x:c>
      <x:c r="R17" s="22" t="str">
        <x:f>IF(Q17=3,"PASS","FAIL")</x:f>
        <x:v>PASS</x:v>
      </x:c>
      <x:c r="S17" s="22" t="str">
        <x:v>SF-03 / IR-03-03 / SR-03-03-02</x:v>
      </x:c>
    </x:row>
    <x:row r="18" ht="78" customHeight="1">
      <x:c r="A18" s="25" t="str">
        <x:v>L3-MS-DDRRolePolicy-092</x:v>
      </x:c>
      <x:c r="B18" s="25" t="str">
        <x:v>V1.0增量（V2.2视角）</x:v>
      </x:c>
      <x:c r="C18" s="25" t="str">
        <x:v>统一异构KVCache存储池_全量需求树_V1.0.xlsx</x:v>
      </x:c>
      <x:c r="D18" s="25" t="str">
        <x:v>AR全量追溯</x:v>
      </x:c>
      <x:c r="E18" s="25" t="str">
        <x:v>L3 传输管理层</x:v>
      </x:c>
      <x:c r="F18" s="25" t="str">
        <x:v>TM3</x:v>
      </x:c>
      <x:c r="G18" s="25" t="str">
        <x:v>统一存储池与分层管理</x:v>
      </x:c>
      <x:c r="H18" s="25" t="str">
        <x:v>P1</x:v>
      </x:c>
      <x:c r="I18" s="25" t="str">
        <x:v>P1</x:v>
      </x:c>
      <x:c r="J18" s="25" t="str">
        <x:v>SF-01</x:v>
      </x:c>
      <x:c r="K18" s="25" t="str">
        <x:v>IR-01-01</x:v>
      </x:c>
      <x:c r="L18" s="25" t="str">
        <x:v>SR-01-01-14</x:v>
      </x:c>
      <x:c r="M18" s="22" t="str">
        <x:v>热点 KV、远端低时延容量、预取与SSD尾时延屏蔽</x:v>
      </x:c>
      <x:c r="N18" s="22" t="str">
        <x:v>本需求要求为 DDR 建立角色化准入策略，至少区分 metadata/control、local warm KV、remote DDR tier、prefetch/burst buffer、registered pool 和 fallback staging。系统只有在 reuse、SSD tail shielding、transfer overlap 或故障恢复产生净收益时才把 KV Payload 驻留 DDR；不得以固定时间阈值或层级惯性占用 DDR。</x:v>
      </x:c>
      <x:c r="O18" s="22" t="str">
        <x:v>输出各 DDR 角色的容量、带宽和净收益曲线，明确主用、条件启用和禁用边界。</x:v>
      </x:c>
      <x:c r="P18" s="22" t="str">
        <x:v>对 SSD-only、local DDR、remote DDR、DDR prefetch 四类配置做同 workload A/B；指标包括 DDR GB、读写BW、usable hit、TTFT、TPOT、SSD P99、单位有效容量成本。</x:v>
      </x:c>
      <x:c r="Q18" s="22" t="n">
        <x:f>COUNTIF('AR开发认领'!$C$5:$C$451,A18)</x:f>
        <x:v>3</x:v>
      </x:c>
      <x:c r="R18" s="22" t="str">
        <x:f>IF(Q18=3,"PASS","FAIL")</x:f>
        <x:v>PASS</x:v>
      </x:c>
      <x:c r="S18" s="22" t="str">
        <x:v>SF-03 / IR-03-02 / SR-03-02-02</x:v>
      </x:c>
    </x:row>
    <x:row r="19" ht="78" customHeight="1">
      <x:c r="A19" s="25" t="str">
        <x:v>L3-MC-POOL-ALLOC-005</x:v>
      </x:c>
      <x:c r="B19" s="25" t="str">
        <x:v>V2.1基线</x:v>
      </x:c>
      <x:c r="C19" s="25" t="str">
        <x:v>KVCache SRS需求列表 V2.1.xlsx</x:v>
      </x:c>
      <x:c r="D19" s="25" t="str">
        <x:v>L3 传输管理层</x:v>
      </x:c>
      <x:c r="E19" s="25" t="str">
        <x:v>L3 传输管理层</x:v>
      </x:c>
      <x:c r="F19" s="25" t="str">
        <x:v>TM3</x:v>
      </x:c>
      <x:c r="G19" s="25" t="str">
        <x:v>统一存储池与分层管理</x:v>
      </x:c>
      <x:c r="H19" s="25" t="str">
        <x:v>P2</x:v>
      </x:c>
      <x:c r="I19" s="25" t="str">
        <x:v>P2</x:v>
      </x:c>
      <x:c r="J19" s="25" t="str">
        <x:v>SF-01</x:v>
      </x:c>
      <x:c r="K19" s="25" t="str">
        <x:v>IR-01-01</x:v>
      </x:c>
      <x:c r="L19" s="25" t="str">
        <x:v>SR-01-01-15</x:v>
      </x:c>
      <x:c r="M19" s="22" t="str">
        <x:v>NUMA亲和性KV分配</x:v>
      </x:c>
      <x:c r="N19" s="22" t="str">
        <x:v>本需求要求为Mooncake统一内存池实现NUMA感知的KVCache Block分配器，通过查询NPU与CPU NUMA节点的亲和关系，优先将KVCache Block分配到最近NUMA节点的DDR内存（numa_alloc_onnode），将Cross-NUMA KVCache访问比例从当前&gt;50%降至&lt;10%。</x:v>
      </x:c>
      <x:c r="O19" s="22" t="str">
        <x:v>节点动态加入/退出时的缓存失效控制在局部范围内（遵循一致性哈希比例）。</x:v>
      </x:c>
      <x:c r="P19" s="22" t="str">
        <x:v>在千卡规模集群(64+节点)压测期间，随机Kill掉1-2个节点并拉起新节点（Chaos Testing），监控Hit Rate曲线，要求降幅符合理论比例且系统在5秒内自动恢复。</x:v>
      </x:c>
      <x:c r="Q19" s="22" t="n">
        <x:f>COUNTIF('AR开发认领'!$C$5:$C$451,A19)</x:f>
        <x:v>3</x:v>
      </x:c>
      <x:c r="R19" s="22" t="str">
        <x:f>IF(Q19=3,"PASS","FAIL")</x:f>
        <x:v>PASS</x:v>
      </x:c>
      <x:c r="S19" s="22" t="str">
        <x:v>SF-03 / IR-03-02 / SR-03-02-01</x:v>
      </x:c>
    </x:row>
    <x:row r="20" ht="78" customHeight="1">
      <x:c r="A20" s="25" t="str">
        <x:v>L3-MC-UBAllocator-049</x:v>
      </x:c>
      <x:c r="B20" s="25" t="str">
        <x:v>V2.1基线</x:v>
      </x:c>
      <x:c r="C20" s="25" t="str">
        <x:v>KVCache SRS需求列表 V2.1.xlsx</x:v>
      </x:c>
      <x:c r="D20" s="25" t="str">
        <x:v>L3 传输管理层</x:v>
      </x:c>
      <x:c r="E20" s="25" t="str">
        <x:v>L3 传输管理层</x:v>
      </x:c>
      <x:c r="F20" s="25" t="str">
        <x:v>TM3</x:v>
      </x:c>
      <x:c r="G20" s="25" t="str">
        <x:v>统一存储池与分层管理</x:v>
      </x:c>
      <x:c r="H20" s="25" t="str">
        <x:v>P2</x:v>
      </x:c>
      <x:c r="I20" s="25" t="str">
        <x:v>P2</x:v>
      </x:c>
      <x:c r="J20" s="25" t="str">
        <x:v>SF-01</x:v>
      </x:c>
      <x:c r="K20" s="25" t="str">
        <x:v>IR-01-01</x:v>
      </x:c>
      <x:c r="L20" s="25" t="str">
        <x:v>SR-01-01-16</x:v>
      </x:c>
      <x:c r="M20" s="22" t="str">
        <x:v>UB 共享 KV 热存储池管理</x:v>
      </x:c>
      <x:c r="N20" s="22" t="str">
        <x:v>本需求要求实现 UB pooled memory 专用 KV allocator：采用 offset-based addressing、hugepage/page coloring、NUMA/fabric locality、free-list、defrag 与 quota 控制，将 UB pool 从裸内存资源变成可管理 KV tier。</x:v>
      </x:c>
      <x:c r="O20" s="22" t="str">
        <x:v>全局内存利用率提升至≥85%，跨级冷热数据迁移过程中的TPOT抖动 &lt; 5%。</x:v>
      </x:c>
      <x:c r="P20" s="22" t="str">
        <x:v>采用LMSYS Chatbot Arena长会话数据集满载运行，后台通过API强制触发Tiering Down，监控前台Decode TPOT，要求波动振幅在5%以内视为达标。</x:v>
      </x:c>
      <x:c r="Q20" s="22" t="n">
        <x:f>COUNTIF('AR开发认领'!$C$5:$C$451,A20)</x:f>
        <x:v>3</x:v>
      </x:c>
      <x:c r="R20" s="22" t="str">
        <x:f>IF(Q20=3,"PASS","FAIL")</x:f>
        <x:v>PASS</x:v>
      </x:c>
      <x:c r="S20" s="22" t="str">
        <x:v>SF-03 / IR-03-02 / SR-03-02-01</x:v>
      </x:c>
    </x:row>
    <x:row r="21" ht="78" customHeight="1">
      <x:c r="A21" s="25" t="str">
        <x:v>L2-KV-PartialAttachPlan-038</x:v>
      </x:c>
      <x:c r="B21" s="25" t="str">
        <x:v>V2.1基线</x:v>
      </x:c>
      <x:c r="C21" s="25" t="str">
        <x:v>KVCache SRS需求列表 V2.1.xlsx</x:v>
      </x:c>
      <x:c r="D21" s="25" t="str">
        <x:v>L2 KVConnector层</x:v>
      </x:c>
      <x:c r="E21" s="25" t="str">
        <x:v>L2 KVConnector层</x:v>
      </x:c>
      <x:c r="F21" s="25" t="str">
        <x:v>TM4</x:v>
      </x:c>
      <x:c r="G21" s="25" t="str">
        <x:v>传输描述与布局协商</x:v>
      </x:c>
      <x:c r="H21" s="25" t="str">
        <x:v>P1</x:v>
      </x:c>
      <x:c r="I21" s="25" t="str">
        <x:v>P1</x:v>
      </x:c>
      <x:c r="J21" s="25" t="str">
        <x:v>SF-01</x:v>
      </x:c>
      <x:c r="K21" s="25" t="str">
        <x:v>IR-01-02</x:v>
      </x:c>
      <x:c r="L21" s="25" t="str">
        <x:v>SR-01-02-01</x:v>
      </x:c>
      <x:c r="M21" s="22" t="str">
        <x:v>部分前缀命中复用</x:v>
      </x:c>
      <x:c r="N21" s="22"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O21" s="22" t="str">
        <x:v>Prefix命中判定P99耗时 &lt; 200us；在Share-Prefix业务下，Usable Hit Rate提升≥15%。</x:v>
      </x:c>
      <x:c r="P21" s="22" t="str">
        <x:v>使用ShareGPT数据集构造并发度上千(1K~5K QPS)的多轮对话负载，监控/metrics接口的prefix_lookup_latency指标，要求P99小于200us为达标。</x:v>
      </x:c>
      <x:c r="Q21" s="22" t="n">
        <x:f>COUNTIF('AR开发认领'!$C$5:$C$451,A21)</x:f>
        <x:v>3</x:v>
      </x:c>
      <x:c r="R21" s="22" t="str">
        <x:f>IF(Q21=3,"PASS","FAIL")</x:f>
        <x:v>PASS</x:v>
      </x:c>
      <x:c r="S21" s="22" t="str">
        <x:v>SF-01 / IR-01-02 / SR-01-02-02</x:v>
      </x:c>
    </x:row>
    <x:row r="22" ht="78" customHeight="1">
      <x:c r="A22" s="25" t="str">
        <x:v>L2-OL-BulkDescriptor-025</x:v>
      </x:c>
      <x:c r="B22" s="25" t="str">
        <x:v>V2.1基线</x:v>
      </x:c>
      <x:c r="C22" s="25" t="str">
        <x:v>KVCache SRS需求列表 V2.1.xlsx</x:v>
      </x:c>
      <x:c r="D22" s="25" t="str">
        <x:v>L2 KVConnector层</x:v>
      </x:c>
      <x:c r="E22" s="25" t="str">
        <x:v>L2 KVConnector层</x:v>
      </x:c>
      <x:c r="F22" s="25" t="str">
        <x:v>TM4</x:v>
      </x:c>
      <x:c r="G22" s="25" t="str">
        <x:v>传输描述与布局协商</x:v>
      </x:c>
      <x:c r="H22" s="25" t="str">
        <x:v>P1</x:v>
      </x:c>
      <x:c r="I22" s="25" t="str">
        <x:v>P1</x:v>
      </x:c>
      <x:c r="J22" s="25" t="str">
        <x:v>SF-01</x:v>
      </x:c>
      <x:c r="K22" s="25" t="str">
        <x:v>IR-01-02</x:v>
      </x:c>
      <x:c r="L22" s="25" t="str">
        <x:v>SR-01-02-02</x:v>
      </x:c>
      <x:c r="M22" s="22" t="str">
        <x:v>KVCache 批量卸载与批量加载</x:v>
      </x:c>
      <x:c r="N22" s="22" t="str">
        <x:v>本需求要求 Connector 将多个不连续 KV block/page 合并为 scatter-gather bulk descriptor，支持 coalescing、max descriptor count、min transfer granularity、batch submit，避免 for-loop 式小块传输放大 CPU submit 与 DMA/RDMA setup 开销。</x:v>
      </x:c>
      <x:c r="O22" s="22" t="str">
        <x:v>CPU submit time 降低 ≥40%；</x:v>
      </x:c>
      <x:c r="P22" s="22" t="str">
        <x:v>在高吞吐数据迁移场景下，使用 perf 或 eBPF 内核级探针深度采集 Descriptor（描述符）生成、合并与下发至网卡或 DMA 引擎的 CPU 时钟周期消耗。验证合并策略确实有效降低了 Host CPU 开销。</x:v>
      </x:c>
      <x:c r="Q22" s="22" t="n">
        <x:f>COUNTIF('AR开发认领'!$C$5:$C$451,A22)</x:f>
        <x:v>3</x:v>
      </x:c>
      <x:c r="R22" s="22" t="str">
        <x:f>IF(Q22=3,"PASS","FAIL")</x:f>
        <x:v>PASS</x:v>
      </x:c>
      <x:c r="S22" s="22" t="str">
        <x:v>SF-04 / IR-04-01 / SR-04-01-03</x:v>
      </x:c>
    </x:row>
    <x:row r="23" ht="78" customHeight="1">
      <x:c r="A23" s="25" t="str">
        <x:v>L2-OL-LayoutNegotiation-024</x:v>
      </x:c>
      <x:c r="B23" s="25" t="str">
        <x:v>V2.1基线</x:v>
      </x:c>
      <x:c r="C23" s="25" t="str">
        <x:v>KVCache SRS需求列表 V2.1.xlsx</x:v>
      </x:c>
      <x:c r="D23" s="25" t="str">
        <x:v>L2 KVConnector层</x:v>
      </x:c>
      <x:c r="E23" s="25" t="str">
        <x:v>L2 KVConnector层</x:v>
      </x:c>
      <x:c r="F23" s="25" t="str">
        <x:v>TM4</x:v>
      </x:c>
      <x:c r="G23" s="25" t="str">
        <x:v>传输描述与布局协商</x:v>
      </x:c>
      <x:c r="H23" s="25" t="str">
        <x:v>P1</x:v>
      </x:c>
      <x:c r="I23" s="25" t="str">
        <x:v>P1</x:v>
      </x:c>
      <x:c r="J23" s="25" t="str">
        <x:v>SF-01</x:v>
      </x:c>
      <x:c r="K23" s="25" t="str">
        <x:v>IR-01-02</x:v>
      </x:c>
      <x:c r="L23" s="25" t="str">
        <x:v>SR-01-02-03</x:v>
      </x:c>
      <x:c r="M23" s="22" t="str">
        <x:v>KVCache 高效传输布局协商</x:v>
      </x:c>
      <x:c r="N23" s="22" t="str">
        <x:v>本需求要求 Connector 与后端协商 KV layout：对 RDMA优先选择 MB 级连续 cross-layer block，对 SGLang HiCache/L存储支持 page-first/page-first-direct，对 SSD/object 支持 segment layout，减少 relayout 和小 descriptor 传输。</x:v>
      </x:c>
      <x:c r="O23" s="22" t="str">
        <x:v>descriptor 数降低 ≥50%；effective BW 提升 ≥30%；</x:v>
      </x:c>
      <x:c r="P23" s="22" t="str">
        <x:v>在连接层针对不同的内存布局格式（如 Paged vs Continuous, SOA vs AOS）进行微基准测试（Microbench）。观测在硬件转换和拷贝期间的吞吐量与对齐开销差异，确保协商策略选择了最优的内存格式。</x:v>
      </x:c>
      <x:c r="Q23" s="22" t="n">
        <x:f>COUNTIF('AR开发认领'!$C$5:$C$451,A23)</x:f>
        <x:v>3</x:v>
      </x:c>
      <x:c r="R23" s="22" t="str">
        <x:f>IF(Q23=3,"PASS","FAIL")</x:f>
        <x:v>PASS</x:v>
      </x:c>
      <x:c r="S23" s="22" t="str">
        <x:v>SF-03 / IR-03-01 / SR-03-01-02</x:v>
      </x:c>
    </x:row>
    <x:row r="24" ht="78" customHeight="1">
      <x:c r="A24" s="25" t="str">
        <x:v>L3-SE-DescriptorFromManifest-079</x:v>
      </x:c>
      <x:c r="B24" s="25" t="str">
        <x:v>V2.1基线</x:v>
      </x:c>
      <x:c r="C24" s="25" t="str">
        <x:v>KVCache SRS需求列表 V2.1.xlsx</x:v>
      </x:c>
      <x:c r="D24" s="25" t="str">
        <x:v>L3 传输管理层</x:v>
      </x:c>
      <x:c r="E24" s="25" t="str">
        <x:v>L3 传输管理层</x:v>
      </x:c>
      <x:c r="F24" s="25" t="str">
        <x:v>TM1</x:v>
      </x:c>
      <x:c r="G24" s="25" t="str">
        <x:v>语义策略与路径管理</x:v>
      </x:c>
      <x:c r="H24" s="25" t="str">
        <x:v>P0</x:v>
      </x:c>
      <x:c r="I24" s="25" t="str">
        <x:v>P0</x:v>
      </x:c>
      <x:c r="J24" s="25" t="str">
        <x:v>SF-01</x:v>
      </x:c>
      <x:c r="K24" s="25" t="str">
        <x:v>IR-01-03</x:v>
      </x:c>
      <x:c r="L24" s="25" t="str">
        <x:v>SR-01-03-01</x:v>
      </x:c>
      <x:c r="M24" s="22" t="str">
        <x:v>从 KV 存储结构自动生成高效传输描述符</x:v>
      </x:c>
      <x:c r="N24" s="22" t="str">
        <x:v>本需求要求 Transfer Manager 能根据 extent manifest 自动生成 scatter-gather bulk descriptor，并按 max descriptor count、alignment、min transfer granularity、target tier 和 backend capability 进行 coalescing，减少逐 block 传输提交开销。</x:v>
      </x:c>
      <x:c r="O24" s="22" t="str">
        <x:v>节点动态加入/退出时的缓存失效控制在局部范围内（遵循一致性哈希比例）。</x:v>
      </x:c>
      <x:c r="P24" s="22" t="str">
        <x:v>在千卡规模集群(64+节点)压测期间，随机Kill掉1-2个节点并拉起新节点（Chaos Testing），监控Hit Rate曲线，要求降幅符合理论比例且系统在5秒内自动恢复。</x:v>
      </x:c>
      <x:c r="Q24" s="22" t="n">
        <x:f>COUNTIF('AR开发认领'!$C$5:$C$451,A24)</x:f>
        <x:v>3</x:v>
      </x:c>
      <x:c r="R24" s="22" t="str">
        <x:f>IF(Q24=3,"PASS","FAIL")</x:f>
        <x:v>PASS</x:v>
      </x:c>
      <x:c r="S24" s="22" t="str">
        <x:v>SF-03 / IR-03-01 / SR-03-01-02</x:v>
      </x:c>
    </x:row>
    <x:row r="25" ht="78" customHeight="1">
      <x:c r="A25" s="25" t="str">
        <x:v>L3-SE-PlacementResolver-061</x:v>
      </x:c>
      <x:c r="B25" s="25" t="str">
        <x:v>V2.1基线</x:v>
      </x:c>
      <x:c r="C25" s="25" t="str">
        <x:v>KVCache SRS需求列表 V2.1.xlsx</x:v>
      </x:c>
      <x:c r="D25" s="25" t="str">
        <x:v>L3 传输管理层</x:v>
      </x:c>
      <x:c r="E25" s="25" t="str">
        <x:v>L3 传输管理层</x:v>
      </x:c>
      <x:c r="F25" s="25" t="str">
        <x:v>TM1</x:v>
      </x:c>
      <x:c r="G25" s="25" t="str">
        <x:v>语义策略与路径管理</x:v>
      </x:c>
      <x:c r="H25" s="25" t="str">
        <x:v>P0</x:v>
      </x:c>
      <x:c r="I25" s="25" t="str">
        <x:v>P0</x:v>
      </x:c>
      <x:c r="J25" s="25" t="str">
        <x:v>SF-01</x:v>
      </x:c>
      <x:c r="K25" s="25" t="str">
        <x:v>IR-01-03</x:v>
      </x:c>
      <x:c r="L25" s="25" t="str">
        <x:v>SR-01-03-02</x:v>
      </x:c>
      <x:c r="M25" s="22" t="str">
        <x:v>多位置 KV 副本的最优读取源选择</x:v>
      </x:c>
      <x:c r="N25" s="22"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O25" s="22" t="str">
        <x:v>节点动态加入/退出时的缓存失效控制在局部范围内（遵循一致性哈希比例）。</x:v>
      </x:c>
      <x:c r="P25" s="22" t="str">
        <x:v>在千卡规模集群(64+节点)压测期间，随机Kill掉1-2个节点并拉起新节点（Chaos Testing），监控Hit Rate曲线，要求降幅符合理论比例且系统在5秒内自动恢复。</x:v>
      </x:c>
      <x:c r="Q25" s="22" t="n">
        <x:f>COUNTIF('AR开发认领'!$C$5:$C$451,A25)</x:f>
        <x:v>3</x:v>
      </x:c>
      <x:c r="R25" s="22" t="str">
        <x:f>IF(Q25=3,"PASS","FAIL")</x:f>
        <x:v>PASS</x:v>
      </x:c>
      <x:c r="S25" s="22" t="str">
        <x:v>SF-03 / IR-03-03 / SR-03-03-02</x:v>
      </x:c>
    </x:row>
    <x:row r="26" ht="78" customHeight="1">
      <x:c r="A26" s="25" t="str">
        <x:v>L3-SE-PolicyEngine-032</x:v>
      </x:c>
      <x:c r="B26" s="25" t="str">
        <x:v>V2.1基线</x:v>
      </x:c>
      <x:c r="C26" s="25" t="str">
        <x:v>KVCache SRS需求列表 V2.1.xlsx</x:v>
      </x:c>
      <x:c r="D26" s="25" t="str">
        <x:v>L3 传输管理层</x:v>
      </x:c>
      <x:c r="E26" s="25" t="str">
        <x:v>L3 传输管理层</x:v>
      </x:c>
      <x:c r="F26" s="25" t="str">
        <x:v>TM1</x:v>
      </x:c>
      <x:c r="G26" s="25" t="str">
        <x:v>语义策略与路径管理</x:v>
      </x:c>
      <x:c r="H26" s="25" t="str">
        <x:v>P0</x:v>
      </x:c>
      <x:c r="I26" s="25" t="str">
        <x:v>P0</x:v>
      </x:c>
      <x:c r="J26" s="25" t="str">
        <x:v>SF-01</x:v>
      </x:c>
      <x:c r="K26" s="25" t="str">
        <x:v>IR-01-03</x:v>
      </x:c>
      <x:c r="L26" s="25" t="str">
        <x:v>SR-01-03-03</x:v>
      </x:c>
      <x:c r="M26" s="22" t="str">
        <x:v>统一 KVCache 存储池智能路径选择</x:v>
      </x:c>
      <x:c r="N26" s="22" t="str">
        <x:v>本需求要求 Transfer Manager 实现 semantic policy engine：根据 KVAccessIntent、KV size、deadline、reuse value、topology、telemetry、tier state 自动选择 memory view、bulk transfer、stream object 或 recompute 路径。</x:v>
      </x:c>
      <x:c r="O26" s="22" t="str">
        <x:v>usable hit rate 提升 ≥20%；</x:v>
      </x:c>
      <x:c r="P26" s="22" t="str">
        <x:v>引入一个通过事后离线全局计算得出的理想最优路径预言机（Oracle）。将实际系统运行期间 Policy Engine 做出的动态路由选择序列与 Oracle 的理论上限进行对比，要求策略选择的命中准确率和性能偏差在容忍范围内（如 &lt;5%）。</x:v>
      </x:c>
      <x:c r="Q26" s="22" t="n">
        <x:f>COUNTIF('AR开发认领'!$C$5:$C$451,A26)</x:f>
        <x:v>3</x:v>
      </x:c>
      <x:c r="R26" s="22" t="str">
        <x:f>IF(Q26=3,"PASS","FAIL")</x:f>
        <x:v>PASS</x:v>
      </x:c>
      <x:c r="S26" s="22" t="str">
        <x:v>SF-01 / IR-01-03 / SR-01-03-02</x:v>
      </x:c>
    </x:row>
    <x:row r="27" ht="78" customHeight="1">
      <x:c r="A27" s="25" t="str">
        <x:v>L3-SE-QueryPlanFastPath-072</x:v>
      </x:c>
      <x:c r="B27" s="25" t="str">
        <x:v>V2.1基线</x:v>
      </x:c>
      <x:c r="C27" s="25" t="str">
        <x:v>KVCache SRS需求列表 V2.1.xlsx</x:v>
      </x:c>
      <x:c r="D27" s="25" t="str">
        <x:v>L3 传输管理层</x:v>
      </x:c>
      <x:c r="E27" s="25" t="str">
        <x:v>L3 传输管理层</x:v>
      </x:c>
      <x:c r="F27" s="25" t="str">
        <x:v>TM1</x:v>
      </x:c>
      <x:c r="G27" s="25" t="str">
        <x:v>语义策略与路径管理</x:v>
      </x:c>
      <x:c r="H27" s="25" t="str">
        <x:v>P0</x:v>
      </x:c>
      <x:c r="I27" s="25" t="str">
        <x:v>P0</x:v>
      </x:c>
      <x:c r="J27" s="25" t="str">
        <x:v>SF-01</x:v>
      </x:c>
      <x:c r="K27" s="25" t="str">
        <x:v>IR-01-03</x:v>
      </x:c>
      <x:c r="L27" s="25" t="str">
        <x:v>SR-01-03-04</x:v>
      </x:c>
      <x:c r="M27" s="22" t="str">
        <x:v>TTFT 关键路径上的单次查询决策</x:v>
      </x:c>
      <x:c r="N27" s="22"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O27" s="22" t="str">
        <x:v>确保底层物理存储直接向外暴露“可执行查询计划(QueryPlan)”，而非裸机物理地址(Raw Address)。</x:v>
      </x:c>
      <x:c r="P27" s="22" t="str">
        <x:v>验证 L1 层接收到的所有响应必须是标准 QueryPlan 结构，包括源 Placement 和 Expected_load_us。</x:v>
      </x:c>
      <x:c r="Q27" s="22" t="n">
        <x:f>COUNTIF('AR开发认领'!$C$5:$C$451,A27)</x:f>
        <x:v>3</x:v>
      </x:c>
      <x:c r="R27" s="22" t="str">
        <x:f>IF(Q27=3,"PASS","FAIL")</x:f>
        <x:v>PASS</x:v>
      </x:c>
      <x:c r="S27" s="22" t="str">
        <x:v>SF-01 / IR-01-02 / SR-01-02-03</x:v>
      </x:c>
    </x:row>
    <x:row r="28" ht="78" customHeight="1">
      <x:c r="A28" s="25" t="str">
        <x:v>L3-SE-TierBypassPolicy-091</x:v>
      </x:c>
      <x:c r="B28" s="25" t="str">
        <x:v>V1.0增量（V2.2视角）</x:v>
      </x:c>
      <x:c r="C28" s="25" t="str">
        <x:v>统一异构KVCache存储池_全量需求树_V1.0.xlsx</x:v>
      </x:c>
      <x:c r="D28" s="25" t="str">
        <x:v>AR全量追溯</x:v>
      </x:c>
      <x:c r="E28" s="25" t="str">
        <x:v>L3 传输管理层</x:v>
      </x:c>
      <x:c r="F28" s="25" t="str">
        <x:v>TM4</x:v>
      </x:c>
      <x:c r="G28" s="25" t="str">
        <x:v>语义策略与路径管理</x:v>
      </x:c>
      <x:c r="H28" s="25" t="str">
        <x:v>P0</x:v>
      </x:c>
      <x:c r="I28" s="25" t="str">
        <x:v>P0</x:v>
      </x:c>
      <x:c r="J28" s="25" t="str">
        <x:v>SF-01</x:v>
      </x:c>
      <x:c r="K28" s="25" t="str">
        <x:v>IR-01-03</x:v>
      </x:c>
      <x:c r="L28" s="25" t="str">
        <x:v>SR-01-03-05</x:v>
      </x:c>
      <x:c r="M28" s="22" t="str">
        <x:v>DDR成本约束、SSD容量主路径、异构路径动态选择</x:v>
      </x:c>
      <x:c r="N28" s="22" t="str">
        <x:v>本需求要求 QueryPlan 与路径规划器采用图式路径模型，显式支持 HBM↔SSD direct/低Host参与、HBM↔DDR、DDR↔SSD、remote DDR 和 remote SSD 等路径；DDR 不得被编码为 HBM 与 SSD 之间的必要中转层。路径选择必须基于 capability、deadline、cost 和 fallback policy，并记录是否发生 tier bypass。</x:v>
      </x:c>
      <x:c r="O28" s="22" t="str">
        <x:v>禁用 DDR Payload tier 后，Prefix Hit、Load/Attach、Publish/Lifecycle 仍可通过 SSD 或重算形成闭环；不得出现隐式 CPU staging。</x:v>
      </x:c>
      <x:c r="P28" s="22" t="str">
        <x:v>建立六类代表性路径 capability matrix；故障注入和禁用 DDR 后验证路径正确选择、Host touch、完成可见性和回退，错误路由为0。</x:v>
      </x:c>
      <x:c r="Q28" s="22" t="n">
        <x:f>COUNTIF('AR开发认领'!$C$5:$C$451,A28)</x:f>
        <x:v>3</x:v>
      </x:c>
      <x:c r="R28" s="22" t="str">
        <x:f>IF(Q28=3,"PASS","FAIL")</x:f>
        <x:v>PASS</x:v>
      </x:c>
      <x:c r="S28" s="22" t="str">
        <x:v>SF-03 / IR-03-02 / SR-03-02-02</x:v>
      </x:c>
    </x:row>
    <x:row r="29" ht="78" customHeight="1">
      <x:c r="A29" s="25" t="str">
        <x:v>L3-SE-UnifiedDescriptor-018</x:v>
      </x:c>
      <x:c r="B29" s="25" t="str">
        <x:v>V2.1基线</x:v>
      </x:c>
      <x:c r="C29" s="25" t="str">
        <x:v>KVCache SRS需求列表 V2.1.xlsx</x:v>
      </x:c>
      <x:c r="D29" s="25" t="str">
        <x:v>L3 传输管理层</x:v>
      </x:c>
      <x:c r="E29" s="25" t="str">
        <x:v>L3 传输管理层</x:v>
      </x:c>
      <x:c r="F29" s="25" t="str">
        <x:v>TM1</x:v>
      </x:c>
      <x:c r="G29" s="25" t="str">
        <x:v>语义策略与路径管理</x:v>
      </x:c>
      <x:c r="H29" s="25" t="str">
        <x:v>P0</x:v>
      </x:c>
      <x:c r="I29" s="25" t="str">
        <x:v>P0</x:v>
      </x:c>
      <x:c r="J29" s="25" t="str">
        <x:v>SF-01</x:v>
      </x:c>
      <x:c r="K29" s="25" t="str">
        <x:v>IR-01-03</x:v>
      </x:c>
      <x:c r="L29" s="25" t="str">
        <x:v>SR-01-03-06</x:v>
      </x:c>
      <x:c r="M29" s="22" t="str">
        <x:v>跨框架 KVCache 传输任务统一编排</x:v>
      </x:c>
      <x:c r="N29" s="22" t="str">
        <x:v>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x:v>
      </x:c>
      <x:c r="O29" s="22" t="str">
        <x:v>节点动态加入/退出时的缓存失效控制在局部范围内（遵循一致性哈希比例）。</x:v>
      </x:c>
      <x:c r="P29" s="22" t="str">
        <x:v>在千卡规模集群(64+节点)压测期间，随机Kill掉1-2个节点并拉起新节点（Chaos Testing），监控Hit Rate曲线，要求降幅符合理论比例且系统在5秒内自动恢复。</x:v>
      </x:c>
      <x:c r="Q29" s="22" t="n">
        <x:f>COUNTIF('AR开发认领'!$C$5:$C$451,A29)</x:f>
        <x:v>3</x:v>
      </x:c>
      <x:c r="R29" s="22" t="str">
        <x:f>IF(Q29=3,"PASS","FAIL")</x:f>
        <x:v>PASS</x:v>
      </x:c>
      <x:c r="S29" s="22" t="str">
        <x:v>SF-04 / IR-04-01 / SR-04-01-03</x:v>
      </x:c>
    </x:row>
    <x:row r="30" ht="78" customHeight="1">
      <x:c r="A30" s="25" t="str">
        <x:v>L3-TRANS-CAP-API-002</x:v>
      </x:c>
      <x:c r="B30" s="25" t="str">
        <x:v>V2.1基线</x:v>
      </x:c>
      <x:c r="C30" s="25" t="str">
        <x:v>KVCache SRS需求列表 V2.1.xlsx</x:v>
      </x:c>
      <x:c r="D30" s="25" t="str">
        <x:v>L3 传输管理层</x:v>
      </x:c>
      <x:c r="E30" s="25" t="str">
        <x:v>L3 传输管理层</x:v>
      </x:c>
      <x:c r="F30" s="25" t="str">
        <x:v>TM1</x:v>
      </x:c>
      <x:c r="G30" s="25" t="str">
        <x:v>语义策略与路径管理</x:v>
      </x:c>
      <x:c r="H30" s="25" t="str">
        <x:v>P0</x:v>
      </x:c>
      <x:c r="I30" s="25" t="str">
        <x:v>P0</x:v>
      </x:c>
      <x:c r="J30" s="25" t="str">
        <x:v>SF-01</x:v>
      </x:c>
      <x:c r="K30" s="25" t="str">
        <x:v>IR-01-03</x:v>
      </x:c>
      <x:c r="L30" s="25" t="str">
        <x:v>SR-01-03-07</x:v>
      </x:c>
      <x:c r="M30" s="22" t="str">
        <x:v>平台无关能力感知</x:v>
      </x:c>
      <x:c r="N30" s="22" t="str">
        <x:v>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O30" s="22" t="str">
        <x:v>新推理后端接入适配代码量减少80%，单一接口调用开销(Overhead) &lt; 5us。</x:v>
      </x:c>
      <x:c r="P30" s="22" t="str">
        <x:v>执行统一提供的Conformance Test Suite（合规测试集），构造put/get/evict边界用例，要求100%通过且空载调用耗时监控指标低于5us。</x:v>
      </x:c>
      <x:c r="Q30" s="22" t="n">
        <x:f>COUNTIF('AR开发认领'!$C$5:$C$451,A30)</x:f>
        <x:v>3</x:v>
      </x:c>
      <x:c r="R30" s="22" t="str">
        <x:f>IF(Q30=3,"PASS","FAIL")</x:f>
        <x:v>PASS</x:v>
      </x:c>
      <x:c r="S30" s="22" t="str">
        <x:v>SF-04 / IR-04-01 / SR-04-01-01</x:v>
      </x:c>
    </x:row>
    <x:row r="31" ht="78" customHeight="1">
      <x:c r="A31" s="25" t="str">
        <x:v>L3-TRANS-SEM-ENGINE-001</x:v>
      </x:c>
      <x:c r="B31" s="25" t="str">
        <x:v>V2.1基线</x:v>
      </x:c>
      <x:c r="C31" s="25" t="str">
        <x:v>KVCache SRS需求列表 V2.1.xlsx</x:v>
      </x:c>
      <x:c r="D31" s="25" t="str">
        <x:v>L3 传输管理层</x:v>
      </x:c>
      <x:c r="E31" s="25" t="str">
        <x:v>L3 传输管理层</x:v>
      </x:c>
      <x:c r="F31" s="25" t="str">
        <x:v>TM1</x:v>
      </x:c>
      <x:c r="G31" s="25" t="str">
        <x:v>语义策略与路径管理</x:v>
      </x:c>
      <x:c r="H31" s="25" t="str">
        <x:v>P0</x:v>
      </x:c>
      <x:c r="I31" s="25" t="str">
        <x:v>P0</x:v>
      </x:c>
      <x:c r="J31" s="25" t="str">
        <x:v>SF-01</x:v>
      </x:c>
      <x:c r="K31" s="25" t="str">
        <x:v>IR-01-03</x:v>
      </x:c>
      <x:c r="L31" s="25" t="str">
        <x:v>SR-01-03-08</x:v>
      </x:c>
      <x:c r="M31" s="22" t="str">
        <x:v>多平台统一传输管理</x:v>
      </x:c>
      <x:c r="N31" s="22" t="str">
        <x:v>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x:v>
      </x:c>
      <x:c r="O31" s="22" t="str">
        <x:v>同机架内本地及远端DDR命中率（Local Usable Hit Rate）提升≥30%。</x:v>
      </x:c>
      <x:c r="P31" s="22" t="str">
        <x:v>部署含千卡级别的多机柜大规模集群(如16-64节点)，使用vLLM benchmark工具注入Zipf分布的热点Prompt，统计路由命中本地/本同架的比例，要求大于80%达标。</x:v>
      </x:c>
      <x:c r="Q31" s="22" t="n">
        <x:f>COUNTIF('AR开发认领'!$C$5:$C$451,A31)</x:f>
        <x:v>3</x:v>
      </x:c>
      <x:c r="R31" s="22" t="str">
        <x:f>IF(Q31=3,"PASS","FAIL")</x:f>
        <x:v>PASS</x:v>
      </x:c>
      <x:c r="S31" s="22" t="str">
        <x:v>SF-04 / IR-04-01 / SR-04-01-01</x:v>
      </x:c>
    </x:row>
    <x:row r="32" ht="78" customHeight="1">
      <x:c r="A32" s="25" t="str">
        <x:v>L3-SE-GranularityDispatch-033</x:v>
      </x:c>
      <x:c r="B32" s="25" t="str">
        <x:v>V2.1基线</x:v>
      </x:c>
      <x:c r="C32" s="25" t="str">
        <x:v>KVCache SRS需求列表 V2.1.xlsx</x:v>
      </x:c>
      <x:c r="D32" s="25" t="str">
        <x:v>L3 传输管理层</x:v>
      </x:c>
      <x:c r="E32" s="25" t="str">
        <x:v>L3 传输管理层</x:v>
      </x:c>
      <x:c r="F32" s="25" t="str">
        <x:v>TM1</x:v>
      </x:c>
      <x:c r="G32" s="25" t="str">
        <x:v>语义策略与路径管理</x:v>
      </x:c>
      <x:c r="H32" s="25" t="str">
        <x:v>P1</x:v>
      </x:c>
      <x:c r="I32" s="25" t="str">
        <x:v>P1</x:v>
      </x:c>
      <x:c r="J32" s="25" t="str">
        <x:v>SF-01</x:v>
      </x:c>
      <x:c r="K32" s="25" t="str">
        <x:v>IR-01-03</x:v>
      </x:c>
      <x:c r="L32" s="25" t="str">
        <x:v>SR-01-03-09</x:v>
      </x:c>
      <x:c r="M32" s="22" t="str">
        <x:v>KV 元数据与 KV 数据分流传输</x:v>
      </x:c>
      <x:c r="N32" s="22" t="str">
        <x:v>本需求要求 Transfer Manager 按数据粒度自动分发访问语义：64B–4KB metadata 优先 memory-view，0.5–8MB KV block/page 优先 bulk transfer，冷 segment/object 优先 stream/object，避免协议与数据粒度错配。</x:v>
      </x:c>
      <x:c r="O32" s="22" t="str">
        <x:v>lookup p99 降低 ≥30%，bulk BW 提升 ≥20%；</x:v>
      </x:c>
      <x:c r="P32" s="22" t="str">
        <x:v>针对数据下发与迁移的最小粒度（例如从 16KB 递增扫至 2MB），进行全面的扫描测试（Sweep）。找出在特定网络结构和磁盘 IO 参数下，吞吐量和碎片的最佳平衡点，并确保系统调度参数已自适应为该粒度区间。</x:v>
      </x:c>
      <x:c r="Q32" s="22" t="n">
        <x:f>COUNTIF('AR开发认领'!$C$5:$C$451,A32)</x:f>
        <x:v>3</x:v>
      </x:c>
      <x:c r="R32" s="22" t="str">
        <x:f>IF(Q32=3,"PASS","FAIL")</x:f>
        <x:v>PASS</x:v>
      </x:c>
      <x:c r="S32" s="22" t="str">
        <x:v>SF-04 / IR-04-01 / SR-04-01-03</x:v>
      </x:c>
    </x:row>
    <x:row r="33" ht="78" customHeight="1">
      <x:c r="A33" s="25" t="str">
        <x:v>L3-SE-MultiReplicaResolver-089</x:v>
      </x:c>
      <x:c r="B33" s="25" t="str">
        <x:v>V2.1基线</x:v>
      </x:c>
      <x:c r="C33" s="25" t="str">
        <x:v>KVCache SRS需求列表 V2.1.xlsx</x:v>
      </x:c>
      <x:c r="D33" s="25" t="str">
        <x:v>L3 传输管理层</x:v>
      </x:c>
      <x:c r="E33" s="25" t="str">
        <x:v>L3 传输管理层</x:v>
      </x:c>
      <x:c r="F33" s="25" t="str">
        <x:v>TM1</x:v>
      </x:c>
      <x:c r="G33" s="25" t="str">
        <x:v>语义策略与路径管理</x:v>
      </x:c>
      <x:c r="H33" s="25" t="str">
        <x:v>P1</x:v>
      </x:c>
      <x:c r="I33" s="25" t="str">
        <x:v>P1</x:v>
      </x:c>
      <x:c r="J33" s="25" t="str">
        <x:v>SF-01</x:v>
      </x:c>
      <x:c r="K33" s="25" t="str">
        <x:v>IR-01-03</x:v>
      </x:c>
      <x:c r="L33" s="25" t="str">
        <x:v>SR-01-03-10</x:v>
      </x:c>
      <x:c r="M33" s="22" t="str">
        <x:v>异构分布式多副本的最优路径路由决策</x:v>
      </x:c>
      <x:c r="N33" s="22"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O33" s="22" t="str">
        <x:v>同机架内本地及远端DDR命中率（Local Usable Hit Rate）提升≥30%。</x:v>
      </x:c>
      <x:c r="P33" s="22" t="str">
        <x:v>部署含千卡级别的多机柜大规模集群(如16-64节点)，使用vLLM benchmark工具注入Zipf分布的热点Prompt，统计路由命中本地/本同架的比例，要求大于80%达标。</x:v>
      </x:c>
      <x:c r="Q33" s="22" t="n">
        <x:f>COUNTIF('AR开发认领'!$C$5:$C$451,A33)</x:f>
        <x:v>3</x:v>
      </x:c>
      <x:c r="R33" s="22" t="str">
        <x:f>IF(Q33=3,"PASS","FAIL")</x:f>
        <x:v>PASS</x:v>
      </x:c>
      <x:c r="S33" s="22" t="str">
        <x:v>SF-02 / IR-02-02 / SR-02-02-02</x:v>
      </x:c>
    </x:row>
    <x:row r="34" ht="78" customHeight="1">
      <x:c r="A34" s="25" t="str">
        <x:v>L3-SE-ViewCopyCostModel-034</x:v>
      </x:c>
      <x:c r="B34" s="25" t="str">
        <x:v>V2.1基线</x:v>
      </x:c>
      <x:c r="C34" s="25" t="str">
        <x:v>KVCache SRS需求列表 V2.1.xlsx</x:v>
      </x:c>
      <x:c r="D34" s="25" t="str">
        <x:v>L3 传输管理层</x:v>
      </x:c>
      <x:c r="E34" s="25" t="str">
        <x:v>L3 传输管理层</x:v>
      </x:c>
      <x:c r="F34" s="25" t="str">
        <x:v>TM1</x:v>
      </x:c>
      <x:c r="G34" s="25" t="str">
        <x:v>语义策略与路径管理</x:v>
      </x:c>
      <x:c r="H34" s="25" t="str">
        <x:v>P1</x:v>
      </x:c>
      <x:c r="I34" s="25" t="str">
        <x:v>P1</x:v>
      </x:c>
      <x:c r="J34" s="25" t="str">
        <x:v>SF-01</x:v>
      </x:c>
      <x:c r="K34" s="25" t="str">
        <x:v>IR-01-03</x:v>
      </x:c>
      <x:c r="L34" s="25" t="str">
        <x:v>SR-01-03-11</x:v>
      </x:c>
      <x:c r="M34" s="22" t="str">
        <x:v>近端热 KV 直访与回填优化</x:v>
      </x:c>
      <x:c r="N34" s="22" t="str">
        <x:v>本需求要求实现 view-vs-copy cost model：综合 direct view stall cycles、copy-to-HBM cost、expected reuse count、deadline 和 TPOT 敏感性，判断 UB/C2C warm KV 应直接访问还是先 copy 到 HBM。</x:v>
      </x:c>
      <x:c r="O34" s="22" t="str">
        <x:v>TPOT 回退 &lt;3%，TTFT 降低 ≥10%；</x:v>
      </x:c>
      <x:c r="P34" s="22" t="str">
        <x:v>基于远端存储访问计数器（Remote-tier Counter）采集的实时性能统计，开展 View 与 Copy 的 A/B 测试。验证基于计数器的动态 Cost Model 能够随着远端节点压力的变化，自适应并正确地在这两种加载模式间切换。</x:v>
      </x:c>
      <x:c r="Q34" s="22" t="n">
        <x:f>COUNTIF('AR开发认领'!$C$5:$C$451,A34)</x:f>
        <x:v>3</x:v>
      </x:c>
      <x:c r="R34" s="22" t="str">
        <x:f>IF(Q34=3,"PASS","FAIL")</x:f>
        <x:v>PASS</x:v>
      </x:c>
      <x:c r="S34" s="22" t="str">
        <x:v>SF-01 / IR-01-02 / SR-01-02-02</x:v>
      </x:c>
    </x:row>
    <x:row r="35" ht="78" customHeight="1">
      <x:c r="A35" s="25" t="str">
        <x:v>L3-TRANS-TOPO-SENSE-004</x:v>
      </x:c>
      <x:c r="B35" s="25" t="str">
        <x:v>V2.1基线</x:v>
      </x:c>
      <x:c r="C35" s="25" t="str">
        <x:v>KVCache SRS需求列表 V2.1.xlsx</x:v>
      </x:c>
      <x:c r="D35" s="25" t="str">
        <x:v>L3 传输管理层</x:v>
      </x:c>
      <x:c r="E35" s="25" t="str">
        <x:v>L3 传输管理层</x:v>
      </x:c>
      <x:c r="F35" s="25" t="str">
        <x:v>TM1</x:v>
      </x:c>
      <x:c r="G35" s="25" t="str">
        <x:v>语义策略与路径管理</x:v>
      </x:c>
      <x:c r="H35" s="25" t="str">
        <x:v>P1</x:v>
      </x:c>
      <x:c r="I35" s="25" t="str">
        <x:v>P1</x:v>
      </x:c>
      <x:c r="J35" s="25" t="str">
        <x:v>SF-01</x:v>
      </x:c>
      <x:c r="K35" s="25" t="str">
        <x:v>IR-01-03</x:v>
      </x:c>
      <x:c r="L35" s="25" t="str">
        <x:v>SR-01-03-12</x:v>
      </x:c>
      <x:c r="M35" s="22" t="str">
        <x:v>动态传输质量适应</x:v>
      </x:c>
      <x:c r="N35" s="22" t="str">
        <x:v>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x:v>
      </x:c>
      <x:c r="O35" s="22" t="str">
        <x:v>传输端到端延迟降低≥40%，CPU占用率(System Load)下降。</x:v>
      </x:c>
      <x:c r="P35" s="22" t="str">
        <x:v>使用ib_write_bw等RDMA微基准压测工具构造16MB-128MB大块极长上下文张量的KVCache分块传输，对比TCP基线，要求吞吐达到线速90%且P99延迟稳定在硬件极值要求内。</x:v>
      </x:c>
      <x:c r="Q35" s="22" t="n">
        <x:f>COUNTIF('AR开发认领'!$C$5:$C$451,A35)</x:f>
        <x:v>3</x:v>
      </x:c>
      <x:c r="R35" s="22" t="str">
        <x:f>IF(Q35=3,"PASS","FAIL")</x:f>
        <x:v>PASS</x:v>
      </x:c>
      <x:c r="S35" s="22" t="str">
        <x:v>SF-04 / IR-04-01 / SR-04-01-02</x:v>
      </x:c>
    </x:row>
    <x:row r="36" ht="78" customHeight="1">
      <x:c r="A36" s="25" t="str">
        <x:v>L3-MS-HotReplication-040</x:v>
      </x:c>
      <x:c r="B36" s="25" t="str">
        <x:v>V2.1基线</x:v>
      </x:c>
      <x:c r="C36" s="25" t="str">
        <x:v>KVCache SRS需求列表 V2.1.xlsx</x:v>
      </x:c>
      <x:c r="D36" s="25" t="str">
        <x:v>L3 传输管理层</x:v>
      </x:c>
      <x:c r="E36" s="25" t="str">
        <x:v>L3 传输管理层</x:v>
      </x:c>
      <x:c r="F36" s="25" t="str">
        <x:v>TM4</x:v>
      </x:c>
      <x:c r="G36" s="25" t="str">
        <x:v>传输编排与广播</x:v>
      </x:c>
      <x:c r="H36" s="25" t="str">
        <x:v>P1</x:v>
      </x:c>
      <x:c r="I36" s="25" t="str">
        <x:v>P1</x:v>
      </x:c>
      <x:c r="J36" s="25" t="str">
        <x:v>SF-01</x:v>
      </x:c>
      <x:c r="K36" s="25" t="str">
        <x:v>IR-01-04</x:v>
      </x:c>
      <x:c r="L36" s="25" t="str">
        <x:v>SR-01-04-01</x:v>
      </x:c>
      <x:c r="M36" s="22" t="str">
        <x:v>热点前缀 KVCache 多副本扩散</x:v>
      </x:c>
      <x:c r="N36" s="22" t="str">
        <x:v>本需求要求对公共 system prompt、agent tool schema、RAG 热模板等 hot prefix 自动复制到多个本地 DDR、UB pool 或远端 DDR shard，复制决策由 QPS、p99 latency、queue depth 和 cross-node bytes 触发。</x:v>
      </x:c>
      <x:c r="O36" s="22" t="str">
        <x:v>hot shard p99 降低 ≥40%；</x:v>
      </x:c>
      <x:c r="P36" s="22" t="str">
        <x:v>输入服从极度 Zipfian 分布的长前缀负载（包含少数极端热门数据）。验证系统能否识别出这些“热点”并主动在集群内实施 Hot Replication（热备复制/分发），以此来分摊单节点的带宽读压力和避免出现明显瓶颈。</x:v>
      </x:c>
      <x:c r="Q36" s="22" t="n">
        <x:f>COUNTIF('AR开发认领'!$C$5:$C$451,A36)</x:f>
        <x:v>3</x:v>
      </x:c>
      <x:c r="R36" s="22" t="str">
        <x:f>IF(Q36=3,"PASS","FAIL")</x:f>
        <x:v>PASS</x:v>
      </x:c>
      <x:c r="S36" s="22" t="str">
        <x:v>SF-04 / IR-04-03 / SR-04-03-03</x:v>
      </x:c>
    </x:row>
    <x:row r="37" ht="78" customHeight="1">
      <x:c r="A37" s="25" t="str">
        <x:v>L3-MS-StateAwarePrefetch-081</x:v>
      </x:c>
      <x:c r="B37" s="25" t="str">
        <x:v>V2.1基线</x:v>
      </x:c>
      <x:c r="C37" s="25" t="str">
        <x:v>KVCache SRS需求列表 V2.1.xlsx</x:v>
      </x:c>
      <x:c r="D37" s="25" t="str">
        <x:v>L3 传输管理层</x:v>
      </x:c>
      <x:c r="E37" s="25" t="str">
        <x:v>L3 传输管理层</x:v>
      </x:c>
      <x:c r="F37" s="25" t="str">
        <x:v>TM4</x:v>
      </x:c>
      <x:c r="G37" s="25" t="str">
        <x:v>传输编排与广播</x:v>
      </x:c>
      <x:c r="H37" s="25" t="str">
        <x:v>P1</x:v>
      </x:c>
      <x:c r="I37" s="25" t="str">
        <x:v>P1</x:v>
      </x:c>
      <x:c r="J37" s="25" t="str">
        <x:v>SF-01</x:v>
      </x:c>
      <x:c r="K37" s="25" t="str">
        <x:v>IR-01-04</x:v>
      </x:c>
      <x:c r="L37" s="25" t="str">
        <x:v>SR-01-04-02</x:v>
      </x:c>
      <x:c r="M37" s="22" t="str">
        <x:v>状态感知的 KV 预取</x:v>
      </x:c>
      <x:c r="N37" s="22" t="str">
        <x:v>本需求要求预取引擎必须感知 KV object state 和 placement state：对 READY 远端副本可预取，对 MIGRATING 副本延迟或改选源，对 EVICTING 副本禁止预取，对 TOMBSTONE/FAILED 副本直接返回 miss。</x:v>
      </x:c>
      <x:c r="O37" s="22" t="str">
        <x:v>节点动态加入/退出时的缓存失效控制在局部范围内（遵循一致性哈希比例）。</x:v>
      </x:c>
      <x:c r="P37" s="22" t="str">
        <x:v>在千卡规模集群(64+节点)压测期间，随机Kill掉1-2个节点并拉起新节点（Chaos Testing），监控Hit Rate曲线，要求降幅符合理论比例且系统在5秒内自动恢复。</x:v>
      </x:c>
      <x:c r="Q37" s="22" t="n">
        <x:f>COUNTIF('AR开发认领'!$C$5:$C$451,A37)</x:f>
        <x:v>3</x:v>
      </x:c>
      <x:c r="R37" s="22" t="str">
        <x:f>IF(Q37=3,"PASS","FAIL")</x:f>
        <x:v>PASS</x:v>
      </x:c>
      <x:c r="S37" s="22" t="str">
        <x:v>SF-04 / IR-04-03 / SR-04-03-02</x:v>
      </x:c>
    </x:row>
    <x:row r="38" ht="78" customHeight="1">
      <x:c r="A38" s="25" t="str">
        <x:v>L3-C2C-POOL-SCHED-002</x:v>
      </x:c>
      <x:c r="B38" s="25" t="str">
        <x:v>V2.1基线</x:v>
      </x:c>
      <x:c r="C38" s="25" t="str">
        <x:v>KVCache SRS需求列表 V2.1.xlsx</x:v>
      </x:c>
      <x:c r="D38" s="25" t="str">
        <x:v>L3 传输管理层</x:v>
      </x:c>
      <x:c r="E38" s="25" t="str">
        <x:v>L3 传输管理层</x:v>
      </x:c>
      <x:c r="F38" s="25" t="str">
        <x:v>TM4</x:v>
      </x:c>
      <x:c r="G38" s="25" t="str">
        <x:v>传输编排与广播</x:v>
      </x:c>
      <x:c r="H38" s="25" t="str">
        <x:v>P2</x:v>
      </x:c>
      <x:c r="I38" s="25" t="str">
        <x:v>P2</x:v>
      </x:c>
      <x:c r="J38" s="25" t="str">
        <x:v>SF-01</x:v>
      </x:c>
      <x:c r="K38" s="25" t="str">
        <x:v>IR-01-04</x:v>
      </x:c>
      <x:c r="L38" s="25" t="str">
        <x:v>SR-01-04-03</x:v>
      </x:c>
      <x:c r="M38" s="22" t="str">
        <x:v>C2C统一内存热度调度</x:v>
      </x:c>
      <x:c r="N38" s="22" t="str">
        <x:v>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x:v>
      </x:c>
      <x:c r="O38" s="22" t="str">
        <x:v>节点动态加入/退出时的缓存失效控制在局部范围内（遵循一致性哈希比例）。</x:v>
      </x:c>
      <x:c r="P38" s="22" t="str">
        <x:v>在千卡规模集群(64+节点)压测期间，随机Kill掉1-2个节点并拉起新节点（Chaos Testing），监控Hit Rate曲线，要求降幅符合理论比例且系统在5秒内自动恢复。</x:v>
      </x:c>
      <x:c r="Q38" s="22" t="n">
        <x:f>COUNTIF('AR开发认领'!$C$5:$C$451,A38)</x:f>
        <x:v>3</x:v>
      </x:c>
      <x:c r="R38" s="22" t="str">
        <x:f>IF(Q38=3,"PASS","FAIL")</x:f>
        <x:v>PASS</x:v>
      </x:c>
      <x:c r="S38" s="22" t="str">
        <x:v>SF-04 / IR-04-02 / SR-04-02-03</x:v>
      </x:c>
    </x:row>
    <x:row r="39" ht="78" customHeight="1">
      <x:c r="A39" s="25" t="str">
        <x:v>L3-LMC-PRFCH-ENGINE-001</x:v>
      </x:c>
      <x:c r="B39" s="25" t="str">
        <x:v>V2.1基线</x:v>
      </x:c>
      <x:c r="C39" s="25" t="str">
        <x:v>KVCache SRS需求列表 V2.1.xlsx</x:v>
      </x:c>
      <x:c r="D39" s="25" t="str">
        <x:v>L3 传输管理层</x:v>
      </x:c>
      <x:c r="E39" s="25" t="str">
        <x:v>L3 传输管理层</x:v>
      </x:c>
      <x:c r="F39" s="25" t="str">
        <x:v>TM4</x:v>
      </x:c>
      <x:c r="G39" s="25" t="str">
        <x:v>传输编排与广播</x:v>
      </x:c>
      <x:c r="H39" s="25" t="str">
        <x:v>P2</x:v>
      </x:c>
      <x:c r="I39" s="25" t="str">
        <x:v>P2</x:v>
      </x:c>
      <x:c r="J39" s="25" t="str">
        <x:v>SF-01</x:v>
      </x:c>
      <x:c r="K39" s="25" t="str">
        <x:v>IR-01-04</x:v>
      </x:c>
      <x:c r="L39" s="25" t="str">
        <x:v>SR-01-04-04</x:v>
      </x:c>
      <x:c r="M39" s="22" t="str">
        <x:v>冷KVCache预取加热</x:v>
      </x:c>
      <x:c r="N39" s="22" t="str">
        <x:v>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x:v>
      </x:c>
      <x:c r="O39" s="22" t="str">
        <x:v>Prefix命中判定P99耗时 &lt; 200us；在Share-Prefix业务下，Usable Hit Rate提升≥15%。</x:v>
      </x:c>
      <x:c r="P39" s="22" t="str">
        <x:v>使用ShareGPT数据集构造并发度上千(1K~5K QPS)的多轮对话负载，监控/metrics接口的prefix_lookup_latency指标，要求P99小于200us为达标。</x:v>
      </x:c>
      <x:c r="Q39" s="22" t="n">
        <x:f>COUNTIF('AR开发认领'!$C$5:$C$451,A39)</x:f>
        <x:v>3</x:v>
      </x:c>
      <x:c r="R39" s="22" t="str">
        <x:f>IF(Q39=3,"PASS","FAIL")</x:f>
        <x:v>PASS</x:v>
      </x:c>
      <x:c r="S39" s="22" t="str">
        <x:v>SF-04 / IR-04-03 / SR-04-03-02</x:v>
      </x:c>
    </x:row>
    <x:row r="40" ht="78" customHeight="1">
      <x:c r="A40" s="25" t="str">
        <x:v>L3-UB-TOPO-ROUTE-001</x:v>
      </x:c>
      <x:c r="B40" s="25" t="str">
        <x:v>V2.1基线</x:v>
      </x:c>
      <x:c r="C40" s="25" t="str">
        <x:v>KVCache SRS需求列表 V2.1.xlsx</x:v>
      </x:c>
      <x:c r="D40" s="25" t="str">
        <x:v>L3 传输管理层</x:v>
      </x:c>
      <x:c r="E40" s="25" t="str">
        <x:v>L3 传输管理层</x:v>
      </x:c>
      <x:c r="F40" s="25" t="str">
        <x:v>TM4</x:v>
      </x:c>
      <x:c r="G40" s="25" t="str">
        <x:v>传输编排与广播</x:v>
      </x:c>
      <x:c r="H40" s="25" t="str">
        <x:v>P2</x:v>
      </x:c>
      <x:c r="I40" s="25" t="str">
        <x:v>P2</x:v>
      </x:c>
      <x:c r="J40" s="25" t="str">
        <x:v>SF-01</x:v>
      </x:c>
      <x:c r="K40" s="25" t="str">
        <x:v>IR-01-04</x:v>
      </x:c>
      <x:c r="L40" s="25" t="str">
        <x:v>SR-01-04-05</x:v>
      </x:c>
      <x:c r="M40" s="22" t="str">
        <x:v>机内NPU KVCache P2P高速传输</x:v>
      </x:c>
      <x:c r="N40" s="22" t="str">
        <x:v>本需求要求集成拓扑发现，构建完整的UBLINK连通矩阵，在KVCache P2P传输决策时优先选择UBLINK路径（bandwidth优先），实现跨NPU直接内存映射和P2P ，在同节点8卡环境下实现KVCache P2P传输带宽≥700GB/s。</x:v>
      </x:c>
      <x:c r="O40" s="22" t="str">
        <x:v>节点动态加入/退出时的缓存失效控制在局部范围内（遵循一致性哈希比例）。</x:v>
      </x:c>
      <x:c r="P40" s="22" t="str">
        <x:v>在千卡规模集群(64+节点)压测期间，随机Kill掉1-2个节点并拉起新节点（Chaos Testing），监控Hit Rate曲线，要求降幅符合理论比例且系统在5秒内自动恢复。</x:v>
      </x:c>
      <x:c r="Q40" s="22" t="n">
        <x:f>COUNTIF('AR开发认领'!$C$5:$C$451,A40)</x:f>
        <x:v>3</x:v>
      </x:c>
      <x:c r="R40" s="22" t="str">
        <x:f>IF(Q40=3,"PASS","FAIL")</x:f>
        <x:v>PASS</x:v>
      </x:c>
      <x:c r="S40" s="22" t="str">
        <x:v>SF-04 / IR-04-01 / SR-04-01-02</x:v>
      </x:c>
    </x:row>
    <x:row r="41" ht="78" customHeight="1">
      <x:c r="A41" s="25" t="str">
        <x:v>L3-TRANS-MUL-ENGINE-003</x:v>
      </x:c>
      <x:c r="B41" s="25" t="str">
        <x:v>V2.1基线</x:v>
      </x:c>
      <x:c r="C41" s="25" t="str">
        <x:v>KVCache SRS需求列表 V2.1.xlsx</x:v>
      </x:c>
      <x:c r="D41" s="25" t="str">
        <x:v>L3 传输管理层</x:v>
      </x:c>
      <x:c r="E41" s="25" t="str">
        <x:v>L3 传输管理层</x:v>
      </x:c>
      <x:c r="F41" s="25" t="str">
        <x:v>TM4</x:v>
      </x:c>
      <x:c r="G41" s="25" t="str">
        <x:v>传输编排与广播</x:v>
      </x:c>
      <x:c r="H41" s="25" t="str">
        <x:v>P3</x:v>
      </x:c>
      <x:c r="I41" s="25" t="str">
        <x:v>P3</x:v>
      </x:c>
      <x:c r="J41" s="25" t="str">
        <x:v>SF-01</x:v>
      </x:c>
      <x:c r="K41" s="25" t="str">
        <x:v>IR-01-04</x:v>
      </x:c>
      <x:c r="L41" s="25" t="str">
        <x:v>SR-01-04-06</x:v>
      </x:c>
      <x:c r="M41" s="22" t="str">
        <x:v>一对多KVCache高效分发</x:v>
      </x:c>
      <x:c r="N41" s="22" t="str">
        <x:v>本需求要求实现1→N KVCache多播传输优化引擎，通过路由树构建（最大化局部性最小化跳数）和硬件UD组播+软件P2P relay混合模式，使Disaggregated Prefill场景下同一前缀KVCache多节点分发时发送端BW消耗为O(1)。</x:v>
      </x:c>
      <x:c r="O41" s="22" t="str">
        <x:v>探索直接视图(direct view)、硬件多播及硬件原子页迁移等远期能力，避免 TPOT 被直接视图意外拖慢，不强求 &lt;500ns 等极端指标。</x:v>
      </x:c>
      <x:c r="P41" s="22" t="str">
        <x:v>不作为 MVP 验收阻塞项。在实验分支使用流量发生器对 direct view 及 multicast 的延迟做 P99 观测，通过端到端测试证明其收益高于 cost 时方可升级为主路径。</x:v>
      </x:c>
      <x:c r="Q41" s="22" t="n">
        <x:f>COUNTIF('AR开发认领'!$C$5:$C$451,A41)</x:f>
        <x:v>3</x:v>
      </x:c>
      <x:c r="R41" s="22" t="str">
        <x:f>IF(Q41=3,"PASS","FAIL")</x:f>
        <x:v>PASS</x:v>
      </x:c>
      <x:c r="S41" s="22" t="str">
        <x:v>SF-04 / IR-04-03 / SR-04-03-03</x:v>
      </x:c>
    </x:row>
    <x:row r="42" ht="78" customHeight="1">
      <x:c r="A42" s="25" t="str">
        <x:v>L2-CONN-TOPO-ROUTE-002</x:v>
      </x:c>
      <x:c r="B42" s="25" t="str">
        <x:v>V2.1基线</x:v>
      </x:c>
      <x:c r="C42" s="25" t="str">
        <x:v>KVCache SRS需求列表 V2.1.xlsx</x:v>
      </x:c>
      <x:c r="D42" s="25" t="str">
        <x:v>L2 KVConnector层</x:v>
      </x:c>
      <x:c r="E42" s="25" t="str">
        <x:v>L2 KVConnector层</x:v>
      </x:c>
      <x:c r="F42" s="25" t="str">
        <x:v>TM1</x:v>
      </x:c>
      <x:c r="G42" s="25" t="str">
        <x:v>路径路由与能力探测</x:v>
      </x:c>
      <x:c r="H42" s="25" t="str">
        <x:v>P1</x:v>
      </x:c>
      <x:c r="I42" s="25" t="str">
        <x:v>P1</x:v>
      </x:c>
      <x:c r="J42" s="25" t="str">
        <x:v>SF-01</x:v>
      </x:c>
      <x:c r="K42" s="25" t="str">
        <x:v>IR-01-05</x:v>
      </x:c>
      <x:c r="L42" s="25" t="str">
        <x:v>SR-01-05-01</x:v>
      </x:c>
      <x:c r="M42" s="22" t="str">
        <x:v>动态传输路径路由</x:v>
      </x:c>
      <x:c r="N42" s="22"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O42" s="22" t="str">
        <x:v>同机架内本地及远端DDR命中率（Local Usable Hit Rate）提升≥30%。</x:v>
      </x:c>
      <x:c r="P42" s="22" t="str">
        <x:v>部署含千卡级别的多机柜大规模集群(如16-64节点)，使用vLLM benchmark工具注入Zipf分布的热点Prompt，统计路由命中本地/本同架的比例，要求大于80%达标。</x:v>
      </x:c>
      <x:c r="Q42" s="22" t="n">
        <x:f>COUNTIF('AR开发认领'!$C$5:$C$451,A42)</x:f>
        <x:v>3</x:v>
      </x:c>
      <x:c r="R42" s="22" t="str">
        <x:f>IF(Q42=3,"PASS","FAIL")</x:f>
        <x:v>PASS</x:v>
      </x:c>
      <x:c r="S42" s="22" t="str">
        <x:v>SF-04 / IR-04-01 / SR-04-01-02</x:v>
      </x:c>
    </x:row>
    <x:row r="43" ht="78" customHeight="1">
      <x:c r="A43" s="25" t="str">
        <x:v>L2-CONN-WatermarkQuery-032</x:v>
      </x:c>
      <x:c r="B43" s="25" t="str">
        <x:v>V2.1基线</x:v>
      </x:c>
      <x:c r="C43" s="25" t="str">
        <x:v>KVCache SRS需求列表 V2.1.xlsx</x:v>
      </x:c>
      <x:c r="D43" s="25" t="str">
        <x:v>L2 KVConnector层</x:v>
      </x:c>
      <x:c r="E43" s="25" t="str">
        <x:v>L2 KVConnector层</x:v>
      </x:c>
      <x:c r="F43" s="25" t="str">
        <x:v>TM1</x:v>
      </x:c>
      <x:c r="G43" s="25" t="str">
        <x:v>路径路由与能力探测</x:v>
      </x:c>
      <x:c r="H43" s="25" t="str">
        <x:v>P1</x:v>
      </x:c>
      <x:c r="I43" s="25" t="str">
        <x:v>P1</x:v>
      </x:c>
      <x:c r="J43" s="25" t="str">
        <x:v>SF-01</x:v>
      </x:c>
      <x:c r="K43" s="25" t="str">
        <x:v>IR-01-05</x:v>
      </x:c>
      <x:c r="L43" s="25" t="str">
        <x:v>SR-01-05-02</x:v>
      </x:c>
      <x:c r="M43" s="22" t="str">
        <x:v>动态拓扑水位路径规避</x:v>
      </x:c>
      <x:c r="N43" s="22" t="str">
        <x:v>本需求要求 Connector 将节点内的容量水位提示（Watermark Hints）整合进路径质量探测流中。当目标节点处于 High 水位时，自动拉高该路径的 Cost 评分，触发路由自适应引流，规避过载节点。</x:v>
      </x:c>
      <x:c r="O43" s="22" t="str">
        <x:v>同机架内本地及远端DDR命中率（Local Usable Hit Rate）提升≥30%。</x:v>
      </x:c>
      <x:c r="P43" s="22" t="str">
        <x:v>部署含千卡级别的多机柜大规模集群(如16-64节点)，使用vLLM benchmark工具注入Zipf分布的热点Prompt，统计路由命中本地/本同架的比例，要求大于80%达标。</x:v>
      </x:c>
      <x:c r="Q43" s="22" t="n">
        <x:f>COUNTIF('AR开发认领'!$C$5:$C$451,A43)</x:f>
        <x:v>3</x:v>
      </x:c>
      <x:c r="R43" s="22" t="str">
        <x:f>IF(Q43=3,"PASS","FAIL")</x:f>
        <x:v>PASS</x:v>
      </x:c>
      <x:c r="S43" s="22" t="str">
        <x:v>SF-04 / IR-04-01 / SR-04-01-02</x:v>
      </x:c>
    </x:row>
    <x:row r="44" ht="78" customHeight="1">
      <x:c r="A44" s="25" t="str">
        <x:v>L4-OL-RegisteredPool-053</x:v>
      </x:c>
      <x:c r="B44" s="25" t="str">
        <x:v>V2.1基线</x:v>
      </x:c>
      <x:c r="C44" s="25" t="str">
        <x:v>KVCache SRS需求列表 V2.1.xlsx</x:v>
      </x:c>
      <x:c r="D44" s="25" t="str">
        <x:v>L4 底层传输层</x:v>
      </x:c>
      <x:c r="E44" s="25" t="str">
        <x:v>L4 底层传输层</x:v>
      </x:c>
      <x:c r="F44" s="25" t="str">
        <x:v>TM4</x:v>
      </x:c>
      <x:c r="G44" s="25" t="str">
        <x:v>RDMA与零拷贝传输</x:v>
      </x:c>
      <x:c r="H44" s="25" t="str">
        <x:v>P0</x:v>
      </x:c>
      <x:c r="I44" s="25" t="str">
        <x:v>P0</x:v>
      </x:c>
      <x:c r="J44" s="25" t="str">
        <x:v>SF-01</x:v>
      </x:c>
      <x:c r="K44" s="25" t="str">
        <x:v>IR-01-06</x:v>
      </x:c>
      <x:c r="L44" s="25" t="str">
        <x:v>SR-01-06-01</x:v>
      </x:c>
      <x:c r="M44" s="22" t="str">
        <x:v>高频 KV 传输注册内存池化</x:v>
      </x:c>
      <x:c r="N44" s="22" t="str">
        <x:v>本需求要求底层传输层建立长生命周期 registered memory pool：HBM、DDR、UB region 应预注册为大块可复用区域，通过 offset suballocation 供 RDMA/GDR/NIXL/Mooncake 使用，避免每次 KV block 传输临时注册。</x:v>
      </x:c>
      <x:c r="O44" s="22" t="str">
        <x:v>建立前置硬件能力矩阵和注册内存池机制，确保 KV block layout 不被碎片化，并能进行有效的硬件边界隔离。</x:v>
      </x:c>
      <x:c r="P44" s="22" t="str">
        <x:v>在 P1 输出包含 P50/P99 延迟、layout 对齐约束的 Capability Matrix；使用微基准测试验证 registered pool 开销较未注册内存降低，且 extent visibility fence 正确生效。</x:v>
      </x:c>
      <x:c r="Q44" s="22" t="n">
        <x:f>COUNTIF('AR开发认领'!$C$5:$C$451,A44)</x:f>
        <x:v>3</x:v>
      </x:c>
      <x:c r="R44" s="22" t="str">
        <x:f>IF(Q44=3,"PASS","FAIL")</x:f>
        <x:v>PASS</x:v>
      </x:c>
      <x:c r="S44" s="22" t="str">
        <x:v>SF-04 / IR-04-02 / SR-04-02-02</x:v>
      </x:c>
    </x:row>
    <x:row r="45" ht="78" customHeight="1">
      <x:c r="A45" s="25" t="str">
        <x:v>L4-RDMA-RemoteExtentHandle-071</x:v>
      </x:c>
      <x:c r="B45" s="25" t="str">
        <x:v>V2.1基线</x:v>
      </x:c>
      <x:c r="C45" s="25" t="str">
        <x:v>KVCache SRS需求列表 V2.1.xlsx</x:v>
      </x:c>
      <x:c r="D45" s="25" t="str">
        <x:v>L4 底层传输层</x:v>
      </x:c>
      <x:c r="E45" s="25" t="str">
        <x:v>L4 底层传输层</x:v>
      </x:c>
      <x:c r="F45" s="25" t="str">
        <x:v>TM4</x:v>
      </x:c>
      <x:c r="G45" s="25" t="str">
        <x:v>RDMA与零拷贝传输</x:v>
      </x:c>
      <x:c r="H45" s="25" t="str">
        <x:v>P0</x:v>
      </x:c>
      <x:c r="I45" s="25" t="str">
        <x:v>P0</x:v>
      </x:c>
      <x:c r="J45" s="25" t="str">
        <x:v>SF-01</x:v>
      </x:c>
      <x:c r="K45" s="25" t="str">
        <x:v>IR-01-06</x:v>
      </x:c>
      <x:c r="L45" s="25" t="str">
        <x:v>SR-01-06-02</x:v>
      </x:c>
      <x:c r="M45" s="22" t="str">
        <x:v>远端 KV 副本安全寻址</x:v>
      </x:c>
      <x:c r="N45" s="22" t="str">
        <x:v>本需求要求 RDMA/accelerator-direct RDMA 路径暴露 RemoteExtentHandle，包含 rkey、remote_addr、length、node_id、device_id、registration_epoch、visibility_epoch 和 access permission；当 registered pool 重新注册或迁移时，旧 handle 必须失效。</x:v>
      </x:c>
      <x:c r="O45" s="22" t="str">
        <x:v>全局内存利用率提升至≥85%，跨级冷热数据迁移过程中的TPOT抖动 &lt; 5%。</x:v>
      </x:c>
      <x:c r="P45" s="22" t="str">
        <x:v>采用LMSYS Chatbot Arena长会话数据集满载运行，后台通过API强制触发Tiering Down，监控前台Decode TPOT，要求波动振幅在5%以内视为达标。</x:v>
      </x:c>
      <x:c r="Q45" s="22" t="n">
        <x:f>COUNTIF('AR开发认领'!$C$5:$C$451,A45)</x:f>
        <x:v>3</x:v>
      </x:c>
      <x:c r="R45" s="22" t="str">
        <x:f>IF(Q45=3,"PASS","FAIL")</x:f>
        <x:v>PASS</x:v>
      </x:c>
      <x:c r="S45" s="22" t="str">
        <x:v>SF-03 / IR-03-01 / SR-03-01-03</x:v>
      </x:c>
    </x:row>
    <x:row r="46" ht="78" customHeight="1">
      <x:c r="A46" s="25" t="str">
        <x:v>L4-RDMA-P2P-NPU-001</x:v>
      </x:c>
      <x:c r="B46" s="25" t="str">
        <x:v>V2.1基线</x:v>
      </x:c>
      <x:c r="C46" s="25" t="str">
        <x:v>KVCache SRS需求列表 V2.1.xlsx</x:v>
      </x:c>
      <x:c r="D46" s="25" t="str">
        <x:v>L4 底层传输层</x:v>
      </x:c>
      <x:c r="E46" s="25" t="str">
        <x:v>L4 底层传输层</x:v>
      </x:c>
      <x:c r="F46" s="25" t="str">
        <x:v>TM4</x:v>
      </x:c>
      <x:c r="G46" s="25" t="str">
        <x:v>RDMA与零拷贝传输</x:v>
      </x:c>
      <x:c r="H46" s="25" t="str">
        <x:v>P1</x:v>
      </x:c>
      <x:c r="I46" s="25" t="str">
        <x:v>P1</x:v>
      </x:c>
      <x:c r="J46" s="25" t="str">
        <x:v>SF-01</x:v>
      </x:c>
      <x:c r="K46" s="25" t="str">
        <x:v>IR-01-06</x:v>
      </x:c>
      <x:c r="L46" s="25" t="str">
        <x:v>SR-01-06-03</x:v>
      </x:c>
      <x:c r="M46" s="22" t="str">
        <x:v>跨节点KVCache零拷贝传输</x:v>
      </x:c>
      <x:c r="N46" s="22" t="str">
        <x:v>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O46" s="22" t="str">
        <x:v>传输端到端延迟降低≥40%，CPU占用率(System Load)下降。</x:v>
      </x:c>
      <x:c r="P46" s="22" t="str">
        <x:v>使用ib_write_bw等RDMA微基准压测工具构造16MB-128MB大块极长上下文张量的KVCache分块传输，对比TCP基线，要求吞吐达到线速90%且P99延迟稳定在硬件极值要求内。</x:v>
      </x:c>
      <x:c r="Q46" s="22" t="n">
        <x:f>COUNTIF('AR开发认领'!$C$5:$C$451,A46)</x:f>
        <x:v>3</x:v>
      </x:c>
      <x:c r="R46" s="22" t="str">
        <x:f>IF(Q46=3,"PASS","FAIL")</x:f>
        <x:v>PASS</x:v>
      </x:c>
      <x:c r="S46" s="22" t="str">
        <x:v>SF-04 / IR-04-02 / SR-04-02-02</x:v>
      </x:c>
    </x:row>
    <x:row r="47" ht="78" customHeight="1">
      <x:c r="A47" s="25" t="str">
        <x:v>L4-RDMA-MUL-FABRIC-002</x:v>
      </x:c>
      <x:c r="B47" s="25" t="str">
        <x:v>V2.1基线</x:v>
      </x:c>
      <x:c r="C47" s="25" t="str">
        <x:v>KVCache SRS需求列表 V2.1.xlsx</x:v>
      </x:c>
      <x:c r="D47" s="25" t="str">
        <x:v>L4 底层传输层</x:v>
      </x:c>
      <x:c r="E47" s="25" t="str">
        <x:v>L4 底层传输层</x:v>
      </x:c>
      <x:c r="F47" s="25" t="str">
        <x:v>TM4</x:v>
      </x:c>
      <x:c r="G47" s="25" t="str">
        <x:v>RDMA与零拷贝传输</x:v>
      </x:c>
      <x:c r="H47" s="25" t="str">
        <x:v>P3</x:v>
      </x:c>
      <x:c r="I47" s="25" t="str">
        <x:v>P3</x:v>
      </x:c>
      <x:c r="J47" s="25" t="str">
        <x:v>SF-01</x:v>
      </x:c>
      <x:c r="K47" s="25" t="str">
        <x:v>IR-01-06</x:v>
      </x:c>
      <x:c r="L47" s="25" t="str">
        <x:v>SR-01-06-04</x:v>
      </x:c>
      <x:c r="M47" s="22" t="str">
        <x:v>共享前缀KVCache批量广播</x:v>
      </x:c>
      <x:c r="N47" s="22" t="str">
        <x:v>本需求要求实现KVCache的RDMA层1→N广播传输封装，使发送端带宽消耗O(1)（与接收方数量无关）。</x:v>
      </x:c>
      <x:c r="O47" s="22" t="str">
        <x:v>探索直接视图(direct view)、硬件多播及硬件原子页迁移等远期能力，避免 TPOT 被直接视图意外拖慢，不强求 &lt;500ns 等极端指标。</x:v>
      </x:c>
      <x:c r="P47" s="22" t="str">
        <x:v>不作为 MVP 验收阻塞项。在实验分支使用流量发生器对 direct view 及 multicast 的延迟做 P99 观测，通过端到端测试证明其收益高于 cost 时方可升级为主路径。</x:v>
      </x:c>
      <x:c r="Q47" s="22" t="n">
        <x:f>COUNTIF('AR开发认领'!$C$5:$C$451,A47)</x:f>
        <x:v>3</x:v>
      </x:c>
      <x:c r="R47" s="22" t="str">
        <x:f>IF(Q47=3,"PASS","FAIL")</x:f>
        <x:v>PASS</x:v>
      </x:c>
      <x:c r="S47" s="22" t="str">
        <x:v>SF-04 / IR-04-03 / SR-04-03-03</x:v>
      </x:c>
    </x:row>
    <x:row r="48" ht="78" customHeight="1">
      <x:c r="A48" s="25" t="str">
        <x:v>L4-UB-DirectViewGuard-072</x:v>
      </x:c>
      <x:c r="B48" s="25" t="str">
        <x:v>V2.1基线</x:v>
      </x:c>
      <x:c r="C48" s="25" t="str">
        <x:v>KVCache SRS需求列表 V2.1.xlsx</x:v>
      </x:c>
      <x:c r="D48" s="25" t="str">
        <x:v>L4 底层传输层</x:v>
      </x:c>
      <x:c r="E48" s="25" t="str">
        <x:v>L4 底层传输层</x:v>
      </x:c>
      <x:c r="F48" s="25" t="str">
        <x:v>TM3</x:v>
      </x:c>
      <x:c r="G48" s="25" t="str">
        <x:v>统一内存与内存语义访问</x:v>
      </x:c>
      <x:c r="H48" s="25" t="str">
        <x:v>P0</x:v>
      </x:c>
      <x:c r="I48" s="25" t="str">
        <x:v>P0</x:v>
      </x:c>
      <x:c r="J48" s="25" t="str">
        <x:v>SF-01</x:v>
      </x:c>
      <x:c r="K48" s="25" t="str">
        <x:v>IR-01-07</x:v>
      </x:c>
      <x:c r="L48" s="25" t="str">
        <x:v>SR-01-07-01</x:v>
      </x:c>
      <x:c r="M48" s="22" t="str">
        <x:v>近端/远端 memory view 安全消费</x:v>
      </x:c>
      <x:c r="N48" s="22" t="str">
        <x:v>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O48" s="22" t="str">
        <x:v>高拥塞背景下，KVCache关键小包的P99延迟不随大流数据量线性增加。</x:v>
      </x:c>
      <x:c r="P48" s="22" t="str">
        <x:v>使用高性能流量发生器或真实AllReduce后台流打满400G/800G物理带宽，同时发起KVCache高优块拉取请求，观测P99传输延迟，要求依然处于可接受基线范围内（如不受严重劣化）。</x:v>
      </x:c>
      <x:c r="Q48" s="22" t="n">
        <x:f>COUNTIF('AR开发认领'!$C$5:$C$451,A48)</x:f>
        <x:v>3</x:v>
      </x:c>
      <x:c r="R48" s="22" t="str">
        <x:f>IF(Q48=3,"PASS","FAIL")</x:f>
        <x:v>PASS</x:v>
      </x:c>
      <x:c r="S48" s="22" t="str">
        <x:v>SF-04 / IR-04-02 / SR-04-02-03</x:v>
      </x:c>
    </x:row>
    <x:row r="49" ht="78" customHeight="1">
      <x:c r="A49" s="25" t="str">
        <x:v>L4-C2C-UNIFY-POOL-001</x:v>
      </x:c>
      <x:c r="B49" s="25" t="str">
        <x:v>V2.1基线</x:v>
      </x:c>
      <x:c r="C49" s="25" t="str">
        <x:v>KVCache SRS需求列表 V2.1.xlsx</x:v>
      </x:c>
      <x:c r="D49" s="25" t="str">
        <x:v>L4 底层传输层</x:v>
      </x:c>
      <x:c r="E49" s="25" t="str">
        <x:v>L4 底层传输层</x:v>
      </x:c>
      <x:c r="F49" s="25" t="str">
        <x:v>TM3</x:v>
      </x:c>
      <x:c r="G49" s="25" t="str">
        <x:v>统一内存与内存语义访问</x:v>
      </x:c>
      <x:c r="H49" s="25" t="str">
        <x:v>P1</x:v>
      </x:c>
      <x:c r="I49" s="25" t="str">
        <x:v>P1</x:v>
      </x:c>
      <x:c r="J49" s="25" t="str">
        <x:v>SF-01</x:v>
      </x:c>
      <x:c r="K49" s="25" t="str">
        <x:v>IR-01-07</x:v>
      </x:c>
      <x:c r="L49" s="25" t="str">
        <x:v>SR-01-07-02</x:v>
      </x:c>
      <x:c r="M49" s="22" t="str">
        <x:v>CPU/NPU统一内存池</x:v>
      </x:c>
      <x:c r="N49" s="22" t="str">
        <x:v>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x:v>
      </x:c>
      <x:c r="O49" s="22" t="str">
        <x:v>高拥塞背景下，KVCache关键小包的P99延迟不随大流数据量线性增加。</x:v>
      </x:c>
      <x:c r="P49" s="22" t="str">
        <x:v>使用高性能流量发生器或真实AllReduce后台流打满400G/800G物理带宽，同时发起KVCache高优块拉取请求，观测P99传输延迟，要求依然处于可接受基线范围内（如不受严重劣化）。</x:v>
      </x:c>
      <x:c r="Q49" s="22" t="n">
        <x:f>COUNTIF('AR开发认领'!$C$5:$C$451,A49)</x:f>
        <x:v>3</x:v>
      </x:c>
      <x:c r="R49" s="22" t="str">
        <x:f>IF(Q49=3,"PASS","FAIL")</x:f>
        <x:v>PASS</x:v>
      </x:c>
      <x:c r="S49" s="22" t="str">
        <x:v>SF-04 / IR-04-02 / SR-04-02-03</x:v>
      </x:c>
    </x:row>
    <x:row r="50" ht="78" customHeight="1">
      <x:c r="A50" s="25" t="str">
        <x:v>L4-UB-C2C-UNIFY-002</x:v>
      </x:c>
      <x:c r="B50" s="25" t="str">
        <x:v>V2.1基线</x:v>
      </x:c>
      <x:c r="C50" s="25" t="str">
        <x:v>KVCache SRS需求列表 V2.1.xlsx</x:v>
      </x:c>
      <x:c r="D50" s="25" t="str">
        <x:v>L4 底层传输层</x:v>
      </x:c>
      <x:c r="E50" s="25" t="str">
        <x:v>L4 底层传输层</x:v>
      </x:c>
      <x:c r="F50" s="25" t="str">
        <x:v>TM3</x:v>
      </x:c>
      <x:c r="G50" s="25" t="str">
        <x:v>统一内存与内存语义访问</x:v>
      </x:c>
      <x:c r="H50" s="25" t="str">
        <x:v>P3</x:v>
      </x:c>
      <x:c r="I50" s="25" t="str">
        <x:v>P3</x:v>
      </x:c>
      <x:c r="J50" s="25" t="str">
        <x:v>SF-01</x:v>
      </x:c>
      <x:c r="K50" s="25" t="str">
        <x:v>IR-01-07</x:v>
      </x:c>
      <x:c r="L50" s="25" t="str">
        <x:v>SR-01-07-03</x:v>
      </x:c>
      <x:c r="M50" s="22" t="str">
        <x:v>内存语义零拷贝KV访问</x:v>
      </x:c>
      <x:c r="N50" s="22" t="str">
        <x:v>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x:v>
      </x:c>
      <x:c r="O50" s="22" t="str">
        <x:v>探索直接视图(direct view)、硬件多播及硬件原子页迁移等远期能力，避免 TPOT 被直接视图意外拖慢，不强求 &lt;500ns 等极端指标。</x:v>
      </x:c>
      <x:c r="P50" s="22" t="str">
        <x:v>不作为 MVP 验收阻塞项。在实验分支使用流量发生器对 direct view 及 multicast 的延迟做 P99 观测，通过端到端测试证明其收益高于 cost 时方可升级为主路径。</x:v>
      </x:c>
      <x:c r="Q50" s="22" t="n">
        <x:f>COUNTIF('AR开发认领'!$C$5:$C$451,A50)</x:f>
        <x:v>3</x:v>
      </x:c>
      <x:c r="R50" s="22" t="str">
        <x:f>IF(Q50=3,"PASS","FAIL")</x:f>
        <x:v>PASS</x:v>
      </x:c>
      <x:c r="S50" s="22" t="str">
        <x:v>SF-04 / IR-04-02 / SR-04-02-03</x:v>
      </x:c>
    </x:row>
    <x:row r="51" ht="78" customHeight="1">
      <x:c r="A51" s="25" t="str">
        <x:v>L4-UB-P2P-FABRIC-003</x:v>
      </x:c>
      <x:c r="B51" s="25" t="str">
        <x:v>V2.1基线</x:v>
      </x:c>
      <x:c r="C51" s="25" t="str">
        <x:v>KVCache SRS需求列表 V2.1.xlsx</x:v>
      </x:c>
      <x:c r="D51" s="25" t="str">
        <x:v>L4 底层传输层</x:v>
      </x:c>
      <x:c r="E51" s="25" t="str">
        <x:v>L4 底层传输层</x:v>
      </x:c>
      <x:c r="F51" s="25" t="str">
        <x:v>TM3</x:v>
      </x:c>
      <x:c r="G51" s="25" t="str">
        <x:v>统一内存与内存语义访问</x:v>
      </x:c>
      <x:c r="H51" s="25" t="str">
        <x:v>P3</x:v>
      </x:c>
      <x:c r="I51" s="25" t="str">
        <x:v>P3</x:v>
      </x:c>
      <x:c r="J51" s="25" t="str">
        <x:v>SF-01</x:v>
      </x:c>
      <x:c r="K51" s="25" t="str">
        <x:v>IR-01-07</x:v>
      </x:c>
      <x:c r="L51" s="25" t="str">
        <x:v>SR-01-07-04</x:v>
      </x:c>
      <x:c r="M51" s="22" t="str">
        <x:v>跨节点内存语义KV访问</x:v>
      </x:c>
      <x:c r="N51" s="22" t="str">
        <x:v>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x:v>
      </x:c>
      <x:c r="O51" s="22" t="str">
        <x:v>探索直接视图(direct view)、硬件多播及硬件原子页迁移等远期能力，避免 TPOT 被直接视图意外拖慢，不强求 &lt;500ns 等极端指标。</x:v>
      </x:c>
      <x:c r="P51" s="22" t="str">
        <x:v>不作为 MVP 验收阻塞项。在实验分支使用流量发生器对 direct view 及 multicast 的延迟做 P99 观测，通过端到端测试证明其收益高于 cost 时方可升级为主路径。</x:v>
      </x:c>
      <x:c r="Q51" s="22" t="n">
        <x:f>COUNTIF('AR开发认领'!$C$5:$C$451,A51)</x:f>
        <x:v>3</x:v>
      </x:c>
      <x:c r="R51" s="22" t="str">
        <x:f>IF(Q51=3,"PASS","FAIL")</x:f>
        <x:v>PASS</x:v>
      </x:c>
      <x:c r="S51" s="22" t="str">
        <x:v>SF-04 / IR-04-02 / SR-04-02-03</x:v>
      </x:c>
    </x:row>
    <x:row r="52" ht="78" customHeight="1">
      <x:c r="A52" s="25" t="str">
        <x:v>L4-MC-PersistentExtentHandle-070</x:v>
      </x:c>
      <x:c r="B52" s="25" t="str">
        <x:v>V2.1基线</x:v>
      </x:c>
      <x:c r="C52" s="25" t="str">
        <x:v>KVCache SRS需求列表 V2.1.xlsx</x:v>
      </x:c>
      <x:c r="D52" s="25" t="str">
        <x:v>L4 底层传输层</x:v>
      </x:c>
      <x:c r="E52" s="25" t="str">
        <x:v>L4 底层传输层</x:v>
      </x:c>
      <x:c r="F52" s="25" t="str">
        <x:v>TM4</x:v>
      </x:c>
      <x:c r="G52" s="25" t="str">
        <x:v>DPU卸载与分层存储I/O</x:v>
      </x:c>
      <x:c r="H52" s="25" t="str">
        <x:v>P1</x:v>
      </x:c>
      <x:c r="I52" s="25" t="str">
        <x:v>P1</x:v>
      </x:c>
      <x:c r="J52" s="25" t="str">
        <x:v>SF-01</x:v>
      </x:c>
      <x:c r="K52" s="25" t="str">
        <x:v>IR-01-08</x:v>
      </x:c>
      <x:c r="L52" s="25" t="str">
        <x:v>SR-01-08-01</x:v>
      </x:c>
      <x:c r="M52" s="22" t="str">
        <x:v>SSD/object KV 副本统一寻址</x:v>
      </x:c>
      <x:c r="N52" s="22" t="str">
        <x:v>本需求要求 SSD/GDS/object tier 中的 KV segment 暴露 PersistentExtentHandle，记录 file/object key、offset、length、alignment、checksum、layout 和 durability state，使 L3 manifest 可以统一描述内存副本与持久化副本。</x:v>
      </x:c>
      <x:c r="O52" s="22" t="str">
        <x:v>高拥塞背景下，KVCache关键小包的P99延迟不随大流数据量线性增加。</x:v>
      </x:c>
      <x:c r="P52" s="22" t="str">
        <x:v>使用高性能流量发生器或真实AllReduce后台流打满400G/800G物理带宽，同时发起KVCache高优块拉取请求，观测P99传输延迟，要求依然处于可接受基线范围内（如不受严重劣化）。</x:v>
      </x:c>
      <x:c r="Q52" s="22" t="n">
        <x:f>COUNTIF('AR开发认领'!$C$5:$C$451,A52)</x:f>
        <x:v>3</x:v>
      </x:c>
      <x:c r="R52" s="22" t="str">
        <x:f>IF(Q52=3,"PASS","FAIL")</x:f>
        <x:v>PASS</x:v>
      </x:c>
      <x:c r="S52" s="22" t="str">
        <x:v>SF-03 / IR-03-01 / SR-03-01-03</x:v>
      </x:c>
    </x:row>
    <x:row r="53" ht="78" customHeight="1">
      <x:c r="A53" s="25" t="str">
        <x:v>L4-MC-HIER-STORE-001</x:v>
      </x:c>
      <x:c r="B53" s="25" t="str">
        <x:v>V2.1基线</x:v>
      </x:c>
      <x:c r="C53" s="25" t="str">
        <x:v>KVCache SRS需求列表 V2.1.xlsx</x:v>
      </x:c>
      <x:c r="D53" s="25" t="str">
        <x:v>L4 底层传输层</x:v>
      </x:c>
      <x:c r="E53" s="25" t="str">
        <x:v>L4 底层传输层</x:v>
      </x:c>
      <x:c r="F53" s="25" t="str">
        <x:v>TM4</x:v>
      </x:c>
      <x:c r="G53" s="25" t="str">
        <x:v>DPU卸载与分层存储I/O</x:v>
      </x:c>
      <x:c r="H53" s="25" t="str">
        <x:v>P2</x:v>
      </x:c>
      <x:c r="I53" s="25" t="str">
        <x:v>P2</x:v>
      </x:c>
      <x:c r="J53" s="25" t="str">
        <x:v>SF-01</x:v>
      </x:c>
      <x:c r="K53" s="25" t="str">
        <x:v>IR-01-08</x:v>
      </x:c>
      <x:c r="L53" s="25" t="str">
        <x:v>SR-01-08-02</x:v>
      </x:c>
      <x:c r="M53" s="22" t="str">
        <x:v>KVCache多层异构架构</x:v>
      </x:c>
      <x:c r="N53" s="22" t="str">
        <x:v>本需求要求实现KVCache三层分级直出，实现NPU直接访问本地SSD（NPUDirectSSD）、NPU直接出网卡（NPUDirectNIC），提升KVCache在不同介质、不同节点之间的流动效率。</x:v>
      </x:c>
      <x:c r="O53" s="22" t="str">
        <x:v>高拥塞背景下，KVCache关键小包的P99延迟不随大流数据量线性增加。</x:v>
      </x:c>
      <x:c r="P53" s="22" t="str">
        <x:v>使用高性能流量发生器或真实AllReduce后台流打满400G/800G物理带宽，同时发起KVCache高优块拉取请求，观测P99传输延迟，要求依然处于可接受基线范围内（如不受严重劣化）。</x:v>
      </x:c>
      <x:c r="Q53" s="22" t="n">
        <x:f>COUNTIF('AR开发认领'!$C$5:$C$451,A53)</x:f>
        <x:v>3</x:v>
      </x:c>
      <x:c r="R53" s="22" t="str">
        <x:f>IF(Q53=3,"PASS","FAIL")</x:f>
        <x:v>PASS</x:v>
      </x:c>
      <x:c r="S53" s="22" t="str">
        <x:v>SF-04 / IR-04-02 / SR-04-02-01</x:v>
      </x:c>
    </x:row>
    <x:row r="54" ht="78" customHeight="1">
      <x:c r="A54" s="25" t="str">
        <x:v>L4-MC-HIER-STORE-002</x:v>
      </x:c>
      <x:c r="B54" s="25" t="str">
        <x:v>V2.1基线</x:v>
      </x:c>
      <x:c r="C54" s="25" t="str">
        <x:v>KVCache SRS需求列表 V2.1.xlsx</x:v>
      </x:c>
      <x:c r="D54" s="25" t="str">
        <x:v>L4 底层传输层</x:v>
      </x:c>
      <x:c r="E54" s="25" t="str">
        <x:v>L4 底层传输层</x:v>
      </x:c>
      <x:c r="F54" s="25" t="str">
        <x:v>TM4</x:v>
      </x:c>
      <x:c r="G54" s="25" t="str">
        <x:v>DPU卸载与分层存储I/O</x:v>
      </x:c>
      <x:c r="H54" s="25" t="str">
        <x:v>P3</x:v>
      </x:c>
      <x:c r="I54" s="25" t="str">
        <x:v>P3</x:v>
      </x:c>
      <x:c r="J54" s="25" t="str">
        <x:v>SF-01</x:v>
      </x:c>
      <x:c r="K54" s="25" t="str">
        <x:v>IR-01-08</x:v>
      </x:c>
      <x:c r="L54" s="25" t="str">
        <x:v>SR-01-08-03</x:v>
      </x:c>
      <x:c r="M54" s="22" t="str">
        <x:v>KVCache多层异构架构</x:v>
      </x:c>
      <x:c r="N54" s="22" t="str">
        <x:v>本需求要求实现KVCache on-the-fly 压缩功能，在从NPU卸载到DDR或SSD时，提供on-the-fly无刷压缩功能。</x:v>
      </x:c>
      <x:c r="O54" s="22" t="str">
        <x:v>高拥塞背景下，KVCache关键小包的P99延迟不随大流数据量线性增加。</x:v>
      </x:c>
      <x:c r="P54" s="22" t="str">
        <x:v>使用高性能流量发生器或真实AllReduce后台流打满400G/800G物理带宽，同时发起KVCache高优块拉取请求，观测P99传输延迟，要求依然处于可接受基线范围内（如不受严重劣化）。</x:v>
      </x:c>
      <x:c r="Q54" s="22" t="n">
        <x:f>COUNTIF('AR开发认领'!$C$5:$C$451,A54)</x:f>
        <x:v>3</x:v>
      </x:c>
      <x:c r="R54" s="22" t="str">
        <x:f>IF(Q54=3,"PASS","FAIL")</x:f>
        <x:v>PASS</x:v>
      </x:c>
      <x:c r="S54" s="22" t="str">
        <x:v>SF-04 / IR-04-04 / SR-04-04-01</x:v>
      </x:c>
    </x:row>
    <x:row r="55" ht="78" customHeight="1">
      <x:c r="A55" s="25" t="str">
        <x:v>L4-MC-HIER-STORE-003</x:v>
      </x:c>
      <x:c r="B55" s="25" t="str">
        <x:v>V2.1基线</x:v>
      </x:c>
      <x:c r="C55" s="25" t="str">
        <x:v>KVCache SRS需求列表 V2.1.xlsx</x:v>
      </x:c>
      <x:c r="D55" s="25" t="str">
        <x:v>L4 底层传输层</x:v>
      </x:c>
      <x:c r="E55" s="25" t="str">
        <x:v>L4 底层传输层</x:v>
      </x:c>
      <x:c r="F55" s="25" t="str">
        <x:v>TM4</x:v>
      </x:c>
      <x:c r="G55" s="25" t="str">
        <x:v>DPU卸载与分层存储I/O</x:v>
      </x:c>
      <x:c r="H55" s="25" t="str">
        <x:v>P3</x:v>
      </x:c>
      <x:c r="I55" s="25" t="str">
        <x:v>P3</x:v>
      </x:c>
      <x:c r="J55" s="25" t="str">
        <x:v>SF-01</x:v>
      </x:c>
      <x:c r="K55" s="25" t="str">
        <x:v>IR-01-08</x:v>
      </x:c>
      <x:c r="L55" s="25" t="str">
        <x:v>SR-01-08-04</x:v>
      </x:c>
      <x:c r="M55" s="22" t="str">
        <x:v>KVCache多层异构架构</x:v>
      </x:c>
      <x:c r="N55" s="22" t="str">
        <x:v>本需求要求实现KVCache on-the-fly 解压缩功能，在从DDR或SSD加载到NPU时，提供on-the-fly的解压缩功能。</x:v>
      </x:c>
      <x:c r="O55" s="22" t="str">
        <x:v>高拥塞背景下，KVCache关键小包的P99延迟不随大流数据量线性增加。</x:v>
      </x:c>
      <x:c r="P55" s="22" t="str">
        <x:v>使用高性能流量发生器或真实AllReduce后台流打满400G/800G物理带宽，同时发起KVCache高优块拉取请求，观测P99传输延迟，要求依然处于可接受基线范围内（如不受严重劣化）。</x:v>
      </x:c>
      <x:c r="Q55" s="22" t="n">
        <x:f>COUNTIF('AR开发认领'!$C$5:$C$451,A55)</x:f>
        <x:v>3</x:v>
      </x:c>
      <x:c r="R55" s="22" t="str">
        <x:f>IF(Q55=3,"PASS","FAIL")</x:f>
        <x:v>PASS</x:v>
      </x:c>
      <x:c r="S55" s="22" t="str">
        <x:v>SF-04 / IR-04-04 / SR-04-04-01</x:v>
      </x:c>
    </x:row>
    <x:row r="56" ht="78" customHeight="1">
      <x:c r="A56" s="25" t="str">
        <x:v>L4-NET-OFFLOAD-DPU-001</x:v>
      </x:c>
      <x:c r="B56" s="25" t="str">
        <x:v>V2.1基线</x:v>
      </x:c>
      <x:c r="C56" s="25" t="str">
        <x:v>KVCache SRS需求列表 V2.1.xlsx</x:v>
      </x:c>
      <x:c r="D56" s="25" t="str">
        <x:v>L4 底层传输层</x:v>
      </x:c>
      <x:c r="E56" s="25" t="str">
        <x:v>L4 底层传输层</x:v>
      </x:c>
      <x:c r="F56" s="25" t="str">
        <x:v>TM4</x:v>
      </x:c>
      <x:c r="G56" s="25" t="str">
        <x:v>DPU卸载与分层存储I/O</x:v>
      </x:c>
      <x:c r="H56" s="25" t="str">
        <x:v>P3</x:v>
      </x:c>
      <x:c r="I56" s="25" t="str">
        <x:v>P3</x:v>
      </x:c>
      <x:c r="J56" s="25" t="str">
        <x:v>SF-01</x:v>
      </x:c>
      <x:c r="K56" s="25" t="str">
        <x:v>IR-01-08</x:v>
      </x:c>
      <x:c r="L56" s="25" t="str">
        <x:v>SR-01-08-05</x:v>
      </x:c>
      <x:c r="M56" s="22" t="str">
        <x:v>传输数据路径CPU卸载</x:v>
      </x:c>
      <x:c r="N56" s="22" t="str">
        <x:v>本需求要求将KVCache RDMA传输的控制路径（CQ轮询与完成中断通知Host）、数据路径（INT8量化卸载到DPU FPGA）和路由决策（Mooncake路由表本地化到DPU）卸载至 DPU，使Host CPU的KVCache传输相关开销降低≥70%。</x:v>
      </x:c>
      <x:c r="O56" s="22" t="str">
        <x:v>作为平台补充能力，在支持 DPU 卸载的硬件上验证数据面/控制面卸载效果，P99 延迟不显著恶化。</x:v>
      </x:c>
      <x:c r="P56" s="22" t="str">
        <x:v>不作为 MVP 主链路业务承诺。验证环境配置 DPU 并执行卸载，比较开启前后的端到端 TPOT 收益是否与 DPU 处理开销匹配。</x:v>
      </x:c>
      <x:c r="Q56" s="22" t="n">
        <x:f>COUNTIF('AR开发认领'!$C$5:$C$451,A56)</x:f>
        <x:v>3</x:v>
      </x:c>
      <x:c r="R56" s="22" t="str">
        <x:f>IF(Q56=3,"PASS","FAIL")</x:f>
        <x:v>PASS</x:v>
      </x:c>
      <x:c r="S56" s="22" t="str">
        <x:v>SF-04 / IR-04-04 / SR-04-04-01</x:v>
      </x:c>
    </x:row>
    <x:row r="57" ht="78" customHeight="1">
      <x:c r="A57" s="25" t="str">
        <x:v>L4-FABRIC-ROUTER-001</x:v>
      </x:c>
      <x:c r="B57" s="25" t="str">
        <x:v>V2.1基线</x:v>
      </x:c>
      <x:c r="C57" s="25" t="str">
        <x:v>KVCache SRS需求列表 V2.1.xlsx</x:v>
      </x:c>
      <x:c r="D57" s="25" t="str">
        <x:v>L4 底层传输层</x:v>
      </x:c>
      <x:c r="E57" s="25" t="str">
        <x:v>L4 底层传输层</x:v>
      </x:c>
      <x:c r="F57" s="25" t="str">
        <x:v>TM1</x:v>
      </x:c>
      <x:c r="G57" s="25" t="str">
        <x:v>Fabric能力与统一路由</x:v>
      </x:c>
      <x:c r="H57" s="25" t="str">
        <x:v>P0</x:v>
      </x:c>
      <x:c r="I57" s="25" t="str">
        <x:v>P0</x:v>
      </x:c>
      <x:c r="J57" s="25" t="str">
        <x:v>SF-01</x:v>
      </x:c>
      <x:c r="K57" s="25" t="str">
        <x:v>IR-01-09</x:v>
      </x:c>
      <x:c r="L57" s="25" t="str">
        <x:v>SR-01-09-01</x:v>
      </x:c>
      <x:c r="M57" s="22" t="str">
        <x:v>多语义底层传输统一路由</x:v>
      </x:c>
      <x:c r="N57" s="22"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O57" s="22" t="str">
        <x:v>同机架内本地及远端DDR命中率（Local Usable Hit Rate）提升≥30%。</x:v>
      </x:c>
      <x:c r="P57" s="22" t="str">
        <x:v>部署含千卡级别的多机柜大规模集群(如16-64节点)，使用vLLM benchmark工具注入Zipf分布的热点Prompt，统计路由命中本地/本同架的比例，要求大于80%达标。</x:v>
      </x:c>
      <x:c r="Q57" s="22" t="n">
        <x:f>COUNTIF('AR开发认领'!$C$5:$C$451,A57)</x:f>
        <x:v>3</x:v>
      </x:c>
      <x:c r="R57" s="22" t="str">
        <x:f>IF(Q57=3,"PASS","FAIL")</x:f>
        <x:v>PASS</x:v>
      </x:c>
      <x:c r="S57" s="22" t="str">
        <x:v>SF-04 / IR-04-01 / SR-04-01-02</x:v>
      </x:c>
    </x:row>
    <x:row r="58" ht="78" customHeight="1">
      <x:c r="A58" s="25" t="str">
        <x:v>L4-HW-HostPayloadTouchBudget-076</x:v>
      </x:c>
      <x:c r="B58" s="25" t="str">
        <x:v>V1.0增量（V2.2视角）</x:v>
      </x:c>
      <x:c r="C58" s="25" t="str">
        <x:v>统一异构KVCache存储池_全量需求树_V1.0.xlsx</x:v>
      </x:c>
      <x:c r="D58" s="25" t="str">
        <x:v>AR全量追溯</x:v>
      </x:c>
      <x:c r="E58" s="25" t="str">
        <x:v>L4 底层传输层</x:v>
      </x:c>
      <x:c r="F58" s="25" t="str">
        <x:v>TM4</x:v>
      </x:c>
      <x:c r="G58" s="25" t="str">
        <x:v>Fabric能力与统一路由</x:v>
      </x:c>
      <x:c r="H58" s="25" t="str">
        <x:v>P0</x:v>
      </x:c>
      <x:c r="I58" s="25" t="str">
        <x:v>P0</x:v>
      </x:c>
      <x:c r="J58" s="25" t="str">
        <x:v>SF-01</x:v>
      </x:c>
      <x:c r="K58" s="25" t="str">
        <x:v>IR-01-09</x:v>
      </x:c>
      <x:c r="L58" s="25" t="str">
        <x:v>SR-01-09-02</x:v>
      </x:c>
      <x:c r="M58" s="22" t="str">
        <x:v>识别 direct 路径真实性，防止名义 direct 实际绕行 CPU/DDR</x:v>
      </x:c>
      <x:c r="N58" s="22" t="str">
        <x:v>本需求要求底层 capability 与 telemetry 对每条 KV 数据路径声明 Host Payload touch 次数、CPU copy 次数、CPU cycles/GB、是否执行 CPU codec/CRC、DMA/存储引擎和队列。HBM↔SSD 容量主路径的默认目标为 CPU 不读取 KV Payload；若平台只能 staging，必须作为显式能力降级并计入 cost model。</x:v>
      </x:c>
      <x:c r="O58" s="22" t="str">
        <x:v>路径报告可审计；默认主路径 CPU Payload touch=0，任何例外均可见、可禁用并进入成本模型。</x:v>
      </x:c>
      <x:c r="P58" s="22" t="str">
        <x:v>用硬件计数器、CPU profile 和 trace 对账 bytes/copy/cycles；比较 direct、staged、fallback 三类路径，验证统计误差和禁用行为。</x:v>
      </x:c>
      <x:c r="Q58" s="22" t="n">
        <x:f>COUNTIF('AR开发认领'!$C$5:$C$451,A58)</x:f>
        <x:v>3</x:v>
      </x:c>
      <x:c r="R58" s="22" t="str">
        <x:f>IF(Q58=3,"PASS","FAIL")</x:f>
        <x:v>PASS</x:v>
      </x:c>
      <x:c r="S58" s="22" t="str">
        <x:v>SF-04 / IR-04-02 / SR-04-02-01</x:v>
      </x:c>
    </x:row>
    <x:row r="59" ht="78" customHeight="1">
      <x:c r="A59" s="25" t="str">
        <x:v>L4-HW-SemCapTable-050</x:v>
      </x:c>
      <x:c r="B59" s="25" t="str">
        <x:v>V2.1基线</x:v>
      </x:c>
      <x:c r="C59" s="25" t="str">
        <x:v>KVCache SRS需求列表 V2.1.xlsx</x:v>
      </x:c>
      <x:c r="D59" s="25" t="str">
        <x:v>L4 底层传输层</x:v>
      </x:c>
      <x:c r="E59" s="25" t="str">
        <x:v>L4 底层传输层</x:v>
      </x:c>
      <x:c r="F59" s="25" t="str">
        <x:v>TM1</x:v>
      </x:c>
      <x:c r="G59" s="25" t="str">
        <x:v>Fabric能力与统一路由</x:v>
      </x:c>
      <x:c r="H59" s="25" t="str">
        <x:v>P0</x:v>
      </x:c>
      <x:c r="I59" s="25" t="str">
        <x:v>P0</x:v>
      </x:c>
      <x:c r="J59" s="25" t="str">
        <x:v>SF-01</x:v>
      </x:c>
      <x:c r="K59" s="25" t="str">
        <x:v>IR-01-09</x:v>
      </x:c>
      <x:c r="L59" s="25" t="str">
        <x:v>SR-01-09-03</x:v>
      </x:c>
      <x:c r="M59" s="22" t="str">
        <x:v>异构 KV 传输硬件能力建模</x:v>
      </x:c>
      <x:c r="N59" s="22" t="str">
        <x:v>本需求要求硬件抽象层输出 semantic capability table：对每条路径声明可支持的链路类型，支持 coherent memory view、atomic、DMA、RDMA、GDS、TCP stream、QoS、fence、persistent visibility、NPU DMA，使上层不会误把所有路径当作普通 read/write。</x:v>
      </x:c>
      <x:c r="O59" s="22" t="str">
        <x:v>建立前置硬件能力矩阵和注册内存池机制，确保 KV block layout 不被碎片化，并能进行有效的硬件边界隔离。</x:v>
      </x:c>
      <x:c r="P59" s="22" t="str">
        <x:v>在 P1 输出包含 P50/P99 延迟、layout 对齐约束的 Capability Matrix；使用微基准测试验证 registered pool 开销较未注册内存降低，且 extent visibility fence 正确生效。</x:v>
      </x:c>
      <x:c r="Q59" s="22" t="n">
        <x:f>COUNTIF('AR开发认领'!$C$5:$C$451,A59)</x:f>
        <x:v>3</x:v>
      </x:c>
      <x:c r="R59" s="22" t="str">
        <x:f>IF(Q59=3,"PASS","FAIL")</x:f>
        <x:v>PASS</x:v>
      </x:c>
      <x:c r="S59" s="22" t="str">
        <x:v>SF-04 / IR-04-01 / SR-04-01-01</x:v>
      </x:c>
    </x:row>
    <x:row r="60" ht="78" customHeight="1">
      <x:c r="A60" s="25" t="str">
        <x:v>L4-HW-StorageLayoutCapability-067</x:v>
      </x:c>
      <x:c r="B60" s="25" t="str">
        <x:v>V2.1基线</x:v>
      </x:c>
      <x:c r="C60" s="25" t="str">
        <x:v>KVCache SRS需求列表 V2.1.xlsx</x:v>
      </x:c>
      <x:c r="D60" s="25" t="str">
        <x:v>L4 底层传输层</x:v>
      </x:c>
      <x:c r="E60" s="25" t="str">
        <x:v>L4 底层传输层</x:v>
      </x:c>
      <x:c r="F60" s="25" t="str">
        <x:v>TM1</x:v>
      </x:c>
      <x:c r="G60" s="25" t="str">
        <x:v>Fabric能力与统一路由</x:v>
      </x:c>
      <x:c r="H60" s="25" t="str">
        <x:v>P0</x:v>
      </x:c>
      <x:c r="I60" s="25" t="str">
        <x:v>P0</x:v>
      </x:c>
      <x:c r="J60" s="25" t="str">
        <x:v>SF-01</x:v>
      </x:c>
      <x:c r="K60" s="25" t="str">
        <x:v>IR-01-09</x:v>
      </x:c>
      <x:c r="L60" s="25" t="str">
        <x:v>SR-01-09-04</x:v>
      </x:c>
      <x:c r="M60" s="22" t="str">
        <x:v>KV 存储布局与底层能力匹配</x:v>
      </x:c>
      <x:c r="N60" s="22"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O60" s="22" t="str">
        <x:v>建立前置硬件能力矩阵和注册内存池机制，确保 KV block layout 不被碎片化，并能进行有效的硬件边界隔离。</x:v>
      </x:c>
      <x:c r="P60" s="22" t="str">
        <x:v>在 P1 输出包含 P50/P99 延迟、layout 对齐约束的 Capability Matrix；使用微基准测试验证 registered pool 开销较未注册内存降低，且 extent visibility fence 正确生效。</x:v>
      </x:c>
      <x:c r="Q60" s="22" t="n">
        <x:f>COUNTIF('AR开发认领'!$C$5:$C$451,A60)</x:f>
        <x:v>3</x:v>
      </x:c>
      <x:c r="R60" s="22" t="str">
        <x:f>IF(Q60=3,"PASS","FAIL")</x:f>
        <x:v>PASS</x:v>
      </x:c>
      <x:c r="S60" s="22" t="str">
        <x:v>SF-03 / IR-03-01 / SR-03-01-02</x:v>
      </x:c>
    </x:row>
    <x:row r="61" ht="78" customHeight="1">
      <x:c r="A61" s="25" t="str">
        <x:v>L4-HW-AddrTrans-051</x:v>
      </x:c>
      <x:c r="B61" s="25" t="str">
        <x:v>V2.1基线</x:v>
      </x:c>
      <x:c r="C61" s="25" t="str">
        <x:v>KVCache SRS需求列表 V2.1.xlsx</x:v>
      </x:c>
      <x:c r="D61" s="25" t="str">
        <x:v>L4 底层传输层</x:v>
      </x:c>
      <x:c r="E61" s="25" t="str">
        <x:v>L4 底层传输层</x:v>
      </x:c>
      <x:c r="F61" s="25" t="str">
        <x:v>TM1</x:v>
      </x:c>
      <x:c r="G61" s="25" t="str">
        <x:v>Fabric能力与统一路由</x:v>
      </x:c>
      <x:c r="H61" s="25" t="str">
        <x:v>P1</x:v>
      </x:c>
      <x:c r="I61" s="25" t="str">
        <x:v>P1</x:v>
      </x:c>
      <x:c r="J61" s="25" t="str">
        <x:v>SF-01</x:v>
      </x:c>
      <x:c r="K61" s="25" t="str">
        <x:v>IR-01-09</x:v>
      </x:c>
      <x:c r="L61" s="25" t="str">
        <x:v>SR-01-09-05</x:v>
      </x:c>
      <x:c r="M61" s="22" t="str">
        <x:v>共享内存 KV 访问地址转换优化</x:v>
      </x:c>
      <x:c r="N61" s="22" t="str">
        <x:v>本需求要求硬件层为 UB/C2C/NPU/NPU memory view 暴露地址翻译 telemetry，包括 IOMMU/ATS/SMMU/TLB miss、page fault、shootdown、page size 和 first-touch 代价，使 direct view 的尾延迟可观测、可优化。</x:v>
      </x:c>
      <x:c r="O61" s="22" t="str">
        <x:v>direct view p99 可解释；</x:v>
      </x:c>
      <x:c r="P61" s="22" t="str">
        <x:v>在分配池化内存时，对各种可能的页面大小（如 4KB、2MB HugePages、1GB）与首次访问策略（First-touch 亲和性绑定）组合进行彻底遍历测试（Sweep）。对比不同组合下跨 NUMA 访问和 TLB Miss 带来的延迟差异并锁定最优配置。</x:v>
      </x:c>
      <x:c r="Q61" s="22" t="n">
        <x:f>COUNTIF('AR开发认领'!$C$5:$C$451,A61)</x:f>
        <x:v>3</x:v>
      </x:c>
      <x:c r="R61" s="22" t="str">
        <x:f>IF(Q61=3,"PASS","FAIL")</x:f>
        <x:v>PASS</x:v>
      </x:c>
      <x:c r="S61" s="22" t="str">
        <x:v>SF-04 / IR-04-02 / SR-04-02-03</x:v>
      </x:c>
    </x:row>
    <x:row r="62" ht="78" customHeight="1">
      <x:c r="A62" s="25" t="str">
        <x:v>L4-HW-NICSpecConstraint-075</x:v>
      </x:c>
      <x:c r="B62" s="25" t="str">
        <x:v>V2.1基线</x:v>
      </x:c>
      <x:c r="C62" s="25" t="str">
        <x:v>KVCache SRS需求列表 V2.1.xlsx</x:v>
      </x:c>
      <x:c r="D62" s="25" t="str">
        <x:v>L4 底层传输层</x:v>
      </x:c>
      <x:c r="E62" s="25" t="str">
        <x:v>L4 底层传输层</x:v>
      </x:c>
      <x:c r="F62" s="25" t="str">
        <x:v>TM1</x:v>
      </x:c>
      <x:c r="G62" s="25" t="str">
        <x:v>Fabric能力与统一路由</x:v>
      </x:c>
      <x:c r="H62" s="25" t="str">
        <x:v>P3</x:v>
      </x:c>
      <x:c r="I62" s="25" t="str">
        <x:v>P3</x:v>
      </x:c>
      <x:c r="J62" s="25" t="str">
        <x:v>SF-01</x:v>
      </x:c>
      <x:c r="K62" s="25" t="str">
        <x:v>IR-01-09</x:v>
      </x:c>
      <x:c r="L62" s="25" t="str">
        <x:v>SR-01-09-06</x:v>
      </x:c>
      <x:c r="M62" s="22" t="str">
        <x:v>大规模集群网络软硬件协同性能兜底</x:v>
      </x:c>
      <x:c r="N62" s="22" t="str">
        <x:v>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x:v>
      </x:c>
      <x:c r="O62" s="22" t="str">
        <x:v>在极高并发下OOM、非法内存访问(Segfault)、租户数据串模率为0。</x:v>
      </x:c>
      <x:c r="P62" s="22" t="str">
        <x:v>编写多线程/多协程并发脚本，对同一KV Block进行高频Attach/Evict冲突操作持续压测24小时，要求监控进程无Crash记录且数据校验100%一致。</x:v>
      </x:c>
      <x:c r="Q62" s="22" t="n">
        <x:f>COUNTIF('AR开发认领'!$C$5:$C$451,A62)</x:f>
        <x:v>3</x:v>
      </x:c>
      <x:c r="R62" s="22" t="str">
        <x:f>IF(Q62=3,"PASS","FAIL")</x:f>
        <x:v>PASS</x:v>
      </x:c>
      <x:c r="S62" s="22" t="str">
        <x:v>SF-06 / IR-06-04 / SR-06-04-01</x:v>
      </x:c>
    </x:row>
    <x:row r="63" ht="78" customHeight="1">
      <x:c r="A63" s="25" t="str">
        <x:v>L2-FT-FallbackContract-029</x:v>
      </x:c>
      <x:c r="B63" s="25" t="str">
        <x:v>V2.1基线</x:v>
      </x:c>
      <x:c r="C63" s="25" t="str">
        <x:v>KVCache SRS需求列表 V2.1.xlsx</x:v>
      </x:c>
      <x:c r="D63" s="25" t="str">
        <x:v>L2 KVConnector层</x:v>
      </x:c>
      <x:c r="E63" s="25" t="str">
        <x:v>L2 KVConnector层</x:v>
      </x:c>
      <x:c r="F63" s="25" t="str">
        <x:v>TM6</x:v>
      </x:c>
      <x:c r="G63" s="25" t="str">
        <x:v>共享访问与故障控制</x:v>
      </x:c>
      <x:c r="H63" s="25" t="str">
        <x:v>P0</x:v>
      </x:c>
      <x:c r="I63" s="25" t="str">
        <x:v>P0</x:v>
      </x:c>
      <x:c r="J63" s="25" t="str">
        <x:v>SF-01</x:v>
      </x:c>
      <x:c r="K63" s="25" t="str">
        <x:v>IR-01-10</x:v>
      </x:c>
      <x:c r="L63" s="25" t="str">
        <x:v>SR-01-10-01</x:v>
      </x:c>
      <x:c r="M63" s="22" t="str">
        <x:v>KV 加载失败快速降级恢复</x:v>
      </x:c>
      <x:c r="N63" s="22" t="str">
        <x:v>本需求要求 Connector 严格执行 fallback contract：若上层 intent 禁止 TCP、SSD 或 object fallback，则 Connector 不得内部静默降级；若 deadline 到期仍未 ready，必须返回 partial hit、miss 或 recompute signal。</x:v>
      </x:c>
      <x:c r="O63" s="22" t="str">
        <x:v>TTFT p99 outlier 降低 ≥30%；</x:v>
      </x:c>
      <x:c r="P63" s="22" t="str">
        <x:v>在线上流量压测期间，从操作系统层面或网卡层面突然切断 RDMA 链路。监控系统的降级恢复合同（Fallback Contract）是否正常触发，确保请求能够平滑回退至 TCP 或重计算路径而不断联报错。</x:v>
      </x:c>
      <x:c r="Q63" s="22" t="n">
        <x:f>COUNTIF('AR开发认领'!$C$5:$C$451,A63)</x:f>
        <x:v>3</x:v>
      </x:c>
      <x:c r="R63" s="22" t="str">
        <x:f>IF(Q63=3,"PASS","FAIL")</x:f>
        <x:v>PASS</x:v>
      </x:c>
      <x:c r="S63" s="22" t="str">
        <x:v>SF-01 / IR-01-01 / SR-01-01-03</x:v>
      </x:c>
    </x:row>
    <x:row r="64" ht="78" customHeight="1">
      <x:c r="A64" s="25" t="str">
        <x:v>L2-KV-AttachHandle-034</x:v>
      </x:c>
      <x:c r="B64" s="25" t="str">
        <x:v>V2.1基线</x:v>
      </x:c>
      <x:c r="C64" s="25" t="str">
        <x:v>KVCache SRS需求列表 V2.1.xlsx</x:v>
      </x:c>
      <x:c r="D64" s="25" t="str">
        <x:v>L2 KVConnector层</x:v>
      </x:c>
      <x:c r="E64" s="25" t="str">
        <x:v>L2 KVConnector层</x:v>
      </x:c>
      <x:c r="F64" s="25" t="str">
        <x:v>TM5</x:v>
      </x:c>
      <x:c r="G64" s="25" t="str">
        <x:v>共享访问与故障控制</x:v>
      </x:c>
      <x:c r="H64" s="25" t="str">
        <x:v>P0</x:v>
      </x:c>
      <x:c r="I64" s="25" t="str">
        <x:v>P0</x:v>
      </x:c>
      <x:c r="J64" s="25" t="str">
        <x:v>SF-01</x:v>
      </x:c>
      <x:c r="K64" s="25" t="str">
        <x:v>IR-01-10</x:v>
      </x:c>
      <x:c r="L64" s="25" t="str">
        <x:v>SR-01-10-02</x:v>
      </x:c>
      <x:c r="M64" s="22" t="str">
        <x:v>前缀命中后 KV 安全消费</x:v>
      </x:c>
      <x:c r="N64" s="22" t="str">
        <x:v>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O64" s="22" t="str">
        <x:v>Prefix命中判定P99耗时 &lt; 200us；在Share-Prefix业务下，Usable Hit Rate提升≥15%。</x:v>
      </x:c>
      <x:c r="P64" s="22" t="str">
        <x:v>使用ShareGPT数据集构造并发度上千(1K~5K QPS)的多轮对话负载，监控/metrics接口的prefix_lookup_latency指标，要求P99小于200us为达标。</x:v>
      </x:c>
      <x:c r="Q64" s="22" t="n">
        <x:f>COUNTIF('AR开发认领'!$C$5:$C$451,A64)</x:f>
        <x:v>3</x:v>
      </x:c>
      <x:c r="R64" s="22" t="str">
        <x:f>IF(Q64=3,"PASS","FAIL")</x:f>
        <x:v>PASS</x:v>
      </x:c>
      <x:c r="S64" s="22" t="str">
        <x:v>SF-01 / IR-01-01 / SR-01-01-02</x:v>
      </x:c>
    </x:row>
    <x:row r="65" ht="78" customHeight="1">
      <x:c r="A65" s="25" t="str">
        <x:v>L2-KV-StateErrorCode-037</x:v>
      </x:c>
      <x:c r="B65" s="25" t="str">
        <x:v>V2.1基线</x:v>
      </x:c>
      <x:c r="C65" s="25" t="str">
        <x:v>KVCache SRS需求列表 V2.1.xlsx</x:v>
      </x:c>
      <x:c r="D65" s="25" t="str">
        <x:v>L2 KVConnector层</x:v>
      </x:c>
      <x:c r="E65" s="25" t="str">
        <x:v>L2 KVConnector层</x:v>
      </x:c>
      <x:c r="F65" s="25" t="str">
        <x:v>TM6</x:v>
      </x:c>
      <x:c r="G65" s="25" t="str">
        <x:v>共享访问与故障控制</x:v>
      </x:c>
      <x:c r="H65" s="25" t="str">
        <x:v>P0</x:v>
      </x:c>
      <x:c r="I65" s="25" t="str">
        <x:v>P0</x:v>
      </x:c>
      <x:c r="J65" s="25" t="str">
        <x:v>SF-01</x:v>
      </x:c>
      <x:c r="K65" s="25" t="str">
        <x:v>IR-01-10</x:v>
      </x:c>
      <x:c r="L65" s="25" t="str">
        <x:v>SR-01-10-03</x:v>
      </x:c>
      <x:c r="M65" s="22" t="str">
        <x:v>KV 状态复杂场景下的快速降级与恢复</x:v>
      </x:c>
      <x:c r="N65" s="22" t="str">
        <x:v>本需求要求 Connector 层定义统一状态错误码，将 L3/L4 返回的 MIGRATING、LEASE_CONFLICT、STALE_VERSION、VISIBILITY_TIMEOUT、REPLICA_DEGRADED、CHECKSUM_FAILED、QUOTA_BLOCKED、BACKEND_BUSY 等状态转换为上层可执行的 retry、wait、load、copy、recompute、partial hit 或 miss 信号。</x:v>
      </x:c>
      <x:c r="O65" s="22" t="str">
        <x:v>元数据转换和序列化开销降低至&lt;200ns/次。</x:v>
      </x:c>
      <x:c r="P65" s="22" t="str">
        <x:v>针对统一API层执行微基准测试（Microbenchmark），循环调用千万级别高并发KVMeta读写操作，要求平均耗时&lt;200ns。</x:v>
      </x:c>
      <x:c r="Q65" s="22" t="n">
        <x:f>COUNTIF('AR开发认领'!$C$5:$C$451,A65)</x:f>
        <x:v>3</x:v>
      </x:c>
      <x:c r="R65" s="22" t="str">
        <x:f>IF(Q65=3,"PASS","FAIL")</x:f>
        <x:v>PASS</x:v>
      </x:c>
      <x:c r="S65" s="22" t="str">
        <x:v>SF-01 / IR-01-01 / SR-01-01-03</x:v>
      </x:c>
    </x:row>
    <x:row r="66" ht="78" customHeight="1">
      <x:c r="A66" s="25" t="str">
        <x:v>L2-MM-ViewLease-028</x:v>
      </x:c>
      <x:c r="B66" s="25" t="str">
        <x:v>V2.1基线</x:v>
      </x:c>
      <x:c r="C66" s="25" t="str">
        <x:v>KVCache SRS需求列表 V2.1.xlsx</x:v>
      </x:c>
      <x:c r="D66" s="25" t="str">
        <x:v>L2 KVConnector层</x:v>
      </x:c>
      <x:c r="E66" s="25" t="str">
        <x:v>L2 KVConnector层</x:v>
      </x:c>
      <x:c r="F66" s="25" t="str">
        <x:v>TM5</x:v>
      </x:c>
      <x:c r="G66" s="25" t="str">
        <x:v>共享访问与故障控制</x:v>
      </x:c>
      <x:c r="H66" s="25" t="str">
        <x:v>P0</x:v>
      </x:c>
      <x:c r="I66" s="25" t="str">
        <x:v>P0</x:v>
      </x:c>
      <x:c r="J66" s="25" t="str">
        <x:v>SF-01</x:v>
      </x:c>
      <x:c r="K66" s="25" t="str">
        <x:v>IR-01-10</x:v>
      </x:c>
      <x:c r="L66" s="25" t="str">
        <x:v>SR-01-10-04</x:v>
      </x:c>
      <x:c r="M66" s="22" t="str">
        <x:v>共享内存 KVCache 安全租约访问</x:v>
      </x:c>
      <x:c r="N66" s="22" t="str">
        <x:v>本需求要求 memory-view 访问必须以 lease handle 形式暴露，handle 必须携带 epoch、version、refcount、expiry、revocation callback；lease 过期、被撤销或 version 不匹配时，memory view 不得继续 attach 或被 GPU/NPU 访问。</x:v>
      </x:c>
      <x:c r="O66" s="22" t="str">
        <x:v>stale view fault = 0；</x:v>
      </x:c>
      <x:c r="P66" s="22" t="str">
        <x:v>针对内存租约机制（Lease），通过故障注入脚本人为制造过期（Expire）以及强制吊销（Revoke）事件。确保消费者进程能够捕捉到相应的异常码并正确地放弃当前非法地址的访问以防引发段错误（Segfault）。</x:v>
      </x:c>
      <x:c r="Q66" s="22" t="n">
        <x:f>COUNTIF('AR开发认领'!$C$5:$C$451,A66)</x:f>
        <x:v>3</x:v>
      </x:c>
      <x:c r="R66" s="22" t="str">
        <x:f>IF(Q66=3,"PASS","FAIL")</x:f>
        <x:v>PASS</x:v>
      </x:c>
      <x:c r="S66" s="22" t="str">
        <x:v>SF-05 / IR-05-02 / SR-05-02-01</x:v>
      </x:c>
    </x:row>
    <x:row r="67" ht="78" customHeight="1">
      <x:c r="A67" s="25" t="str">
        <x:v>L2-CONN-DefragPause-031</x:v>
      </x:c>
      <x:c r="B67" s="25" t="str">
        <x:v>V2.1基线</x:v>
      </x:c>
      <x:c r="C67" s="25" t="str">
        <x:v>KVCache SRS需求列表 V2.1.xlsx</x:v>
      </x:c>
      <x:c r="D67" s="25" t="str">
        <x:v>L2 KVConnector层</x:v>
      </x:c>
      <x:c r="E67" s="25" t="str">
        <x:v>L2 KVConnector层</x:v>
      </x:c>
      <x:c r="F67" s="25" t="str">
        <x:v>TM5</x:v>
      </x:c>
      <x:c r="G67" s="25" t="str">
        <x:v>共享访问与故障控制</x:v>
      </x:c>
      <x:c r="H67" s="25" t="str">
        <x:v>P1</x:v>
      </x:c>
      <x:c r="I67" s="25" t="str">
        <x:v>P1</x:v>
      </x:c>
      <x:c r="J67" s="25" t="str">
        <x:v>SF-01</x:v>
      </x:c>
      <x:c r="K67" s="25" t="str">
        <x:v>IR-01-10</x:v>
      </x:c>
      <x:c r="L67" s="25" t="str">
        <x:v>SR-01-10-05</x:v>
      </x:c>
      <x:c r="M67" s="22" t="str">
        <x:v>活跃租约下内存无感整理</x:v>
      </x:c>
      <x:c r="N67" s="22" t="str">
        <x:v>本需求要求 Connector 层实现租约感知的碎片整理暂停与无感原子更替：当底层执行内存块迁移时，若涉及活跃的 Lease 句柄，必须通过 RCU（Read-Copy-Update）无锁机制延迟迁移，或在 50μs 内原子更替虚拟到物理的指针映射。</x:v>
      </x:c>
      <x:c r="O67" s="22" t="str">
        <x:v>元数据转换和序列化开销降低至&lt;200ns/次。</x:v>
      </x:c>
      <x:c r="P67" s="22" t="str">
        <x:v>针对统一API层执行微基准测试（Microbenchmark），循环调用千万级别高并发KVMeta读写操作，要求平均耗时&lt;200ns。</x:v>
      </x:c>
      <x:c r="Q67" s="22" t="n">
        <x:f>COUNTIF('AR开发认领'!$C$5:$C$451,A67)</x:f>
        <x:v>3</x:v>
      </x:c>
      <x:c r="R67" s="22" t="str">
        <x:f>IF(Q67=3,"PASS","FAIL")</x:f>
        <x:v>PASS</x:v>
      </x:c>
      <x:c r="S67" s="22" t="str">
        <x:v>SF-03 / IR-03-03 / SR-03-03-03</x:v>
      </x:c>
    </x:row>
    <x:row r="68" ht="78" customHeight="1">
      <x:c r="A68" s="25" t="str">
        <x:v>L2-OB-PathTrace-030</x:v>
      </x:c>
      <x:c r="B68" s="25" t="str">
        <x:v>V2.1基线</x:v>
      </x:c>
      <x:c r="C68" s="25" t="str">
        <x:v>KVCache SRS需求列表 V2.1.xlsx</x:v>
      </x:c>
      <x:c r="D68" s="25" t="str">
        <x:v>L2 KVConnector层</x:v>
      </x:c>
      <x:c r="E68" s="25" t="str">
        <x:v>L2 KVConnector层</x:v>
      </x:c>
      <x:c r="F68" s="25" t="str">
        <x:v>TM6</x:v>
      </x:c>
      <x:c r="G68" s="25" t="str">
        <x:v>共享访问与故障控制</x:v>
      </x:c>
      <x:c r="H68" s="25" t="str">
        <x:v>P1</x:v>
      </x:c>
      <x:c r="I68" s="25" t="str">
        <x:v>P1</x:v>
      </x:c>
      <x:c r="J68" s="25" t="str">
        <x:v>SF-01</x:v>
      </x:c>
      <x:c r="K68" s="25" t="str">
        <x:v>IR-01-10</x:v>
      </x:c>
      <x:c r="L68" s="25" t="str">
        <x:v>SR-01-10-06</x:v>
      </x:c>
      <x:c r="M68" s="22" t="str">
        <x:v>KVCache 传输路径可追踪运维</x:v>
      </x:c>
      <x:c r="N68" s="22" t="str">
        <x:v>本需求要求 Connector 为每次 KV access 生成 path decision trace，记录 selected semantic、selected backend、source/destination tier、reason、fallback reason、latency breakdown、bytes 和 descriptor count，支持运维定位“命中了但变慢”的根因。</x:v>
      </x:c>
      <x:c r="O68" s="22" t="str">
        <x:v>线上问题定位时间降低；</x:v>
      </x:c>
      <x:c r="P68" s="22" t="str">
        <x:v>定期执行全链路 Trace 日志采集，确保系统中涉及路径路由决策、数据迁移等关键环节的打点覆盖率达标；同时统计这些额外打点引入的开销，确保对 SLO（特别是 P50/P99 延迟）的影响被严格控制在 &lt;1%。</x:v>
      </x:c>
      <x:c r="Q68" s="22" t="n">
        <x:f>COUNTIF('AR开发认领'!$C$5:$C$451,A68)</x:f>
        <x:v>3</x:v>
      </x:c>
      <x:c r="R68" s="22" t="str">
        <x:f>IF(Q68=3,"PASS","FAIL")</x:f>
        <x:v>PASS</x:v>
      </x:c>
      <x:c r="S68" s="22" t="str">
        <x:v>SF-06 / IR-06-03 / SR-06-03-01</x:v>
      </x:c>
    </x:row>
    <x:row r="69" ht="78" customHeight="1">
      <x:c r="A69" s="25" t="str">
        <x:v>L2-MM-MultiConsumer-027</x:v>
      </x:c>
      <x:c r="B69" s="25" t="str">
        <x:v>V2.1基线</x:v>
      </x:c>
      <x:c r="C69" s="25" t="str">
        <x:v>KVCache SRS需求列表 V2.1.xlsx</x:v>
      </x:c>
      <x:c r="D69" s="25" t="str">
        <x:v>L2 KVConnector层</x:v>
      </x:c>
      <x:c r="E69" s="25" t="str">
        <x:v>L2 KVConnector层</x:v>
      </x:c>
      <x:c r="F69" s="25" t="str">
        <x:v>TM5</x:v>
      </x:c>
      <x:c r="G69" s="25" t="str">
        <x:v>共享访问与故障控制</x:v>
      </x:c>
      <x:c r="H69" s="25" t="str">
        <x:v>P2</x:v>
      </x:c>
      <x:c r="I69" s="25" t="str">
        <x:v>P2</x:v>
      </x:c>
      <x:c r="J69" s="25" t="str">
        <x:v>SF-01</x:v>
      </x:c>
      <x:c r="K69" s="25" t="str">
        <x:v>IR-01-10</x:v>
      </x:c>
      <x:c r="L69" s="25" t="str">
        <x:v>SR-01-10-07</x:v>
      </x:c>
      <x:c r="M69" s="22" t="str">
        <x:v>共享前缀 KVCache 批量广播</x:v>
      </x:c>
      <x:c r="N69" s="22" t="str">
        <x:v>本需求要求 Connector 支持 multi-consumer KV handle：同一 KV object 被多个 decode replica、TP rank 或请求消费时，应通过 refcount、consumer bitmap 和 shared visibility fence 共享一次加载结果，避免多消费者重复远端拉取。</x:v>
      </x:c>
      <x:c r="O69" s="22" t="str">
        <x:v>重复远端拉取次数降低 ≥50%；</x:v>
      </x:c>
      <x:c r="P69" s="22" t="str">
        <x:v>使用极度倾斜的 Zipfian 热点数据源，让上千个并发请求同时命中了同一个系统提示词前缀（热门 Prefix）。执行 Fanout（扇出）性能压测，验证多消费者读共享环境下的锁竞争、带宽争抢和缓存热点应对能力。</x:v>
      </x:c>
      <x:c r="Q69" s="22" t="n">
        <x:f>COUNTIF('AR开发认领'!$C$5:$C$451,A69)</x:f>
        <x:v>3</x:v>
      </x:c>
      <x:c r="R69" s="22" t="str">
        <x:f>IF(Q69=3,"PASS","FAIL")</x:f>
        <x:v>PASS</x:v>
      </x:c>
      <x:c r="S69" s="22" t="str">
        <x:v>SF-01 / IR-01-03 / SR-01-03-01</x:v>
      </x:c>
    </x:row>
    <x:row r="70" ht="78" customHeight="1">
      <x:c r="A70" s="25" t="str">
        <x:v>L3-CO-AttachDetachLease-063</x:v>
      </x:c>
      <x:c r="B70" s="25" t="str">
        <x:v>V2.1基线</x:v>
      </x:c>
      <x:c r="C70" s="25" t="str">
        <x:v>KVCache SRS需求列表 V2.1.xlsx</x:v>
      </x:c>
      <x:c r="D70" s="25" t="str">
        <x:v>L3 传输管理层</x:v>
      </x:c>
      <x:c r="E70" s="25" t="str">
        <x:v>L3 传输管理层</x:v>
      </x:c>
      <x:c r="F70" s="25" t="str">
        <x:v>TM5</x:v>
      </x:c>
      <x:c r="G70" s="25" t="str">
        <x:v>一致性、隔离与QoS</x:v>
      </x:c>
      <x:c r="H70" s="25" t="str">
        <x:v>P0</x:v>
      </x:c>
      <x:c r="I70" s="25" t="str">
        <x:v>P0</x:v>
      </x:c>
      <x:c r="J70" s="25" t="str">
        <x:v>SF-01</x:v>
      </x:c>
      <x:c r="K70" s="25" t="str">
        <x:v>IR-01-11</x:v>
      </x:c>
      <x:c r="L70" s="25" t="str">
        <x:v>SR-01-11-01</x:v>
      </x:c>
      <x:c r="M70" s="22" t="str">
        <x:v>Decode 使用 KV 期间防止被迁移或释放</x:v>
      </x:c>
      <x:c r="N70" s="22" t="str">
        <x:v>本需求要求统一 KV 内存池实现 attach/detach lease：KV 被消费前必须获取 read lease 或 attach lease，lease 期间禁止物理释放、非法覆盖或不可见迁移；detach/release 后递减 refcount，并允许后台 evict、compact 或降级。</x:v>
      </x:c>
      <x:c r="O70" s="22" t="str">
        <x:v>节点动态加入/退出时的缓存失效控制在局部范围内（遵循一致性哈希比例）。</x:v>
      </x:c>
      <x:c r="P70" s="22" t="str">
        <x:v>在千卡规模集群(64+节点)压测期间，随机Kill掉1-2个节点并拉起新节点（Chaos Testing），监控Hit Rate曲线，要求降幅符合理论比例且系统在5秒内自动恢复。</x:v>
      </x:c>
      <x:c r="Q70" s="22" t="n">
        <x:f>COUNTIF('AR开发认领'!$C$5:$C$451,A70)</x:f>
        <x:v>3</x:v>
      </x:c>
      <x:c r="R70" s="22" t="str">
        <x:f>IF(Q70=3,"PASS","FAIL")</x:f>
        <x:v>PASS</x:v>
      </x:c>
      <x:c r="S70" s="22" t="str">
        <x:v>SF-05 / IR-05-02 / SR-05-02-01</x:v>
      </x:c>
    </x:row>
    <x:row r="71" ht="78" customHeight="1">
      <x:c r="A71" s="25" t="str">
        <x:v>L3-CO-KVOwnershipGC-080</x:v>
      </x:c>
      <x:c r="B71" s="25" t="str">
        <x:v>V2.1基线</x:v>
      </x:c>
      <x:c r="C71" s="25" t="str">
        <x:v>KVCache SRS需求列表 V2.1.xlsx</x:v>
      </x:c>
      <x:c r="D71" s="25" t="str">
        <x:v>L3 传输管理层</x:v>
      </x:c>
      <x:c r="E71" s="25" t="str">
        <x:v>L3 传输管理层</x:v>
      </x:c>
      <x:c r="F71" s="25" t="str">
        <x:v>TM5</x:v>
      </x:c>
      <x:c r="G71" s="25" t="str">
        <x:v>一致性、隔离与QoS</x:v>
      </x:c>
      <x:c r="H71" s="25" t="str">
        <x:v>P0</x:v>
      </x:c>
      <x:c r="I71" s="25" t="str">
        <x:v>P0</x:v>
      </x:c>
      <x:c r="J71" s="25" t="str">
        <x:v>SF-01</x:v>
      </x:c>
      <x:c r="K71" s="25" t="str">
        <x:v>IR-01-11</x:v>
      </x:c>
      <x:c r="L71" s="25" t="str">
        <x:v>SR-01-11-02</x:v>
      </x:c>
      <x:c r="M71" s="22" t="str">
        <x:v>KV 对象所有权与异常回收</x:v>
      </x:c>
      <x:c r="N71" s="22" t="str">
        <x:v>本需求要求统一 KV 内存池维护 KV object owner、producer、consumer、lease holder、replica owner 和 GC owner；当 producer 崩溃、consumer 超时、request abort、节点下线或 lease 过期时，系统必须能识别 orphan KV 并执行回收、降级、重建或 quarantine。</x:v>
      </x:c>
      <x:c r="O71" s="22" t="str">
        <x:v>节点动态加入/退出时的缓存失效控制在局部范围内（遵循一致性哈希比例）。</x:v>
      </x:c>
      <x:c r="P71" s="22" t="str">
        <x:v>在千卡规模集群(64+节点)压测期间，随机Kill掉1-2个节点并拉起新节点（Chaos Testing），监控Hit Rate曲线，要求降幅符合理论比例且系统在5秒内自动恢复。</x:v>
      </x:c>
      <x:c r="Q71" s="22" t="n">
        <x:f>COUNTIF('AR开发认领'!$C$5:$C$451,A71)</x:f>
        <x:v>3</x:v>
      </x:c>
      <x:c r="R71" s="22" t="str">
        <x:f>IF(Q71=3,"PASS","FAIL")</x:f>
        <x:v>PASS</x:v>
      </x:c>
      <x:c r="S71" s="22" t="str">
        <x:v>SF-05 / IR-05-02 / SR-05-02-01</x:v>
      </x:c>
    </x:row>
    <x:row r="72" ht="78" customHeight="1">
      <x:c r="A72" s="25" t="str">
        <x:v>L3-CO-PublishCommitLog-065</x:v>
      </x:c>
      <x:c r="B72" s="25" t="str">
        <x:v>V2.1基线</x:v>
      </x:c>
      <x:c r="C72" s="25" t="str">
        <x:v>KVCache SRS需求列表 V2.1.xlsx</x:v>
      </x:c>
      <x:c r="D72" s="25" t="str">
        <x:v>L3 传输管理层</x:v>
      </x:c>
      <x:c r="E72" s="25" t="str">
        <x:v>L3 传输管理层</x:v>
      </x:c>
      <x:c r="F72" s="25" t="str">
        <x:v>TM5</x:v>
      </x:c>
      <x:c r="G72" s="25" t="str">
        <x:v>一致性、隔离与QoS</x:v>
      </x:c>
      <x:c r="H72" s="25" t="str">
        <x:v>P0</x:v>
      </x:c>
      <x:c r="I72" s="25" t="str">
        <x:v>P0</x:v>
      </x:c>
      <x:c r="J72" s="25" t="str">
        <x:v>SF-01</x:v>
      </x:c>
      <x:c r="K72" s="25" t="str">
        <x:v>IR-01-11</x:v>
      </x:c>
      <x:c r="L72" s="25" t="str">
        <x:v>SR-01-11-03</x:v>
      </x:c>
      <x:c r="M72" s="22" t="str">
        <x:v>KV 发布过程异常恢复</x:v>
      </x:c>
      <x:c r="N72" s="22" t="str">
        <x:v>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O72" s="22" t="str">
        <x:v>节点动态加入/退出时的缓存失效控制在局部范围内（遵循一致性哈希比例）。</x:v>
      </x:c>
      <x:c r="P72" s="22" t="str">
        <x:v>在千卡规模集群(64+节点)压测期间，随机Kill掉1-2个节点并拉起新节点（Chaos Testing），监控Hit Rate曲线，要求降幅符合理论比例且系统在5秒内自动恢复。</x:v>
      </x:c>
      <x:c r="Q72" s="22" t="n">
        <x:f>COUNTIF('AR开发认领'!$C$5:$C$451,A72)</x:f>
        <x:v>3</x:v>
      </x:c>
      <x:c r="R72" s="22" t="str">
        <x:f>IF(Q72=3,"PASS","FAIL")</x:f>
        <x:v>PASS</x:v>
      </x:c>
      <x:c r="S72" s="22" t="str">
        <x:v>SF-05 / IR-05-01 / SR-05-01-01</x:v>
      </x:c>
    </x:row>
    <x:row r="73" ht="78" customHeight="1">
      <x:c r="A73" s="25" t="str">
        <x:v>L3-CO-RefCountLifecycle-086</x:v>
      </x:c>
      <x:c r="B73" s="25" t="str">
        <x:v>V2.1基线</x:v>
      </x:c>
      <x:c r="C73" s="25" t="str">
        <x:v>KVCache SRS需求列表 V2.1.xlsx</x:v>
      </x:c>
      <x:c r="D73" s="25" t="str">
        <x:v>L3 传输管理层</x:v>
      </x:c>
      <x:c r="E73" s="25" t="str">
        <x:v>L3 传输管理层</x:v>
      </x:c>
      <x:c r="F73" s="25" t="str">
        <x:v>TM5</x:v>
      </x:c>
      <x:c r="G73" s="25" t="str">
        <x:v>一致性、隔离与QoS</x:v>
      </x:c>
      <x:c r="H73" s="25" t="str">
        <x:v>P0</x:v>
      </x:c>
      <x:c r="I73" s="25" t="str">
        <x:v>P0</x:v>
      </x:c>
      <x:c r="J73" s="25" t="str">
        <x:v>SF-01</x:v>
      </x:c>
      <x:c r="K73" s="25" t="str">
        <x:v>IR-01-11</x:v>
      </x:c>
      <x:c r="L73" s="25" t="str">
        <x:v>SR-01-11-04</x:v>
      </x:c>
      <x:c r="M73" s="22" t="str">
        <x:v>活动计算流中 KVCache 块的驱逐保护</x:v>
      </x:c>
      <x:c r="N73" s="22" t="str">
        <x:v>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O73" s="22" t="str">
        <x:v>全局内存利用率提升至≥85%，跨级冷热数据迁移过程中的TPOT抖动 &lt; 5%。</x:v>
      </x:c>
      <x:c r="P73" s="22" t="str">
        <x:v>采用LMSYS Chatbot Arena长会话数据集满载运行，后台通过API强制触发Tiering Down，监控前台Decode TPOT，要求波动振幅在5%以内视为达标。</x:v>
      </x:c>
      <x:c r="Q73" s="22" t="n">
        <x:f>COUNTIF('AR开发认领'!$C$5:$C$451,A73)</x:f>
        <x:v>3</x:v>
      </x:c>
      <x:c r="R73" s="22" t="str">
        <x:f>IF(Q73=3,"PASS","FAIL")</x:f>
        <x:v>PASS</x:v>
      </x:c>
      <x:c r="S73" s="22" t="str">
        <x:v>SF-05 / IR-05-02 / SR-05-02-01</x:v>
      </x:c>
    </x:row>
    <x:row r="74" ht="78" customHeight="1">
      <x:c r="A74" s="25" t="str">
        <x:v>L3-CO-VersionPublish-043</x:v>
      </x:c>
      <x:c r="B74" s="25" t="str">
        <x:v>V2.1基线</x:v>
      </x:c>
      <x:c r="C74" s="25" t="str">
        <x:v>KVCache SRS需求列表 V2.1.xlsx</x:v>
      </x:c>
      <x:c r="D74" s="25" t="str">
        <x:v>L3 传输管理层</x:v>
      </x:c>
      <x:c r="E74" s="25" t="str">
        <x:v>L3 传输管理层</x:v>
      </x:c>
      <x:c r="F74" s="25" t="str">
        <x:v>TM5</x:v>
      </x:c>
      <x:c r="G74" s="25" t="str">
        <x:v>一致性、隔离与QoS</x:v>
      </x:c>
      <x:c r="H74" s="25" t="str">
        <x:v>P0</x:v>
      </x:c>
      <x:c r="I74" s="25" t="str">
        <x:v>P0</x:v>
      </x:c>
      <x:c r="J74" s="25" t="str">
        <x:v>SF-01</x:v>
      </x:c>
      <x:c r="K74" s="25" t="str">
        <x:v>IR-01-11</x:v>
      </x:c>
      <x:c r="L74" s="25" t="str">
        <x:v>SR-01-11-05</x:v>
      </x:c>
      <x:c r="M74" s="22" t="str">
        <x:v>KVCache 对象一致发布</x:v>
      </x:c>
      <x:c r="N74" s="22" t="str">
        <x:v>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x:v>
      </x:c>
      <x:c r="O74" s="22" t="str">
        <x:v>data corruption = 0；</x:v>
      </x:c>
      <x:c r="P74" s="22" t="str">
        <x:v>在 KV 对象持久化或多副本写入的过程中，由注入工具触发突然中断、进程异常重启或只落盘部分数据的异常场景。验证系统的发布流水线具备完备的事务回滚机制，确保版本数据不会因脏写而对外提供服务。</x:v>
      </x:c>
      <x:c r="Q74" s="22" t="n">
        <x:f>COUNTIF('AR开发认领'!$C$5:$C$451,A74)</x:f>
        <x:v>3</x:v>
      </x:c>
      <x:c r="R74" s="22" t="str">
        <x:f>IF(Q74=3,"PASS","FAIL")</x:f>
        <x:v>PASS</x:v>
      </x:c>
      <x:c r="S74" s="22" t="str">
        <x:v>SF-05 / IR-05-01 / SR-05-01-01</x:v>
      </x:c>
    </x:row>
    <x:row r="75" ht="78" customHeight="1">
      <x:c r="A75" s="25" t="str">
        <x:v>L3-CO-VisibilityReadyBitmap-064</x:v>
      </x:c>
      <x:c r="B75" s="25" t="str">
        <x:v>V2.1基线</x:v>
      </x:c>
      <x:c r="C75" s="25" t="str">
        <x:v>KVCache SRS需求列表 V2.1.xlsx</x:v>
      </x:c>
      <x:c r="D75" s="25" t="str">
        <x:v>L3 传输管理层</x:v>
      </x:c>
      <x:c r="E75" s="25" t="str">
        <x:v>L3 传输管理层</x:v>
      </x:c>
      <x:c r="F75" s="25" t="str">
        <x:v>TM5</x:v>
      </x:c>
      <x:c r="G75" s="25" t="str">
        <x:v>一致性、隔离与QoS</x:v>
      </x:c>
      <x:c r="H75" s="25" t="str">
        <x:v>P0</x:v>
      </x:c>
      <x:c r="I75" s="25" t="str">
        <x:v>P0</x:v>
      </x:c>
      <x:c r="J75" s="25" t="str">
        <x:v>SF-01</x:v>
      </x:c>
      <x:c r="K75" s="25" t="str">
        <x:v>IR-01-11</x:v>
      </x:c>
      <x:c r="L75" s="25" t="str">
        <x:v>SR-01-11-06</x:v>
      </x:c>
      <x:c r="M75" s="22" t="str">
        <x:v>KV 写入完成与可见性边界控制</x:v>
      </x:c>
      <x:c r="N75" s="22" t="str">
        <x:v>本需求要求每个 KV object 维护 layer/page/rank 粒度 ready bitmap 与 visibility state，区分 local write complete、device visible、remote visible、durable visible；只有达到消费方所需 visibility level 的 KV block/page 才允许进入 attach plan。</x:v>
      </x:c>
      <x:c r="O75" s="22" t="str">
        <x:v>节点动态加入/退出时的缓存失效控制在局部范围内（遵循一致性哈希比例）。</x:v>
      </x:c>
      <x:c r="P75" s="22" t="str">
        <x:v>在千卡规模集群(64+节点)压测期间，随机Kill掉1-2个节点并拉起新节点（Chaos Testing），监控Hit Rate曲线，要求降幅符合理论比例且系统在5秒内自动恢复。</x:v>
      </x:c>
      <x:c r="Q75" s="22" t="n">
        <x:f>COUNTIF('AR开发认领'!$C$5:$C$451,A75)</x:f>
        <x:v>3</x:v>
      </x:c>
      <x:c r="R75" s="22" t="str">
        <x:f>IF(Q75=3,"PASS","FAIL")</x:f>
        <x:v>PASS</x:v>
      </x:c>
      <x:c r="S75" s="22" t="str">
        <x:v>SF-05 / IR-05-01 / SR-05-01-01</x:v>
      </x:c>
    </x:row>
    <x:row r="76" ht="78" customHeight="1">
      <x:c r="A76" s="25" t="str">
        <x:v>L3-QO-SemanticQoS-045</x:v>
      </x:c>
      <x:c r="B76" s="25" t="str">
        <x:v>V2.1基线</x:v>
      </x:c>
      <x:c r="C76" s="25" t="str">
        <x:v>KVCache SRS需求列表 V2.1.xlsx</x:v>
      </x:c>
      <x:c r="D76" s="25" t="str">
        <x:v>L3 传输管理层</x:v>
      </x:c>
      <x:c r="E76" s="25" t="str">
        <x:v>L3 传输管理层</x:v>
      </x:c>
      <x:c r="F76" s="25" t="str">
        <x:v>TM5</x:v>
      </x:c>
      <x:c r="G76" s="25" t="str">
        <x:v>一致性、隔离与QoS</x:v>
      </x:c>
      <x:c r="H76" s="25" t="str">
        <x:v>P0</x:v>
      </x:c>
      <x:c r="I76" s="25" t="str">
        <x:v>P0</x:v>
      </x:c>
      <x:c r="J76" s="25" t="str">
        <x:v>SF-01</x:v>
      </x:c>
      <x:c r="K76" s="25" t="str">
        <x:v>IR-01-11</x:v>
      </x:c>
      <x:c r="L76" s="25" t="str">
        <x:v>SR-01-11-07</x:v>
      </x:c>
      <x:c r="M76" s="22" t="str">
        <x:v>前台推理与后台 KV 任务流量隔离</x:v>
      </x:c>
      <x:c r="N76" s="22" t="str">
        <x:v>本需求要求 Transfer Manager 建立语义化 QoS 队列：metadata-critical、TTFT prefix load、decode-critical copy、prefetch、background writeback、cold restore 必须分队列、限速和优先级调度，避免后台流量影响前台 TTFT/TPOT。</x:v>
      </x:c>
      <x:c r="O76" s="22" t="str">
        <x:v>p99 TTFT 降低 ≥25%；后台任务不影响 TPOT &gt;3%；</x:v>
      </x:c>
      <x:c r="P76" s="22" t="str">
        <x:v>混合发送 VIP 请求（高优先级的核心业务）与背景预取请求（低优先级的数据迁移）。验证基于语义的 QoS 队列系统能在带宽瓶颈发生时严格保证 VIP 流量的 P99 时延不劣于空载状态的显著水平。</x:v>
      </x:c>
      <x:c r="Q76" s="22" t="n">
        <x:f>COUNTIF('AR开发认领'!$C$5:$C$451,A76)</x:f>
        <x:v>3</x:v>
      </x:c>
      <x:c r="R76" s="22" t="str">
        <x:f>IF(Q76=3,"PASS","FAIL")</x:f>
        <x:v>PASS</x:v>
      </x:c>
      <x:c r="S76" s="22" t="str">
        <x:v>SF-06 / IR-06-01 / SR-06-01-01</x:v>
      </x:c>
    </x:row>
    <x:row r="77" ht="78" customHeight="1">
      <x:c r="A77" s="25" t="str">
        <x:v>L3-SC-PoolIsolation-048</x:v>
      </x:c>
      <x:c r="B77" s="25" t="str">
        <x:v>V2.1基线</x:v>
      </x:c>
      <x:c r="C77" s="25" t="str">
        <x:v>KVCache SRS需求列表 V2.1.xlsx</x:v>
      </x:c>
      <x:c r="D77" s="25" t="str">
        <x:v>L3 传输管理层</x:v>
      </x:c>
      <x:c r="E77" s="25" t="str">
        <x:v>L3 传输管理层</x:v>
      </x:c>
      <x:c r="F77" s="25" t="str">
        <x:v>TM5</x:v>
      </x:c>
      <x:c r="G77" s="25" t="str">
        <x:v>一致性、隔离与QoS</x:v>
      </x:c>
      <x:c r="H77" s="25" t="str">
        <x:v>P0</x:v>
      </x:c>
      <x:c r="I77" s="25" t="str">
        <x:v>P0</x:v>
      </x:c>
      <x:c r="J77" s="25" t="str">
        <x:v>SF-01</x:v>
      </x:c>
      <x:c r="K77" s="25" t="str">
        <x:v>IR-01-11</x:v>
      </x:c>
      <x:c r="L77" s="25" t="str">
        <x:v>SR-01-11-08</x:v>
      </x:c>
      <x:c r="M77" s="22" t="str">
        <x:v>多租户统一 KV 存储池资源隔离</x:v>
      </x:c>
      <x:c r="N77" s="22" t="str">
        <x:v>本需求要求多租户 KV pool 实现容量、带宽、metadata namespace、KV key namespace、encryption domain 和 audit log 隔离；任一租户的 UB/RDMA/SSD KV 使用不得对其他租户造成不可控干扰或越权访问。</x:v>
      </x:c>
      <x:c r="O77" s="22" t="str">
        <x:v>租户间干扰 &lt;5%；越权访问 = 0；</x:v>
      </x:c>
      <x:c r="P77" s="22" t="str">
        <x:v>建立多个租户资源池并配置不同的容量上限配额。施加严重超过配额上限的极限 Stress 流量压测，监控底层 OOM 触发器和驱逐策略是否仅在犯规租户内部生效，验证隔离机制未出现“吵闹邻居”（Noisy Neighbor）影响旁系租户。</x:v>
      </x:c>
      <x:c r="Q77" s="22" t="n">
        <x:f>COUNTIF('AR开发认领'!$C$5:$C$451,A77)</x:f>
        <x:v>3</x:v>
      </x:c>
      <x:c r="R77" s="22" t="str">
        <x:f>IF(Q77=3,"PASS","FAIL")</x:f>
        <x:v>PASS</x:v>
      </x:c>
      <x:c r="S77" s="22" t="str">
        <x:v>SF-05 / IR-05-04 / SR-05-04-01</x:v>
      </x:c>
    </x:row>
    <x:row r="78" ht="78" customHeight="1">
      <x:c r="A78" s="25" t="str">
        <x:v>L3-CO-MigrationRCULock-090</x:v>
      </x:c>
      <x:c r="B78" s="25" t="str">
        <x:v>V2.1基线</x:v>
      </x:c>
      <x:c r="C78" s="25" t="str">
        <x:v>KVCache SRS需求列表 V2.1.xlsx</x:v>
      </x:c>
      <x:c r="D78" s="25" t="str">
        <x:v>L3 传输管理层</x:v>
      </x:c>
      <x:c r="E78" s="25" t="str">
        <x:v>L3 传输管理层</x:v>
      </x:c>
      <x:c r="F78" s="25" t="str">
        <x:v>TM5</x:v>
      </x:c>
      <x:c r="G78" s="25" t="str">
        <x:v>一致性、隔离与QoS</x:v>
      </x:c>
      <x:c r="H78" s="25" t="str">
        <x:v>P1</x:v>
      </x:c>
      <x:c r="I78" s="25" t="str">
        <x:v>P1</x:v>
      </x:c>
      <x:c r="J78" s="25" t="str">
        <x:v>SF-01</x:v>
      </x:c>
      <x:c r="K78" s="25" t="str">
        <x:v>IR-01-11</x:v>
      </x:c>
      <x:c r="L78" s="25" t="str">
        <x:v>SR-01-11-09</x:v>
      </x:c>
      <x:c r="M78" s="22" t="str">
        <x:v>动态升降级与碎片整理期间的并发无感消费</x:v>
      </x:c>
      <x:c r="N78" s="22" t="str">
        <x:v>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x:v>
      </x:c>
      <x:c r="O78" s="22" t="str">
        <x:v>同机架内本地及远端DDR命中率（Local Usable Hit Rate）提升≥30%。</x:v>
      </x:c>
      <x:c r="P78" s="22" t="str">
        <x:v>部署含千卡级别的多机柜大规模集群(如16-64节点)，使用vLLM benchmark工具注入Zipf分布的热点Prompt，统计路由命中本地/本同架的比例，要求大于80%达标。</x:v>
      </x:c>
      <x:c r="Q78" s="22" t="n">
        <x:f>COUNTIF('AR开发认领'!$C$5:$C$451,A78)</x:f>
        <x:v>3</x:v>
      </x:c>
      <x:c r="R78" s="22" t="str">
        <x:f>IF(Q78=3,"PASS","FAIL")</x:f>
        <x:v>PASS</x:v>
      </x:c>
      <x:c r="S78" s="22" t="str">
        <x:v>SF-03 / IR-03-03 / SR-03-03-03</x:v>
      </x:c>
    </x:row>
    <x:row r="79" ht="78" customHeight="1">
      <x:c r="A79" s="25" t="str">
        <x:v>L3-CO-ReplicaQuarantine-068</x:v>
      </x:c>
      <x:c r="B79" s="25" t="str">
        <x:v>V2.1基线</x:v>
      </x:c>
      <x:c r="C79" s="25" t="str">
        <x:v>KVCache SRS需求列表 V2.1.xlsx</x:v>
      </x:c>
      <x:c r="D79" s="25" t="str">
        <x:v>L3 传输管理层</x:v>
      </x:c>
      <x:c r="E79" s="25" t="str">
        <x:v>L3 传输管理层</x:v>
      </x:c>
      <x:c r="F79" s="25" t="str">
        <x:v>TM5</x:v>
      </x:c>
      <x:c r="G79" s="25" t="str">
        <x:v>一致性、隔离与QoS</x:v>
      </x:c>
      <x:c r="H79" s="25" t="str">
        <x:v>P1</x:v>
      </x:c>
      <x:c r="I79" s="25" t="str">
        <x:v>P1</x:v>
      </x:c>
      <x:c r="J79" s="25" t="str">
        <x:v>SF-01</x:v>
      </x:c>
      <x:c r="K79" s="25" t="str">
        <x:v>IR-01-11</x:v>
      </x:c>
      <x:c r="L79" s="25" t="str">
        <x:v>SR-01-11-10</x:v>
      </x:c>
      <x:c r="M79" s="22" t="str">
        <x:v>异常 KV 副本隔离</x:v>
      </x:c>
      <x:c r="N79" s="22" t="str">
        <x:v>本需求要求对 checksum 错误、visibility 未达标、layout 不兼容、version 冲突或迁移失败的 KV replica 标记为 QUARANTINED；隔离副本不得参与 prefix lookup、placement resolver 或 attach，直到后台修复、重建或删除。</x:v>
      </x:c>
      <x:c r="O79" s="22" t="str">
        <x:v>Prefix命中判定P99耗时 &lt; 200us；在Share-Prefix业务下，Usable Hit Rate提升≥15%。</x:v>
      </x:c>
      <x:c r="P79" s="22" t="str">
        <x:v>使用ShareGPT数据集构造并发度上千(1K~5K QPS)的多轮对话负载，监控/metrics接口的prefix_lookup_latency指标，要求P99小于200us为达标。</x:v>
      </x:c>
      <x:c r="Q79" s="22" t="n">
        <x:f>COUNTIF('AR开发认领'!$C$5:$C$451,A79)</x:f>
        <x:v>3</x:v>
      </x:c>
      <x:c r="R79" s="22" t="str">
        <x:f>IF(Q79=3,"PASS","FAIL")</x:f>
        <x:v>PASS</x:v>
      </x:c>
      <x:c r="S79" s="22" t="str">
        <x:v>SF-05 / IR-05-03 / SR-05-03-02</x:v>
      </x:c>
    </x:row>
    <x:row r="80" ht="78" customHeight="1">
      <x:c r="A80" s="25" t="str">
        <x:v>L1-SC-TenantIsolation-017</x:v>
      </x:c>
      <x:c r="B80" s="25" t="str">
        <x:v>V2.1基线</x:v>
      </x:c>
      <x:c r="C80" s="25" t="str">
        <x:v>KVCache SRS需求列表 V2.1.xlsx</x:v>
      </x:c>
      <x:c r="D80" s="25" t="str">
        <x:v>L1 推理调度层</x:v>
      </x:c>
      <x:c r="E80" s="25" t="str">
        <x:v>L1 推理调度层</x:v>
      </x:c>
      <x:c r="F80" s="25" t="str">
        <x:v>TM5</x:v>
      </x:c>
      <x:c r="G80" s="25" t="str">
        <x:v>一致性、安全与可靠性</x:v>
      </x:c>
      <x:c r="H80" s="25" t="str">
        <x:v>P0</x:v>
      </x:c>
      <x:c r="I80" s="25" t="str">
        <x:v>P0</x:v>
      </x:c>
      <x:c r="J80" s="25" t="str">
        <x:v>SF-01</x:v>
      </x:c>
      <x:c r="K80" s="25" t="str">
        <x:v>IR-01-12</x:v>
      </x:c>
      <x:c r="L80" s="25" t="str">
        <x:v>SR-01-12-01</x:v>
      </x:c>
      <x:c r="M80" s="22" t="str">
        <x:v>多租户 KVCache 隔离共享</x:v>
      </x:c>
      <x:c r="N80" s="22" t="str">
        <x:v>本需求要求 KV key 构造必须包含 tenant、security domain、cache salt、model id、tokenizer hash、template version、layout version 等隔离字段；公共 KV 必须显式标记 shareable，私有 KV 不得跨租户命中或共享。</x:v>
      </x:c>
      <x:c r="O80" s="22" t="str">
        <x:v>跨租户误命中 = 0；</x:v>
      </x:c>
      <x:c r="P80" s="22" t="str">
        <x:v>构造涉及多个不同租户的并发请求，其中包含极易引起哈希碰撞（Hash Collision）的内容片段。验证底层身份验证机制能否 100% 拦截跨租户的非法缓存访问（Access Control），确保租户之间数据强隔离无串模。</x:v>
      </x:c>
      <x:c r="Q80" s="22" t="n">
        <x:f>COUNTIF('AR开发认领'!$C$5:$C$451,A80)</x:f>
        <x:v>3</x:v>
      </x:c>
      <x:c r="R80" s="22" t="str">
        <x:f>IF(Q80=3,"PASS","FAIL")</x:f>
        <x:v>PASS</x:v>
      </x:c>
      <x:c r="S80" s="22" t="str">
        <x:v>SF-05 / IR-05-04 / SR-05-04-01</x:v>
      </x:c>
    </x:row>
    <x:row r="81" ht="78" customHeight="1">
      <x:c r="A81" s="25" t="str">
        <x:v>L4-CO-ExtentVisibilityFence-066</x:v>
      </x:c>
      <x:c r="B81" s="25" t="str">
        <x:v>V2.1基线</x:v>
      </x:c>
      <x:c r="C81" s="25" t="str">
        <x:v>KVCache SRS需求列表 V2.1.xlsx</x:v>
      </x:c>
      <x:c r="D81" s="25" t="str">
        <x:v>L4 底层传输层</x:v>
      </x:c>
      <x:c r="E81" s="25" t="str">
        <x:v>L4 底层传输层</x:v>
      </x:c>
      <x:c r="F81" s="25" t="str">
        <x:v>TM5</x:v>
      </x:c>
      <x:c r="G81" s="25" t="str">
        <x:v>一致性、安全与可靠性</x:v>
      </x:c>
      <x:c r="H81" s="25" t="str">
        <x:v>P0</x:v>
      </x:c>
      <x:c r="I81" s="25" t="str">
        <x:v>P0</x:v>
      </x:c>
      <x:c r="J81" s="25" t="str">
        <x:v>SF-01</x:v>
      </x:c>
      <x:c r="K81" s="25" t="str">
        <x:v>IR-01-12</x:v>
      </x:c>
      <x:c r="L81" s="25" t="str">
        <x:v>SR-01-12-02</x:v>
      </x:c>
      <x:c r="M81" s="22" t="str">
        <x:v>KV block/page 可见性同步</x:v>
      </x:c>
      <x:c r="N81" s="22" t="str">
        <x:v>本需求要求底层提供 extent 粒度 visibility fence，覆盖 HBM、DDR、UB/C2C、RDMA remote memory、SSD/GDS buffer 之间的数据完成与可见性转换；L3 ready bitmap 只能在对应 extent fence 完成后置位。</x:v>
      </x:c>
      <x:c r="O81" s="22" t="str">
        <x:v>建立前置硬件能力矩阵和注册内存池机制，确保 KV block layout 不被碎片化，并能进行有效的硬件边界隔离。</x:v>
      </x:c>
      <x:c r="P81" s="22" t="str">
        <x:v>在 P1 输出包含 P50/P99 延迟、layout 对齐约束的 Capability Matrix；使用微基准测试验证 registered pool 开销较未注册内存降低，且 extent visibility fence 正确生效。</x:v>
      </x:c>
      <x:c r="Q81" s="22" t="n">
        <x:f>COUNTIF('AR开发认领'!$C$5:$C$451,A81)</x:f>
        <x:v>3</x:v>
      </x:c>
      <x:c r="R81" s="22" t="str">
        <x:f>IF(Q81=3,"PASS","FAIL")</x:f>
        <x:v>PASS</x:v>
      </x:c>
      <x:c r="S81" s="22" t="str">
        <x:v>SF-05 / IR-05-01 / SR-05-01-02</x:v>
      </x:c>
    </x:row>
    <x:row r="82" ht="78" customHeight="1">
      <x:c r="A82" s="25" t="str">
        <x:v>L4-CO-FencePrimitive-052</x:v>
      </x:c>
      <x:c r="B82" s="25" t="str">
        <x:v>V2.1基线</x:v>
      </x:c>
      <x:c r="C82" s="25" t="str">
        <x:v>KVCache SRS需求列表 V2.1.xlsx</x:v>
      </x:c>
      <x:c r="D82" s="25" t="str">
        <x:v>L4 底层传输层</x:v>
      </x:c>
      <x:c r="E82" s="25" t="str">
        <x:v>L4 底层传输层</x:v>
      </x:c>
      <x:c r="F82" s="25" t="str">
        <x:v>TM5</x:v>
      </x:c>
      <x:c r="G82" s="25" t="str">
        <x:v>一致性、安全与可靠性</x:v>
      </x:c>
      <x:c r="H82" s="25" t="str">
        <x:v>P0</x:v>
      </x:c>
      <x:c r="I82" s="25" t="str">
        <x:v>P0</x:v>
      </x:c>
      <x:c r="J82" s="25" t="str">
        <x:v>SF-01</x:v>
      </x:c>
      <x:c r="K82" s="25" t="str">
        <x:v>IR-01-12</x:v>
      </x:c>
      <x:c r="L82" s="25" t="str">
        <x:v>SR-01-12-03</x:v>
      </x:c>
      <x:c r="M82" s="22" t="str">
        <x:v>跨设备 KVCache 可见性同步</x:v>
      </x:c>
      <x:c r="N82" s="22" t="str">
        <x:v>本需求要求硬件抽象层提供跨语义 fence 原语，至少覆盖 cpu_to_NPU_visible、rdma_to_NPU_visible、NPU_to_UB_visible、UB_to_rdma_visible，确保不同 fabric 间数据完成与可见性边界明确。</x:v>
      </x:c>
      <x:c r="O82" s="22" t="str">
        <x:v>stale visibility fault = 0；</x:v>
      </x:c>
      <x:c r="P82" s="22" t="str">
        <x:v>编写极限多线程并发读写探针，在大规模 KV 对象共享状态转换（如状态从 Writing 转变为 Ready）之间安插 Fence 原语。验证在多物理节点同时观测该状态时，严格遵循可见性序列，绝对不发生读脏数据的情况。</x:v>
      </x:c>
      <x:c r="Q82" s="22" t="n">
        <x:f>COUNTIF('AR开发认领'!$C$5:$C$451,A82)</x:f>
        <x:v>3</x:v>
      </x:c>
      <x:c r="R82" s="22" t="str">
        <x:f>IF(Q82=3,"PASS","FAIL")</x:f>
        <x:v>PASS</x:v>
      </x:c>
      <x:c r="S82" s="22" t="str">
        <x:v>SF-05 / IR-05-01 / SR-05-01-02</x:v>
      </x:c>
    </x:row>
    <x:row r="83" ht="78" customHeight="1">
      <x:c r="A83" s="25" t="str">
        <x:v>L4-FT-PathIntegrityPolicy-077</x:v>
      </x:c>
      <x:c r="B83" s="25" t="str">
        <x:v>V1.0增量（V2.2视角）</x:v>
      </x:c>
      <x:c r="C83" s="25" t="str">
        <x:v>统一异构KVCache存储池_全量需求树_V1.0.xlsx</x:v>
      </x:c>
      <x:c r="D83" s="25" t="str">
        <x:v>AR全量追溯</x:v>
      </x:c>
      <x:c r="E83" s="25" t="str">
        <x:v>L4 底层传输层</x:v>
      </x:c>
      <x:c r="F83" s="25" t="str">
        <x:v>TM5</x:v>
      </x:c>
      <x:c r="G83" s="25" t="str">
        <x:v>一致性、安全与可靠性</x:v>
      </x:c>
      <x:c r="H83" s="25" t="str">
        <x:v>P0</x:v>
      </x:c>
      <x:c r="I83" s="25" t="str">
        <x:v>P0</x:v>
      </x:c>
      <x:c r="J83" s="25" t="str">
        <x:v>SF-01</x:v>
      </x:c>
      <x:c r="K83" s="25" t="str">
        <x:v>IR-01-12</x:v>
      </x:c>
      <x:c r="L83" s="25" t="str">
        <x:v>SR-01-12-04</x:v>
      </x:c>
      <x:c r="M83" s="22" t="str">
        <x:v>在不引入CPU Payload扫描的前提下保证错误KV不被消费</x:v>
      </x:c>
      <x:c r="N83" s="22" t="str">
        <x:v>本需求要求为不同介质和路径定义 integrity policy/evidence 契约。LOCAL_DDR 可由 ECC/RAS、DMA completion、length/layout 和 visibility fence 组成；SSD/object 可使用 backend checksum/durability；远端路径可按 capability 使用硬件 E2E checksum。应用层 CPU CRC 仅能作为显式可选诊断能力，不得成为默认关键路径。</x:v>
      </x:c>
      <x:c r="O83" s="22" t="str">
        <x:v>每条路径在 ready 前满足所配置完整性策略；策略与证据可观测、错误可阻断、fallback可执行。</x:v>
      </x:c>
      <x:c r="P83" s="22" t="str">
        <x:v>按路径注入完成乱序、ECC/RAS、长度/layout、后端checksum和副本损坏；验证ready、quarantine、错误码和recompute。</x:v>
      </x:c>
      <x:c r="Q83" s="22" t="n">
        <x:f>COUNTIF('AR开发认领'!$C$5:$C$451,A83)</x:f>
        <x:v>3</x:v>
      </x:c>
      <x:c r="R83" s="22" t="str">
        <x:f>IF(Q83=3,"PASS","FAIL")</x:f>
        <x:v>PASS</x:v>
      </x:c>
      <x:c r="S83" s="22" t="str">
        <x:v>SF-05 / IR-05-03 / SR-05-03-01</x:v>
      </x:c>
    </x:row>
    <x:row r="84" ht="78" customHeight="1">
      <x:c r="A84" s="25" t="str">
        <x:v>L4-FT-RASErrorMap-061</x:v>
      </x:c>
      <x:c r="B84" s="25" t="str">
        <x:v>V2.1基线</x:v>
      </x:c>
      <x:c r="C84" s="25" t="str">
        <x:v>KVCache SRS需求列表 V2.1.xlsx</x:v>
      </x:c>
      <x:c r="D84" s="25" t="str">
        <x:v>L4 底层传输层</x:v>
      </x:c>
      <x:c r="E84" s="25" t="str">
        <x:v>L4 底层传输层</x:v>
      </x:c>
      <x:c r="F84" s="25" t="str">
        <x:v>TM6</x:v>
      </x:c>
      <x:c r="G84" s="25" t="str">
        <x:v>一致性、安全与可靠性</x:v>
      </x:c>
      <x:c r="H84" s="25" t="str">
        <x:v>P0</x:v>
      </x:c>
      <x:c r="I84" s="25" t="str">
        <x:v>P0</x:v>
      </x:c>
      <x:c r="J84" s="25" t="str">
        <x:v>SF-01</x:v>
      </x:c>
      <x:c r="K84" s="25" t="str">
        <x:v>IR-01-12</x:v>
      </x:c>
      <x:c r="L84" s="25" t="str">
        <x:v>SR-01-12-05</x:v>
      </x:c>
      <x:c r="M84" s="22" t="str">
        <x:v>KVCache 硬件故障统一恢复</x:v>
      </x:c>
      <x:c r="N84" s="22" t="str">
        <x:v>本需求要求硬件层将 UB error、RDMA flush error、NPU page fault、TCP timeout、SSD read error、translation fault 映射为统一 KV object fault code，并触发对应 fallback、recompute、replica invalidation 或 quarantine 策略。</x:v>
      </x:c>
      <x:c r="O84" s="22" t="str">
        <x:v>错误恢复路径覆盖率 受SLO约束的比例；</x:v>
      </x:c>
      <x:c r="P84" s="22" t="str">
        <x:v>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x:v>
      </x:c>
      <x:c r="Q84" s="22" t="n">
        <x:f>COUNTIF('AR开发认领'!$C$5:$C$451,A84)</x:f>
        <x:v>3</x:v>
      </x:c>
      <x:c r="R84" s="22" t="str">
        <x:f>IF(Q84=3,"PASS","FAIL")</x:f>
        <x:v>PASS</x:v>
      </x:c>
      <x:c r="S84" s="22" t="str">
        <x:v>SF-05 / IR-05-03 / SR-05-03-02</x:v>
      </x:c>
    </x:row>
    <x:row r="85" ht="78" customHeight="1">
      <x:c r="A85" s="25" t="str">
        <x:v>L4-FT-ReplicaIntegrityCheck-069</x:v>
      </x:c>
      <x:c r="B85" s="25" t="str">
        <x:v>V2.1基线</x:v>
      </x:c>
      <x:c r="C85" s="25" t="str">
        <x:v>KVCache SRS需求列表 V2.1.xlsx</x:v>
      </x:c>
      <x:c r="D85" s="25" t="str">
        <x:v>L4 底层传输层</x:v>
      </x:c>
      <x:c r="E85" s="25" t="str">
        <x:v>L4 底层传输层</x:v>
      </x:c>
      <x:c r="F85" s="25" t="str">
        <x:v>TM6</x:v>
      </x:c>
      <x:c r="G85" s="25" t="str">
        <x:v>一致性、安全与可靠性</x:v>
      </x:c>
      <x:c r="H85" s="25" t="str">
        <x:v>P0</x:v>
      </x:c>
      <x:c r="I85" s="25" t="str">
        <x:v>P0</x:v>
      </x:c>
      <x:c r="J85" s="25" t="str">
        <x:v>SF-01</x:v>
      </x:c>
      <x:c r="K85" s="25" t="str">
        <x:v>IR-01-12</x:v>
      </x:c>
      <x:c r="L85" s="25" t="str">
        <x:v>SR-01-12-06</x:v>
      </x:c>
      <x:c r="M85" s="22" t="str">
        <x:v>KV 副本静默损坏检测</x:v>
      </x:c>
      <x:c r="N85" s="22" t="str">
        <x:v>本需求要求底层在 KV replica 写入、迁移、读取和加载过程中提供 extent/page 粒度完整性校验能力，支持 checksum/CRC、长度校验、layout 校验和错误上报；校验失败必须触发 L3 replica quarantine 或 recompute。</x:v>
      </x:c>
      <x:c r="O85" s="22" t="str">
        <x:v>高拥塞背景下，KVCache关键小包的P99延迟不随大流数据量线性增加。</x:v>
      </x:c>
      <x:c r="P85" s="22" t="str">
        <x:v>使用高性能流量发生器或真实AllReduce后台流打满400G/800G物理带宽，同时发起KVCache高优块拉取请求，观测P99传输延迟，要求依然处于可接受基线范围内（如不受严重劣化）。</x:v>
      </x:c>
      <x:c r="Q85" s="22" t="n">
        <x:f>COUNTIF('AR开发认领'!$C$5:$C$451,A85)</x:f>
        <x:v>3</x:v>
      </x:c>
      <x:c r="R85" s="22" t="str">
        <x:f>IF(Q85=3,"PASS","FAIL")</x:f>
        <x:v>PASS</x:v>
      </x:c>
      <x:c r="S85" s="22" t="str">
        <x:v>SF-05 / IR-05-03 / SR-05-03-01</x:v>
      </x:c>
    </x:row>
    <x:row r="86" ht="78" customHeight="1">
      <x:c r="A86" s="25" t="str">
        <x:v>L4-QO-MigrationQoS-064</x:v>
      </x:c>
      <x:c r="B86" s="25" t="str">
        <x:v>V2.1基线</x:v>
      </x:c>
      <x:c r="C86" s="25" t="str">
        <x:v>KVCache SRS需求列表 V2.1.xlsx</x:v>
      </x:c>
      <x:c r="D86" s="25" t="str">
        <x:v>L4 底层传输层</x:v>
      </x:c>
      <x:c r="E86" s="25" t="str">
        <x:v>L4 底层传输层</x:v>
      </x:c>
      <x:c r="F86" s="25" t="str">
        <x:v>TM5</x:v>
      </x:c>
      <x:c r="G86" s="25" t="str">
        <x:v>一致性、安全与可靠性</x:v>
      </x:c>
      <x:c r="H86" s="25" t="str">
        <x:v>P0</x:v>
      </x:c>
      <x:c r="I86" s="25" t="str">
        <x:v>P0</x:v>
      </x:c>
      <x:c r="J86" s="25" t="str">
        <x:v>SF-01</x:v>
      </x:c>
      <x:c r="K86" s="25" t="str">
        <x:v>IR-01-12</x:v>
      </x:c>
      <x:c r="L86" s="25" t="str">
        <x:v>SR-01-12-07</x:v>
      </x:c>
      <x:c r="M86" s="22" t="str">
        <x:v>主动迁移流量硬件隔离保障</x:v>
      </x:c>
      <x:c r="N86" s="22" t="str">
        <x:v>本需求要求底层传输层为水位触发的主动迁移流量分配专用硬件通道（如特定的 RNIC Queue、PCIe DMA Ring 或独立拷贝引擎），与前台推理流量（TTFT/TPOT）实现物理隔离，确保大规模 KVCache 跨介质搬移时不挤兑推理带宽。</x:v>
      </x:c>
      <x:c r="O86" s="22" t="str">
        <x:v>高拥塞背景下，KVCache关键小包的P99延迟不随大流数据量线性增加。</x:v>
      </x:c>
      <x:c r="P86" s="22" t="str">
        <x:v>使用高性能流量发生器或真实AllReduce后台流打满400G/800G物理带宽，同时发起KVCache高优块拉取请求，观测P99传输延迟，要求依然处于可接受基线范围内（如不受严重劣化）。</x:v>
      </x:c>
      <x:c r="Q86" s="22" t="n">
        <x:f>COUNTIF('AR开发认领'!$C$5:$C$451,A86)</x:f>
        <x:v>3</x:v>
      </x:c>
      <x:c r="R86" s="22" t="str">
        <x:f>IF(Q86=3,"PASS","FAIL")</x:f>
        <x:v>PASS</x:v>
      </x:c>
      <x:c r="S86" s="22" t="str">
        <x:v>SF-06 / IR-06-01 / SR-06-01-02</x:v>
      </x:c>
    </x:row>
    <x:row r="87" ht="78" customHeight="1">
      <x:c r="A87" s="25" t="str">
        <x:v>L4-QO-StateAwareTrafficClass-068</x:v>
      </x:c>
      <x:c r="B87" s="25" t="str">
        <x:v>V2.1基线</x:v>
      </x:c>
      <x:c r="C87" s="25" t="str">
        <x:v>KVCache SRS需求列表 V2.1.xlsx</x:v>
      </x:c>
      <x:c r="D87" s="25" t="str">
        <x:v>L4 底层传输层</x:v>
      </x:c>
      <x:c r="E87" s="25" t="str">
        <x:v>L4 底层传输层</x:v>
      </x:c>
      <x:c r="F87" s="25" t="str">
        <x:v>TM5</x:v>
      </x:c>
      <x:c r="G87" s="25" t="str">
        <x:v>一致性、安全与可靠性</x:v>
      </x:c>
      <x:c r="H87" s="25" t="str">
        <x:v>P0</x:v>
      </x:c>
      <x:c r="I87" s="25" t="str">
        <x:v>P0</x:v>
      </x:c>
      <x:c r="J87" s="25" t="str">
        <x:v>SF-01</x:v>
      </x:c>
      <x:c r="K87" s="25" t="str">
        <x:v>IR-01-12</x:v>
      </x:c>
      <x:c r="L87" s="25" t="str">
        <x:v>SR-01-12-08</x:v>
      </x:c>
      <x:c r="M87" s="22" t="str">
        <x:v>KV 状态迁移流量隔离</x:v>
      </x:c>
      <x:c r="N87" s="22"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O87" s="22" t="str">
        <x:v>高拥塞背景下，KVCache关键小包的P99延迟不随大流数据量线性增加。</x:v>
      </x:c>
      <x:c r="P87" s="22" t="str">
        <x:v>使用高性能流量发生器或真实AllReduce后台流打满400G/800G物理带宽，同时发起KVCache高优块拉取请求，观测P99传输延迟，要求依然处于可接受基线范围内（如不受严重劣化）。</x:v>
      </x:c>
      <x:c r="Q87" s="22" t="n">
        <x:f>COUNTIF('AR开发认领'!$C$5:$C$451,A87)</x:f>
        <x:v>3</x:v>
      </x:c>
      <x:c r="R87" s="22" t="str">
        <x:f>IF(Q87=3,"PASS","FAIL")</x:f>
        <x:v>PASS</x:v>
      </x:c>
      <x:c r="S87" s="22" t="str">
        <x:v>SF-06 / IR-06-01 / SR-06-01-02</x:v>
      </x:c>
    </x:row>
    <x:row r="88" ht="78" customHeight="1">
      <x:c r="A88" s="25" t="str">
        <x:v>L4-QO-TrafficClass-056</x:v>
      </x:c>
      <x:c r="B88" s="25" t="str">
        <x:v>V2.1基线</x:v>
      </x:c>
      <x:c r="C88" s="25" t="str">
        <x:v>KVCache SRS需求列表 V2.1.xlsx</x:v>
      </x:c>
      <x:c r="D88" s="25" t="str">
        <x:v>L4 底层传输层</x:v>
      </x:c>
      <x:c r="E88" s="25" t="str">
        <x:v>L4 底层传输层</x:v>
      </x:c>
      <x:c r="F88" s="25" t="str">
        <x:v>TM5</x:v>
      </x:c>
      <x:c r="G88" s="25" t="str">
        <x:v>一致性、安全与可靠性</x:v>
      </x:c>
      <x:c r="H88" s="25" t="str">
        <x:v>P0</x:v>
      </x:c>
      <x:c r="I88" s="25" t="str">
        <x:v>P0</x:v>
      </x:c>
      <x:c r="J88" s="25" t="str">
        <x:v>SF-01</x:v>
      </x:c>
      <x:c r="K88" s="25" t="str">
        <x:v>IR-01-12</x:v>
      </x:c>
      <x:c r="L88" s="25" t="str">
        <x:v>SR-01-12-09</x:v>
      </x:c>
      <x:c r="M88" s="22" t="str">
        <x:v>KVCache 多类业务流量硬件隔离</x:v>
      </x:c>
      <x:c r="N88" s="22" t="str">
        <x:v>本需求要求底层为不同 KV 流量建立流量隔离：TTFT prefix load、decode-critical copy、metadata lookup、background writeback、SSD cold restore、TCP fallback 应分 RNIC queue、copy stream、UB switch queue 或线程池隔离。</x:v>
      </x:c>
      <x:c r="O88" s="22" t="str">
        <x:v>background interference 降低 ≥50%；</x:v>
      </x:c>
      <x:c r="P88" s="22" t="str">
        <x:v>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x:v>
      </x:c>
      <x:c r="Q88" s="22" t="n">
        <x:f>COUNTIF('AR开发认领'!$C$5:$C$451,A88)</x:f>
        <x:v>3</x:v>
      </x:c>
      <x:c r="R88" s="22" t="str">
        <x:f>IF(Q88=3,"PASS","FAIL")</x:f>
        <x:v>PASS</x:v>
      </x:c>
      <x:c r="S88" s="22" t="str">
        <x:v>SF-06 / IR-06-01 / SR-06-01-01</x:v>
      </x:c>
    </x:row>
    <x:row r="89" ht="78" customHeight="1">
      <x:c r="A89" s="25" t="str">
        <x:v>L4-SC-ViewProtection-062</x:v>
      </x:c>
      <x:c r="B89" s="25" t="str">
        <x:v>V2.1基线</x:v>
      </x:c>
      <x:c r="C89" s="25" t="str">
        <x:v>KVCache SRS需求列表 V2.1.xlsx</x:v>
      </x:c>
      <x:c r="D89" s="25" t="str">
        <x:v>L4 底层传输层</x:v>
      </x:c>
      <x:c r="E89" s="25" t="str">
        <x:v>L4 底层传输层</x:v>
      </x:c>
      <x:c r="F89" s="25" t="str">
        <x:v>TM5</x:v>
      </x:c>
      <x:c r="G89" s="25" t="str">
        <x:v>一致性、安全与可靠性</x:v>
      </x:c>
      <x:c r="H89" s="25" t="str">
        <x:v>P0</x:v>
      </x:c>
      <x:c r="I89" s="25" t="str">
        <x:v>P0</x:v>
      </x:c>
      <x:c r="J89" s="25" t="str">
        <x:v>SF-01</x:v>
      </x:c>
      <x:c r="K89" s="25" t="str">
        <x:v>IR-01-12</x:v>
      </x:c>
      <x:c r="L89" s="25" t="str">
        <x:v>SR-01-12-10</x:v>
      </x:c>
      <x:c r="M89" s="22" t="str">
        <x:v>共享内存 KVCache 安全访问保护</x:v>
      </x:c>
      <x:c r="N89" s="22" t="str">
        <x:v>本需求要求 memory view 访问必须具备硬件级保护：read-only mapping、IOMMU/SMMU domain、tenant key、view revocation、poison isolation、audit log；裸地址不得跨租户或跨安全域直接共享。</x:v>
      </x:c>
      <x:c r="O89" s="22" t="str">
        <x:v>越权访问 = 0；view revocation p99 &lt;1ms；</x:v>
      </x:c>
      <x:c r="P89" s="22" t="str">
        <x:v>应用安全性模糊测试（Fuzzing）工具，大量随机且非法地试图通过篡改过的指针与长度参数进行恶意探测。结合验证底层的访问吊销原语（Revoke），证明安全沙箱能全面防御越界探查，保护驻留对象内存不被泄漏或恶意复写。</x:v>
      </x:c>
      <x:c r="Q89" s="22" t="n">
        <x:f>COUNTIF('AR开发认领'!$C$5:$C$451,A89)</x:f>
        <x:v>3</x:v>
      </x:c>
      <x:c r="R89" s="22" t="str">
        <x:f>IF(Q89=3,"PASS","FAIL")</x:f>
        <x:v>PASS</x:v>
      </x:c>
      <x:c r="S89" s="22" t="str">
        <x:v>SF-05 / IR-05-04 / SR-05-04-02</x:v>
      </x:c>
    </x:row>
    <x:row r="90" ht="78" customHeight="1">
      <x:c r="A90" s="25" t="str">
        <x:v>L4-CO-DrainAndQuiesce-073</x:v>
      </x:c>
      <x:c r="B90" s="25" t="str">
        <x:v>V2.1基线</x:v>
      </x:c>
      <x:c r="C90" s="25" t="str">
        <x:v>KVCache SRS需求列表 V2.1.xlsx</x:v>
      </x:c>
      <x:c r="D90" s="25" t="str">
        <x:v>L4 底层传输层</x:v>
      </x:c>
      <x:c r="E90" s="25" t="str">
        <x:v>L4 底层传输层</x:v>
      </x:c>
      <x:c r="F90" s="25" t="str">
        <x:v>TM5</x:v>
      </x:c>
      <x:c r="G90" s="25" t="str">
        <x:v>一致性、安全与可靠性</x:v>
      </x:c>
      <x:c r="H90" s="25" t="str">
        <x:v>P1</x:v>
      </x:c>
      <x:c r="I90" s="25" t="str">
        <x:v>P1</x:v>
      </x:c>
      <x:c r="J90" s="25" t="str">
        <x:v>SF-01</x:v>
      </x:c>
      <x:c r="K90" s="25" t="str">
        <x:v>IR-01-12</x:v>
      </x:c>
      <x:c r="L90" s="25" t="str">
        <x:v>SR-01-12-11</x:v>
      </x:c>
      <x:c r="M90" s="22" t="str">
        <x:v>后端资源切换与节点下线</x:v>
      </x:c>
      <x:c r="N90" s="22" t="str">
        <x:v>本需求要求底层为 RDMA QP/CQ、DMA ring、copy stream、GDS handle、UB mapping 提供 drain/quiesce 原语；当 L3 执行 backend 降级、节点下线、registered pool 重建或大规模迁移时，必须先停止新提交并等待已提交 KV 操作完成或失败。</x:v>
      </x:c>
      <x:c r="O90" s="22" t="str">
        <x:v>全局内存利用率提升至≥85%，跨级冷热数据迁移过程中的TPOT抖动 &lt; 5%。</x:v>
      </x:c>
      <x:c r="P90" s="22" t="str">
        <x:v>采用LMSYS Chatbot Arena长会话数据集满载运行，后台通过API强制触发Tiering Down，监控前台Decode TPOT，要求波动振幅在5%以内视为达标。</x:v>
      </x:c>
      <x:c r="Q90" s="22" t="n">
        <x:f>COUNTIF('AR开发认领'!$C$5:$C$451,A90)</x:f>
        <x:v>3</x:v>
      </x:c>
      <x:c r="R90" s="22" t="str">
        <x:f>IF(Q90=3,"PASS","FAIL")</x:f>
        <x:v>PASS</x:v>
      </x:c>
      <x:c r="S90" s="22" t="str">
        <x:v>SF-05 / IR-05-02 / SR-05-02-01</x:v>
      </x:c>
    </x:row>
    <x:row r="91" ht="78" customHeight="1">
      <x:c r="A91" s="25" t="str">
        <x:v>L4-OB-RemoteAccessCounter-057</x:v>
      </x:c>
      <x:c r="B91" s="25" t="str">
        <x:v>V2.1基线</x:v>
      </x:c>
      <x:c r="C91" s="25" t="str">
        <x:v>KVCache SRS需求列表 V2.1.xlsx</x:v>
      </x:c>
      <x:c r="D91" s="25" t="str">
        <x:v>L4 底层传输层</x:v>
      </x:c>
      <x:c r="E91" s="25" t="str">
        <x:v>L4 底层传输层</x:v>
      </x:c>
      <x:c r="F91" s="25" t="str">
        <x:v>TM6</x:v>
      </x:c>
      <x:c r="G91" s="25" t="str">
        <x:v>一致性、安全与可靠性</x:v>
      </x:c>
      <x:c r="H91" s="25" t="str">
        <x:v>P1</x:v>
      </x:c>
      <x:c r="I91" s="25" t="str">
        <x:v>P1</x:v>
      </x:c>
      <x:c r="J91" s="25" t="str">
        <x:v>SF-01</x:v>
      </x:c>
      <x:c r="K91" s="25" t="str">
        <x:v>IR-01-12</x:v>
      </x:c>
      <x:c r="L91" s="25" t="str">
        <x:v>SR-01-12-12</x:v>
      </x:c>
      <x:c r="M91" s="22" t="str">
        <x:v>近端共享内存 KV 访问性能观测</x:v>
      </x:c>
      <x:c r="N91" s="22" t="str">
        <x:v>本需求要求 NPU/NPU runtime 暴露 remote-tier access counters：包括 UB/C2C load count、remote memory bandwidth、stall cycles、Lmiss source、copy engine utilization，使系统能判断 direct view 是否拖慢 TPOT。</x:v>
      </x:c>
      <x:c r="O91" s="22" t="str">
        <x:v>view-vs-copy 决策准确率 ≥90%；</x:v>
      </x:c>
      <x:c r="P91" s="22" t="str">
        <x:v>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x:v>
      </x:c>
      <x:c r="Q91" s="22" t="n">
        <x:f>COUNTIF('AR开发认领'!$C$5:$C$451,A91)</x:f>
        <x:v>3</x:v>
      </x:c>
      <x:c r="R91" s="22" t="str">
        <x:f>IF(Q91=3,"PASS","FAIL")</x:f>
        <x:v>PASS</x:v>
      </x:c>
      <x:c r="S91" s="22" t="str">
        <x:v>SF-06 / IR-06-03 / SR-06-03-02</x:v>
      </x:c>
    </x:row>
    <x:row r="92" ht="78" customHeight="1">
      <x:c r="A92" s="25" t="str">
        <x:v>L4-CO-AtomicRemapPrimitive-065</x:v>
      </x:c>
      <x:c r="B92" s="25" t="str">
        <x:v>V2.1基线</x:v>
      </x:c>
      <x:c r="C92" s="25" t="str">
        <x:v>KVCache SRS需求列表 V2.1.xlsx</x:v>
      </x:c>
      <x:c r="D92" s="25" t="str">
        <x:v>L4 底层传输层</x:v>
      </x:c>
      <x:c r="E92" s="25" t="str">
        <x:v>L4 底层传输层</x:v>
      </x:c>
      <x:c r="F92" s="25" t="str">
        <x:v>TM5</x:v>
      </x:c>
      <x:c r="G92" s="25" t="str">
        <x:v>一致性、安全与可靠性</x:v>
      </x:c>
      <x:c r="H92" s="25" t="str">
        <x:v>P2</x:v>
      </x:c>
      <x:c r="I92" s="25" t="str">
        <x:v>P2</x:v>
      </x:c>
      <x:c r="J92" s="25" t="str">
        <x:v>SF-01</x:v>
      </x:c>
      <x:c r="K92" s="25" t="str">
        <x:v>IR-01-12</x:v>
      </x:c>
      <x:c r="L92" s="25" t="str">
        <x:v>SR-01-12-13</x:v>
      </x:c>
      <x:c r="M92" s="22" t="str">
        <x:v>KV 迁移/紧凑整理期间地址无感切换</x:v>
      </x:c>
      <x:c r="N92" s="22" t="str">
        <x:v>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x:v>
      </x:c>
      <x:c r="O92" s="22" t="str">
        <x:v>高拥塞背景下，KVCache关键小包的P99延迟不随大流数据量线性增加。</x:v>
      </x:c>
      <x:c r="P92" s="22" t="str">
        <x:v>使用高性能流量发生器或真实AllReduce后台流打满400G/800G物理带宽，同时发起KVCache高优块拉取请求，观测P99传输延迟，要求依然处于可接受基线范围内（如不受严重劣化）。</x:v>
      </x:c>
      <x:c r="Q92" s="22" t="n">
        <x:f>COUNTIF('AR开发认领'!$C$5:$C$451,A92)</x:f>
        <x:v>3</x:v>
      </x:c>
      <x:c r="R92" s="22" t="str">
        <x:f>IF(Q92=3,"PASS","FAIL")</x:f>
        <x:v>PASS</x:v>
      </x:c>
      <x:c r="S92" s="22" t="str">
        <x:v>SF-04 / IR-04-04 / SR-04-04-02</x:v>
      </x:c>
    </x:row>
    <x:row r="93" ht="78" customHeight="1">
      <x:c r="A93" s="25" t="str">
        <x:v>L4-SC-SecureExtentRelease-074</x:v>
      </x:c>
      <x:c r="B93" s="25" t="str">
        <x:v>V2.1基线</x:v>
      </x:c>
      <x:c r="C93" s="25" t="str">
        <x:v>KVCache SRS需求列表 V2.1.xlsx</x:v>
      </x:c>
      <x:c r="D93" s="25" t="str">
        <x:v>L4 底层传输层</x:v>
      </x:c>
      <x:c r="E93" s="25" t="str">
        <x:v>L4 底层传输层</x:v>
      </x:c>
      <x:c r="F93" s="25" t="str">
        <x:v>TM5</x:v>
      </x:c>
      <x:c r="G93" s="25" t="str">
        <x:v>一致性、安全与可靠性</x:v>
      </x:c>
      <x:c r="H93" s="25" t="str">
        <x:v>P2</x:v>
      </x:c>
      <x:c r="I93" s="25" t="str">
        <x:v>P2</x:v>
      </x:c>
      <x:c r="J93" s="25" t="str">
        <x:v>SF-01</x:v>
      </x:c>
      <x:c r="K93" s="25" t="str">
        <x:v>IR-01-12</x:v>
      </x:c>
      <x:c r="L93" s="25" t="str">
        <x:v>SR-01-12-14</x:v>
      </x:c>
      <x:c r="M93" s="22" t="str">
        <x:v>KV 物理空间安全复用</x:v>
      </x:c>
      <x:c r="N93" s="22" t="str">
        <x:v>本需求要求底层支持 KV extent 安全释放：对跨租户或安全域复用的 HBM/DDR/SSD extent，在释放或重新分配前执行 zero-fill、crypto erase 或 poison isolation，并向 L3 返回 release completion。</x:v>
      </x:c>
      <x:c r="O93" s="22" t="str">
        <x:v>在极高并发下OOM、非法内存访问(Segfault)、租户数据串模率为0。</x:v>
      </x:c>
      <x:c r="P93" s="22" t="str">
        <x:v>编写多线程/多协程并发脚本，对同一KV Block进行高频Attach/Evict冲突操作持续压测24小时，要求监控进程无Crash记录且数据校验100%一致。</x:v>
      </x:c>
      <x:c r="Q93" s="22" t="n">
        <x:f>COUNTIF('AR开发认领'!$C$5:$C$451,A93)</x:f>
        <x:v>3</x:v>
      </x:c>
      <x:c r="R93" s="22" t="str">
        <x:f>IF(Q93=3,"PASS","FAIL")</x:f>
        <x:v>PASS</x:v>
      </x:c>
      <x:c r="S93" s="22" t="str">
        <x:v>SF-05 / IR-05-04 / SR-05-04-02</x:v>
      </x:c>
    </x:row>
    <x:row r="94" ht="78" customHeight="1">
      <x:c r="A94" s="25" t="str">
        <x:v>L4-CO-PageMigration-063</x:v>
      </x:c>
      <x:c r="B94" s="25" t="str">
        <x:v>V2.1基线</x:v>
      </x:c>
      <x:c r="C94" s="25" t="str">
        <x:v>KVCache SRS需求列表 V2.1.xlsx</x:v>
      </x:c>
      <x:c r="D94" s="25" t="str">
        <x:v>L4 底层传输层</x:v>
      </x:c>
      <x:c r="E94" s="25" t="str">
        <x:v>L4 底层传输层</x:v>
      </x:c>
      <x:c r="F94" s="25" t="str">
        <x:v>TM5</x:v>
      </x:c>
      <x:c r="G94" s="25" t="str">
        <x:v>一致性、安全与可靠性</x:v>
      </x:c>
      <x:c r="H94" s="25" t="str">
        <x:v>P3</x:v>
      </x:c>
      <x:c r="I94" s="25" t="str">
        <x:v>P3</x:v>
      </x:c>
      <x:c r="J94" s="25" t="str">
        <x:v>SF-01</x:v>
      </x:c>
      <x:c r="K94" s="25" t="str">
        <x:v>IR-01-12</x:v>
      </x:c>
      <x:c r="L94" s="25" t="str">
        <x:v>SR-01-12-15</x:v>
      </x:c>
      <x:c r="M94" s="22" t="str">
        <x:v>硬件级零拷贝内存重组</x:v>
      </x:c>
      <x:c r="N94" s="22" t="str">
        <x:v>本需求要求底层传输层提供硬件级页迁移（Page Migration）与大页（Hugepage）重组原语，允许在不更改上层虚拟地址（GAP/指针）的前提下，在硬件层原子级完成物理内存页复制与 IOMMU/TLB 刷新。</x:v>
      </x:c>
      <x:c r="O94" s="22" t="str">
        <x:v>探索直接视图(direct view)、硬件多播及硬件原子页迁移等远期能力，避免 TPOT 被直接视图意外拖慢，不强求 &lt;500ns 等极端指标。</x:v>
      </x:c>
      <x:c r="P94" s="22" t="str">
        <x:v>不作为 MVP 验收阻塞项。在实验分支使用流量发生器对 direct view 及 multicast 的延迟做 P99 观测，通过端到端测试证明其收益高于 cost 时方可升级为主路径。</x:v>
      </x:c>
      <x:c r="Q94" s="22" t="n">
        <x:f>COUNTIF('AR开发认领'!$C$5:$C$451,A94)</x:f>
        <x:v>3</x:v>
      </x:c>
      <x:c r="R94" s="22" t="str">
        <x:f>IF(Q94=3,"PASS","FAIL")</x:f>
        <x:v>PASS</x:v>
      </x:c>
      <x:c r="S94" s="22" t="str">
        <x:v>SF-04 / IR-04-04 / SR-04-04-02</x:v>
      </x:c>
    </x:row>
    <x:row r="95" ht="78" customHeight="1">
      <x:c r="A95" s="25" t="str">
        <x:v>L2-CONN-API-STD-001</x:v>
      </x:c>
      <x:c r="B95" s="25" t="str">
        <x:v>V2.1基线</x:v>
      </x:c>
      <x:c r="C95" s="25" t="str">
        <x:v>KVCache SRS需求列表 V2.1.xlsx</x:v>
      </x:c>
      <x:c r="D95" s="25" t="str">
        <x:v>L2 KVConnector层</x:v>
      </x:c>
      <x:c r="E95" s="25" t="str">
        <x:v>L2 KVConnector层</x:v>
      </x:c>
      <x:c r="F95" s="25" t="str">
        <x:v>TM1</x:v>
      </x:c>
      <x:c r="G95" s="25" t="str">
        <x:v>统一协议与标准接口</x:v>
      </x:c>
      <x:c r="H95" s="25" t="str">
        <x:v>P0</x:v>
      </x:c>
      <x:c r="I95" s="25" t="str">
        <x:v>P0</x:v>
      </x:c>
      <x:c r="J95" s="25" t="str">
        <x:v>SF-02</x:v>
      </x:c>
      <x:c r="K95" s="25" t="str">
        <x:v>IR-02-01</x:v>
      </x:c>
      <x:c r="L95" s="25" t="str">
        <x:v>SR-02-01-01</x:v>
      </x:c>
      <x:c r="M95" s="22" t="str">
        <x:v>统一接口标准化</x:v>
      </x:c>
      <x:c r="N95" s="22" t="str">
        <x:v>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O95" s="22" t="str">
        <x:v>Prefix命中判定P99耗时 &lt; 200us；在Share-Prefix业务下，Usable Hit Rate提升≥15%。</x:v>
      </x:c>
      <x:c r="P95" s="22" t="str">
        <x:v>使用ShareGPT数据集构造并发度上千(1K~5K QPS)的多轮对话负载，监控/metrics接口的prefix_lookup_latency指标，要求P99小于200us为达标。</x:v>
      </x:c>
      <x:c r="Q95" s="22" t="n">
        <x:f>COUNTIF('AR开发认领'!$C$5:$C$451,A95)</x:f>
        <x:v>3</x:v>
      </x:c>
      <x:c r="R95" s="22" t="str">
        <x:f>IF(Q95=3,"PASS","FAIL")</x:f>
        <x:v>PASS</x:v>
      </x:c>
      <x:c r="S95" s="22" t="str">
        <x:v>SF-01 / IR-01-01 / SR-01-01-01</x:v>
      </x:c>
    </x:row>
    <x:row r="96" ht="78" customHeight="1">
      <x:c r="A96" s="25" t="str">
        <x:v>L2-CONN-BufferContract-040</x:v>
      </x:c>
      <x:c r="B96" s="25" t="str">
        <x:v>V2.1基线</x:v>
      </x:c>
      <x:c r="C96" s="25" t="str">
        <x:v>KVCache SRS需求列表 V2.1.xlsx</x:v>
      </x:c>
      <x:c r="D96" s="25" t="str">
        <x:v>L2 KVConnector层</x:v>
      </x:c>
      <x:c r="E96" s="25" t="str">
        <x:v>L2 KVConnector层</x:v>
      </x:c>
      <x:c r="F96" s="25" t="str">
        <x:v>TM1</x:v>
      </x:c>
      <x:c r="G96" s="25" t="str">
        <x:v>统一协议与标准接口</x:v>
      </x:c>
      <x:c r="H96" s="25" t="str">
        <x:v>P0</x:v>
      </x:c>
      <x:c r="I96" s="25" t="str">
        <x:v>P0</x:v>
      </x:c>
      <x:c r="J96" s="25" t="str">
        <x:v>SF-02</x:v>
      </x:c>
      <x:c r="K96" s="25" t="str">
        <x:v>IR-02-01</x:v>
      </x:c>
      <x:c r="L96" s="25" t="str">
        <x:v>SR-02-01-02</x:v>
      </x:c>
      <x:c r="M96" s="22" t="str">
        <x:v>算力执行内存与存储池内存管理解耦</x:v>
      </x:c>
      <x:c r="N96" s="22" t="str">
        <x:v>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O96" s="22" t="str">
        <x:v>错误Load（即Load耗时 &gt; Recompute耗时）比例下降至 &lt; 1%。</x:v>
      </x:c>
      <x:c r="P96" s="22" t="str">
        <x:v>采用128K~1M极长上下文负载并限制400G/800G网络至高拥塞状态(或QoS限速模拟尾部降级)，触发大量远端加载，观测Abandoned Hit Rate，要求低于1%算达标。</x:v>
      </x:c>
      <x:c r="Q96" s="22" t="n">
        <x:f>COUNTIF('AR开发认领'!$C$5:$C$451,A96)</x:f>
        <x:v>3</x:v>
      </x:c>
      <x:c r="R96" s="22" t="str">
        <x:f>IF(Q96=3,"PASS","FAIL")</x:f>
        <x:v>PASS</x:v>
      </x:c>
      <x:c r="S96" s="22" t="str">
        <x:v>SF-01 / IR-01-01 / SR-01-01-02</x:v>
      </x:c>
    </x:row>
    <x:row r="97" ht="78" customHeight="1">
      <x:c r="A97" s="25" t="str">
        <x:v>L2-CONN-CostAwareReturn-039</x:v>
      </x:c>
      <x:c r="B97" s="25" t="str">
        <x:v>V2.1基线</x:v>
      </x:c>
      <x:c r="C97" s="25" t="str">
        <x:v>KVCache SRS需求列表 V2.1.xlsx</x:v>
      </x:c>
      <x:c r="D97" s="25" t="str">
        <x:v>L2 KVConnector层</x:v>
      </x:c>
      <x:c r="E97" s="25" t="str">
        <x:v>L2 KVConnector层</x:v>
      </x:c>
      <x:c r="F97" s="25" t="str">
        <x:v>TM1</x:v>
      </x:c>
      <x:c r="G97" s="25" t="str">
        <x:v>统一协议与标准接口</x:v>
      </x:c>
      <x:c r="H97" s="25" t="str">
        <x:v>P0</x:v>
      </x:c>
      <x:c r="I97" s="25" t="str">
        <x:v>P0</x:v>
      </x:c>
      <x:c r="J97" s="25" t="str">
        <x:v>SF-02</x:v>
      </x:c>
      <x:c r="K97" s="25" t="str">
        <x:v>IR-02-01</x:v>
      </x:c>
      <x:c r="L97" s="25" t="str">
        <x:v>SR-02-01-03</x:v>
      </x:c>
      <x:c r="M97" s="22" t="str">
        <x:v>拥塞链路下的前缀命中低效绕行</x:v>
      </x:c>
      <x:c r="N97" s="22"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O97" s="22" t="str">
        <x:v>确保 L2/L3 能够向 L1 输出准确的传输和附加代价(Cost)，而不直接在连接层内丢弃请求(Drop)。</x:v>
      </x:c>
      <x:c r="P97" s="22" t="str">
        <x:v>在多物理介质层级模拟命中，验证 L2 总是向 L1 返回带代价的 QueryPlan，由 L1 基于算力池化进行统一丢弃/接受决策。验证指标为 L2 零私自抛弃率。</x:v>
      </x:c>
      <x:c r="Q97" s="22" t="n">
        <x:f>COUNTIF('AR开发认领'!$C$5:$C$451,A97)</x:f>
        <x:v>3</x:v>
      </x:c>
      <x:c r="R97" s="22" t="str">
        <x:f>IF(Q97=3,"PASS","FAIL")</x:f>
        <x:v>PASS</x:v>
      </x:c>
      <x:c r="S97" s="22" t="str">
        <x:v>SF-01 / IR-01-01 / SR-01-01-03</x:v>
      </x:c>
    </x:row>
    <x:row r="98" ht="78" customHeight="1">
      <x:c r="A98" s="25" t="str">
        <x:v>L2-KV-PublishCommit-033</x:v>
      </x:c>
      <x:c r="B98" s="25" t="str">
        <x:v>V2.1基线</x:v>
      </x:c>
      <x:c r="C98" s="25" t="str">
        <x:v>KVCache SRS需求列表 V2.1.xlsx</x:v>
      </x:c>
      <x:c r="D98" s="25" t="str">
        <x:v>L2 KVConnector层</x:v>
      </x:c>
      <x:c r="E98" s="25" t="str">
        <x:v>L2 KVConnector层</x:v>
      </x:c>
      <x:c r="F98" s="25" t="str">
        <x:v>TM1</x:v>
      </x:c>
      <x:c r="G98" s="25" t="str">
        <x:v>统一协议与标准接口</x:v>
      </x:c>
      <x:c r="H98" s="25" t="str">
        <x:v>P0</x:v>
      </x:c>
      <x:c r="I98" s="25" t="str">
        <x:v>P0</x:v>
      </x:c>
      <x:c r="J98" s="25" t="str">
        <x:v>SF-02</x:v>
      </x:c>
      <x:c r="K98" s="25" t="str">
        <x:v>IR-02-01</x:v>
      </x:c>
      <x:c r="L98" s="25" t="str">
        <x:v>SR-02-01-04</x:v>
      </x:c>
      <x:c r="M98" s="22" t="str">
        <x:v>NPU/GPU 生成 KV 后进入统一 KV 内存池</x:v>
      </x:c>
      <x:c r="N98" s="22" t="str">
        <x:v>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x:v>
      </x:c>
      <x:c r="O98" s="22" t="str">
        <x:v>元数据转换和序列化开销降低至&lt;200ns/次。</x:v>
      </x:c>
      <x:c r="P98" s="22" t="str">
        <x:v>针对统一API层执行微基准测试（Microbenchmark），循环调用千万级别高并发KVMeta读写操作，要求平均耗时&lt;200ns。</x:v>
      </x:c>
      <x:c r="Q98" s="22" t="n">
        <x:f>COUNTIF('AR开发认领'!$C$5:$C$451,A98)</x:f>
        <x:v>3</x:v>
      </x:c>
      <x:c r="R98" s="22" t="str">
        <x:f>IF(Q98=3,"PASS","FAIL")</x:f>
        <x:v>PASS</x:v>
      </x:c>
      <x:c r="S98" s="22" t="str">
        <x:v>SF-01 / IR-01-01 / SR-01-01-02</x:v>
      </x:c>
    </x:row>
    <x:row r="99" ht="78" customHeight="1">
      <x:c r="A99" s="25" t="str">
        <x:v>L2-KV-SemanticIdentity-036</x:v>
      </x:c>
      <x:c r="B99" s="25" t="str">
        <x:v>V2.1基线</x:v>
      </x:c>
      <x:c r="C99" s="25" t="str">
        <x:v>KVCache SRS需求列表 V2.1.xlsx</x:v>
      </x:c>
      <x:c r="D99" s="25" t="str">
        <x:v>L2 KVConnector层</x:v>
      </x:c>
      <x:c r="E99" s="25" t="str">
        <x:v>L2 KVConnector层</x:v>
      </x:c>
      <x:c r="F99" s="25" t="str">
        <x:v>TM1</x:v>
      </x:c>
      <x:c r="G99" s="25" t="str">
        <x:v>统一协议与标准接口</x:v>
      </x:c>
      <x:c r="H99" s="25" t="str">
        <x:v>P1</x:v>
      </x:c>
      <x:c r="I99" s="25" t="str">
        <x:v>P1</x:v>
      </x:c>
      <x:c r="J99" s="25" t="str">
        <x:v>SF-02</x:v>
      </x:c>
      <x:c r="K99" s="25" t="str">
        <x:v>IR-02-01</x:v>
      </x:c>
      <x:c r="L99" s="25" t="str">
        <x:v>SR-02-01-05</x:v>
      </x:c>
      <x:c r="M99" s="22" t="str">
        <x:v>防止语义不兼容 KV 被误复用</x:v>
      </x:c>
      <x:c r="N99" s="22" t="str">
        <x:v>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O99" s="22" t="str">
        <x:v>元数据转换和序列化开销降低至&lt;200ns/次。</x:v>
      </x:c>
      <x:c r="P99" s="22" t="str">
        <x:v>针对统一API层执行微基准测试（Microbenchmark），循环调用千万级别高并发KVMeta读写操作，要求平均耗时&lt;200ns。</x:v>
      </x:c>
      <x:c r="Q99" s="22" t="n">
        <x:f>COUNTIF('AR开发认领'!$C$5:$C$451,A99)</x:f>
        <x:v>3</x:v>
      </x:c>
      <x:c r="R99" s="22" t="str">
        <x:f>IF(Q99=3,"PASS","FAIL")</x:f>
        <x:v>PASS</x:v>
      </x:c>
      <x:c r="S99" s="22" t="str">
        <x:v>SF-01 / IR-01-01 / SR-01-01-01</x:v>
      </x:c>
    </x:row>
    <x:row r="100" ht="78" customHeight="1">
      <x:c r="A100" s="25" t="str">
        <x:v>L1-PM-PrefixBudget-001</x:v>
      </x:c>
      <x:c r="B100" s="25" t="str">
        <x:v>V2.1基线</x:v>
      </x:c>
      <x:c r="C100" s="25" t="str">
        <x:v>KVCache SRS需求列表 V2.1.xlsx</x:v>
      </x:c>
      <x:c r="D100" s="25" t="str">
        <x:v>L1 推理调度层</x:v>
      </x:c>
      <x:c r="E100" s="25" t="str">
        <x:v>L1 推理调度层</x:v>
      </x:c>
      <x:c r="F100" s="25" t="str">
        <x:v>TM1</x:v>
      </x:c>
      <x:c r="G100" s="25" t="str">
        <x:v>调度与路由控制</x:v>
      </x:c>
      <x:c r="H100" s="25" t="str">
        <x:v>P0</x:v>
      </x:c>
      <x:c r="I100" s="25" t="str">
        <x:v>P0</x:v>
      </x:c>
      <x:c r="J100" s="25" t="str">
        <x:v>SF-02</x:v>
      </x:c>
      <x:c r="K100" s="25" t="str">
        <x:v>IR-02-02</x:v>
      </x:c>
      <x:c r="L100" s="25" t="str">
        <x:v>SR-02-02-01</x:v>
      </x:c>
      <x:c r="M100" s="22" t="str">
        <x:v>共享前缀命中快速判定</x:v>
      </x:c>
      <x:c r="N100" s="22"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O100" s="22" t="str">
        <x:v>确保 Prefix 命中不严重拖累 TTFT；usable_hit / total_requests 的转化率稳定。</x:v>
      </x:c>
      <x:c r="P100" s="22" t="str">
        <x:v>通过端到端负载测试统计 usable hit 与 raw hit，确保因 metadata/transfer 查询导致的 abandoned hit rate 控制在预期内；对比 hit_path 与 recompute_path 的 P99 TTFT，确保 benefit &gt; 0。</x:v>
      </x:c>
      <x:c r="Q100" s="22" t="n">
        <x:f>COUNTIF('AR开发认领'!$C$5:$C$451,A100)</x:f>
        <x:v>3</x:v>
      </x:c>
      <x:c r="R100" s="22" t="str">
        <x:f>IF(Q100=3,"PASS","FAIL")</x:f>
        <x:v>PASS</x:v>
      </x:c>
      <x:c r="S100" s="22" t="str">
        <x:v>SF-01 / IR-01-02 / SR-01-02-01</x:v>
      </x:c>
    </x:row>
    <x:row r="101" ht="78" customHeight="1">
      <x:c r="A101" s="25" t="str">
        <x:v>L1-RT-Admission-007</x:v>
      </x:c>
      <x:c r="B101" s="25" t="str">
        <x:v>V2.1基线</x:v>
      </x:c>
      <x:c r="C101" s="25" t="str">
        <x:v>KVCache SRS需求列表 V2.1.xlsx</x:v>
      </x:c>
      <x:c r="D101" s="25" t="str">
        <x:v>L1 推理调度层</x:v>
      </x:c>
      <x:c r="E101" s="25" t="str">
        <x:v>L1 推理调度层</x:v>
      </x:c>
      <x:c r="F101" s="25" t="str">
        <x:v>TM1</x:v>
      </x:c>
      <x:c r="G101" s="25" t="str">
        <x:v>调度与路由控制</x:v>
      </x:c>
      <x:c r="H101" s="25" t="str">
        <x:v>P0</x:v>
      </x:c>
      <x:c r="I101" s="25" t="str">
        <x:v>P0</x:v>
      </x:c>
      <x:c r="J101" s="25" t="str">
        <x:v>SF-02</x:v>
      </x:c>
      <x:c r="K101" s="25" t="str">
        <x:v>IR-02-02</x:v>
      </x:c>
      <x:c r="L101" s="25" t="str">
        <x:v>SR-02-02-02</x:v>
      </x:c>
      <x:c r="M101" s="22" t="str">
        <x:v>命中 KV 加载收益判定</x:v>
      </x:c>
      <x:c r="N101" s="22" t="str">
        <x:v>本需求要求 Scheduler 在 prefix hit 后执行 load-vs-recompute admission 判断：只有当 lookup + transfer + attach + rank_sync 小于 recompute_saved_time 且满足 TTFT deadline 时才允许加载 KV，否则必须直接 recompute 或 partial recompute。</x:v>
      </x:c>
      <x:c r="O101" s="22" t="str">
        <x:v>p99 TTFT 降低 ≥20%；abandoned remote load 降低 ≥50%；</x:v>
      </x:c>
      <x:c r="P101" s="22" t="str">
        <x:v>在真实负载压测期间，全面追踪系统执行 load-vs-recompute（加载与重计算）的决策日志，并与实际执行完成的真实耗时进行比对，确保代价模型的决策符合或优于物理真实情况，误差率控制在可接受范围内。</x:v>
      </x:c>
      <x:c r="Q101" s="22" t="n">
        <x:f>COUNTIF('AR开发认领'!$C$5:$C$451,A101)</x:f>
        <x:v>3</x:v>
      </x:c>
      <x:c r="R101" s="22" t="str">
        <x:f>IF(Q101=3,"PASS","FAIL")</x:f>
        <x:v>PASS</x:v>
      </x:c>
      <x:c r="S101" s="22" t="str">
        <x:v>SF-01 / IR-01-02 / SR-01-02-01</x:v>
      </x:c>
    </x:row>
    <x:row r="102" ht="78" customHeight="1">
      <x:c r="A102" s="25" t="str">
        <x:v>L1-RT-WatermarkAdmission-024</x:v>
      </x:c>
      <x:c r="B102" s="25" t="str">
        <x:v>V2.1基线</x:v>
      </x:c>
      <x:c r="C102" s="25" t="str">
        <x:v>KVCache SRS需求列表 V2.1.xlsx</x:v>
      </x:c>
      <x:c r="D102" s="25" t="str">
        <x:v>L1 推理调度层</x:v>
      </x:c>
      <x:c r="E102" s="25" t="str">
        <x:v>L1 推理调度层</x:v>
      </x:c>
      <x:c r="F102" s="25" t="str">
        <x:v>TM1</x:v>
      </x:c>
      <x:c r="G102" s="25" t="str">
        <x:v>调度与路由控制</x:v>
      </x:c>
      <x:c r="H102" s="25" t="str">
        <x:v>P0</x:v>
      </x:c>
      <x:c r="I102" s="25" t="str">
        <x:v>P0</x:v>
      </x:c>
      <x:c r="J102" s="25" t="str">
        <x:v>SF-02</x:v>
      </x:c>
      <x:c r="K102" s="25" t="str">
        <x:v>IR-02-02</x:v>
      </x:c>
      <x:c r="L102" s="25" t="str">
        <x:v>SR-02-02-03</x:v>
      </x:c>
      <x:c r="M102" s="22" t="str">
        <x:v>级联水位高压反压准入</x:v>
      </x:c>
      <x:c r="N102" s="22" t="str">
        <x:v>本需求要求调度器引入水位驱动的强反压准入策略。当接收到 L的 Critical 水位告警时，立即切断低优先级请求的 KV 加载意图，强制将新请求降级为 Recompute 或执行排队减速，保护系统不发生 HBM OOM。</x:v>
      </x:c>
      <x:c r="O102" s="22" t="str">
        <x:v>错误Load（即Load耗时 &gt; Recompute耗时）比例下降至 &lt; 1%。</x:v>
      </x:c>
      <x:c r="P102" s="22" t="str">
        <x:v>采用128K~1M极长上下文负载并限制400G/800G网络至高拥塞状态(或QoS限速模拟尾部降级)，触发大量远端加载，观测Abandoned Hit Rate，要求低于1%算达标。</x:v>
      </x:c>
      <x:c r="Q102" s="22" t="n">
        <x:f>COUNTIF('AR开发认领'!$C$5:$C$451,A102)</x:f>
        <x:v>3</x:v>
      </x:c>
      <x:c r="R102" s="22" t="str">
        <x:f>IF(Q102=3,"PASS","FAIL")</x:f>
        <x:v>PASS</x:v>
      </x:c>
      <x:c r="S102" s="22" t="str">
        <x:v>SF-06 / IR-06-02 / SR-06-02-01</x:v>
      </x:c>
    </x:row>
    <x:row r="103" ht="78" customHeight="1">
      <x:c r="A103" s="25" t="str">
        <x:v>L1-RT-CacheAwareRouting-006</x:v>
      </x:c>
      <x:c r="B103" s="25" t="str">
        <x:v>V2.1基线</x:v>
      </x:c>
      <x:c r="C103" s="25" t="str">
        <x:v>KVCache SRS需求列表 V2.1.xlsx</x:v>
      </x:c>
      <x:c r="D103" s="25" t="str">
        <x:v>L1 推理调度层</x:v>
      </x:c>
      <x:c r="E103" s="25" t="str">
        <x:v>L1 推理调度层</x:v>
      </x:c>
      <x:c r="F103" s="25" t="str">
        <x:v>TM1</x:v>
      </x:c>
      <x:c r="G103" s="25" t="str">
        <x:v>调度与路由控制</x:v>
      </x:c>
      <x:c r="H103" s="25" t="str">
        <x:v>P1</x:v>
      </x:c>
      <x:c r="I103" s="25" t="str">
        <x:v>P0 子集 + P1 完整</x:v>
      </x:c>
      <x:c r="J103" s="25" t="str">
        <x:v>SF-02</x:v>
      </x:c>
      <x:c r="K103" s="25" t="str">
        <x:v>IR-02-02</x:v>
      </x:c>
      <x:c r="L103" s="25" t="str">
        <x:v>SR-02-02-04</x:v>
      </x:c>
      <x:c r="M103" s="22" t="str">
        <x:v>KVCache 亲和路由调度</x:v>
      </x:c>
      <x:c r="N103" s="22" t="str">
        <x:v>本需求要求 Router 在选择推理实例前查询 KV placement summary，优先将请求路由到已拥有对应 prefix KV 的 HBM、本地 DDR 或同机架远端 DDR 节点；在相同负载下，应优先提升 local usable hit rate，而不是先调度后远端搬运 KV。</x:v>
      </x:c>
      <x:c r="O103" s="22" t="str">
        <x:v>local usable hit rate 提升 ≥25%；跨节点 KV bytes/request 降低 ≥30%；</x:v>
      </x:c>
      <x:c r="P103" s="22" t="str">
        <x:v>在分布式集群环境中，使用相同的数据集并行测试 Round-Robin（轮询）与 Cache-Aware（缓存感知）两种路由策略，通过端到端监控对比两者的 Cache Hit Rate、跨节点传输数据量以及最终的 P99 TTFT，验证 Cache-Aware 的显著性能增益。</x:v>
      </x:c>
      <x:c r="Q103" s="22" t="n">
        <x:f>COUNTIF('AR开发认领'!$C$5:$C$451,A103)</x:f>
        <x:v>3</x:v>
      </x:c>
      <x:c r="R103" s="22" t="str">
        <x:f>IF(Q103=3,"PASS","FAIL")</x:f>
        <x:v>PASS</x:v>
      </x:c>
      <x:c r="S103" s="22" t="str">
        <x:v>SF-01 / IR-01-02 / SR-01-02-01</x:v>
      </x:c>
    </x:row>
    <x:row r="104" ht="78" customHeight="1">
      <x:c r="A104" s="25" t="str">
        <x:v>L1-VLLM-HIER-SCHED-002</x:v>
      </x:c>
      <x:c r="B104" s="25" t="str">
        <x:v>V2.1基线</x:v>
      </x:c>
      <x:c r="C104" s="25" t="str">
        <x:v>KVCache SRS需求列表 V2.1.xlsx</x:v>
      </x:c>
      <x:c r="D104" s="25" t="str">
        <x:v>L1 推理调度层</x:v>
      </x:c>
      <x:c r="E104" s="25" t="str">
        <x:v>L1 推理调度层</x:v>
      </x:c>
      <x:c r="F104" s="25" t="str">
        <x:v>TM1</x:v>
      </x:c>
      <x:c r="G104" s="25" t="str">
        <x:v>调度与路由控制</x:v>
      </x:c>
      <x:c r="H104" s="25" t="str">
        <x:v>P1</x:v>
      </x:c>
      <x:c r="I104" s="25" t="str">
        <x:v>P0 子集 + P1 完整</x:v>
      </x:c>
      <x:c r="J104" s="25" t="str">
        <x:v>SF-02</x:v>
      </x:c>
      <x:c r="K104" s="25" t="str">
        <x:v>IR-02-02</x:v>
      </x:c>
      <x:c r="L104" s="25" t="str">
        <x:v>SR-02-02-05</x:v>
      </x:c>
      <x:c r="M104" s="22" t="str">
        <x:v>多层异构存储调度</x:v>
      </x:c>
      <x:c r="N104" s="22" t="str">
        <x:v>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O104" s="22" t="str">
        <x:v>内存碎片率控制在&lt;5%，平均并发处理能力（QPS）提升≥10%。</x:v>
      </x:c>
      <x:c r="P104" s="22" t="str">
        <x:v>在vLLM环境设定HBM极限容量，以高于吞吐上限120%的压力注入128K极长Prompt请求，监控系统OOM次数，要求实现平滑拒绝（Admission Deny）而不崩溃。</x:v>
      </x:c>
      <x:c r="Q104" s="22" t="n">
        <x:f>COUNTIF('AR开发认领'!$C$5:$C$451,A104)</x:f>
        <x:v>3</x:v>
      </x:c>
      <x:c r="R104" s="22" t="str">
        <x:f>IF(Q104=3,"PASS","FAIL")</x:f>
        <x:v>PASS</x:v>
      </x:c>
      <x:c r="S104" s="22" t="str">
        <x:v>SF-01 / IR-01-02 / SR-01-02-01</x:v>
      </x:c>
    </x:row>
    <x:row r="105" ht="78" customHeight="1">
      <x:c r="A105" s="25" t="str">
        <x:v>L1-SGL-PFX-IDX-003</x:v>
      </x:c>
      <x:c r="B105" s="25" t="str">
        <x:v>V2.1基线</x:v>
      </x:c>
      <x:c r="C105" s="25" t="str">
        <x:v>KVCache SRS需求列表 V2.1.xlsx</x:v>
      </x:c>
      <x:c r="D105" s="25" t="str">
        <x:v>L1 推理调度层</x:v>
      </x:c>
      <x:c r="E105" s="25" t="str">
        <x:v>L1 推理调度层</x:v>
      </x:c>
      <x:c r="F105" s="25" t="str">
        <x:v>TM2</x:v>
      </x:c>
      <x:c r="G105" s="25" t="str">
        <x:v>前缀索引与命中判定</x:v>
      </x:c>
      <x:c r="H105" s="25" t="str">
        <x:v>P1</x:v>
      </x:c>
      <x:c r="I105" s="25" t="str">
        <x:v>P0 子集 + P1 完整</x:v>
      </x:c>
      <x:c r="J105" s="25" t="str">
        <x:v>SF-02</x:v>
      </x:c>
      <x:c r="K105" s="25" t="str">
        <x:v>IR-02-03</x:v>
      </x:c>
      <x:c r="L105" s="25" t="str">
        <x:v>SR-02-03-01</x:v>
      </x:c>
      <x:c r="M105" s="22" t="str">
        <x:v>前缀匹配关键路径加速</x:v>
      </x:c>
      <x:c r="N105" s="22" t="str">
        <x:v>本需求要求将SGLang RadixTree的最长前缀匹配（LPM）核心遍历函数从Python实现迁移至C++/Cython，通过SIMD（AVX2）加速节点键的字符串比较操作，并引入RCU无锁并发设计允许多个LPM查询同时执行，同时采用路径压缩减少RadixTree节点数量。</x:v>
      </x:c>
      <x:c r="O105" s="22" t="str">
        <x:v>Prefix命中判定P99耗时 &lt; 200us；在Share-Prefix业务下，Usable Hit Rate提升≥15%。</x:v>
      </x:c>
      <x:c r="P105" s="22" t="str">
        <x:v>使用ShareGPT数据集构造并发度上千(1K~5K QPS)的多轮对话负载，监控/metrics接口的prefix_lookup_latency指标，要求P99小于200us为达标。</x:v>
      </x:c>
      <x:c r="Q105" s="22" t="n">
        <x:f>COUNTIF('AR开发认领'!$C$5:$C$451,A105)</x:f>
        <x:v>3</x:v>
      </x:c>
      <x:c r="R105" s="22" t="str">
        <x:f>IF(Q105=3,"PASS","FAIL")</x:f>
        <x:v>PASS</x:v>
      </x:c>
      <x:c r="S105" s="22" t="str">
        <x:v>SF-02 / IR-02-01 / SR-02-01-01</x:v>
      </x:c>
    </x:row>
    <x:row r="106" ht="78" customHeight="1">
      <x:c r="A106" s="25" t="str">
        <x:v>L1-VLLM-PFX-SCHED-006</x:v>
      </x:c>
      <x:c r="B106" s="25" t="str">
        <x:v>V2.1基线</x:v>
      </x:c>
      <x:c r="C106" s="25" t="str">
        <x:v>KVCache SRS需求列表 V2.1.xlsx</x:v>
      </x:c>
      <x:c r="D106" s="25" t="str">
        <x:v>L1 推理调度层</x:v>
      </x:c>
      <x:c r="E106" s="25" t="str">
        <x:v>L1 推理调度层</x:v>
      </x:c>
      <x:c r="F106" s="25" t="str">
        <x:v>TM2</x:v>
      </x:c>
      <x:c r="G106" s="25" t="str">
        <x:v>前缀索引与命中判定</x:v>
      </x:c>
      <x:c r="H106" s="25" t="str">
        <x:v>P1</x:v>
      </x:c>
      <x:c r="I106" s="25" t="str">
        <x:v>P0 子集 + P1 完整</x:v>
      </x:c>
      <x:c r="J106" s="25" t="str">
        <x:v>SF-02</x:v>
      </x:c>
      <x:c r="K106" s="25" t="str">
        <x:v>IR-02-03</x:v>
      </x:c>
      <x:c r="L106" s="25" t="str">
        <x:v>SR-02-03-02</x:v>
      </x:c>
      <x:c r="M106" s="22" t="str">
        <x:v>前缀匹配关键路径解耦</x:v>
      </x:c>
      <x:c r="N106" s="22" t="str">
        <x:v>本需求要求将前缀匹配检测（哈希计算+本地查询+远端状态确认）从Scheduler决策的同步串行路径中解耦，通过独立前缀预检测Worker Pool异步执行，使Scheduler在决策时能直接读取已完成结果，远端RTT不再出现在调度关键路径上。</x:v>
      </x:c>
      <x:c r="O106" s="22" t="str">
        <x:v>Prefix命中判定P99耗时 &lt; 200us；在Share-Prefix业务下，Usable Hit Rate提升≥15%。</x:v>
      </x:c>
      <x:c r="P106" s="22" t="str">
        <x:v>使用ShareGPT数据集构造并发度上千(1K~5K QPS)的多轮对话负载，监控/metrics接口的prefix_lookup_latency指标，要求P99小于200us为达标。</x:v>
      </x:c>
      <x:c r="Q106" s="22" t="n">
        <x:f>COUNTIF('AR开发认领'!$C$5:$C$451,A106)</x:f>
        <x:v>3</x:v>
      </x:c>
      <x:c r="R106" s="22" t="str">
        <x:f>IF(Q106=3,"PASS","FAIL")</x:f>
        <x:v>PASS</x:v>
      </x:c>
      <x:c r="S106" s="22" t="str">
        <x:v>SF-02 / IR-02-01 / SR-02-01-01</x:v>
      </x:c>
    </x:row>
    <x:row r="107" ht="78" customHeight="1">
      <x:c r="A107" s="25" t="str">
        <x:v>L1-VLLM-PFX-IDX-005</x:v>
      </x:c>
      <x:c r="B107" s="25" t="str">
        <x:v>V2.1基线</x:v>
      </x:c>
      <x:c r="C107" s="25" t="str">
        <x:v>KVCache SRS需求列表 V2.1.xlsx</x:v>
      </x:c>
      <x:c r="D107" s="25" t="str">
        <x:v>L1 推理调度层</x:v>
      </x:c>
      <x:c r="E107" s="25" t="str">
        <x:v>L1 推理调度层</x:v>
      </x:c>
      <x:c r="F107" s="25" t="str">
        <x:v>TM2</x:v>
      </x:c>
      <x:c r="G107" s="25" t="str">
        <x:v>前缀索引与命中判定</x:v>
      </x:c>
      <x:c r="H107" s="25" t="str">
        <x:v>P3</x:v>
      </x:c>
      <x:c r="I107" s="25" t="str">
        <x:v>P3</x:v>
      </x:c>
      <x:c r="J107" s="25" t="str">
        <x:v>SF-02</x:v>
      </x:c>
      <x:c r="K107" s="25" t="str">
        <x:v>IR-02-03</x:v>
      </x:c>
      <x:c r="L107" s="25" t="str">
        <x:v>SR-02-03-03</x:v>
      </x:c>
      <x:c r="M107" s="22" t="str">
        <x:v>前缀匹配关键路径</x:v>
      </x:c>
      <x:c r="N107" s="22" t="str">
        <x:v>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x:v>
      </x:c>
      <x:c r="O107" s="22" t="str">
        <x:v>Prefix命中判定P99耗时 &lt; 200us；在Share-Prefix业务下，Usable Hit Rate提升≥15%。</x:v>
      </x:c>
      <x:c r="P107" s="22" t="str">
        <x:v>使用ShareGPT数据集构造并发度上千(1K~5K QPS)的多轮对话负载，监控/metrics接口的prefix_lookup_latency指标，要求P99小于200us为达标。</x:v>
      </x:c>
      <x:c r="Q107" s="22" t="n">
        <x:f>COUNTIF('AR开发认领'!$C$5:$C$451,A107)</x:f>
        <x:v>3</x:v>
      </x:c>
      <x:c r="R107" s="22" t="str">
        <x:f>IF(Q107=3,"PASS","FAIL")</x:f>
        <x:v>PASS</x:v>
      </x:c>
      <x:c r="S107" s="22" t="str">
        <x:v>SF-02 / IR-02-01 / SR-02-01-01</x:v>
      </x:c>
    </x:row>
    <x:row r="108" ht="78" customHeight="1">
      <x:c r="A108" s="25" t="str">
        <x:v>L2-KV-ConsumeEligibility-035</x:v>
      </x:c>
      <x:c r="B108" s="25" t="str">
        <x:v>V2.1基线</x:v>
      </x:c>
      <x:c r="C108" s="25" t="str">
        <x:v>KVCache SRS需求列表 V2.1.xlsx</x:v>
      </x:c>
      <x:c r="D108" s="25" t="str">
        <x:v>L2 KVConnector层</x:v>
      </x:c>
      <x:c r="E108" s="25" t="str">
        <x:v>L2 KVConnector层</x:v>
      </x:c>
      <x:c r="F108" s="25" t="str">
        <x:v>TM2</x:v>
      </x:c>
      <x:c r="G108" s="25" t="str">
        <x:v>本地元数据缓存与快速判定</x:v>
      </x:c>
      <x:c r="H108" s="25" t="str">
        <x:v>P0</x:v>
      </x:c>
      <x:c r="I108" s="25" t="str">
        <x:v>P0</x:v>
      </x:c>
      <x:c r="J108" s="25" t="str">
        <x:v>SF-02</x:v>
      </x:c>
      <x:c r="K108" s="25" t="str">
        <x:v>IR-02-04</x:v>
      </x:c>
      <x:c r="L108" s="25" t="str">
        <x:v>SR-02-04-01</x:v>
      </x:c>
      <x:c r="M108" s="22" t="str">
        <x:v>前缀命中后的可消费状态判定</x:v>
      </x:c>
      <x:c r="N108" s="22" t="str">
        <x:v>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O108" s="22" t="str">
        <x:v>Prefix命中判定P99耗时 &lt; 200us；在Share-Prefix业务下，Usable Hit Rate提升≥15%。</x:v>
      </x:c>
      <x:c r="P108" s="22" t="str">
        <x:v>使用ShareGPT数据集构造并发度上千(1K~5K QPS)的多轮对话负载，监控/metrics接口的prefix_lookup_latency指标，要求P99小于200us为达标。</x:v>
      </x:c>
      <x:c r="Q108" s="22" t="n">
        <x:f>COUNTIF('AR开发认领'!$C$5:$C$451,A108)</x:f>
        <x:v>3</x:v>
      </x:c>
      <x:c r="R108" s="22" t="str">
        <x:f>IF(Q108=3,"PASS","FAIL")</x:f>
        <x:v>PASS</x:v>
      </x:c>
      <x:c r="S108" s="22" t="str">
        <x:v>SF-01 / IR-01-02 / SR-01-02-03</x:v>
      </x:c>
    </x:row>
    <x:row r="109" ht="78" customHeight="1">
      <x:c r="A109" s="25" t="str">
        <x:v>L3-CONN-PFX-IDX-005</x:v>
      </x:c>
      <x:c r="B109" s="25" t="str">
        <x:v>V2.1基线</x:v>
      </x:c>
      <x:c r="C109" s="25" t="str">
        <x:v>KVCache SRS需求列表 V2.1.xlsx</x:v>
      </x:c>
      <x:c r="D109" s="25" t="str">
        <x:v>L3 传输管理层</x:v>
      </x:c>
      <x:c r="E109" s="25" t="str">
        <x:v>L3 传输管理层</x:v>
      </x:c>
      <x:c r="F109" s="25" t="str">
        <x:v>TM2</x:v>
      </x:c>
      <x:c r="G109" s="25" t="str">
        <x:v>本地元数据缓存与快速判定</x:v>
      </x:c>
      <x:c r="H109" s="25" t="str">
        <x:v>P0</x:v>
      </x:c>
      <x:c r="I109" s="25" t="str">
        <x:v>P0</x:v>
      </x:c>
      <x:c r="J109" s="25" t="str">
        <x:v>SF-02</x:v>
      </x:c>
      <x:c r="K109" s="25" t="str">
        <x:v>IR-02-04</x:v>
      </x:c>
      <x:c r="L109" s="25" t="str">
        <x:v>SR-02-04-02</x:v>
      </x:c>
      <x:c r="M109" s="22" t="str">
        <x:v>前缀命中快速判断</x:v>
      </x:c>
      <x:c r="N109" s="22" t="str">
        <x:v>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x:v>
      </x:c>
      <x:c r="O109" s="22" t="str">
        <x:v>Prefix命中判定P99耗时 &lt; 200us；在Share-Prefix业务下，Usable Hit Rate提升≥15%。</x:v>
      </x:c>
      <x:c r="P109" s="22" t="str">
        <x:v>使用ShareGPT数据集构造并发度上千(1K~5K QPS)的多轮对话负载，监控/metrics接口的prefix_lookup_latency指标，要求P99小于200us为达标。</x:v>
      </x:c>
      <x:c r="Q109" s="22" t="n">
        <x:f>COUNTIF('AR开发认领'!$C$5:$C$451,A109)</x:f>
        <x:v>3</x:v>
      </x:c>
      <x:c r="R109" s="22" t="str">
        <x:f>IF(Q109=3,"PASS","FAIL")</x:f>
        <x:v>PASS</x:v>
      </x:c>
      <x:c r="S109" s="22" t="str">
        <x:v>SF-02 / IR-02-01 / SR-02-01-02</x:v>
      </x:c>
    </x:row>
    <x:row r="110" ht="78" customHeight="1">
      <x:c r="A110" s="25" t="str">
        <x:v>L2-CONN-META-CACHE-004</x:v>
      </x:c>
      <x:c r="B110" s="25" t="str">
        <x:v>V2.1基线</x:v>
      </x:c>
      <x:c r="C110" s="25" t="str">
        <x:v>KVCache SRS需求列表 V2.1.xlsx</x:v>
      </x:c>
      <x:c r="D110" s="25" t="str">
        <x:v>L2 KVConnector层</x:v>
      </x:c>
      <x:c r="E110" s="25" t="str">
        <x:v>L2 KVConnector层</x:v>
      </x:c>
      <x:c r="F110" s="25" t="str">
        <x:v>TM2</x:v>
      </x:c>
      <x:c r="G110" s="25" t="str">
        <x:v>本地元数据缓存与快速判定</x:v>
      </x:c>
      <x:c r="H110" s="25" t="str">
        <x:v>P1</x:v>
      </x:c>
      <x:c r="I110" s="25" t="str">
        <x:v>P1</x:v>
      </x:c>
      <x:c r="J110" s="25" t="str">
        <x:v>SF-02</x:v>
      </x:c>
      <x:c r="K110" s="25" t="str">
        <x:v>IR-02-04</x:v>
      </x:c>
      <x:c r="L110" s="25" t="str">
        <x:v>SR-02-04-03</x:v>
      </x:c>
      <x:c r="M110" s="22" t="str">
        <x:v>前缀命中快速决策</x:v>
      </x:c>
      <x:c r="N110" s="22" t="str">
        <x:v>本需求要求在Connector层维护本地in-process元数据缓存（HashMap，默认100K条目），缓存prefix_hash到存储位置的映射关系，通过TTL过期和L3层版本号失效通知保证缓存一致性，使高频复用场景下的元数据查询从基线时延 RTT降至10μs以内。</x:v>
      </x:c>
      <x:c r="O110" s="22" t="str">
        <x:v>Prefix命中判定P99耗时 &lt; 200us；在Share-Prefix业务下，Usable Hit Rate提升≥15%。</x:v>
      </x:c>
      <x:c r="P110" s="22" t="str">
        <x:v>使用ShareGPT数据集构造并发度上千(1K~5K QPS)的多轮对话负载，监控/metrics接口的prefix_lookup_latency指标，要求P99小于200us为达标。</x:v>
      </x:c>
      <x:c r="Q110" s="22" t="n">
        <x:f>COUNTIF('AR开发认领'!$C$5:$C$451,A110)</x:f>
        <x:v>3</x:v>
      </x:c>
      <x:c r="R110" s="22" t="str">
        <x:f>IF(Q110=3,"PASS","FAIL")</x:f>
        <x:v>PASS</x:v>
      </x:c>
      <x:c r="S110" s="22" t="str">
        <x:v>SF-02 / IR-02-01 / SR-02-01-02</x:v>
      </x:c>
    </x:row>
    <x:row r="111" ht="78" customHeight="1">
      <x:c r="A111" s="25" t="str">
        <x:v>L2-PM-BatchLookup-021</x:v>
      </x:c>
      <x:c r="B111" s="25" t="str">
        <x:v>V2.1基线</x:v>
      </x:c>
      <x:c r="C111" s="25" t="str">
        <x:v>KVCache SRS需求列表 V2.1.xlsx</x:v>
      </x:c>
      <x:c r="D111" s="25" t="str">
        <x:v>L2 KVConnector层</x:v>
      </x:c>
      <x:c r="E111" s="25" t="str">
        <x:v>L2 KVConnector层</x:v>
      </x:c>
      <x:c r="F111" s="25" t="str">
        <x:v>TM2</x:v>
      </x:c>
      <x:c r="G111" s="25" t="str">
        <x:v>本地元数据缓存与快速判定</x:v>
      </x:c>
      <x:c r="H111" s="25" t="str">
        <x:v>P1</x:v>
      </x:c>
      <x:c r="I111" s="25" t="str">
        <x:v>P1</x:v>
      </x:c>
      <x:c r="J111" s="25" t="str">
        <x:v>SF-02</x:v>
      </x:c>
      <x:c r="K111" s="25" t="str">
        <x:v>IR-02-04</x:v>
      </x:c>
      <x:c r="L111" s="25" t="str">
        <x:v>SR-02-04-04</x:v>
      </x:c>
      <x:c r="M111" s="22" t="str">
        <x:v>共享前缀 KVCache 批量查询</x:v>
      </x:c>
      <x:c r="N111" s="22" t="str">
        <x:v>本需求要求 Connector 提供 batch prefix lookup API：一次提交 block hash vector、radix span 或 page hash range，返回连续命中区间、tier、location、version 和 estimated load cost，避免每个 block/page 单独访问远端目录造成 metadata RTT 风暴。</x:v>
      </x:c>
      <x:c r="O111" s="22" t="str">
        <x:v>remote lookup QPS 降低 ≥50%；lookup p99 降低 ≥30%；</x:v>
      </x:c>
      <x:c r="P111" s="22" t="str">
        <x:v>使用极长上下文 Prompt（十万至百万级别 Tokens）将其切分为大量 Block，进行批量查询（Batch Lookup）。按 Block 数量维度对系统进行扫描测试，确保查询时间不随 Block 数量呈线性恶化，达到批处理优化预期。</x:v>
      </x:c>
      <x:c r="Q111" s="22" t="n">
        <x:f>COUNTIF('AR开发认领'!$C$5:$C$451,A111)</x:f>
        <x:v>3</x:v>
      </x:c>
      <x:c r="R111" s="22" t="str">
        <x:f>IF(Q111=3,"PASS","FAIL")</x:f>
        <x:v>PASS</x:v>
      </x:c>
      <x:c r="S111" s="22" t="str">
        <x:v>SF-02 / IR-02-01 / SR-02-01-02</x:v>
      </x:c>
    </x:row>
    <x:row r="112" ht="78" customHeight="1">
      <x:c r="A112" s="25" t="str">
        <x:v>L3-MS-AtomicPublishVisibility-087</x:v>
      </x:c>
      <x:c r="B112" s="25" t="str">
        <x:v>V2.1基线</x:v>
      </x:c>
      <x:c r="C112" s="25" t="str">
        <x:v>KVCache SRS需求列表 V2.1.xlsx</x:v>
      </x:c>
      <x:c r="D112" s="25" t="str">
        <x:v>L3 传输管理层</x:v>
      </x:c>
      <x:c r="E112" s="25" t="str">
        <x:v>L3 传输管理层</x:v>
      </x:c>
      <x:c r="F112" s="25" t="str">
        <x:v>TM2</x:v>
      </x:c>
      <x:c r="G112" s="25" t="str">
        <x:v>前缀目录与元数据平面</x:v>
      </x:c>
      <x:c r="H112" s="25" t="str">
        <x:v>P0</x:v>
      </x:c>
      <x:c r="I112" s="25" t="str">
        <x:v>P0</x:v>
      </x:c>
      <x:c r="J112" s="25" t="str">
        <x:v>SF-02</x:v>
      </x:c>
      <x:c r="K112" s="25" t="str">
        <x:v>IR-02-05</x:v>
      </x:c>
      <x:c r="L112" s="25" t="str">
        <x:v>SR-02-05-01</x:v>
      </x:c>
      <x:c r="M112" s="22" t="str">
        <x:v>高吞吐低时延元数据发布一致性</x:v>
      </x:c>
      <x:c r="N112" s="22" t="str">
        <x:v>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x:v>
      </x:c>
      <x:c r="O112" s="22" t="str">
        <x:v>Prefix命中判定P99耗时 &lt; 200us；在Share-Prefix业务下，Usable Hit Rate提升≥15%。</x:v>
      </x:c>
      <x:c r="P112" s="22" t="str">
        <x:v>使用ShareGPT数据集构造并发度上千(1K~5K QPS)的多轮对话负载，监控/metrics接口的prefix_lookup_latency指标，要求P99小于200us为达标。</x:v>
      </x:c>
      <x:c r="Q112" s="22" t="n">
        <x:f>COUNTIF('AR开发认领'!$C$5:$C$451,A112)</x:f>
        <x:v>3</x:v>
      </x:c>
      <x:c r="R112" s="22" t="str">
        <x:f>IF(Q112=3,"PASS","FAIL")</x:f>
        <x:v>PASS</x:v>
      </x:c>
      <x:c r="S112" s="22" t="str">
        <x:v>SF-02 / IR-02-03 / SR-02-03-02</x:v>
      </x:c>
    </x:row>
    <x:row r="113" ht="78" customHeight="1">
      <x:c r="A113" s="25" t="str">
        <x:v>L3-MS-ConsumeEligibility-060</x:v>
      </x:c>
      <x:c r="B113" s="25" t="str">
        <x:v>V2.1基线</x:v>
      </x:c>
      <x:c r="C113" s="25" t="str">
        <x:v>KVCache SRS需求列表 V2.1.xlsx</x:v>
      </x:c>
      <x:c r="D113" s="25" t="str">
        <x:v>L3 传输管理层</x:v>
      </x:c>
      <x:c r="E113" s="25" t="str">
        <x:v>L3 传输管理层</x:v>
      </x:c>
      <x:c r="F113" s="25" t="str">
        <x:v>TM2</x:v>
      </x:c>
      <x:c r="G113" s="25" t="str">
        <x:v>前缀目录与元数据平面</x:v>
      </x:c>
      <x:c r="H113" s="25" t="str">
        <x:v>P0</x:v>
      </x:c>
      <x:c r="I113" s="25" t="str">
        <x:v>P0</x:v>
      </x:c>
      <x:c r="J113" s="25" t="str">
        <x:v>SF-02</x:v>
      </x:c>
      <x:c r="K113" s="25" t="str">
        <x:v>IR-02-05</x:v>
      </x:c>
      <x:c r="L113" s="25" t="str">
        <x:v>SR-02-05-02</x:v>
      </x:c>
      <x:c r="M113" s="22" t="str">
        <x:v>Prefix hit 后能否转化为 usable hit</x:v>
      </x:c>
      <x:c r="N113" s="22" t="str">
        <x:v>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O113" s="22" t="str">
        <x:v>Prefix命中判定P99耗时 &lt; 200us；在Share-Prefix业务下，Usable Hit Rate提升≥15%。</x:v>
      </x:c>
      <x:c r="P113" s="22" t="str">
        <x:v>使用ShareGPT数据集构造并发度上千(1K~5K QPS)的多轮对话负载，监控/metrics接口的prefix_lookup_latency指标，要求P99小于200us为达标。</x:v>
      </x:c>
      <x:c r="Q113" s="22" t="n">
        <x:f>COUNTIF('AR开发认领'!$C$5:$C$451,A113)</x:f>
        <x:v>3</x:v>
      </x:c>
      <x:c r="R113" s="22" t="str">
        <x:f>IF(Q113=3,"PASS","FAIL")</x:f>
        <x:v>PASS</x:v>
      </x:c>
      <x:c r="S113" s="22" t="str">
        <x:v>SF-01 / IR-01-02 / SR-01-02-03</x:v>
      </x:c>
    </x:row>
    <x:row r="114" ht="78" customHeight="1">
      <x:c r="A114" s="25" t="str">
        <x:v>L3-MS-DirectoryMirror-036</x:v>
      </x:c>
      <x:c r="B114" s="25" t="str">
        <x:v>V2.1基线</x:v>
      </x:c>
      <x:c r="C114" s="25" t="str">
        <x:v>KVCache SRS需求列表 V2.1.xlsx</x:v>
      </x:c>
      <x:c r="D114" s="25" t="str">
        <x:v>L3 传输管理层</x:v>
      </x:c>
      <x:c r="E114" s="25" t="str">
        <x:v>L3 传输管理层</x:v>
      </x:c>
      <x:c r="F114" s="25" t="str">
        <x:v>TM2</x:v>
      </x:c>
      <x:c r="G114" s="25" t="str">
        <x:v>前缀目录与元数据平面</x:v>
      </x:c>
      <x:c r="H114" s="25" t="str">
        <x:v>P0</x:v>
      </x:c>
      <x:c r="I114" s="25" t="str">
        <x:v>P0</x:v>
      </x:c>
      <x:c r="J114" s="25" t="str">
        <x:v>SF-02</x:v>
      </x:c>
      <x:c r="K114" s="25" t="str">
        <x:v>IR-02-05</x:v>
      </x:c>
      <x:c r="L114" s="25" t="str">
        <x:v>SR-02-05-03</x:v>
      </x:c>
      <x:c r="M114" s="22" t="str">
        <x:v>节点级 KVCache 目录镜像加速</x:v>
      </x:c>
      <x:c r="N114" s="22" t="str">
        <x:v>本需求要求每个推理节点维护 节点级目录镜像，使确定 miss 和热命中尽量在本地完成，避免分布式 directory RTT 进入 TTFT 主路径。</x:v>
      </x:c>
      <x:c r="O114" s="22" t="str">
        <x:v>remote directory RTT 降低 ≥50%；</x:v>
      </x:c>
      <x:c r="P114" s="22" t="str">
        <x:v>在包含多个机架（Rack）的物理网络拓扑中，分别测试并记录目录查询请求在同机架（Intra-rack）与跨机架（Cross-rack）时的延迟。验证目录镜像（Directory Mirror）技术确实能有效缓解跨机架的长尾查询延迟。</x:v>
      </x:c>
      <x:c r="Q114" s="22" t="n">
        <x:f>COUNTIF('AR开发认领'!$C$5:$C$451,A114)</x:f>
        <x:v>3</x:v>
      </x:c>
      <x:c r="R114" s="22" t="str">
        <x:f>IF(Q114=3,"PASS","FAIL")</x:f>
        <x:v>PASS</x:v>
      </x:c>
      <x:c r="S114" s="22" t="str">
        <x:v>SF-02 / IR-02-02 / SR-02-02-01</x:v>
      </x:c>
    </x:row>
    <x:row r="115" ht="78" customHeight="1">
      <x:c r="A115" s="25" t="str">
        <x:v>L3-MS-HotLocalIndex-070</x:v>
      </x:c>
      <x:c r="B115" s="25" t="str">
        <x:v>V2.1基线</x:v>
      </x:c>
      <x:c r="C115" s="25" t="str">
        <x:v>KVCache SRS需求列表 V2.1.xlsx</x:v>
      </x:c>
      <x:c r="D115" s="25" t="str">
        <x:v>L3 传输管理层</x:v>
      </x:c>
      <x:c r="E115" s="25" t="str">
        <x:v>L3 传输管理层</x:v>
      </x:c>
      <x:c r="F115" s="25" t="str">
        <x:v>TM2</x:v>
      </x:c>
      <x:c r="G115" s="25" t="str">
        <x:v>前缀目录与元数据平面</x:v>
      </x:c>
      <x:c r="H115" s="25" t="str">
        <x:v>P0</x:v>
      </x:c>
      <x:c r="I115" s="25" t="str">
        <x:v>P0</x:v>
      </x:c>
      <x:c r="J115" s="25" t="str">
        <x:v>SF-02</x:v>
      </x:c>
      <x:c r="K115" s="25" t="str">
        <x:v>IR-02-05</x:v>
      </x:c>
      <x:c r="L115" s="25" t="str">
        <x:v>SR-02-05-04</x:v>
      </x:c>
      <x:c r="M115" s="22" t="str">
        <x:v>Prefix lookup 避免远端 RTT 进入 TTFT</x:v>
      </x:c>
      <x:c r="N115" s="22" t="str">
        <x:v>本需求要求每个推理节点维护 hot local prefix index，采用 fast fingerprint + semantic digest + placement summary 的两级结构，使确定 miss、热 prefix hit、stale 过滤尽量在本地完成；远端目录查询只在本地无法确认时触发。</x:v>
      </x:c>
      <x:c r="O115" s="22" t="str">
        <x:v>Prefix命中判定P99耗时 &lt; 200us；在Share-Prefix业务下，Usable Hit Rate提升≥15%。</x:v>
      </x:c>
      <x:c r="P115" s="22" t="str">
        <x:v>使用ShareGPT数据集构造并发度上千(1K~5K QPS)的多轮对话负载，监控/metrics接口的prefix_lookup_latency指标，要求P99小于200us为达标。</x:v>
      </x:c>
      <x:c r="Q115" s="22" t="n">
        <x:f>COUNTIF('AR开发认领'!$C$5:$C$451,A115)</x:f>
        <x:v>3</x:v>
      </x:c>
      <x:c r="R115" s="22" t="str">
        <x:f>IF(Q115=3,"PASS","FAIL")</x:f>
        <x:v>PASS</x:v>
      </x:c>
      <x:c r="S115" s="22" t="str">
        <x:v>SF-02 / IR-02-01 / SR-02-01-02</x:v>
      </x:c>
    </x:row>
    <x:row r="116" ht="78" customHeight="1">
      <x:c r="A116" s="25" t="str">
        <x:v>L3-MS-InvalidationTombstone-066</x:v>
      </x:c>
      <x:c r="B116" s="25" t="str">
        <x:v>V2.1基线</x:v>
      </x:c>
      <x:c r="C116" s="25" t="str">
        <x:v>KVCache SRS需求列表 V2.1.xlsx</x:v>
      </x:c>
      <x:c r="D116" s="25" t="str">
        <x:v>L3 传输管理层</x:v>
      </x:c>
      <x:c r="E116" s="25" t="str">
        <x:v>L3 传输管理层</x:v>
      </x:c>
      <x:c r="F116" s="25" t="str">
        <x:v>TM2</x:v>
      </x:c>
      <x:c r="G116" s="25" t="str">
        <x:v>前缀目录与元数据平面</x:v>
      </x:c>
      <x:c r="H116" s="25" t="str">
        <x:v>P0</x:v>
      </x:c>
      <x:c r="I116" s="25" t="str">
        <x:v>P0</x:v>
      </x:c>
      <x:c r="J116" s="25" t="str">
        <x:v>SF-02</x:v>
      </x:c>
      <x:c r="K116" s="25" t="str">
        <x:v>IR-02-05</x:v>
      </x:c>
      <x:c r="L116" s="25" t="str">
        <x:v>SR-02-05-05</x:v>
      </x:c>
      <x:c r="M116" s="22" t="str">
        <x:v>旧 KV 副本复活与 stale hit 防护</x:v>
      </x:c>
      <x:c r="N116" s="22" t="str">
        <x:v>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x:v>
      </x:c>
      <x:c r="O116" s="22" t="str">
        <x:v>Prefix命中判定P99耗时 &lt; 200us；在Share-Prefix业务下，Usable Hit Rate提升≥15%。</x:v>
      </x:c>
      <x:c r="P116" s="22" t="str">
        <x:v>使用ShareGPT数据集构造并发度上千(1K~5K QPS)的多轮对话负载，监控/metrics接口的prefix_lookup_latency指标，要求P99小于200us为达标。</x:v>
      </x:c>
      <x:c r="Q116" s="22" t="n">
        <x:f>COUNTIF('AR开发认领'!$C$5:$C$451,A116)</x:f>
        <x:v>3</x:v>
      </x:c>
      <x:c r="R116" s="22" t="str">
        <x:f>IF(Q116=3,"PASS","FAIL")</x:f>
        <x:v>PASS</x:v>
      </x:c>
      <x:c r="S116" s="22" t="str">
        <x:v>SF-02 / IR-02-03 / SR-02-03-02</x:v>
      </x:c>
    </x:row>
    <x:row r="117" ht="78" customHeight="1">
      <x:c r="A117" s="25" t="str">
        <x:v>L3-MS-MetadataDataPlane-035</x:v>
      </x:c>
      <x:c r="B117" s="25" t="str">
        <x:v>V2.1基线</x:v>
      </x:c>
      <x:c r="C117" s="25" t="str">
        <x:v>KVCache SRS需求列表 V2.1.xlsx</x:v>
      </x:c>
      <x:c r="D117" s="25" t="str">
        <x:v>L3 传输管理层</x:v>
      </x:c>
      <x:c r="E117" s="25" t="str">
        <x:v>L3 传输管理层</x:v>
      </x:c>
      <x:c r="F117" s="25" t="str">
        <x:v>TM2</x:v>
      </x:c>
      <x:c r="G117" s="25" t="str">
        <x:v>前缀目录与元数据平面</x:v>
      </x:c>
      <x:c r="H117" s="25" t="str">
        <x:v>P0</x:v>
      </x:c>
      <x:c r="I117" s="25" t="str">
        <x:v>P0</x:v>
      </x:c>
      <x:c r="J117" s="25" t="str">
        <x:v>SF-02</x:v>
      </x:c>
      <x:c r="K117" s="25" t="str">
        <x:v>IR-02-05</x:v>
      </x:c>
      <x:c r="L117" s="25" t="str">
        <x:v>SR-02-05-06</x:v>
      </x:c>
      <x:c r="M117" s="22" t="str">
        <x:v>KVCache 元数据热路径加速</x:v>
      </x:c>
      <x:c r="N117" s="22" t="str">
        <x:v>本需求要求将 KV metadata plane 与 KV data plane 物理和逻辑隔离：prefix directory、manifest、ready bitmap、placement summary 优先放 UB/C2C/local DDR；大块 KV data 走 RDMA/DMA/GDS/SSD 路径。</x:v>
      </x:c>
      <x:c r="O117" s="22" t="str">
        <x:v>prefix lookup p99 降低 ≥30%；</x:v>
      </x:c>
      <x:c r="P117" s="22" t="str">
        <x:v>利用混流压测工具，在网络链路上同时拉起极限 Metadata 查询流量（超高 QPS 小包）以及 KV Data 数据传输流量（大带宽高吞吐）。验证控制面和数据面的资源隔离效果，确保元数据查询未因大流拥塞而发生饿死现象。</x:v>
      </x:c>
      <x:c r="Q117" s="22" t="n">
        <x:f>COUNTIF('AR开发认领'!$C$5:$C$451,A117)</x:f>
        <x:v>3</x:v>
      </x:c>
      <x:c r="R117" s="22" t="str">
        <x:f>IF(Q117=3,"PASS","FAIL")</x:f>
        <x:v>PASS</x:v>
      </x:c>
      <x:c r="S117" s="22" t="str">
        <x:v>SF-02 / IR-02-03 / SR-02-03-01</x:v>
      </x:c>
    </x:row>
    <x:row r="118" ht="78" customHeight="1">
      <x:c r="A118" s="25" t="str">
        <x:v>L3-MS-PrefixDirectorySchema-069</x:v>
      </x:c>
      <x:c r="B118" s="25" t="str">
        <x:v>V2.1基线</x:v>
      </x:c>
      <x:c r="C118" s="25" t="str">
        <x:v>KVCache SRS需求列表 V2.1.xlsx</x:v>
      </x:c>
      <x:c r="D118" s="25" t="str">
        <x:v>L3 传输管理层</x:v>
      </x:c>
      <x:c r="E118" s="25" t="str">
        <x:v>L3 传输管理层</x:v>
      </x:c>
      <x:c r="F118" s="25" t="str">
        <x:v>TM2</x:v>
      </x:c>
      <x:c r="G118" s="25" t="str">
        <x:v>前缀目录与元数据平面</x:v>
      </x:c>
      <x:c r="H118" s="25" t="str">
        <x:v>P0</x:v>
      </x:c>
      <x:c r="I118" s="25" t="str">
        <x:v>P0</x:v>
      </x:c>
      <x:c r="J118" s="25" t="str">
        <x:v>SF-02</x:v>
      </x:c>
      <x:c r="K118" s="25" t="str">
        <x:v>IR-02-05</x:v>
      </x:c>
      <x:c r="L118" s="25" t="str">
        <x:v>SR-02-05-07</x:v>
      </x:c>
      <x:c r="M118" s="22" t="str">
        <x:v>前缀匹配元数据结构设计</x:v>
      </x:c>
      <x:c r="N118" s="22" t="str">
        <x:v>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O118" s="22" t="str">
        <x:v>Prefix命中判定P99耗时 &lt; 200us；在Share-Prefix业务下，Usable Hit Rate提升≥15%。</x:v>
      </x:c>
      <x:c r="P118" s="22" t="str">
        <x:v>使用ShareGPT数据集构造并发度上千(1K~5K QPS)的多轮对话负载，监控/metrics接口的prefix_lookup_latency指标，要求P99小于200us为达标。</x:v>
      </x:c>
      <x:c r="Q118" s="22" t="n">
        <x:f>COUNTIF('AR开发认领'!$C$5:$C$451,A118)</x:f>
        <x:v>3</x:v>
      </x:c>
      <x:c r="R118" s="22" t="str">
        <x:f>IF(Q118=3,"PASS","FAIL")</x:f>
        <x:v>PASS</x:v>
      </x:c>
      <x:c r="S118" s="22" t="str">
        <x:v>SF-02 / IR-02-02 / SR-02-02-01</x:v>
      </x:c>
    </x:row>
    <x:row r="119" ht="78" customHeight="1">
      <x:c r="A119" s="25" t="str">
        <x:v>L3-MS-RangeBatchLookup-071</x:v>
      </x:c>
      <x:c r="B119" s="25" t="str">
        <x:v>V2.1基线</x:v>
      </x:c>
      <x:c r="C119" s="25" t="str">
        <x:v>KVCache SRS需求列表 V2.1.xlsx</x:v>
      </x:c>
      <x:c r="D119" s="25" t="str">
        <x:v>L3 传输管理层</x:v>
      </x:c>
      <x:c r="E119" s="25" t="str">
        <x:v>L3 传输管理层</x:v>
      </x:c>
      <x:c r="F119" s="25" t="str">
        <x:v>TM2</x:v>
      </x:c>
      <x:c r="G119" s="25" t="str">
        <x:v>前缀目录与元数据平面</x:v>
      </x:c>
      <x:c r="H119" s="25" t="str">
        <x:v>P0</x:v>
      </x:c>
      <x:c r="I119" s="25" t="str">
        <x:v>P0</x:v>
      </x:c>
      <x:c r="J119" s="25" t="str">
        <x:v>SF-02</x:v>
      </x:c>
      <x:c r="K119" s="25" t="str">
        <x:v>IR-02-05</x:v>
      </x:c>
      <x:c r="L119" s="25" t="str">
        <x:v>SR-02-05-08</x:v>
      </x:c>
      <x:c r="M119" s="22" t="str">
        <x:v>长前缀批量命中判定</x:v>
      </x:c>
      <x:c r="N119" s="22" t="str">
        <x:v>本需求要求 prefix directory 支持 range/batch lookup：一次输入 block hash vector、radix span 或 page range，返回最长连续可消费区间、不可消费区间、候选 placement 列表和推荐 load/recompute 分界，避免逐 block 查询造成 metadata RTT 风暴。</x:v>
      </x:c>
      <x:c r="O119" s="22" t="str">
        <x:v>Prefix命中判定P99耗时 &lt; 200us；在Share-Prefix业务下，Usable Hit Rate提升≥15%。</x:v>
      </x:c>
      <x:c r="P119" s="22" t="str">
        <x:v>使用ShareGPT数据集构造并发度上千(1K~5K QPS)的多轮对话负载，监控/metrics接口的prefix_lookup_latency指标，要求P99小于200us为达标。</x:v>
      </x:c>
      <x:c r="Q119" s="22" t="n">
        <x:f>COUNTIF('AR开发认领'!$C$5:$C$451,A119)</x:f>
        <x:v>3</x:v>
      </x:c>
      <x:c r="R119" s="22" t="str">
        <x:f>IF(Q119=3,"PASS","FAIL")</x:f>
        <x:v>PASS</x:v>
      </x:c>
      <x:c r="S119" s="22" t="str">
        <x:v>SF-02 / IR-02-01 / SR-02-01-02</x:v>
      </x:c>
    </x:row>
    <x:row r="120" ht="78" customHeight="1">
      <x:c r="A120" s="25" t="str">
        <x:v>L3-MS-ReplicaPlacementState-059</x:v>
      </x:c>
      <x:c r="B120" s="25" t="str">
        <x:v>V2.1基线</x:v>
      </x:c>
      <x:c r="C120" s="25" t="str">
        <x:v>KVCache SRS需求列表 V2.1.xlsx</x:v>
      </x:c>
      <x:c r="D120" s="25" t="str">
        <x:v>L3 传输管理层</x:v>
      </x:c>
      <x:c r="E120" s="25" t="str">
        <x:v>L3 传输管理层</x:v>
      </x:c>
      <x:c r="F120" s="25" t="str">
        <x:v>TM2</x:v>
      </x:c>
      <x:c r="G120" s="25" t="str">
        <x:v>前缀目录与元数据平面</x:v>
      </x:c>
      <x:c r="H120" s="25" t="str">
        <x:v>P0</x:v>
      </x:c>
      <x:c r="I120" s="25" t="str">
        <x:v>P0</x:v>
      </x:c>
      <x:c r="J120" s="25" t="str">
        <x:v>SF-02</x:v>
      </x:c>
      <x:c r="K120" s="25" t="str">
        <x:v>IR-02-05</x:v>
      </x:c>
      <x:c r="L120" s="25" t="str">
        <x:v>SR-02-05-09</x:v>
      </x:c>
      <x:c r="M120" s="22" t="str">
        <x:v>多副本 KV 的位置与状态管理</x:v>
      </x:c>
      <x:c r="N120" s="22" t="str">
        <x:v>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x:v>
      </x:c>
      <x:c r="O120" s="22" t="str">
        <x:v>节点动态加入/退出时的缓存失效控制在局部范围内（遵循一致性哈希比例）。</x:v>
      </x:c>
      <x:c r="P120" s="22" t="str">
        <x:v>在千卡规模集群(64+节点)压测期间，随机Kill掉1-2个节点并拉起新节点（Chaos Testing），监控Hit Rate曲线，要求降幅符合理论比例且系统在5秒内自动恢复。</x:v>
      </x:c>
      <x:c r="Q120" s="22" t="n">
        <x:f>COUNTIF('AR开发认领'!$C$5:$C$451,A120)</x:f>
        <x:v>3</x:v>
      </x:c>
      <x:c r="R120" s="22" t="str">
        <x:f>IF(Q120=3,"PASS","FAIL")</x:f>
        <x:v>PASS</x:v>
      </x:c>
      <x:c r="S120" s="22" t="str">
        <x:v>SF-02 / IR-02-02 / SR-02-02-02</x:v>
      </x:c>
    </x:row>
    <x:row r="121" ht="78" customHeight="1">
      <x:c r="A121" s="25" t="str">
        <x:v>L3-MS-StaleHitGuard-067</x:v>
      </x:c>
      <x:c r="B121" s="25" t="str">
        <x:v>V2.1基线</x:v>
      </x:c>
      <x:c r="C121" s="25" t="str">
        <x:v>KVCache SRS需求列表 V2.1.xlsx</x:v>
      </x:c>
      <x:c r="D121" s="25" t="str">
        <x:v>L3 传输管理层</x:v>
      </x:c>
      <x:c r="E121" s="25" t="str">
        <x:v>L3 传输管理层</x:v>
      </x:c>
      <x:c r="F121" s="25" t="str">
        <x:v>TM2</x:v>
      </x:c>
      <x:c r="G121" s="25" t="str">
        <x:v>前缀目录与元数据平面</x:v>
      </x:c>
      <x:c r="H121" s="25" t="str">
        <x:v>P0</x:v>
      </x:c>
      <x:c r="I121" s="25" t="str">
        <x:v>P0</x:v>
      </x:c>
      <x:c r="J121" s="25" t="str">
        <x:v>SF-02</x:v>
      </x:c>
      <x:c r="K121" s="25" t="str">
        <x:v>IR-02-05</x:v>
      </x:c>
      <x:c r="L121" s="25" t="str">
        <x:v>SR-02-05-10</x:v>
      </x:c>
      <x:c r="M121" s="22" t="str">
        <x:v>本地元数据缓存过期导致误命中</x:v>
      </x:c>
      <x:c r="N121" s="22" t="str">
        <x:v>本需求要求 L3 元数据查询结果必须携带 version、epoch、directory_generation 和 stale 标记；本地目录镜像或缓存命中时必须校验 generation，不得把 stale placement 作为可消费结果返回给 Scheduler 或 Connector。</x:v>
      </x:c>
      <x:c r="O121" s="22" t="str">
        <x:v>节点动态加入/退出时的缓存失效控制在局部范围内（遵循一致性哈希比例）。</x:v>
      </x:c>
      <x:c r="P121" s="22" t="str">
        <x:v>在千卡规模集群(64+节点)压测期间，随机Kill掉1-2个节点并拉起新节点（Chaos Testing），监控Hit Rate曲线，要求降幅符合理论比例且系统在5秒内自动恢复。</x:v>
      </x:c>
      <x:c r="Q121" s="22" t="n">
        <x:f>COUNTIF('AR开发认领'!$C$5:$C$451,A121)</x:f>
        <x:v>3</x:v>
      </x:c>
      <x:c r="R121" s="22" t="str">
        <x:f>IF(Q121=3,"PASS","FAIL")</x:f>
        <x:v>PASS</x:v>
      </x:c>
      <x:c r="S121" s="22" t="str">
        <x:v>SF-02 / IR-02-03 / SR-02-03-02</x:v>
      </x:c>
    </x:row>
    <x:row r="122" ht="78" customHeight="1">
      <x:c r="A122" s="25" t="str">
        <x:v>L3-MC-PFX-IDX-003</x:v>
      </x:c>
      <x:c r="B122" s="25" t="str">
        <x:v>V2.1基线</x:v>
      </x:c>
      <x:c r="C122" s="25" t="str">
        <x:v>KVCache SRS需求列表 V2.1.xlsx</x:v>
      </x:c>
      <x:c r="D122" s="25" t="str">
        <x:v>L3 传输管理层</x:v>
      </x:c>
      <x:c r="E122" s="25" t="str">
        <x:v>L3 传输管理层</x:v>
      </x:c>
      <x:c r="F122" s="25" t="str">
        <x:v>TM2</x:v>
      </x:c>
      <x:c r="G122" s="25" t="str">
        <x:v>前缀目录与元数据平面</x:v>
      </x:c>
      <x:c r="H122" s="25" t="str">
        <x:v>P1</x:v>
      </x:c>
      <x:c r="I122" s="25" t="str">
        <x:v>P1</x:v>
      </x:c>
      <x:c r="J122" s="25" t="str">
        <x:v>SF-02</x:v>
      </x:c>
      <x:c r="K122" s="25" t="str">
        <x:v>IR-02-05</x:v>
      </x:c>
      <x:c r="L122" s="25" t="str">
        <x:v>SR-02-05-11</x:v>
      </x:c>
      <x:c r="M122" s="22" t="str">
        <x:v>前缀命中判断加速</x:v>
      </x:c>
      <x:c r="N122" s="22" t="str">
        <x:v>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x:v>
      </x:c>
      <x:c r="O122" s="22" t="str">
        <x:v>Prefix命中判定P99耗时 &lt; 200us；在Share-Prefix业务下，Usable Hit Rate提升≥15%。</x:v>
      </x:c>
      <x:c r="P122" s="22" t="str">
        <x:v>使用ShareGPT数据集构造并发度上千(1K~5K QPS)的多轮对话负载，监控/metrics接口的prefix_lookup_latency指标，要求P99小于200us为达标。</x:v>
      </x:c>
      <x:c r="Q122" s="22" t="n">
        <x:f>COUNTIF('AR开发认领'!$C$5:$C$451,A122)</x:f>
        <x:v>3</x:v>
      </x:c>
      <x:c r="R122" s="22" t="str">
        <x:f>IF(Q122=3,"PASS","FAIL")</x:f>
        <x:v>PASS</x:v>
      </x:c>
      <x:c r="S122" s="22" t="str">
        <x:v>SF-02 / IR-02-01 / SR-02-01-02</x:v>
      </x:c>
    </x:row>
    <x:row r="123" ht="78" customHeight="1">
      <x:c r="A123" s="25" t="str">
        <x:v>L3-MC-PFX-REPL-004</x:v>
      </x:c>
      <x:c r="B123" s="25" t="str">
        <x:v>V2.1基线</x:v>
      </x:c>
      <x:c r="C123" s="25" t="str">
        <x:v>KVCache SRS需求列表 V2.1.xlsx</x:v>
      </x:c>
      <x:c r="D123" s="25" t="str">
        <x:v>L3 传输管理层</x:v>
      </x:c>
      <x:c r="E123" s="25" t="str">
        <x:v>L3 传输管理层</x:v>
      </x:c>
      <x:c r="F123" s="25" t="str">
        <x:v>TM2</x:v>
      </x:c>
      <x:c r="G123" s="25" t="str">
        <x:v>前缀目录与元数据平面</x:v>
      </x:c>
      <x:c r="H123" s="25" t="str">
        <x:v>P1</x:v>
      </x:c>
      <x:c r="I123" s="25" t="str">
        <x:v>P1</x:v>
      </x:c>
      <x:c r="J123" s="25" t="str">
        <x:v>SF-02</x:v>
      </x:c>
      <x:c r="K123" s="25" t="str">
        <x:v>IR-02-05</x:v>
      </x:c>
      <x:c r="L123" s="25" t="str">
        <x:v>SR-02-05-12</x:v>
      </x:c>
      <x:c r="M123" s="22" t="str">
        <x:v>分布式索引高可用</x:v>
      </x:c>
      <x:c r="N123" s="22" t="str">
        <x:v>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x:v>
      </x:c>
      <x:c r="O123" s="22" t="str">
        <x:v>Prefix命中判定P99耗时 &lt; 200us；在Share-Prefix业务下，Usable Hit Rate提升≥15%。</x:v>
      </x:c>
      <x:c r="P123" s="22" t="str">
        <x:v>使用ShareGPT数据集构造并发度上千(1K~5K QPS)的多轮对话负载，监控/metrics接口的prefix_lookup_latency指标，要求P99小于200us为达标。</x:v>
      </x:c>
      <x:c r="Q123" s="22" t="n">
        <x:f>COUNTIF('AR开发认领'!$C$5:$C$451,A123)</x:f>
        <x:v>3</x:v>
      </x:c>
      <x:c r="R123" s="22" t="str">
        <x:f>IF(Q123=3,"PASS","FAIL")</x:f>
        <x:v>PASS</x:v>
      </x:c>
      <x:c r="S123" s="22" t="str">
        <x:v>SF-02 / IR-02-02 / SR-02-02-01</x:v>
      </x:c>
    </x:row>
    <x:row r="124" ht="78" customHeight="1">
      <x:c r="A124" s="25" t="str">
        <x:v>L3-MS-DirectoryShardPolicy-073</x:v>
      </x:c>
      <x:c r="B124" s="25" t="str">
        <x:v>V2.1基线</x:v>
      </x:c>
      <x:c r="C124" s="25" t="str">
        <x:v>KVCache SRS需求列表 V2.1.xlsx</x:v>
      </x:c>
      <x:c r="D124" s="25" t="str">
        <x:v>L3 传输管理层</x:v>
      </x:c>
      <x:c r="E124" s="25" t="str">
        <x:v>L3 传输管理层</x:v>
      </x:c>
      <x:c r="F124" s="25" t="str">
        <x:v>TM2</x:v>
      </x:c>
      <x:c r="G124" s="25" t="str">
        <x:v>前缀目录与元数据平面</x:v>
      </x:c>
      <x:c r="H124" s="25" t="str">
        <x:v>P1</x:v>
      </x:c>
      <x:c r="I124" s="25" t="str">
        <x:v>P1</x:v>
      </x:c>
      <x:c r="J124" s="25" t="str">
        <x:v>SF-02</x:v>
      </x:c>
      <x:c r="K124" s="25" t="str">
        <x:v>IR-02-05</x:v>
      </x:c>
      <x:c r="L124" s="25" t="str">
        <x:v>SR-02-05-13</x:v>
      </x:c>
      <x:c r="M124" s="22" t="str">
        <x:v>热点前缀目录分片与镜像</x:v>
      </x:c>
      <x:c r="N124" s="22" t="str">
        <x:v>本需求要求 prefix directory 支持按 semantic identity、prefix hash、tenant/domain、model namespace 进行分片，并对 hot prefix 支持本地镜像和多副本目录，避免公共 system prompt、agent tool schema、RAG 模板等热点 prefix 造成单点目录瓶颈。</x:v>
      </x:c>
      <x:c r="O124" s="22" t="str">
        <x:v>Prefix命中判定P99耗时 &lt; 200us；在Share-Prefix业务下，Usable Hit Rate提升≥15%。</x:v>
      </x:c>
      <x:c r="P124" s="22" t="str">
        <x:v>使用ShareGPT数据集构造并发度上千(1K~5K QPS)的多轮对话负载，监控/metrics接口的prefix_lookup_latency指标，要求P99小于200us为达标。</x:v>
      </x:c>
      <x:c r="Q124" s="22" t="n">
        <x:f>COUNTIF('AR开发认领'!$C$5:$C$451,A124)</x:f>
        <x:v>3</x:v>
      </x:c>
      <x:c r="R124" s="22" t="str">
        <x:f>IF(Q124=3,"PASS","FAIL")</x:f>
        <x:v>PASS</x:v>
      </x:c>
      <x:c r="S124" s="22" t="str">
        <x:v>SF-02 / IR-02-02 / SR-02-02-01</x:v>
      </x:c>
    </x:row>
    <x:row r="125" ht="78" customHeight="1">
      <x:c r="A125" s="25" t="str">
        <x:v>L3-MS-MetadataCompactLayout-074</x:v>
      </x:c>
      <x:c r="B125" s="25" t="str">
        <x:v>V2.1基线</x:v>
      </x:c>
      <x:c r="C125" s="25" t="str">
        <x:v>KVCache SRS需求列表 V2.1.xlsx</x:v>
      </x:c>
      <x:c r="D125" s="25" t="str">
        <x:v>L3 传输管理层</x:v>
      </x:c>
      <x:c r="E125" s="25" t="str">
        <x:v>L3 传输管理层</x:v>
      </x:c>
      <x:c r="F125" s="25" t="str">
        <x:v>TM2</x:v>
      </x:c>
      <x:c r="G125" s="25" t="str">
        <x:v>前缀目录与元数据平面</x:v>
      </x:c>
      <x:c r="H125" s="25" t="str">
        <x:v>P1</x:v>
      </x:c>
      <x:c r="I125" s="25" t="str">
        <x:v>P1</x:v>
      </x:c>
      <x:c r="J125" s="25" t="str">
        <x:v>SF-02</x:v>
      </x:c>
      <x:c r="K125" s="25" t="str">
        <x:v>IR-02-05</x:v>
      </x:c>
      <x:c r="L125" s="25" t="str">
        <x:v>SR-02-05-14</x:v>
      </x:c>
      <x:c r="M125" s="22" t="str">
        <x:v>前缀元数据查询结构优化</x:v>
      </x:c>
      <x:c r="N125" s="22" t="str">
        <x:v>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O125" s="22" t="str">
        <x:v>Prefix命中判定P99耗时 &lt; 200us；在Share-Prefix业务下，Usable Hit Rate提升≥15%。</x:v>
      </x:c>
      <x:c r="P125" s="22" t="str">
        <x:v>使用ShareGPT数据集构造并发度上千(1K~5K QPS)的多轮对话负载，监控/metrics接口的prefix_lookup_latency指标，要求P99小于200us为达标。</x:v>
      </x:c>
      <x:c r="Q125" s="22" t="n">
        <x:f>COUNTIF('AR开发认领'!$C$5:$C$451,A125)</x:f>
        <x:v>3</x:v>
      </x:c>
      <x:c r="R125" s="22" t="str">
        <x:f>IF(Q125=3,"PASS","FAIL")</x:f>
        <x:v>PASS</x:v>
      </x:c>
      <x:c r="S125" s="22" t="str">
        <x:v>SF-02 / IR-02-03 / SR-02-03-01</x:v>
      </x:c>
    </x:row>
    <x:row r="126" ht="78" customHeight="1">
      <x:c r="A126" s="25" t="str">
        <x:v>L3-MS-MultiReplicaDirectory-037</x:v>
      </x:c>
      <x:c r="B126" s="25" t="str">
        <x:v>V2.1基线</x:v>
      </x:c>
      <x:c r="C126" s="25" t="str">
        <x:v>KVCache SRS需求列表 V2.1.xlsx</x:v>
      </x:c>
      <x:c r="D126" s="25" t="str">
        <x:v>L3 传输管理层</x:v>
      </x:c>
      <x:c r="E126" s="25" t="str">
        <x:v>L3 传输管理层</x:v>
      </x:c>
      <x:c r="F126" s="25" t="str">
        <x:v>TM2</x:v>
      </x:c>
      <x:c r="G126" s="25" t="str">
        <x:v>前缀目录与元数据平面</x:v>
      </x:c>
      <x:c r="H126" s="25" t="str">
        <x:v>P1</x:v>
      </x:c>
      <x:c r="I126" s="25" t="str">
        <x:v>P1</x:v>
      </x:c>
      <x:c r="J126" s="25" t="str">
        <x:v>SF-02</x:v>
      </x:c>
      <x:c r="K126" s="25" t="str">
        <x:v>IR-02-05</x:v>
      </x:c>
      <x:c r="L126" s="25" t="str">
        <x:v>SR-02-05-15</x:v>
      </x:c>
      <x:c r="M126" s="22" t="str">
        <x:v>多副本 KVCache 全局目录管理</x:v>
      </x:c>
      <x:c r="N126" s="22" t="str">
        <x:v>本需求要求全局 KV directory 支持同一 KV object 的多语义副本记录：包括 UB/C2C memory view、local DDR、remote DDR RDMA source、SSD segment、object key，并维护 version、visibility、hotness 与 cost metadata。</x:v>
      </x:c>
      <x:c r="O126" s="22" t="str">
        <x:v>path selection 命中最优副本比例 ≥90%；</x:v>
      </x:c>
      <x:c r="P126" s="22" t="str">
        <x:v>在配置了多个目录副本的架构中，模拟包含主副本的节点突然掉电（故障）或该节点网卡端口被打满（拥塞）。验证查询请求是否能立刻感知并低延迟切换至其他健康副本，保障全局寻址高可用。</x:v>
      </x:c>
      <x:c r="Q126" s="22" t="n">
        <x:f>COUNTIF('AR开发认领'!$C$5:$C$451,A126)</x:f>
        <x:v>3</x:v>
      </x:c>
      <x:c r="R126" s="22" t="str">
        <x:f>IF(Q126=3,"PASS","FAIL")</x:f>
        <x:v>PASS</x:v>
      </x:c>
      <x:c r="S126" s="22" t="str">
        <x:v>SF-02 / IR-02-02 / SR-02-02-02</x:v>
      </x:c>
    </x:row>
    <x:row r="127" ht="78" customHeight="1">
      <x:c r="A127" s="25" t="str">
        <x:v>L3-MS-TTFTIndexLayout-088</x:v>
      </x:c>
      <x:c r="B127" s="25" t="str">
        <x:v>V2.1基线</x:v>
      </x:c>
      <x:c r="C127" s="25" t="str">
        <x:v>KVCache SRS需求列表 V2.1.xlsx</x:v>
      </x:c>
      <x:c r="D127" s="25" t="str">
        <x:v>L3 传输管理层</x:v>
      </x:c>
      <x:c r="E127" s="25" t="str">
        <x:v>L3 传输管理层</x:v>
      </x:c>
      <x:c r="F127" s="25" t="str">
        <x:v>TM2</x:v>
      </x:c>
      <x:c r="G127" s="25" t="str">
        <x:v>前缀目录与元数据平面</x:v>
      </x:c>
      <x:c r="H127" s="25" t="str">
        <x:v>P1</x:v>
      </x:c>
      <x:c r="I127" s="25" t="str">
        <x:v>P1</x:v>
      </x:c>
      <x:c r="J127" s="25" t="str">
        <x:v>SF-02</x:v>
      </x:c>
      <x:c r="K127" s="25" t="str">
        <x:v>IR-02-05</x:v>
      </x:c>
      <x:c r="L127" s="25" t="str">
        <x:v>SR-02-05-16</x:v>
      </x:c>
      <x:c r="M127" s="22" t="str">
        <x:v>TTFT 关键路径高性能元数据检索</x:v>
      </x:c>
      <x:c r="N127" s="22" t="str">
        <x:v>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O127" s="22" t="str">
        <x:v>Prefix命中判定P99耗时 &lt; 200us；在Share-Prefix业务下，Usable Hit Rate提升≥15%。</x:v>
      </x:c>
      <x:c r="P127" s="22" t="str">
        <x:v>使用ShareGPT数据集构造并发度上千(1K~5K QPS)的多轮对话负载，监控/metrics接口的prefix_lookup_latency指标，要求P99小于200us为达标。</x:v>
      </x:c>
      <x:c r="Q127" s="22" t="n">
        <x:f>COUNTIF('AR开发认领'!$C$5:$C$451,A127)</x:f>
        <x:v>3</x:v>
      </x:c>
      <x:c r="R127" s="22" t="str">
        <x:f>IF(Q127=3,"PASS","FAIL")</x:f>
        <x:v>PASS</x:v>
      </x:c>
      <x:c r="S127" s="22" t="str">
        <x:v>SF-02 / IR-02-03 / SR-02-03-01</x:v>
      </x:c>
    </x:row>
    <x:row r="128" ht="78" customHeight="1">
      <x:c r="A128" s="25" t="str">
        <x:v>L3-PM-HitQuality-023</x:v>
      </x:c>
      <x:c r="B128" s="25" t="str">
        <x:v>V2.1基线</x:v>
      </x:c>
      <x:c r="C128" s="25" t="str">
        <x:v>KVCache SRS需求列表 V2.1.xlsx</x:v>
      </x:c>
      <x:c r="D128" s="25" t="str">
        <x:v>L3 传输管理层</x:v>
      </x:c>
      <x:c r="E128" s="25" t="str">
        <x:v>L3 传输管理层</x:v>
      </x:c>
      <x:c r="F128" s="25" t="str">
        <x:v>TM2</x:v>
      </x:c>
      <x:c r="G128" s="25" t="str">
        <x:v>前缀目录与元数据平面</x:v>
      </x:c>
      <x:c r="H128" s="25" t="str">
        <x:v>P1</x:v>
      </x:c>
      <x:c r="I128" s="25" t="str">
        <x:v>P1</x:v>
      </x:c>
      <x:c r="J128" s="25" t="str">
        <x:v>SF-02</x:v>
      </x:c>
      <x:c r="K128" s="25" t="str">
        <x:v>IR-02-05</x:v>
      </x:c>
      <x:c r="L128" s="25" t="str">
        <x:v>SR-02-05-17</x:v>
      </x:c>
      <x:c r="M128" s="22" t="str">
        <x:v>命中 KV 加载价值评估</x:v>
      </x:c>
      <x:c r="N128" s="22" t="str">
        <x:v>本需求要求 Connector 在返回 prefix hit 时同时返回 hit quality metadata，包括所在 tier、bytes、layout、queue depth、replica count、estimated load latency、visibility state，使 Scheduler 能判断该 hit 是否能在 TTFT budget 内转化为 usable hit。</x:v>
      </x:c>
      <x:c r="O128" s="22" t="str">
        <x:v>Prefix命中判定P99耗时 &lt; 200us；在Share-Prefix业务下，Usable Hit Rate提升≥15%。</x:v>
      </x:c>
      <x:c r="P128" s="22" t="str">
        <x:v>使用ShareGPT数据集构造并发度上千(1K~5K QPS)的多轮对话负载，监控/metrics接口的prefix_lookup_latency指标，要求P99小于200us为达标。</x:v>
      </x:c>
      <x:c r="Q128" s="22" t="n">
        <x:f>COUNTIF('AR开发认领'!$C$5:$C$451,A128)</x:f>
        <x:v>3</x:v>
      </x:c>
      <x:c r="R128" s="22" t="str">
        <x:f>IF(Q128=3,"PASS","FAIL")</x:f>
        <x:v>PASS</x:v>
      </x:c>
      <x:c r="S128" s="22" t="str">
        <x:v>SF-03 / IR-03-03 / SR-03-03-02</x:v>
      </x:c>
    </x:row>
    <x:row r="129" ht="78" customHeight="1">
      <x:c r="A129" s="25" t="str">
        <x:v>L1-SGL-PRFCH-SCHED-004</x:v>
      </x:c>
      <x:c r="B129" s="25" t="str">
        <x:v>V2.1基线</x:v>
      </x:c>
      <x:c r="C129" s="25" t="str">
        <x:v>KVCache SRS需求列表 V2.1.xlsx</x:v>
      </x:c>
      <x:c r="D129" s="25" t="str">
        <x:v>L1 推理调度层</x:v>
      </x:c>
      <x:c r="E129" s="25" t="str">
        <x:v>L1 推理调度层</x:v>
      </x:c>
      <x:c r="F129" s="25" t="str">
        <x:v>TM4</x:v>
      </x:c>
      <x:c r="G129" s="25" t="str">
        <x:v>卸载/加载与预取优化</x:v>
      </x:c>
      <x:c r="H129" s="25" t="str">
        <x:v>P2</x:v>
      </x:c>
      <x:c r="I129" s="25" t="str">
        <x:v>P2</x:v>
      </x:c>
      <x:c r="J129" s="25" t="str">
        <x:v>SF-02</x:v>
      </x:c>
      <x:c r="K129" s="25" t="str">
        <x:v>IR-02-06</x:v>
      </x:c>
      <x:c r="L129" s="25" t="str">
        <x:v>SR-02-06-01</x:v>
      </x:c>
      <x:c r="M129" s="22" t="str">
        <x:v>投机性前缀预取</x:v>
      </x:c>
      <x:c r="N129" s="22" t="str">
        <x:v>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x:v>
      </x:c>
      <x:c r="O129" s="22" t="str">
        <x:v>Prefix命中判定P99耗时 &lt; 200us；在Share-Prefix业务下，Usable Hit Rate提升≥15%。</x:v>
      </x:c>
      <x:c r="P129" s="22" t="str">
        <x:v>使用ShareGPT数据集构造并发度上千(1K~5K QPS)的多轮对话负载，监控/metrics接口的prefix_lookup_latency指标，要求P99小于200us为达标。</x:v>
      </x:c>
      <x:c r="Q129" s="22" t="n">
        <x:f>COUNTIF('AR开发认领'!$C$5:$C$451,A129)</x:f>
        <x:v>3</x:v>
      </x:c>
      <x:c r="R129" s="22" t="str">
        <x:f>IF(Q129=3,"PASS","FAIL")</x:f>
        <x:v>PASS</x:v>
      </x:c>
      <x:c r="S129" s="22" t="str">
        <x:v>SF-04 / IR-04-03 / SR-04-03-02</x:v>
      </x:c>
    </x:row>
    <x:row r="130" ht="78" customHeight="1">
      <x:c r="A130" s="25" t="str">
        <x:v>L1-SGL-SWP-XFER-002</x:v>
      </x:c>
      <x:c r="B130" s="25" t="str">
        <x:v>V2.1基线</x:v>
      </x:c>
      <x:c r="C130" s="25" t="str">
        <x:v>KVCache SRS需求列表 V2.1.xlsx</x:v>
      </x:c>
      <x:c r="D130" s="25" t="str">
        <x:v>L1 推理调度层</x:v>
      </x:c>
      <x:c r="E130" s="25" t="str">
        <x:v>L1 推理调度层</x:v>
      </x:c>
      <x:c r="F130" s="25" t="str">
        <x:v>TM4</x:v>
      </x:c>
      <x:c r="G130" s="25" t="str">
        <x:v>卸载/加载与预取优化</x:v>
      </x:c>
      <x:c r="H130" s="25" t="str">
        <x:v>P2</x:v>
      </x:c>
      <x:c r="I130" s="25" t="str">
        <x:v>P2</x:v>
      </x:c>
      <x:c r="J130" s="25" t="str">
        <x:v>SF-02</x:v>
      </x:c>
      <x:c r="K130" s="25" t="str">
        <x:v>IR-02-06</x:v>
      </x:c>
      <x:c r="L130" s="25" t="str">
        <x:v>SR-02-06-02</x:v>
      </x:c>
      <x:c r="M130" s="22" t="str">
        <x:v>流式KV加载Pipeline</x:v>
      </x:c>
      <x:c r="N130" s="22" t="str">
        <x:v>本需求要求实现SGLang的Layer级流式KVCache加载Pipeline，将整体KVCache加载从"等待全部L层就绪才开始计算"改为"每K层就绪即触发对应层的Attention计算"，通过分级 Stream与Event同步实现KVCache加载与prefill计算的深度流水线重叠。</x:v>
      </x:c>
      <x:c r="O130" s="22" t="str">
        <x:v>内存碎片率控制在&lt;5%，平均并发处理能力（QPS）提升≥10%。</x:v>
      </x:c>
      <x:c r="P130" s="22" t="str">
        <x:v>在vLLM环境设定HBM极限容量，以高于吞吐上限120%的压力注入128K极长Prompt请求，监控系统OOM次数，要求实现平滑拒绝（Admission Deny）而不崩溃。</x:v>
      </x:c>
      <x:c r="Q130" s="22" t="n">
        <x:f>COUNTIF('AR开发认领'!$C$5:$C$451,A130)</x:f>
        <x:v>3</x:v>
      </x:c>
      <x:c r="R130" s="22" t="str">
        <x:f>IF(Q130=3,"PASS","FAIL")</x:f>
        <x:v>PASS</x:v>
      </x:c>
      <x:c r="S130" s="22" t="str">
        <x:v>SF-04 / IR-04-03 / SR-04-03-01</x:v>
      </x:c>
    </x:row>
    <x:row r="131" ht="78" customHeight="1">
      <x:c r="A131" s="25" t="str">
        <x:v>L1-VLLM-PRFCH-SCHED-004</x:v>
      </x:c>
      <x:c r="B131" s="25" t="str">
        <x:v>V2.1基线</x:v>
      </x:c>
      <x:c r="C131" s="25" t="str">
        <x:v>KVCache SRS需求列表 V2.1.xlsx</x:v>
      </x:c>
      <x:c r="D131" s="25" t="str">
        <x:v>L1 推理调度层</x:v>
      </x:c>
      <x:c r="E131" s="25" t="str">
        <x:v>L1 推理调度层</x:v>
      </x:c>
      <x:c r="F131" s="25" t="str">
        <x:v>TM4</x:v>
      </x:c>
      <x:c r="G131" s="25" t="str">
        <x:v>卸载/加载与预取优化</x:v>
      </x:c>
      <x:c r="H131" s="25" t="str">
        <x:v>P2</x:v>
      </x:c>
      <x:c r="I131" s="25" t="str">
        <x:v>P2</x:v>
      </x:c>
      <x:c r="J131" s="25" t="str">
        <x:v>SF-02</x:v>
      </x:c>
      <x:c r="K131" s="25" t="str">
        <x:v>IR-02-06</x:v>
      </x:c>
      <x:c r="L131" s="25" t="str">
        <x:v>SR-02-06-03</x:v>
      </x:c>
      <x:c r="M131" s="22" t="str">
        <x:v>请求调度预取优化</x:v>
      </x:c>
      <x:c r="N131" s="22" t="str">
        <x:v>本需求要求在vLLM Scheduler中实现N步Lookahead预测机制，对请求队列中即将被调度的序列提前发起低优先级异步KVCache预取，使数据传输时延与请求排队等待时延充分重叠，从而消除Swap In等待对TTFT关键路径的影响。</x:v>
      </x:c>
      <x:c r="O131" s="22" t="str">
        <x:v>内存碎片率控制在&lt;5%，平均并发处理能力（QPS）提升≥10%。</x:v>
      </x:c>
      <x:c r="P131" s="22" t="str">
        <x:v>在vLLM环境设定HBM极限容量，以高于吞吐上限120%的压力注入128K极长Prompt请求，监控系统OOM次数，要求实现平滑拒绝（Admission Deny）而不崩溃。</x:v>
      </x:c>
      <x:c r="Q131" s="22" t="n">
        <x:f>COUNTIF('AR开发认领'!$C$5:$C$451,A131)</x:f>
        <x:v>3</x:v>
      </x:c>
      <x:c r="R131" s="22" t="str">
        <x:f>IF(Q131=3,"PASS","FAIL")</x:f>
        <x:v>PASS</x:v>
      </x:c>
      <x:c r="S131" s="22" t="str">
        <x:v>SF-04 / IR-04-03 / SR-04-03-02</x:v>
      </x:c>
    </x:row>
    <x:row r="132" ht="78" customHeight="1">
      <x:c r="A132" s="25" t="str">
        <x:v>L2-CONN-SWP-XFER-003</x:v>
      </x:c>
      <x:c r="B132" s="25" t="str">
        <x:v>V2.1基线</x:v>
      </x:c>
      <x:c r="C132" s="25" t="str">
        <x:v>KVCache SRS需求列表 V2.1.xlsx</x:v>
      </x:c>
      <x:c r="D132" s="25" t="str">
        <x:v>L2 KVConnector层</x:v>
      </x:c>
      <x:c r="E132" s="25" t="str">
        <x:v>L2 KVConnector层</x:v>
      </x:c>
      <x:c r="F132" s="25" t="str">
        <x:v>TM4</x:v>
      </x:c>
      <x:c r="G132" s="25" t="str">
        <x:v>卸载/加载与预取优化</x:v>
      </x:c>
      <x:c r="H132" s="25" t="str">
        <x:v>P2</x:v>
      </x:c>
      <x:c r="I132" s="25" t="str">
        <x:v>P2</x:v>
      </x:c>
      <x:c r="J132" s="25" t="str">
        <x:v>SF-02</x:v>
      </x:c>
      <x:c r="K132" s="25" t="str">
        <x:v>IR-02-06</x:v>
      </x:c>
      <x:c r="L132" s="25" t="str">
        <x:v>SR-02-06-04</x:v>
      </x:c>
      <x:c r="M132" s="22" t="str">
        <x:v>Swap批量传输优化</x:v>
      </x:c>
      <x:c r="N132" s="22" t="str">
        <x:v>本需求要求实现KVCache Block的批量聚合传输能力，将多个非连续Block的批量memcpy，将当前for循环逐Block传输模式替换为单次批量DMA提交，显著提升PCIe带宽利用率并降低CPU launch overhead。</x:v>
      </x:c>
      <x:c r="O132" s="22" t="str">
        <x:v>元数据转换和序列化开销降低至&lt;200ns/次。</x:v>
      </x:c>
      <x:c r="P132" s="22" t="str">
        <x:v>针对统一API层执行微基准测试（Microbenchmark），循环调用千万级别高并发KVMeta读写操作，要求平均耗时&lt;200ns。</x:v>
      </x:c>
      <x:c r="Q132" s="22" t="n">
        <x:f>COUNTIF('AR开发认领'!$C$5:$C$451,A132)</x:f>
        <x:v>3</x:v>
      </x:c>
      <x:c r="R132" s="22" t="str">
        <x:f>IF(Q132=3,"PASS","FAIL")</x:f>
        <x:v>PASS</x:v>
      </x:c>
      <x:c r="S132" s="22" t="str">
        <x:v>SF-04 / IR-04-03 / SR-04-03-01</x:v>
      </x:c>
    </x:row>
    <x:row r="133" ht="78" customHeight="1">
      <x:c r="A133" s="25" t="str">
        <x:v>L2-CONN-PRFCH-ENGINE-007</x:v>
      </x:c>
      <x:c r="B133" s="25" t="str">
        <x:v>V2.1基线</x:v>
      </x:c>
      <x:c r="C133" s="25" t="str">
        <x:v>KVCache SRS需求列表 V2.1.xlsx</x:v>
      </x:c>
      <x:c r="D133" s="25" t="str">
        <x:v>L2 KVConnector层</x:v>
      </x:c>
      <x:c r="E133" s="25" t="str">
        <x:v>L2 KVConnector层</x:v>
      </x:c>
      <x:c r="F133" s="25" t="str">
        <x:v>TM4</x:v>
      </x:c>
      <x:c r="G133" s="25" t="str">
        <x:v>预取触发与命中评估</x:v>
      </x:c>
      <x:c r="H133" s="25" t="str">
        <x:v>P2</x:v>
      </x:c>
      <x:c r="I133" s="25" t="str">
        <x:v>P2</x:v>
      </x:c>
      <x:c r="J133" s="25" t="str">
        <x:v>SF-02</x:v>
      </x:c>
      <x:c r="K133" s="25" t="str">
        <x:v>IR-02-07</x:v>
      </x:c>
      <x:c r="L133" s="25" t="str">
        <x:v>SR-02-07-01</x:v>
      </x:c>
      <x:c r="M133" s="22" t="str">
        <x:v>前缀KV隐藏加载时延</x:v>
      </x:c>
      <x:c r="N133" s="22" t="str">
        <x:v>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O133" s="22" t="str">
        <x:v>Prefix命中判定P99耗时 &lt; 200us；在Share-Prefix业务下，Usable Hit Rate提升≥15%。</x:v>
      </x:c>
      <x:c r="P133" s="22" t="str">
        <x:v>使用ShareGPT数据集构造并发度上千(1K~5K QPS)的多轮对话负载，监控/metrics接口的prefix_lookup_latency指标，要求P99小于200us为达标。</x:v>
      </x:c>
      <x:c r="Q133" s="22" t="n">
        <x:f>COUNTIF('AR开发认领'!$C$5:$C$451,A133)</x:f>
        <x:v>3</x:v>
      </x:c>
      <x:c r="R133" s="22" t="str">
        <x:f>IF(Q133=3,"PASS","FAIL")</x:f>
        <x:v>PASS</x:v>
      </x:c>
      <x:c r="S133" s="22" t="str">
        <x:v>SF-04 / IR-04-03 / SR-04-03-02</x:v>
      </x:c>
    </x:row>
    <x:row r="134" ht="78" customHeight="1">
      <x:c r="A134" s="25" t="str">
        <x:v>L3-MM-Lifecycle-009</x:v>
      </x:c>
      <x:c r="B134" s="25" t="str">
        <x:v>V2.1基线</x:v>
      </x:c>
      <x:c r="C134" s="25" t="str">
        <x:v>KVCache SRS需求列表 V2.1.xlsx</x:v>
      </x:c>
      <x:c r="D134" s="25" t="str">
        <x:v>L3 传输管理层</x:v>
      </x:c>
      <x:c r="E134" s="25" t="str">
        <x:v>L3 传输管理层</x:v>
      </x:c>
      <x:c r="F134" s="25" t="str">
        <x:v>TM3</x:v>
      </x:c>
      <x:c r="G134" s="25" t="str">
        <x:v>容量估算与生命周期</x:v>
      </x:c>
      <x:c r="H134" s="25" t="str">
        <x:v>P0</x:v>
      </x:c>
      <x:c r="I134" s="25" t="str">
        <x:v>P0</x:v>
      </x:c>
      <x:c r="J134" s="25" t="str">
        <x:v>SF-02</x:v>
      </x:c>
      <x:c r="K134" s="25" t="str">
        <x:v>IR-02-08</x:v>
      </x:c>
      <x:c r="L134" s="25" t="str">
        <x:v>SR-02-08-01</x:v>
      </x:c>
      <x:c r="M134" s="22" t="str">
        <x:v>KVCache 生命周期一致性管理</x:v>
      </x:c>
      <x:c r="N134" s="22" t="str">
        <x:v>本需求要求实现分布式 KV 生命周期状态机，将 KV block/page 明确建模为 ALLOCATED → LOADING → READY → ACTIVE → OFFLOADING → EVICTABLE → RELEASED/FAILED；异步 send/free、request finished、remote load failure 必须通过状态机完成资源回收与错误恢复。</x:v>
      </x:c>
      <x:c r="O134" s="22" t="str">
        <x:v>节点动态加入/退出时的缓存失效控制在局部范围内（遵循一致性哈希比例）。</x:v>
      </x:c>
      <x:c r="P134" s="22" t="str">
        <x:v>在千卡规模集群(64+节点)压测期间，随机Kill掉1-2个节点并拉起新节点（Chaos Testing），监控Hit Rate曲线，要求降幅符合理论比例且系统在5秒内自动恢复。</x:v>
      </x:c>
      <x:c r="Q134" s="22" t="n">
        <x:f>COUNTIF('AR开发认领'!$C$5:$C$451,A134)</x:f>
        <x:v>3</x:v>
      </x:c>
      <x:c r="R134" s="22" t="str">
        <x:f>IF(Q134=3,"PASS","FAIL")</x:f>
        <x:v>PASS</x:v>
      </x:c>
      <x:c r="S134" s="22" t="str">
        <x:v>SF-03 / IR-03-03 / SR-03-03-01</x:v>
      </x:c>
    </x:row>
    <x:row r="135" ht="78" customHeight="1">
      <x:c r="A135" s="25" t="str">
        <x:v>L1-MM-DefragAware-023</x:v>
      </x:c>
      <x:c r="B135" s="25" t="str">
        <x:v>V2.1基线</x:v>
      </x:c>
      <x:c r="C135" s="25" t="str">
        <x:v>KVCache SRS需求列表 V2.1.xlsx</x:v>
      </x:c>
      <x:c r="D135" s="25" t="str">
        <x:v>L1 推理调度层</x:v>
      </x:c>
      <x:c r="E135" s="25" t="str">
        <x:v>L1 推理调度层</x:v>
      </x:c>
      <x:c r="F135" s="25" t="str">
        <x:v>TM3</x:v>
      </x:c>
      <x:c r="G135" s="25" t="str">
        <x:v>容量估算与生命周期</x:v>
      </x:c>
      <x:c r="H135" s="25" t="str">
        <x:v>P1</x:v>
      </x:c>
      <x:c r="I135" s="25" t="str">
        <x:v>P1</x:v>
      </x:c>
      <x:c r="J135" s="25" t="str">
        <x:v>SF-02</x:v>
      </x:c>
      <x:c r="K135" s="25" t="str">
        <x:v>IR-02-08</x:v>
      </x:c>
      <x:c r="L135" s="25" t="str">
        <x:v>SR-02-08-02</x:v>
      </x:c>
      <x:c r="M135" s="22" t="str">
        <x:v>内存高碎片率推理不中断</x:v>
      </x:c>
      <x:c r="N135" s="22" t="str">
        <x:v>本需求要求 L调度器支持内存紧凑（Compaction）感知：当底层触发碎片整理时，调度器需动态规避正在被迁移的物理 Block，或通过热备 Block 替换机制维持当前推理序列的连续写入，避免碎片整理导致推理线程死锁或停顿。</x:v>
      </x:c>
      <x:c r="O135" s="22" t="str">
        <x:v>内存碎片率控制在&lt;5%，平均并发处理能力（QPS）提升≥10%。</x:v>
      </x:c>
      <x:c r="P135" s="22" t="str">
        <x:v>在vLLM环境设定HBM极限容量，以高于吞吐上限120%的压力注入128K极长Prompt请求，监控系统OOM次数，要求实现平滑拒绝（Admission Deny）而不崩溃。</x:v>
      </x:c>
      <x:c r="Q135" s="22" t="n">
        <x:f>COUNTIF('AR开发认领'!$C$5:$C$451,A135)</x:f>
        <x:v>3</x:v>
      </x:c>
      <x:c r="R135" s="22" t="str">
        <x:f>IF(Q135=3,"PASS","FAIL")</x:f>
        <x:v>PASS</x:v>
      </x:c>
      <x:c r="S135" s="22" t="str">
        <x:v>SF-03 / IR-03-03 / SR-03-03-03</x:v>
      </x:c>
    </x:row>
    <x:row r="136" ht="78" customHeight="1">
      <x:c r="A136" s="25" t="str">
        <x:v>L1-MM-KVSizing-008</x:v>
      </x:c>
      <x:c r="B136" s="25" t="str">
        <x:v>V2.1基线</x:v>
      </x:c>
      <x:c r="C136" s="25" t="str">
        <x:v>KVCache SRS需求列表 V2.1.xlsx</x:v>
      </x:c>
      <x:c r="D136" s="25" t="str">
        <x:v>L1 推理调度层</x:v>
      </x:c>
      <x:c r="E136" s="25" t="str">
        <x:v>L1 推理调度层</x:v>
      </x:c>
      <x:c r="F136" s="25" t="str">
        <x:v>TM3</x:v>
      </x:c>
      <x:c r="G136" s="25" t="str">
        <x:v>容量估算与生命周期</x:v>
      </x:c>
      <x:c r="H136" s="25" t="str">
        <x:v>P1</x:v>
      </x:c>
      <x:c r="I136" s="25" t="str">
        <x:v>P1</x:v>
      </x:c>
      <x:c r="J136" s="25" t="str">
        <x:v>SF-02</x:v>
      </x:c>
      <x:c r="K136" s="25" t="str">
        <x:v>IR-02-08</x:v>
      </x:c>
      <x:c r="L136" s="25" t="str">
        <x:v>SR-02-08-03</x:v>
      </x:c>
      <x:c r="M136" s="22" t="str">
        <x:v>模型 KVCache 容量规格化</x:v>
      </x:c>
      <x:c r="N136" s="22" t="str">
        <x:v>本需求要求提供模型结构感知的 KV block/page 容量估算 API，覆盖 MHA、GQA、MLA、sliding-window、hybrid/recurrent state、TP rank、dtype、layout version 等因素，确保 HBM/DDR/CXL/SSD 预留容量与实际 KV footprint 误差小于 5%。</x:v>
      </x:c>
      <x:c r="O136" s="22" t="str">
        <x:v>OOM/preemption 次数降低 ≥50%；</x:v>
      </x:c>
      <x:c r="P136" s="22" t="str">
        <x:v>模拟生成多组不同 Context Length 的真实 Prompt 请求，由调度器提前估算所需的 KV 内存空间，并与实际推理框架分配的字节数（Allocated Bytes）做严格的后置比对。要求在各种边界条件下估算误差率稳定保持在 &lt;5%。</x:v>
      </x:c>
      <x:c r="Q136" s="22" t="n">
        <x:f>COUNTIF('AR开发认领'!$C$5:$C$451,A136)</x:f>
        <x:v>3</x:v>
      </x:c>
      <x:c r="R136" s="22" t="str">
        <x:f>IF(Q136=3,"PASS","FAIL")</x:f>
        <x:v>PASS</x:v>
      </x:c>
      <x:c r="S136" s="22" t="str">
        <x:v>SF-03 / IR-03-01 / SR-03-01-01</x:v>
      </x:c>
    </x:row>
    <x:row r="137" ht="78" customHeight="1">
      <x:c r="A137" s="25" t="str">
        <x:v>L1-OL-ActiveWarmClass-010</x:v>
      </x:c>
      <x:c r="B137" s="25" t="str">
        <x:v>V2.1基线</x:v>
      </x:c>
      <x:c r="C137" s="25" t="str">
        <x:v>KVCache SRS需求列表 V2.1.xlsx</x:v>
      </x:c>
      <x:c r="D137" s="25" t="str">
        <x:v>L1 推理调度层</x:v>
      </x:c>
      <x:c r="E137" s="25" t="str">
        <x:v>L1 推理调度层</x:v>
      </x:c>
      <x:c r="F137" s="25" t="str">
        <x:v>TM3</x:v>
      </x:c>
      <x:c r="G137" s="25" t="str">
        <x:v>驻留策略与局部复用</x:v>
      </x:c>
      <x:c r="H137" s="25" t="str">
        <x:v>P1</x:v>
      </x:c>
      <x:c r="I137" s="25" t="str">
        <x:v>P1</x:v>
      </x:c>
      <x:c r="J137" s="25" t="str">
        <x:v>SF-02</x:v>
      </x:c>
      <x:c r="K137" s="25" t="str">
        <x:v>IR-02-09</x:v>
      </x:c>
      <x:c r="L137" s="25" t="str">
        <x:v>SR-02-09-01</x:v>
      </x:c>
      <x:c r="M137" s="22" t="str">
        <x:v>活跃 KV 与热 KV 分层驻留</x:v>
      </x:c>
      <x:c r="N137" s="22" t="str">
        <x:v>本需求要求框架层显式区分 decode-active KV 与 warm prefix KV：decode-active KV 默认必须驻留 HBM，warm prefix KV 可驻留本地 DDR、本地DDR、本地SSD 或远端节点；系统不得把低带宽 memory tier 直接当作 HBM 扩容使用。</x:v>
      </x:c>
      <x:c r="O137" s="22" t="str">
        <x:v>TPOT 不回退；HBM effective capacity 提升 ≥20%；</x:v>
      </x:c>
      <x:c r="P137" s="22" t="str">
        <x:v>部署相同的服务，同时开启 Direct-View（直接视图映射）与 Copy-to-HBM（显存拷贝）两种数据拉取模式的 A/B 测试。对比两种模式下系统整体的 TPOT 波动情况以及背景总线带宽占用率，确保最优策略能动态适配不同负载。</x:v>
      </x:c>
      <x:c r="Q137" s="22" t="n">
        <x:f>COUNTIF('AR开发认领'!$C$5:$C$451,A137)</x:f>
        <x:v>3</x:v>
      </x:c>
      <x:c r="R137" s="22" t="str">
        <x:f>IF(Q137=3,"PASS","FAIL")</x:f>
        <x:v>PASS</x:v>
      </x:c>
      <x:c r="S137" s="22" t="str">
        <x:v>SF-03 / IR-03-02 / SR-03-02-02</x:v>
      </x:c>
    </x:row>
    <x:row r="138" ht="78" customHeight="1">
      <x:c r="A138" s="25" t="str">
        <x:v>L1-OL-PartialBoundary-012</x:v>
      </x:c>
      <x:c r="B138" s="25" t="str">
        <x:v>V2.1基线</x:v>
      </x:c>
      <x:c r="C138" s="25" t="str">
        <x:v>KVCache SRS需求列表 V2.1.xlsx</x:v>
      </x:c>
      <x:c r="D138" s="25" t="str">
        <x:v>L1 推理调度层</x:v>
      </x:c>
      <x:c r="E138" s="25" t="str">
        <x:v>L1 推理调度层</x:v>
      </x:c>
      <x:c r="F138" s="25" t="str">
        <x:v>TM3</x:v>
      </x:c>
      <x:c r="G138" s="25" t="str">
        <x:v>驻留策略与局部复用</x:v>
      </x:c>
      <x:c r="H138" s="25" t="str">
        <x:v>P2</x:v>
      </x:c>
      <x:c r="I138" s="25" t="str">
        <x:v>P2</x:v>
      </x:c>
      <x:c r="J138" s="25" t="str">
        <x:v>SF-02</x:v>
      </x:c>
      <x:c r="K138" s="25" t="str">
        <x:v>IR-02-09</x:v>
      </x:c>
      <x:c r="L138" s="25" t="str">
        <x:v>SR-02-09-02</x:v>
      </x:c>
      <x:c r="M138" s="22" t="str">
        <x:v>部分前缀命中复用</x:v>
      </x:c>
      <x:c r="N138" s="22" t="str">
        <x:v>本需求要求在 partial prefix hit 场景中自动选择最优 recompute boundary：系统应根据 block/page 边界、命中长度、load 时间和 recompute 时间决定 “加载已命中 prefix + recompute suffix” 的切点，而不是在 partial hit 时简单放弃全部命中。</x:v>
      </x:c>
      <x:c r="O138" s="22" t="str">
        <x:v>prefill FLOPs/request 降低 ≥15%；</x:v>
      </x:c>
      <x:c r="P138" s="22" t="str">
        <x:v>当触发 Partial Hit 时，在日志系统中精确统计复用命中的 Tokens 数（Matched Tokens）以及被迫重新计算的 Tokens 数（Recompute Tokens），验证系统的局部加载逻辑边界准确，未发生冗余重算或丢失。</x:v>
      </x:c>
      <x:c r="Q138" s="22" t="n">
        <x:f>COUNTIF('AR开发认领'!$C$5:$C$451,A138)</x:f>
        <x:v>3</x:v>
      </x:c>
      <x:c r="R138" s="22" t="str">
        <x:f>IF(Q138=3,"PASS","FAIL")</x:f>
        <x:v>PASS</x:v>
      </x:c>
      <x:c r="S138" s="22" t="str">
        <x:v>SF-01 / IR-01-02 / SR-01-02-02</x:v>
      </x:c>
    </x:row>
    <x:row r="139" ht="78" customHeight="1">
      <x:c r="A139" s="25" t="str">
        <x:v>L1-OL-ViewVsCopy-011</x:v>
      </x:c>
      <x:c r="B139" s="25" t="str">
        <x:v>V2.1基线</x:v>
      </x:c>
      <x:c r="C139" s="25" t="str">
        <x:v>KVCache SRS需求列表 V2.1.xlsx</x:v>
      </x:c>
      <x:c r="D139" s="25" t="str">
        <x:v>L1 推理调度层</x:v>
      </x:c>
      <x:c r="E139" s="25" t="str">
        <x:v>L1 推理调度层</x:v>
      </x:c>
      <x:c r="F139" s="25" t="str">
        <x:v>TM3</x:v>
      </x:c>
      <x:c r="G139" s="25" t="str">
        <x:v>驻留策略与局部复用</x:v>
      </x:c>
      <x:c r="H139" s="25" t="str">
        <x:v>P2</x:v>
      </x:c>
      <x:c r="I139" s="25" t="str">
        <x:v>P2</x:v>
      </x:c>
      <x:c r="J139" s="25" t="str">
        <x:v>SF-02</x:v>
      </x:c>
      <x:c r="K139" s="25" t="str">
        <x:v>IR-02-09</x:v>
      </x:c>
      <x:c r="L139" s="25" t="str">
        <x:v>SR-02-09-03</x:v>
      </x:c>
      <x:c r="M139" s="22" t="str">
        <x:v>热 KV 近端访问与 HBM 回填选择</x:v>
      </x:c>
      <x:c r="N139" s="22" t="str">
        <x:v>本需求要求实现 direct-view eligibility 判断：当 KV 对象为 metadata、短 prefix span 或 warm preview 时允许memory view；当 KV 将进入 decode attention active path 时，默认 copy-to-HBM，除非 cost model 证明 direct view 不影响 TPOT。</x:v>
      </x:c>
      <x:c r="O139" s="22" t="str">
        <x:v>TTFT 不劣化，TPOT p99 回退 &lt;3%；</x:v>
      </x:c>
      <x:c r="P139" s="22" t="str">
        <x:v>构建一组按 Span（跨度）长度梯度递增（例如：从 1K 逐渐扫描至 100K Tokens）的请求集，记录每一个长度节点下使用 View 和 Copy 的耗时交叉点，输出临界值曲线并验证系统能否在此临界点自动平滑切换策略。</x:v>
      </x:c>
      <x:c r="Q139" s="22" t="n">
        <x:f>COUNTIF('AR开发认领'!$C$5:$C$451,A139)</x:f>
        <x:v>3</x:v>
      </x:c>
      <x:c r="R139" s="22" t="str">
        <x:f>IF(Q139=3,"PASS","FAIL")</x:f>
        <x:v>PASS</x:v>
      </x:c>
      <x:c r="S139" s="22" t="str">
        <x:v>SF-01 / IR-01-02 / SR-01-02-02</x:v>
      </x:c>
    </x:row>
    <x:row r="140" ht="78" customHeight="1">
      <x:c r="A140" s="25" t="str">
        <x:v>L1-SE-IntentAPI-014</x:v>
      </x:c>
      <x:c r="B140" s="25" t="str">
        <x:v>V2.1基线</x:v>
      </x:c>
      <x:c r="C140" s="25" t="str">
        <x:v>KVCache SRS需求列表 V2.1.xlsx</x:v>
      </x:c>
      <x:c r="D140" s="25" t="str">
        <x:v>L1 推理调度层</x:v>
      </x:c>
      <x:c r="E140" s="25" t="str">
        <x:v>L1 推理调度层</x:v>
      </x:c>
      <x:c r="F140" s="25" t="str">
        <x:v>TM1</x:v>
      </x:c>
      <x:c r="G140" s="25" t="str">
        <x:v>多卡协同与观测治理</x:v>
      </x:c>
      <x:c r="H140" s="25" t="str">
        <x:v>P0</x:v>
      </x:c>
      <x:c r="I140" s="25" t="str">
        <x:v>P0</x:v>
      </x:c>
      <x:c r="J140" s="25" t="str">
        <x:v>SF-02</x:v>
      </x:c>
      <x:c r="K140" s="25" t="str">
        <x:v>IR-02-10</x:v>
      </x:c>
      <x:c r="L140" s="25" t="str">
        <x:v>SR-02-10-01</x:v>
      </x:c>
      <x:c r="M140" s="22" t="str">
        <x:v>统一 KVCache 访问意图编排</x:v>
      </x:c>
      <x:c r="N140" s="22" t="str">
        <x:v>本需求要求北向接口默认采用 KVAccessIntent 语义：上层只描述操作目的、deadline、KV 大小、reuse value、visibility、fallback policy、isolation domain，不直接绑定 UB.memory、RDMA、TCP 等具体路径，由下层 policy engine 决定执行语义。</x:v>
      </x:c>
      <x:c r="O140" s="22" t="str">
        <x:v>上层后端无关；新增后端无需改 Scheduler；</x:v>
      </x:c>
      <x:c r="P140" s="22" t="str">
        <x:v>针对同一个语义层级的调度意图（Intent），将其分别下发至配置了 RDMA、CXL 和普通 TCP 网络的异构集群中运行。观察跨网络协议时的兼容性，以及系统是否能自动根据底层网络链路能力实现透明降级。</x:v>
      </x:c>
      <x:c r="Q140" s="22" t="n">
        <x:f>COUNTIF('AR开发认领'!$C$5:$C$451,A140)</x:f>
        <x:v>3</x:v>
      </x:c>
      <x:c r="R140" s="22" t="str">
        <x:f>IF(Q140=3,"PASS","FAIL")</x:f>
        <x:v>PASS</x:v>
      </x:c>
      <x:c r="S140" s="22" t="str">
        <x:v>SF-01 / IR-01-01 / SR-01-01-01</x:v>
      </x:c>
    </x:row>
    <x:row r="141" ht="78" customHeight="1">
      <x:c r="A141" s="25" t="str">
        <x:v>L1-OB-SemanticMetrics-016</x:v>
      </x:c>
      <x:c r="B141" s="25" t="str">
        <x:v>V2.1基线</x:v>
      </x:c>
      <x:c r="C141" s="25" t="str">
        <x:v>KVCache SRS需求列表 V2.1.xlsx</x:v>
      </x:c>
      <x:c r="D141" s="25" t="str">
        <x:v>L1 推理调度层</x:v>
      </x:c>
      <x:c r="E141" s="25" t="str">
        <x:v>L1 推理调度层</x:v>
      </x:c>
      <x:c r="F141" s="25" t="str">
        <x:v>TM6</x:v>
      </x:c>
      <x:c r="G141" s="25" t="str">
        <x:v>多卡协同与观测治理</x:v>
      </x:c>
      <x:c r="H141" s="25" t="str">
        <x:v>P1</x:v>
      </x:c>
      <x:c r="I141" s="25" t="str">
        <x:v>P1</x:v>
      </x:c>
      <x:c r="J141" s="25" t="str">
        <x:v>SF-02</x:v>
      </x:c>
      <x:c r="K141" s="25" t="str">
        <x:v>IR-02-10</x:v>
      </x:c>
      <x:c r="L141" s="25" t="str">
        <x:v>SR-02-10-02</x:v>
      </x:c>
      <x:c r="M141" s="22" t="str">
        <x:v>KVCache 命中收益可观测</x:v>
      </x:c>
      <x:c r="N141" s="22" t="str">
        <x:v>本需求要求框架层输出语义化 KV 命中指标，不得只统计 prefix hit rate；必须区分 raw hit、usable hit、local usable hit、view hit、bulk-load hit、stream-restore hit、abandoned hit，并记录每次请求 prefix critical path breakdown。</x:v>
      </x:c>
      <x:c r="O141" s="22" t="str">
        <x:v>指标覆盖率 受SLO约束的比例；</x:v>
      </x:c>
      <x:c r="P141" s="22" t="str">
        <x:v>在系统的端到端请求 Trace 中，要求每一次涉及前缀命中的推理请求均需包含详细的关键路径击穿图（Critical Path Breakdown），涵盖 Lookup、Transfer、Attach 及 Sync 等环节的时延占比，方便问题追溯。</x:v>
      </x:c>
      <x:c r="Q141" s="22" t="n">
        <x:f>COUNTIF('AR开发认领'!$C$5:$C$451,A141)</x:f>
        <x:v>3</x:v>
      </x:c>
      <x:c r="R141" s="22" t="str">
        <x:f>IF(Q141=3,"PASS","FAIL")</x:f>
        <x:v>PASS</x:v>
      </x:c>
      <x:c r="S141" s="22" t="str">
        <x:v>SF-06 / IR-06-03 / SR-06-03-01</x:v>
      </x:c>
    </x:row>
    <x:row r="142" ht="78" customHeight="1">
      <x:c r="A142" s="25" t="str">
        <x:v>L1-PD-RankConsensus-013</x:v>
      </x:c>
      <x:c r="B142" s="25" t="str">
        <x:v>V2.1基线</x:v>
      </x:c>
      <x:c r="C142" s="25" t="str">
        <x:v>KVCache SRS需求列表 V2.1.xlsx</x:v>
      </x:c>
      <x:c r="D142" s="25" t="str">
        <x:v>L1 推理调度层</x:v>
      </x:c>
      <x:c r="E142" s="25" t="str">
        <x:v>L1 推理调度层</x:v>
      </x:c>
      <x:c r="F142" s="25" t="str">
        <x:v>TM5</x:v>
      </x:c>
      <x:c r="G142" s="25" t="str">
        <x:v>多卡协同与观测治理</x:v>
      </x:c>
      <x:c r="H142" s="25" t="str">
        <x:v>P1</x:v>
      </x:c>
      <x:c r="I142" s="25" t="str">
        <x:v>P1</x:v>
      </x:c>
      <x:c r="J142" s="25" t="str">
        <x:v>SF-02</x:v>
      </x:c>
      <x:c r="K142" s="25" t="str">
        <x:v>IR-02-10</x:v>
      </x:c>
      <x:c r="L142" s="25" t="str">
        <x:v>SR-02-10-03</x:v>
      </x:c>
      <x:c r="M142" s="22" t="str">
        <x:v>多卡共享前缀一致复用</x:v>
      </x:c>
      <x:c r="N142" s="22" t="str">
        <x:v>本需求要求在 TP/PP/P-D 分离场景中实现 rank-level prefix consensus：所有参与 rank 必须对 usable prefix length、KV version、ready bitmap、layout version 达成一致后才允许 attach；若 rank 间不一致，必须取 min-safe prefix 或降级 recompute。</x:v>
      </x:c>
      <x:c r="O142" s="22" t="str">
        <x:v>correctness fault = 0；rank wait p99 &lt;100us；</x:v>
      </x:c>
      <x:c r="P142" s="22" t="str">
        <x:v>在多卡张量并行（TP）或流水线并行（PP）的环境下，随机将某几个计算节点（Rank）人为断网或 Crash 进行故障注入。验证系统的多卡共识机制能否及时发现不一致，并安全触发 Fallback 避免全局死锁。</x:v>
      </x:c>
      <x:c r="Q142" s="22" t="n">
        <x:f>COUNTIF('AR开发认领'!$C$5:$C$451,A142)</x:f>
        <x:v>3</x:v>
      </x:c>
      <x:c r="R142" s="22" t="str">
        <x:f>IF(Q142=3,"PASS","FAIL")</x:f>
        <x:v>PASS</x:v>
      </x:c>
      <x:c r="S142" s="22" t="str">
        <x:v>SF-01 / IR-01-03 / SR-01-03-01</x:v>
      </x:c>
    </x:row>
    <x:row r="143" ht="78" customHeight="1">
      <x:c r="A143" s="25" t="str">
        <x:v>L1-SE-ExpertOverride-015</x:v>
      </x:c>
      <x:c r="B143" s="25" t="str">
        <x:v>V2.1基线</x:v>
      </x:c>
      <x:c r="C143" s="25" t="str">
        <x:v>KVCache SRS需求列表 V2.1.xlsx</x:v>
      </x:c>
      <x:c r="D143" s="25" t="str">
        <x:v>L1 推理调度层</x:v>
      </x:c>
      <x:c r="E143" s="25" t="str">
        <x:v>L1 推理调度层</x:v>
      </x:c>
      <x:c r="F143" s="25" t="str">
        <x:v>TM1</x:v>
      </x:c>
      <x:c r="G143" s="25" t="str">
        <x:v>多卡协同与观测治理</x:v>
      </x:c>
      <x:c r="H143" s="25" t="str">
        <x:v>P3</x:v>
      </x:c>
      <x:c r="I143" s="25" t="str">
        <x:v>P3</x:v>
      </x:c>
      <x:c r="J143" s="25" t="str">
        <x:v>SF-02</x:v>
      </x:c>
      <x:c r="K143" s="25" t="str">
        <x:v>IR-02-10</x:v>
      </x:c>
      <x:c r="L143" s="25" t="str">
        <x:v>SR-02-10-04</x:v>
      </x:c>
      <x:c r="M143" s="22" t="str">
        <x:v>专家级 KV 传输策略控制</x:v>
      </x:c>
      <x:c r="N143" s="22" t="str">
        <x:v>本需求要求在默认 intent API 之外提供专家级 override：允许研发和运维在 A/B 实验、故障绕行、极致性能调优中显式指定 preferred semantics、forbidden semantics、force copy-to-HBM、allow direct view、forbid TCP fallback 等策略。</x:v>
      </x:c>
      <x:c r="O143" s="22" t="str">
        <x:v>path selection 可控；</x:v>
      </x:c>
      <x:c r="P143" s="22" t="str">
        <x:v>通过北向 API 或环境变量强制覆盖底层智能决策，指定特定的传输路径（例如：强制走远端 SSD）。运行基准测试，验证系统的实际执行流是否 100% 遵从该强制配置，用于专家模式下的定向调优和 Debug。</x:v>
      </x:c>
      <x:c r="Q143" s="22" t="n">
        <x:f>COUNTIF('AR开发认领'!$C$5:$C$451,A143)</x:f>
        <x:v>3</x:v>
      </x:c>
      <x:c r="R143" s="22" t="str">
        <x:f>IF(Q143=3,"PASS","FAIL")</x:f>
        <x:v>PASS</x:v>
      </x:c>
      <x:c r="S143" s="22" t="str">
        <x:v>SF-01 / IR-01-03 / SR-01-03-02</x:v>
      </x:c>
    </x:row>
    <x:row r="144" ht="78" customHeight="1">
      <x:c r="A144" s="25" t="str">
        <x:v>L3-OB-PerPathTelemetry-047</x:v>
      </x:c>
      <x:c r="B144" s="25" t="str">
        <x:v>V2.1基线</x:v>
      </x:c>
      <x:c r="C144" s="25" t="str">
        <x:v>KVCache SRS需求列表 V2.1.xlsx</x:v>
      </x:c>
      <x:c r="D144" s="25" t="str">
        <x:v>L3 传输管理层</x:v>
      </x:c>
      <x:c r="E144" s="25" t="str">
        <x:v>L3 传输管理层</x:v>
      </x:c>
      <x:c r="F144" s="25" t="str">
        <x:v>TM6</x:v>
      </x:c>
      <x:c r="G144" s="25" t="str">
        <x:v>全路径观测与故障追踪</x:v>
      </x:c>
      <x:c r="H144" s="25" t="str">
        <x:v>P0</x:v>
      </x:c>
      <x:c r="I144" s="25" t="str">
        <x:v>P0</x:v>
      </x:c>
      <x:c r="J144" s="25" t="str">
        <x:v>SF-02</x:v>
      </x:c>
      <x:c r="K144" s="25" t="str">
        <x:v>IR-02-11</x:v>
      </x:c>
      <x:c r="L144" s="25" t="str">
        <x:v>SR-02-11-01</x:v>
      </x:c>
      <x:c r="M144" s="22" t="str">
        <x:v>KVCache 全路径性能观测</x:v>
      </x:c>
      <x:c r="N144" s="22" t="str">
        <x:v>本需求要求 Transfer Manager 按路径持续导出 telemetry：包括 UB/C2C view latency、RDMA bandwidth、RDMA CQ latency、copy engine queue、SSD/GDS latency、TCP p99、retry、throttle、fault 和 fallback count。</x:v>
      </x:c>
      <x:c r="O144" s="22" t="str">
        <x:v>load cost 预测误差 &lt;20%；</x:v>
      </x:c>
      <x:c r="P144" s="22" t="str">
        <x:v>对比系统底层 Telemetry 探针实时采集上报的网络与硬件延迟数据（如 RDMA CQ 事件耗时、PCIe 拥塞指标），与上层应用实际端到端感知到的 Transfer 时延记录进行对齐检查。两者的相关性和数值必须在毫秒级吻合。</x:v>
      </x:c>
      <x:c r="Q144" s="22" t="n">
        <x:f>COUNTIF('AR开发认领'!$C$5:$C$451,A144)</x:f>
        <x:v>3</x:v>
      </x:c>
      <x:c r="R144" s="22" t="str">
        <x:f>IF(Q144=3,"PASS","FAIL")</x:f>
        <x:v>PASS</x:v>
      </x:c>
      <x:c r="S144" s="22" t="str">
        <x:v>SF-06 / IR-06-03 / SR-06-03-02</x:v>
      </x:c>
    </x:row>
    <x:row r="145" ht="78" customHeight="1">
      <x:c r="A145" s="25" t="str">
        <x:v>L3-FT-FallbackTrace-046</x:v>
      </x:c>
      <x:c r="B145" s="25" t="str">
        <x:v>V2.1基线</x:v>
      </x:c>
      <x:c r="C145" s="25" t="str">
        <x:v>KVCache SRS需求列表 V2.1.xlsx</x:v>
      </x:c>
      <x:c r="D145" s="25" t="str">
        <x:v>L3 传输管理层</x:v>
      </x:c>
      <x:c r="E145" s="25" t="str">
        <x:v>L3 传输管理层</x:v>
      </x:c>
      <x:c r="F145" s="25" t="str">
        <x:v>TM6</x:v>
      </x:c>
      <x:c r="G145" s="25" t="str">
        <x:v>全路径观测与故障追踪</x:v>
      </x:c>
      <x:c r="H145" s="25" t="str">
        <x:v>P1</x:v>
      </x:c>
      <x:c r="I145" s="25" t="str">
        <x:v>P1</x:v>
      </x:c>
      <x:c r="J145" s="25" t="str">
        <x:v>SF-02</x:v>
      </x:c>
      <x:c r="K145" s="25" t="str">
        <x:v>IR-02-11</x:v>
      </x:c>
      <x:c r="L145" s="25" t="str">
        <x:v>SR-02-11-02</x:v>
      </x:c>
      <x:c r="M145" s="22" t="str">
        <x:v>KVCache 降级链路故障追踪</x:v>
      </x:c>
      <x:c r="N145" s="22" t="str">
        <x:v>本需求要求为每次路径降级生成 fallback causality trace：记录 view→bulk、bulk→stream、bulk→recompute 或 RDMA→TCP 的触发原因、耗时、丢失收益、影响请求和关联硬件 telemetry。</x:v>
      </x:c>
      <x:c r="O145" s="22" t="str">
        <x:v>建立统一降级追踪根因体系，MTTR降低至分钟级；同时要求探针常态开销不超过总体 P99 TPOT 的 1%。</x:v>
      </x:c>
      <x:c r="P145" s="22" t="str">
        <x:v>通过 Chaos 工具在各个层级持续随机注入错误（网卡断连、SSD 降速等）。然后全量审查相关的 Fallback 补偿动作日志，核对是否 100% 的补偿动作都具备独立唯一的 Trace ID 且明确标记了可定位的 Root Cause（根本原因）。</x:v>
      </x:c>
      <x:c r="Q145" s="22" t="n">
        <x:f>COUNTIF('AR开发认领'!$C$5:$C$451,A145)</x:f>
        <x:v>3</x:v>
      </x:c>
      <x:c r="R145" s="22" t="str">
        <x:f>IF(Q145=3,"PASS","FAIL")</x:f>
        <x:v>PASS</x:v>
      </x:c>
      <x:c r="S145" s="22" t="str">
        <x:v>SF-05 / IR-05-03 / SR-05-03-03</x:v>
      </x:c>
    </x:row>
    <x:row r="146" ht="78" customHeight="1">
      <x:c r="A146" s="25" t="str">
        <x:v>L3-MS-UBC2CTier-055</x:v>
      </x:c>
      <x:c r="B146" s="25" t="str">
        <x:v>V2.1基线</x:v>
      </x:c>
      <x:c r="C146" s="25" t="str">
        <x:v>KVCache SRS需求列表 V2.1.xlsx</x:v>
      </x:c>
      <x:c r="D146" s="25" t="str">
        <x:v>L3 传输管理层</x:v>
      </x:c>
      <x:c r="E146" s="25" t="str">
        <x:v>L3 传输管理层</x:v>
      </x:c>
      <x:c r="F146" s="25" t="str">
        <x:v>TM6</x:v>
      </x:c>
      <x:c r="G146" s="25" t="str">
        <x:v>全路径观测与故障追踪</x:v>
      </x:c>
      <x:c r="H146" s="25" t="str">
        <x:v>P1</x:v>
      </x:c>
      <x:c r="I146" s="25" t="str">
        <x:v>P1</x:v>
      </x:c>
      <x:c r="J146" s="25" t="str">
        <x:v>SF-02</x:v>
      </x:c>
      <x:c r="K146" s="25" t="str">
        <x:v>IR-02-11</x:v>
      </x:c>
      <x:c r="L146" s="25" t="str">
        <x:v>SR-02-11-03</x:v>
      </x:c>
      <x:c r="M146" s="22" t="str">
        <x:v>UBlink-C2C 近端热 KV 存储扩展</x:v>
      </x:c>
      <x:c r="N146" s="22" t="str">
        <x:v>本需求要求 UB/C2C memory tier 首先承载KVCache相关的元数据，譬如 prefix metadata、directory mirror、manifest、ready bitmap、warm KV staging，而不是直接承载大规模 decode-active KV；若用于 direct KV view，必须由 view-vs-copy cost model 判定。</x:v>
      </x:c>
      <x:c r="O146" s="22" t="str">
        <x:v>Prefix命中判定P99耗时 &lt; 200us；在Share-Prefix业务下，Usable Hit Rate提升≥15%。</x:v>
      </x:c>
      <x:c r="P146" s="22" t="str">
        <x:v>使用ShareGPT数据集构造并发度上千(1K~5K QPS)的多轮对话负载，监控/metrics接口的prefix_lookup_latency指标，要求P99小于200us为达标。</x:v>
      </x:c>
      <x:c r="Q146" s="22" t="n">
        <x:f>COUNTIF('AR开发认领'!$C$5:$C$451,A146)</x:f>
        <x:v>3</x:v>
      </x:c>
      <x:c r="R146" s="22" t="str">
        <x:f>IF(Q146=3,"PASS","FAIL")</x:f>
        <x:v>PASS</x:v>
      </x:c>
      <x:c r="S146" s="22" t="str">
        <x:v>SF-04 / IR-04-02 / SR-04-02-03</x:v>
      </x:c>
    </x:row>
    <x:row r="147" ht="78" customHeight="1">
      <x:c r="A147" s="25" t="str">
        <x:v>L3-OB-KVStateTrace-083</x:v>
      </x:c>
      <x:c r="B147" s="25" t="str">
        <x:v>V2.1基线</x:v>
      </x:c>
      <x:c r="C147" s="25" t="str">
        <x:v>KVCache SRS需求列表 V2.1.xlsx</x:v>
      </x:c>
      <x:c r="D147" s="25" t="str">
        <x:v>L3 传输管理层</x:v>
      </x:c>
      <x:c r="E147" s="25" t="str">
        <x:v>L3 传输管理层</x:v>
      </x:c>
      <x:c r="F147" s="25" t="str">
        <x:v>TM6</x:v>
      </x:c>
      <x:c r="G147" s="25" t="str">
        <x:v>全路径观测与故障追踪</x:v>
      </x:c>
      <x:c r="H147" s="25" t="str">
        <x:v>P1</x:v>
      </x:c>
      <x:c r="I147" s="25" t="str">
        <x:v>P1</x:v>
      </x:c>
      <x:c r="J147" s="25" t="str">
        <x:v>SF-02</x:v>
      </x:c>
      <x:c r="K147" s="25" t="str">
        <x:v>IR-02-11</x:v>
      </x:c>
      <x:c r="L147" s="25" t="str">
        <x:v>SR-02-11-04</x:v>
      </x:c>
      <x:c r="M147" s="22" t="str">
        <x:v>KV 状态迁移可追踪</x:v>
      </x:c>
      <x:c r="N147" s="22" t="str">
        <x:v>本需求要求为每个 KV object 记录状态迁移 trace，至少包含 publish、commit、lookup、load、attach、detach、migrate、evict、invalidate、quarantine 的时间、触发方、旧状态、新状态和失败原因，支撑“命中了但无法消费”的根因定位。</x:v>
      </x:c>
      <x:c r="O147" s="22" t="str">
        <x:v>节点动态加入/退出时的缓存失效控制在局部范围内（遵循一致性哈希比例）。</x:v>
      </x:c>
      <x:c r="P147" s="22" t="str">
        <x:v>在千卡规模集群(64+节点)压测期间，随机Kill掉1-2个节点并拉起新节点（Chaos Testing），监控Hit Rate曲线，要求降幅符合理论比例且系统在5秒内自动恢复。</x:v>
      </x:c>
      <x:c r="Q147" s="22" t="n">
        <x:f>COUNTIF('AR开发认领'!$C$5:$C$451,A147)</x:f>
        <x:v>3</x:v>
      </x:c>
      <x:c r="R147" s="22" t="str">
        <x:f>IF(Q147=3,"PASS","FAIL")</x:f>
        <x:v>PASS</x:v>
      </x:c>
      <x:c r="S147" s="22" t="str">
        <x:v>SF-06 / IR-06-03 / SR-06-03-03</x:v>
      </x:c>
    </x:row>
    <x:row r="148" ht="78" customHeight="1">
      <x:c r="A148" s="25" t="str">
        <x:v>L3-CTRL-KVInspectAPI-084</x:v>
      </x:c>
      <x:c r="B148" s="25" t="str">
        <x:v>V2.1基线</x:v>
      </x:c>
      <x:c r="C148" s="25" t="str">
        <x:v>KVCache SRS需求列表 V2.1.xlsx</x:v>
      </x:c>
      <x:c r="D148" s="25" t="str">
        <x:v>L3 传输管理层</x:v>
      </x:c>
      <x:c r="E148" s="25" t="str">
        <x:v>L3 传输管理层</x:v>
      </x:c>
      <x:c r="F148" s="25" t="str">
        <x:v>TM6</x:v>
      </x:c>
      <x:c r="G148" s="25" t="str">
        <x:v>全路径观测与故障追踪</x:v>
      </x:c>
      <x:c r="H148" s="25" t="str">
        <x:v>P2</x:v>
      </x:c>
      <x:c r="I148" s="25" t="str">
        <x:v>P2</x:v>
      </x:c>
      <x:c r="J148" s="25" t="str">
        <x:v>SF-02</x:v>
      </x:c>
      <x:c r="K148" s="25" t="str">
        <x:v>IR-02-11</x:v>
      </x:c>
      <x:c r="L148" s="25" t="str">
        <x:v>SR-02-11-05</x:v>
      </x:c>
      <x:c r="M148" s="22" t="str">
        <x:v>统一 KV 内存池运维排障</x:v>
      </x:c>
      <x:c r="N148" s="22" t="str">
        <x:v>本需求要求提供 KV object inspect 管理接口，可查询 object_id/prefix_hash 对应的 semantic identity、状态机状态、placement 列表、manifest、lease/refcount、version、ready bitmap、last access 和当前推荐消费路径。</x:v>
      </x:c>
      <x:c r="O148" s="22" t="str">
        <x:v>Prefix命中判定P99耗时 &lt; 200us；在Share-Prefix业务下，Usable Hit Rate提升≥15%。</x:v>
      </x:c>
      <x:c r="P148" s="22" t="str">
        <x:v>使用ShareGPT数据集构造并发度上千(1K~5K QPS)的多轮对话负载，监控/metrics接口的prefix_lookup_latency指标，要求P99小于200us为达标。</x:v>
      </x:c>
      <x:c r="Q148" s="22" t="n">
        <x:f>COUNTIF('AR开发认领'!$C$5:$C$451,A148)</x:f>
        <x:v>3</x:v>
      </x:c>
      <x:c r="R148" s="22" t="str">
        <x:f>IF(Q148=3,"PASS","FAIL")</x:f>
        <x:v>PASS</x:v>
      </x:c>
      <x:c r="S148" s="22" t="str">
        <x:v>SF-06 / IR-06-03 / SR-06-03-03</x:v>
      </x:c>
    </x:row>
    <x:row r="149" ht="78" customHeight="1">
      <x:c r="A149" s="25" t="str">
        <x:v>SE-MONITOR-001</x:v>
      </x:c>
      <x:c r="B149" s="25" t="str">
        <x:v>V2.1工程建议</x:v>
      </x:c>
      <x:c r="C149" s="25" t="str">
        <x:v>KVCache SRS需求列表 V2.1.xlsx</x:v>
      </x:c>
      <x:c r="D149" s="25" t="str">
        <x:v>软件工程开发实施建议</x:v>
      </x:c>
      <x:c r="E149" s="25" t="str">
        <x:v>SE 工程保障</x:v>
      </x:c>
      <x:c r="F149" s="25" t="str">
        <x:v>TM6</x:v>
      </x:c>
      <x:c r="G149" s="25" t="str">
        <x:v>工程质量与交付工具链</x:v>
      </x:c>
      <x:c r="H149" s="25" t="str">
        <x:v>P1</x:v>
      </x:c>
      <x:c r="I149" s="25" t="str">
        <x:v>阶段2前完成核心路径无锁打点及监控展示。</x:v>
      </x:c>
      <x:c r="J149" s="25" t="str">
        <x:v>SF-02</x:v>
      </x:c>
      <x:c r="K149" s="25" t="str">
        <x:v>IR-02-12</x:v>
      </x:c>
      <x:c r="L149" s="25" t="str">
        <x:v>SR-02-12-01</x:v>
      </x:c>
      <x:c r="M149" s="22" t="str">
        <x:v>线上业务巡检，性能瓶颈快速排查，智能调度决策的数据支撑。</x:v>
      </x:c>
      <x:c r="N149" s="22" t="str">
        <x:v>建立KVCache专用的细粒度性能监控大盘，采集命中率(Hit Rate)、各介质I/O读写延迟分位、带宽利用率、TTFT/TPOT等核心业务指标。</x:v>
      </x:c>
      <x:c r="O149" s="22" t="str">
        <x:v>大盘指标采集刷新延迟 &lt; 5s，对主业务端到端性能损耗影响 &lt; 1%。</x:v>
      </x:c>
      <x:c r="P149" s="22" t="str">
        <x:v>提供 Grafana 大盘链接，包含 P50/P90/P99 延迟分位图表及分级告警规则(如命中率骤降等)。</x:v>
      </x:c>
      <x:c r="Q149" s="22" t="n">
        <x:f>COUNTIF('AR开发认领'!$C$5:$C$451,A149)</x:f>
        <x:v>3</x:v>
      </x:c>
      <x:c r="R149" s="22" t="str">
        <x:f>IF(Q149=3,"PASS","FAIL")</x:f>
        <x:v>PASS</x:v>
      </x:c>
      <x:c r="S149" s="22" t="str">
        <x:v>V1无对应上层映射</x:v>
      </x:c>
    </x:row>
    <x:row r="150" ht="78" customHeight="1">
      <x:c r="A150" s="25" t="str">
        <x:v>SE-TEST-001</x:v>
      </x:c>
      <x:c r="B150" s="25" t="str">
        <x:v>V2.1工程建议</x:v>
      </x:c>
      <x:c r="C150" s="25" t="str">
        <x:v>KVCache SRS需求列表 V2.1.xlsx</x:v>
      </x:c>
      <x:c r="D150" s="25" t="str">
        <x:v>软件工程开发实施建议</x:v>
      </x:c>
      <x:c r="E150" s="25" t="str">
        <x:v>SE 工程保障</x:v>
      </x:c>
      <x:c r="F150" s="25" t="str">
        <x:v>TM6</x:v>
      </x:c>
      <x:c r="G150" s="25" t="str">
        <x:v>工程质量与交付工具链</x:v>
      </x:c>
      <x:c r="H150" s="25" t="str">
        <x:v>P1</x:v>
      </x:c>
      <x:c r="I150" s="25" t="str">
        <x:v>里程碑1前完成基础框架并全量接入核心模块。</x:v>
      </x:c>
      <x:c r="J150" s="25" t="str">
        <x:v>SF-02</x:v>
      </x:c>
      <x:c r="K150" s="25" t="str">
        <x:v>IR-02-12</x:v>
      </x:c>
      <x:c r="L150" s="25" t="str">
        <x:v>SR-02-12-02</x:v>
      </x:c>
      <x:c r="M150" s="22" t="str">
        <x:v>快速迭代中的逻辑回归验证，接口兼容性验证。</x:v>
      </x:c>
      <x:c r="N150" s="22" t="str">
        <x:v>构建覆盖核心模块的单元测试(Unit Test)、接口测试(API Test)及Mock系统，确保KVCache调度逻辑、路由决策及内存分配算法的正确性。</x:v>
      </x:c>
      <x:c r="O150" s="22" t="str">
        <x:v>核心模块(L1-L4)单元测试覆盖率 &gt; 85%，核心接口自动化通过率 100%。</x:v>
      </x:c>
      <x:c r="P150" s="22" t="str">
        <x:v>提供自动化测试流水线运行报告，验证测试覆盖率与通过率。</x:v>
      </x:c>
      <x:c r="Q150" s="22" t="n">
        <x:f>COUNTIF('AR开发认领'!$C$5:$C$451,A150)</x:f>
        <x:v>3</x:v>
      </x:c>
      <x:c r="R150" s="22" t="str">
        <x:f>IF(Q150=3,"PASS","FAIL")</x:f>
        <x:v>PASS</x:v>
      </x:c>
      <x:c r="S150" s="22" t="str">
        <x:v>V1无对应上层映射</x:v>
      </x:c>
    </x:row>
    <x:row r="151" ht="78" customHeight="1">
      <x:c r="A151" s="25" t="str">
        <x:v>SE-TEST-002</x:v>
      </x:c>
      <x:c r="B151" s="25" t="str">
        <x:v>V2.1工程建议</x:v>
      </x:c>
      <x:c r="C151" s="25" t="str">
        <x:v>KVCache SRS需求列表 V2.1.xlsx</x:v>
      </x:c>
      <x:c r="D151" s="25" t="str">
        <x:v>软件工程开发实施建议</x:v>
      </x:c>
      <x:c r="E151" s="25" t="str">
        <x:v>SE 工程保障</x:v>
      </x:c>
      <x:c r="F151" s="25" t="str">
        <x:v>TM6</x:v>
      </x:c>
      <x:c r="G151" s="25" t="str">
        <x:v>工程质量与交付工具链</x:v>
      </x:c>
      <x:c r="H151" s="25" t="str">
        <x:v>P1</x:v>
      </x:c>
      <x:c r="I151" s="25" t="str">
        <x:v>里程碑2前完成混沌工程与长稳环境搭建。</x:v>
      </x:c>
      <x:c r="J151" s="25" t="str">
        <x:v>SF-02</x:v>
      </x:c>
      <x:c r="K151" s="25" t="str">
        <x:v>IR-02-12</x:v>
      </x:c>
      <x:c r="L151" s="25" t="str">
        <x:v>SR-02-12-03</x:v>
      </x:c>
      <x:c r="M151" s="22" t="str">
        <x:v>发版前的系统级验证，多设备协同场景以及高可用容灾演练。</x:v>
      </x:c>
      <x:c r="N151" s="22" t="str">
        <x:v>搭建包含真实多级异构介质（HBM、DDR、NVMe SSD）以及RDMA远端节点的端到端(E2E)测试环境，验证跨介质调度、分布式拉取功能与回退机制。</x:v>
      </x:c>
      <x:c r="O151" s="22" t="str">
        <x:v>能够在一键脚本下完成所有硬件介质连通性验证。具备长稳运行(Soak Test)和故障容灾能力。</x:v>
      </x:c>
      <x:c r="P151" s="22" t="str">
        <x:v>执行系统级回归用例，输出连续72小时端到端长稳测试报告与故障注入恢复报告。</x:v>
      </x:c>
      <x:c r="Q151" s="22" t="n">
        <x:f>COUNTIF('AR开发认领'!$C$5:$C$451,A151)</x:f>
        <x:v>3</x:v>
      </x:c>
      <x:c r="R151" s="22" t="str">
        <x:f>IF(Q151=3,"PASS","FAIL")</x:f>
        <x:v>PASS</x:v>
      </x:c>
      <x:c r="S151" s="22" t="str">
        <x:v>V1无对应上层映射</x:v>
      </x:c>
    </x:row>
    <x:row r="152" ht="78" customHeight="1">
      <x:c r="A152" s="25" t="str">
        <x:v>SE-CICD-001</x:v>
      </x:c>
      <x:c r="B152" s="25" t="str">
        <x:v>V2.1工程建议</x:v>
      </x:c>
      <x:c r="C152" s="25" t="str">
        <x:v>KVCache SRS需求列表 V2.1.xlsx</x:v>
      </x:c>
      <x:c r="D152" s="25" t="str">
        <x:v>软件工程开发实施建议</x:v>
      </x:c>
      <x:c r="E152" s="25" t="str">
        <x:v>SE 工程保障</x:v>
      </x:c>
      <x:c r="F152" s="25" t="str">
        <x:v>TM6</x:v>
      </x:c>
      <x:c r="G152" s="25" t="str">
        <x:v>工程质量与交付工具链</x:v>
      </x:c>
      <x:c r="H152" s="25" t="str">
        <x:v>P2</x:v>
      </x:c>
      <x:c r="I152" s="25" t="str">
        <x:v>里程碑1前跑通主干代码流水线；里程碑2前完成全自动化发版。</x:v>
      </x:c>
      <x:c r="J152" s="25" t="str">
        <x:v>SF-02</x:v>
      </x:c>
      <x:c r="K152" s="25" t="str">
        <x:v>IR-02-12</x:v>
      </x:c>
      <x:c r="L152" s="25" t="str">
        <x:v>SR-02-12-04</x:v>
      </x:c>
      <x:c r="M152" s="22" t="str">
        <x:v>多人协同敏捷开发，高质量拦截代码坏味道，线上业务平滑且无感知的版本迭代。</x:v>
      </x:c>
      <x:c r="N152" s="22" t="str">
        <x:v>构建统一且全自动化的代码构建、静态代码分析(Static Analysis)、规范检查、自动打包产物与线上灰度部署(Canary Release)流水线。</x:v>
      </x:c>
      <x:c r="O152" s="22" t="str">
        <x:v>代码合并前拦截100%规范类与基础逻辑报错；灰度发布过程支持随时熔断与分钟级回滚。</x:v>
      </x:c>
      <x:c r="P152" s="22" t="str">
        <x:v>GitLab CI / GitHub Actions 等配置文件；制品库打包记录；灰度发布可视化大盘。</x:v>
      </x:c>
      <x:c r="Q152" s="22" t="n">
        <x:f>COUNTIF('AR开发认领'!$C$5:$C$451,A152)</x:f>
        <x:v>3</x:v>
      </x:c>
      <x:c r="R152" s="22" t="str">
        <x:f>IF(Q152=3,"PASS","FAIL")</x:f>
        <x:v>PASS</x:v>
      </x:c>
      <x:c r="S152" s="22" t="str">
        <x:v>V1无对应上层映射</x:v>
      </x:c>
    </x:row>
    <x:row r="153" ht="78" customHeight="1">
      <x:c r="A153" s="26" t="str">
        <x:v>SE-PERF-001</x:v>
      </x:c>
      <x:c r="B153" s="26" t="str">
        <x:v>V2.1工程建议</x:v>
      </x:c>
      <x:c r="C153" s="26" t="str">
        <x:v>KVCache SRS需求列表 V2.1.xlsx</x:v>
      </x:c>
      <x:c r="D153" s="26" t="str">
        <x:v>软件工程开发实施建议</x:v>
      </x:c>
      <x:c r="E153" s="26" t="str">
        <x:v>SE 工程保障</x:v>
      </x:c>
      <x:c r="F153" s="26" t="str">
        <x:v>TM6</x:v>
      </x:c>
      <x:c r="G153" s="26" t="str">
        <x:v>工程质量与交付工具链</x:v>
      </x:c>
      <x:c r="H153" s="26" t="str">
        <x:v>P2</x:v>
      </x:c>
      <x:c r="I153" s="26" t="str">
        <x:v>阶段3前完成压测工具链，服务于Release发版。</x:v>
      </x:c>
      <x:c r="J153" s="26" t="str">
        <x:v>SF-02</x:v>
      </x:c>
      <x:c r="K153" s="26" t="str">
        <x:v>IR-02-12</x:v>
      </x:c>
      <x:c r="L153" s="26" t="str">
        <x:v>SR-02-12-05</x:v>
      </x:c>
      <x:c r="M153" s="23" t="str">
        <x:v>技术架构选型验证、大版本发布前的性能压测、线上环境极限容量评估。</x:v>
      </x:c>
      <x:c r="N153" s="23" t="str">
        <x:v>开发专用的 KVCache 负载生成器与压测脚本，能够精准模拟多并发下的大模型长短文本请求特征，进行吞吐极限与延迟探测。</x:v>
      </x:c>
      <x:c r="O153" s="23" t="str">
        <x:v>能模拟 10W+ QPS 请求量，并精准重放(Replay)线上真实的业务流量长度与到达率分布。</x:v>
      </x:c>
      <x:c r="P153" s="23" t="str">
        <x:v>提供标准化的自动 Benchmark 报告生成工具，对比上一基线版本评估新功能的性能开销。</x:v>
      </x:c>
      <x:c r="Q153" s="23" t="n">
        <x:f>COUNTIF('AR开发认领'!$C$5:$C$451,A153)</x:f>
        <x:v>3</x:v>
      </x:c>
      <x:c r="R153" s="23" t="str">
        <x:f>IF(Q153=3,"PASS","FAIL")</x:f>
        <x:v>PASS</x:v>
      </x:c>
      <x:c r="S153" s="23" t="str">
        <x:v>V1无对应上层映射</x:v>
      </x:c>
    </x:row>
  </x:sheetData>
  <x:mergeCells>
    <x:mergeCell ref="A1:S1"/>
    <x:mergeCell ref="A2:S2"/>
  </x:mergeCells>
  <x:conditionalFormatting sqref="R5:R153">
    <x:cfRule type="containsText" dxfId="2" priority="1" operator="containsText" text="PASS"/>
    <x:cfRule type="containsText" dxfId="3" priority="2" operator="containsText" text="FAIL"/>
  </x:conditionalFormatting>
  <x:pageMargins left="0.7" right="0.7" top="0.75" bottom="0.75" header="0.3" footer="0.3"/>
  <x:tableParts count="1">
    <x:tablePart xmlns:r="http://schemas.openxmlformats.org/officeDocument/2006/relationships" r:id="Rc63fedab47f043e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45" hidden="0" customWidth="1"/>
    <x:col min="3" max="3" width="62" hidden="0" customWidth="1"/>
    <x:col min="4" max="4" width="48" hidden="0" customWidth="1"/>
    <x:col min="5" max="5" width="18" hidden="0" customWidth="1"/>
  </x:cols>
  <x:sheetData>
    <x:row r="1" ht="34" customHeight="1">
      <x:c r="A1" s="3" t="str">
        <x:v>V2.1 问题整改与建树原则</x:v>
      </x:c>
      <x:c r="B1" s="3"/>
      <x:c r="C1" s="3"/>
      <x:c r="D1" s="3"/>
      <x:c r="E1" s="3"/>
    </x:row>
    <x:row r="2" ht="30" customHeight="1">
      <x:c r="A2" s="7" t="str">
        <x:v>本页说明 V2.0→V2.1 的 IR 可理解性整改，以及正式 V2.1 SRS 与 V1.0 增量如何共同形成不回退的需求基线。</x:v>
      </x:c>
      <x:c r="B2" s="7"/>
      <x:c r="C2" s="7"/>
      <x:c r="D2" s="7"/>
      <x:c r="E2" s="7"/>
    </x:row>
    <x:row r="4" ht="42" customHeight="1">
      <x:c r="A4" s="13" t="str">
        <x:v>历史问题</x:v>
      </x:c>
      <x:c r="B4" s="13" t="str">
        <x:v>V2.0表现</x:v>
      </x:c>
      <x:c r="C4" s="13" t="str">
        <x:v>V2.1整改</x:v>
      </x:c>
      <x:c r="D4" s="13" t="str">
        <x:v>工程收益</x:v>
      </x:c>
      <x:c r="E4" s="13" t="str">
        <x:v>结果</x:v>
      </x:c>
    </x:row>
    <x:row r="5" ht="72" customHeight="1">
      <x:c r="A5" s="21" t="str">
        <x:v>SF过多且偏商业化</x:v>
      </x:c>
      <x:c r="B5" s="21" t="str">
        <x:v>6条SF，按接入/目录/池/传输/安全/可观测拆成模块级卖点</x:v>
      </x:c>
      <x:c r="C5" s="21" t="str">
        <x:v>压缩为2条全局技术特性：统一池+UBMEM/URMA执行底座；集群级复用+推理SLO闭环</x:v>
      </x:c>
      <x:c r="D5" s="21" t="str">
        <x:v>SF只回答系统对外提供的整体技术能力，模块下沉到IR</x:v>
      </x:c>
      <x:c r="E5" s="21" t="str">
        <x:v>2 SF</x:v>
      </x:c>
    </x:row>
    <x:row r="6" ht="72" customHeight="1">
      <x:c r="A6" s="22" t="str">
        <x:v>IR缺少技术锚点与KPI</x:v>
      </x:c>
      <x:c r="B6" s="22" t="str">
        <x:v>21条IR多为业务期望，缺具体库/组件/算子和门槛</x:v>
      </x:c>
      <x:c r="C6" s="22" t="str">
        <x:v>24条IR逐一写明 vLLM/SGLang、RadixTree、QueryPlan、ExtentManifest、rdma-core、SPDK、UBMEM/URMA、OpenTelemetry 等锚点和数值KPI</x:v>
      </x:c>
      <x:c r="D6" s="22" t="str">
        <x:v>IR成为详细设计和PoC的性能契约</x:v>
      </x:c>
      <x:c r="E6" s="22" t="str">
        <x:v>24 IR</x:v>
      </x:c>
    </x:row>
    <x:row r="7" ht="72" customHeight="1">
      <x:c r="A7" s="22" t="str">
        <x:v>IR名称与目的过于抽象</x:v>
      </x:c>
      <x:c r="B7" s="22" t="str">
        <x:v>“传输描述与布局协商”等名称无法说明系统要交付什么，陈述偏底层术语</x:v>
      </x:c>
      <x:c r="C7" s="22" t="str">
        <x:v>V2.1把24条IR统一改写为“支持对象/范围+核心能力+目的”的功能化名称，并用完整陈述说明输入对象、系统行为、输出结果和项目价值</x:v>
      </x:c>
      <x:c r="D7" s="22" t="str">
        <x:v>开发主管可从IR组合推导完整系统目标，同时SR/AR继续承接内部实现细节</x:v>
      </x:c>
      <x:c r="E7" s="22" t="str">
        <x:v>24条全部重写</x:v>
      </x:c>
    </x:row>
    <x:row r="8" ht="72" customHeight="1">
      <x:c r="A8" s="22" t="str">
        <x:v>SR过度聚合</x:v>
      </x:c>
      <x:c r="B8" s="22" t="str">
        <x:v>48条SR承载多条来源需求，内部改造点不明确</x:v>
      </x:c>
      <x:c r="C8" s="22" t="str">
        <x:v>每条来源需求形成独立SR，保留原始技术难点、实施要点、输入/输出、状态和fallback</x:v>
      </x:c>
      <x:c r="D8" s="22" t="str">
        <x:v>SR可由研发组长直接转为详细设计章节</x:v>
      </x:c>
      <x:c r="E8" s="22" t="str">
        <x:v>149 SR</x:v>
      </x:c>
    </x:row>
    <x:row r="9" ht="72" customHeight="1">
      <x:c r="A9" s="22" t="str">
        <x:v>AR仍等同SRS行</x:v>
      </x:c>
      <x:c r="B9" s="22" t="str">
        <x:v>144条AR只是来源需求换编号，无法独立认领</x:v>
      </x:c>
      <x:c r="C9" s="22" t="str">
        <x:v>每条SR拆为核心实现、契约配置与降级、验证与观测3个独立PR；给出逻辑代码路径、类/函数/配置键和DoD</x:v>
      </x:c>
      <x:c r="D9" s="22" t="str">
        <x:v>一线开发可直接认领并提交PR</x:v>
      </x:c>
      <x:c r="E9" s="22" t="str">
        <x:v>447 AR</x:v>
      </x:c>
    </x:row>
    <x:row r="10" ht="72" customHeight="1">
      <x:c r="A10" s="22" t="str">
        <x:v>最新基线与V1增量冲突</x:v>
      </x:c>
      <x:c r="B10" s="22" t="str">
        <x:v>V2.1正式SRS=140，V1.0基于后续视角保留144</x:v>
      </x:c>
      <x:c r="C10" s="22" t="str">
        <x:v>以140条V2.1为主基线，显式保留4条V1增量，并加入5条V2.1工程建议；来源类型可筛选</x:v>
      </x:c>
      <x:c r="D10" s="22" t="str">
        <x:v>既不回退覆盖，也不伪装版本来源</x:v>
      </x:c>
      <x:c r="E10" s="22" t="str">
        <x:v>149来源项</x:v>
      </x:c>
    </x:row>
    <x:row r="11" ht="72" customHeight="1">
      <x:c r="A11" s="22" t="str">
        <x:v>验收口径分散</x:v>
      </x:c>
      <x:c r="B11" s="22" t="str">
        <x:v>指标、验收、阶段和异常测试散落在多表</x:v>
      </x:c>
      <x:c r="C11" s="22" t="str">
        <x:v>建立14项KPI矩阵，并在SR/AR/追溯中保留来源指标；质量门禁用公式检查覆盖、唯一性和父子关系</x:v>
      </x:c>
      <x:c r="D11" s="22" t="str">
        <x:v>评审、开发、测试共享同一口径</x:v>
      </x:c>
      <x:c r="E11" s="22" t="str">
        <x:v>全链路追溯</x:v>
      </x:c>
    </x:row>
    <x:row r="12" ht="72" customHeight="1">
      <x:c r="A12" s="23" t="str">
        <x:v>硬件收益易被写成承诺</x:v>
      </x:c>
      <x:c r="B12" s="23" t="str">
        <x:v>UBMEM/URMA/C2C/Direct能力尚需摸底</x:v>
      </x:c>
      <x:c r="C12" s="23" t="str">
        <x:v>所有跨平台阈值标记为建议门槛；P0用capability matrix和microbenchmark冻结主用/条件启用/禁用结论</x:v>
      </x:c>
      <x:c r="D12" s="23" t="str">
        <x:v>避免未实测能力直接进入默认主路径</x:v>
      </x:c>
      <x:c r="E12" s="23" t="str">
        <x:v>P0冻结</x:v>
      </x:c>
    </x:row>
  </x:sheetData>
  <x:mergeCells>
    <x:mergeCell ref="A1:E1"/>
    <x:mergeCell ref="A2:E2"/>
  </x:mergeCells>
  <x:pageMargins left="0.7" right="0.7" top="0.75" bottom="0.75" header="0.3" footer="0.3"/>
  <x:tableParts count="1">
    <x:tablePart xmlns:r="http://schemas.openxmlformats.org/officeDocument/2006/relationships" r:id="Rd081259a91f0464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4" hidden="0" customWidth="1"/>
    <x:col min="4" max="4" width="12" hidden="0" customWidth="1"/>
    <x:col min="5" max="5" width="46" hidden="0" customWidth="1"/>
    <x:col min="6" max="6" width="36" hidden="0" customWidth="1"/>
  </x:cols>
  <x:sheetData>
    <x:row r="1" ht="34" customHeight="1">
      <x:c r="A1" s="3" t="str">
        <x:v>需求树质量门禁</x:v>
      </x:c>
      <x:c r="B1" s="3"/>
      <x:c r="C1" s="3"/>
      <x:c r="D1" s="3"/>
      <x:c r="E1" s="3"/>
      <x:c r="F1" s="3"/>
    </x:row>
    <x:row r="2" ht="30" customHeight="1">
      <x:c r="A2" s="7" t="str">
        <x:v>所有关键数量和父子/来源完整性均由公式检查；仅全部 PASS 才可冻结为评审基线。</x:v>
      </x:c>
      <x:c r="B2" s="7"/>
      <x:c r="C2" s="7"/>
      <x:c r="D2" s="7"/>
      <x:c r="E2" s="7"/>
      <x:c r="F2" s="7"/>
    </x:row>
    <x:row r="4">
      <x:c r="A4" s="41" t="str">
        <x:v>检查项</x:v>
      </x:c>
      <x:c r="B4" s="41" t="str">
        <x:v>期望值</x:v>
      </x:c>
      <x:c r="C4" s="41" t="str">
        <x:v>实际值</x:v>
      </x:c>
      <x:c r="D4" s="41" t="str">
        <x:v>结果</x:v>
      </x:c>
      <x:c r="E4" s="41" t="str">
        <x:v>说明</x:v>
      </x:c>
      <x:c r="F4" s="41" t="str">
        <x:v>修复动作</x:v>
      </x:c>
    </x:row>
    <x:row r="5" ht="42" customHeight="1">
      <x:c r="A5" s="48" t="str">
        <x:v>V2.1正式SRS来源数</x:v>
      </x:c>
      <x:c r="B5" s="48" t="n">
        <x:v>140</x:v>
      </x:c>
      <x:c r="C5" s="48" t="n">
        <x:f>COUNTIF('追溯与覆盖'!$B$5:$B$153,"V2.1基线")</x:f>
        <x:v>140</x:v>
      </x:c>
      <x:c r="D5" s="48" t="str">
        <x:f>IF(C5=B5,"PASS","FAIL")</x:f>
        <x:v>PASS</x:v>
      </x:c>
      <x:c r="E5" s="48" t="str">
        <x:v>L1 21 + L2 22 + L3 66 + L4 31</x:v>
      </x:c>
      <x:c r="F5" s="48" t="str">
        <x:v>回查V2.1四层sheet</x:v>
      </x:c>
    </x:row>
    <x:row r="6" ht="42" customHeight="1">
      <x:c r="A6" s="49" t="str">
        <x:v>V1.0后续技术增量数</x:v>
      </x:c>
      <x:c r="B6" s="49" t="n">
        <x:v>4</x:v>
      </x:c>
      <x:c r="C6" s="49" t="n">
        <x:f>COUNTIF('追溯与覆盖'!$B$5:$B$153,"V1.0增量（V2.2视角）")</x:f>
        <x:v>4</x:v>
      </x:c>
      <x:c r="D6" s="49" t="str">
        <x:f>IF(C6=B6,"PASS","FAIL")</x:f>
        <x:v>PASS</x:v>
      </x:c>
      <x:c r="E6" s="49" t="str">
        <x:v>TierBypass、DDRRole、HostTouch、PathIntegrity</x:v>
      </x:c>
      <x:c r="F6" s="49" t="str">
        <x:v>补齐增量或明确删除决策</x:v>
      </x:c>
    </x:row>
    <x:row r="7" ht="42" customHeight="1">
      <x:c r="A7" s="49" t="str">
        <x:v>软件工程建议来源数</x:v>
      </x:c>
      <x:c r="B7" s="49" t="n">
        <x:v>5</x:v>
      </x:c>
      <x:c r="C7" s="49" t="n">
        <x:f>COUNTIF('追溯与覆盖'!$B$5:$B$153,"V2.1工程建议")</x:f>
        <x:v>5</x:v>
      </x:c>
      <x:c r="D7" s="49" t="str">
        <x:f>IF(C7=B7,"PASS","FAIL")</x:f>
        <x:v>PASS</x:v>
      </x:c>
      <x:c r="E7" s="49" t="str">
        <x:v>Test/Monitor/Perf/CI/CD</x:v>
      </x:c>
      <x:c r="F7" s="49" t="str">
        <x:v>回查V2.1工程建议sheet</x:v>
      </x:c>
    </x:row>
    <x:row r="8" ht="42" customHeight="1">
      <x:c r="A8" s="49" t="str">
        <x:v>来源项总数</x:v>
      </x:c>
      <x:c r="B8" s="49" t="n">
        <x:v>149</x:v>
      </x:c>
      <x:c r="C8" s="49" t="n">
        <x:f>COUNTA('追溯与覆盖'!$A$5:$A$153)</x:f>
        <x:v>149</x:v>
      </x:c>
      <x:c r="D8" s="49" t="str">
        <x:f>IF(C8=B8,"PASS","FAIL")</x:f>
        <x:v>PASS</x:v>
      </x:c>
      <x:c r="E8" s="49" t="str">
        <x:v>140+4+5</x:v>
      </x:c>
      <x:c r="F8" s="49" t="str">
        <x:v>修复来源去重</x:v>
      </x:c>
    </x:row>
    <x:row r="9" ht="42" customHeight="1">
      <x:c r="A9" s="49" t="str">
        <x:v>SF节点数</x:v>
      </x:c>
      <x:c r="B9" s="49" t="n">
        <x:v>2</x:v>
      </x:c>
      <x:c r="C9" s="49" t="n">
        <x:f>COUNTIF('全量层级树'!$C$5:$C$626,"SF")</x:f>
        <x:v>2</x:v>
      </x:c>
      <x:c r="D9" s="49" t="str">
        <x:f>IF(C9=B9,"PASS","FAIL")</x:f>
        <x:v>PASS</x:v>
      </x:c>
      <x:c r="E9" s="49" t="str">
        <x:v>全局技术特性</x:v>
      </x:c>
      <x:c r="F9" s="49" t="str">
        <x:v>修复树节点</x:v>
      </x:c>
    </x:row>
    <x:row r="10" ht="42" customHeight="1">
      <x:c r="A10" s="49" t="str">
        <x:v>IR节点数</x:v>
      </x:c>
      <x:c r="B10" s="49" t="n">
        <x:v>24</x:v>
      </x:c>
      <x:c r="C10" s="49" t="n">
        <x:f>COUNTIF('全量层级树'!$C$5:$C$626,"IR")</x:f>
        <x:v>24</x:v>
      </x:c>
      <x:c r="D10" s="49" t="str">
        <x:f>IF(C10=B10,"PASS","FAIL")</x:f>
        <x:v>PASS</x:v>
      </x:c>
      <x:c r="E10" s="49" t="str">
        <x:v>具体组件+KPI技术锚点</x:v>
      </x:c>
      <x:c r="F10" s="49" t="str">
        <x:v>修复IR映射</x:v>
      </x:c>
    </x:row>
    <x:row r="11" ht="42" customHeight="1">
      <x:c r="A11" s="49" t="str">
        <x:v>SR节点数</x:v>
      </x:c>
      <x:c r="B11" s="49" t="n">
        <x:v>149</x:v>
      </x:c>
      <x:c r="C11" s="49" t="n">
        <x:f>COUNTIF('全量层级树'!$C$5:$C$626,"SR")</x:f>
        <x:v>149</x:v>
      </x:c>
      <x:c r="D11" s="49" t="str">
        <x:f>IF(C11=B11,"PASS","FAIL")</x:f>
        <x:v>PASS</x:v>
      </x:c>
      <x:c r="E11" s="49" t="str">
        <x:v>每来源项1个SR</x:v>
      </x:c>
      <x:c r="F11" s="49" t="str">
        <x:v>修复SR映射</x:v>
      </x:c>
    </x:row>
    <x:row r="12" ht="42" customHeight="1">
      <x:c r="A12" s="49" t="str">
        <x:v>AR节点数</x:v>
      </x:c>
      <x:c r="B12" s="49" t="n">
        <x:v>447</x:v>
      </x:c>
      <x:c r="C12" s="49" t="n">
        <x:f>COUNTIF('全量层级树'!$C$5:$C$626,"AR")</x:f>
        <x:v>447</x:v>
      </x:c>
      <x:c r="D12" s="49" t="str">
        <x:f>IF(C12=B12,"PASS","FAIL")</x:f>
        <x:v>PASS</x:v>
      </x:c>
      <x:c r="E12" s="49" t="str">
        <x:v>每SR 3个独立PR任务</x:v>
      </x:c>
      <x:c r="F12" s="49" t="str">
        <x:v>补齐AR拆分</x:v>
      </x:c>
    </x:row>
    <x:row r="13" ht="42" customHeight="1">
      <x:c r="A13" s="49" t="str">
        <x:v>来源AR覆盖异常数</x:v>
      </x:c>
      <x:c r="B13" s="49" t="n">
        <x:v>0</x:v>
      </x:c>
      <x:c r="C13" s="49" t="n">
        <x:f>COUNTIF('追溯与覆盖'!$R$5:$R$153,"FAIL")</x:f>
        <x:v>0</x:v>
      </x:c>
      <x:c r="D13" s="49" t="str">
        <x:f>IF(C13=B13,"PASS","FAIL")</x:f>
        <x:v>PASS</x:v>
      </x:c>
      <x:c r="E13" s="49" t="str">
        <x:v>每来源项AR数必须=3</x:v>
      </x:c>
      <x:c r="F13" s="49" t="str">
        <x:v>检查追溯表</x:v>
      </x:c>
    </x:row>
    <x:row r="14" ht="42" customHeight="1">
      <x:c r="A14" s="49" t="str">
        <x:v>AR ID重复数</x:v>
      </x:c>
      <x:c r="B14" s="49" t="n">
        <x:v>0</x:v>
      </x:c>
      <x:c r="C14" s="49" t="n">
        <x:f>COUNTIF('AR开发认领'!$X$5:$X$451,"FAIL")</x:f>
        <x:v>0</x:v>
      </x:c>
      <x:c r="D14" s="49" t="str">
        <x:f>IF(C14=B14,"PASS","FAIL")</x:f>
        <x:v>PASS</x:v>
      </x:c>
      <x:c r="E14" s="49" t="str">
        <x:v>AR ID必须唯一</x:v>
      </x:c>
      <x:c r="F14" s="49" t="str">
        <x:v>修正派生ID</x:v>
      </x:c>
    </x:row>
    <x:row r="15" ht="42" customHeight="1">
      <x:c r="A15" s="49" t="str">
        <x:v>AR父节点/来源异常数</x:v>
      </x:c>
      <x:c r="B15" s="49" t="n">
        <x:v>0</x:v>
      </x:c>
      <x:c r="C15" s="49" t="n">
        <x:f>COUNTIF('AR开发认领'!$Y$5:$Y$451,"FAIL")</x:f>
        <x:v>0</x:v>
      </x:c>
      <x:c r="D15" s="49" t="str">
        <x:f>IF(C15=B15,"PASS","FAIL")</x:f>
        <x:v>PASS</x:v>
      </x:c>
      <x:c r="E15" s="49" t="str">
        <x:v>SR父节点与来源均唯一存在</x:v>
      </x:c>
      <x:c r="F15" s="49" t="str">
        <x:v>修复父子/来源映射</x:v>
      </x:c>
    </x:row>
    <x:row r="16" ht="42" customHeight="1">
      <x:c r="A16" s="50" t="str">
        <x:v>IR KPI空白数</x:v>
      </x:c>
      <x:c r="B16" s="50" t="n">
        <x:v>0</x:v>
      </x:c>
      <x:c r="C16" s="50" t="n">
        <x:f>COUNTBLANK('SF-IR骨架'!$G$5:$G$28)</x:f>
        <x:v>0</x:v>
      </x:c>
      <x:c r="D16" s="50" t="str">
        <x:f>IF(C16=B16,"PASS","FAIL")</x:f>
        <x:v>PASS</x:v>
      </x:c>
      <x:c r="E16" s="50" t="str">
        <x:v>每条IR必须含数字或XXX门槛</x:v>
      </x:c>
      <x:c r="F16" s="50" t="str">
        <x:v>补充KPI与量纲</x:v>
      </x:c>
    </x:row>
  </x:sheetData>
  <x:mergeCells>
    <x:mergeCell ref="A1:F1"/>
    <x:mergeCell ref="A2:F2"/>
  </x:mergeCells>
  <x:conditionalFormatting sqref="D5:D16">
    <x:cfRule type="containsText" dxfId="4" priority="1" operator="containsText" text="PASS"/>
    <x:cfRule type="containsText" dxfId="5" priority="2" operator="containsText" text="FAIL"/>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30" hidden="0" customWidth="1"/>
    <x:col min="3" max="3" width="100" hidden="0" customWidth="1"/>
  </x:cols>
  <x:sheetData>
    <x:row r="1" ht="34" customHeight="1">
      <x:c r="A1" s="3" t="str">
        <x:v>术语、编码与使用说明</x:v>
      </x:c>
      <x:c r="B1" s="3"/>
      <x:c r="C1" s="3"/>
    </x:row>
    <x:row r="2" ht="30" customHeight="1">
      <x:c r="A2" s="7" t="str">
        <x:v>建议按“总览→SF-IR骨架→SR系统设计→AR开发认领→KPI/追溯→质量门禁”顺序评审；筛选器可按层级、TM、模块、优先级、阶段和Owner使用。</x:v>
      </x:c>
      <x:c r="B2" s="7"/>
      <x:c r="C2" s="7"/>
    </x:row>
    <x:row r="4" ht="42" customHeight="1">
      <x:c r="A4" s="13" t="str">
        <x:v>术语/主题</x:v>
      </x:c>
      <x:c r="B4" s="13" t="str">
        <x:v>英文/定位</x:v>
      </x:c>
      <x:c r="C4" s="13" t="str">
        <x:v>定义与规则</x:v>
      </x:c>
    </x:row>
    <x:row r="5" ht="60" customHeight="1">
      <x:c r="A5" s="24" t="str">
        <x:v>SF</x:v>
      </x:c>
      <x:c r="B5" s="21" t="str">
        <x:v>System Feature</x:v>
      </x:c>
      <x:c r="C5" s="21" t="str">
        <x:v>仅保留1-2条全局技术能力；本版为统一池/传输底座与集群复用/SLO闭环。</x:v>
      </x:c>
    </x:row>
    <x:row r="6" ht="60" customHeight="1">
      <x:c r="A6" s="25" t="str">
        <x:v>IR</x:v>
      </x:c>
      <x:c r="B6" s="22" t="str">
        <x:v>Initial Requirement / 技术锚点</x:v>
      </x:c>
      <x:c r="C6" s="22" t="str">
        <x:v>用功能化名称说明支持对象、范围和目的；陈述系统可观察行为与输出，并包含具体库/组件/硬件机制及数字或XXX量化KPI，但不下沉到代码任务。</x:v>
      </x:c>
    </x:row>
    <x:row r="7" ht="60" customHeight="1">
      <x:c r="A7" s="25" t="str">
        <x:v>SR</x:v>
      </x:c>
      <x:c r="B7" s="22" t="str">
        <x:v>System Requirement</x:v>
      </x:c>
      <x:c r="C7" s="22" t="str">
        <x:v>研发组长级设计：说明为了IR KPI需要的重构、算法、状态机、接口、输入输出与降级。</x:v>
      </x:c>
    </x:row>
    <x:row r="8" ht="60" customHeight="1">
      <x:c r="A8" s="25" t="str">
        <x:v>AR</x:v>
      </x:c>
      <x:c r="B8" s="22" t="str">
        <x:v>Allocated Requirement</x:v>
      </x:c>
      <x:c r="C8" s="22" t="str">
        <x:v>可独立提交PR的代码、IDL、配置、编译开关、测试或观测任务；每条SR拆3个。</x:v>
      </x:c>
    </x:row>
    <x:row r="9" ht="60" customHeight="1">
      <x:c r="A9" s="25" t="str">
        <x:v>Usable Hit</x:v>
      </x:c>
      <x:c r="B9" s="22" t="str">
        <x:v>可消费命中</x:v>
      </x:c>
      <x:c r="C9" s="22" t="str">
        <x:v>通过semantic identity、version、layout、ready、lease、path、deadline和cost校验的命中。</x:v>
      </x:c>
    </x:row>
    <x:row r="10" ht="60" customHeight="1">
      <x:c r="A10" s="25" t="str">
        <x:v>Abandoned Hit</x:v>
      </x:c>
      <x:c r="B10" s="22" t="str">
        <x:v>放弃命中</x:v>
      </x:c>
      <x:c r="C10" s="22" t="str">
        <x:v>物理命中但因负收益、超时、拥塞、迁移、版本或attach失败而转为其他路径。</x:v>
      </x:c>
    </x:row>
    <x:row r="11" ht="60" customHeight="1">
      <x:c r="A11" s="25" t="str">
        <x:v>QueryPlan</x:v>
      </x:c>
      <x:c r="B11" s="22" t="str">
        <x:v>执行计划</x:v>
      </x:c>
      <x:c r="C11" s="22" t="str">
        <x:v>包含候选位置、预计lookup/load/attach/interference成本、consume action、path与fallback。</x:v>
      </x:c>
    </x:row>
    <x:row r="12" ht="60" customHeight="1">
      <x:c r="A12" s="25" t="str">
        <x:v>UBMEM / URMA</x:v>
      </x:c>
      <x:c r="B12" s="22" t="str">
        <x:v>内存语义 / 传输语义</x:v>
      </x:c>
      <x:c r="C12" s="22" t="str">
        <x:v>UBMEM优先用于元数据和合格view；URMA承担跨介质批量传输、完成、fence和错误反馈；适用范围由capability实测决定。</x:v>
      </x:c>
    </x:row>
    <x:row r="13" ht="60" customHeight="1">
      <x:c r="A13" s="25" t="str">
        <x:v>代码路径</x:v>
      </x:c>
      <x:c r="B13" s="22" t="str">
        <x:v>建议逻辑归属</x:v>
      </x:c>
      <x:c r="C13" s="22" t="str">
        <x:v>本项目目录为文档工作区，AR中的路径是代码仓建议结构；代码仓冻结后应做等价路径映射，不改变AR语义。</x:v>
      </x:c>
    </x:row>
    <x:row r="14" ht="60" customHeight="1">
      <x:c r="A14" s="25" t="str">
        <x:v>指标冻结</x:v>
      </x:c>
      <x:c r="B14" s="22" t="str">
        <x:v>P0 baseline</x:v>
      </x:c>
      <x:c r="C14" s="22" t="str">
        <x:v>所有建议阈值必须在固定模型、tokenizer、prompt、并发、拓扑和硬件下以microbenchmark/A-B证据冻结。</x:v>
      </x:c>
    </x:row>
    <x:row r="15" ht="60" customHeight="1">
      <x:c r="A15" s="25" t="str">
        <x:v>来源优先级</x:v>
      </x:c>
      <x:c r="B15" s="22" t="str">
        <x:v>基线规则</x:v>
      </x:c>
      <x:c r="C15" s="22" t="str">
        <x:v>V2.1正式SRS为主；V1.0仅补4条后续技术增量；5条工程建议作为全系统交付门禁。</x:v>
      </x:c>
    </x:row>
    <x:row r="16" ht="60" customHeight="1">
      <x:c r="A16" s="26" t="str">
        <x:v>变更规则</x:v>
      </x:c>
      <x:c r="B16" s="23" t="str">
        <x:v>可审计</x:v>
      </x:c>
      <x:c r="C16" s="23" t="str">
        <x:v>新增AR必须选择唯一SR；新增SR必须选择唯一IR并提供KPI；禁止删除来源ID或隐式改写验收口径。</x:v>
      </x:c>
    </x:row>
  </x:sheetData>
  <x:mergeCells>
    <x:mergeCell ref="A1:C1"/>
    <x:mergeCell ref="A2:C2"/>
  </x:mergeCells>
  <x:pageMargins left="0.7" right="0.7" top="0.75" bottom="0.75" header="0.3" footer="0.3"/>
  <x:tableParts count="1">
    <x:tablePart xmlns:r="http://schemas.openxmlformats.org/officeDocument/2006/relationships" r:id="R7bd20a2931334e4a"/>
  </x:tableParts>
</x:worksheet>
</file>