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c64687e9e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视结论" sheetId="1" r:id="R4a91c56d49af4b01"/>
    <x:sheet xmlns:r="http://schemas.openxmlformats.org/officeDocument/2006/relationships" name="精简验证总表" sheetId="2" r:id="R7b104f8913284fe1"/>
    <x:sheet xmlns:r="http://schemas.openxmlformats.org/officeDocument/2006/relationships" name="验证设计" sheetId="3" r:id="Rcd107fe05a7d4ddc"/>
    <x:sheet xmlns:r="http://schemas.openxmlformats.org/officeDocument/2006/relationships" name="IR追溯矩阵" sheetId="4" r:id="R97a71e4eacd74200"/>
    <x:sheet xmlns:r="http://schemas.openxmlformats.org/officeDocument/2006/relationships" name="V1.3项审计" sheetId="5" r:id="Rc2370c1b7f5c4005"/>
    <x:sheet xmlns:r="http://schemas.openxmlformats.org/officeDocument/2006/relationships" name="立项证据包" sheetId="6" r:id="R2dbf68b7c33b488e"/>
    <x:sheet xmlns:r="http://schemas.openxmlformats.org/officeDocument/2006/relationships" name="实施波次" sheetId="7" r:id="Rb27c6163ee4b43ad"/>
    <x:sheet xmlns:r="http://schemas.openxmlformats.org/officeDocument/2006/relationships" name="筛选规则" sheetId="8" r:id="Re800fb3b72954f52"/>
    <x:sheet xmlns:r="http://schemas.openxmlformats.org/officeDocument/2006/relationships" name="质量门禁" sheetId="9" r:id="Ra3c95b9a43bc42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Microsoft YaHei"/>
    </x:font>
    <x:font>
      <x:sz val="10"/>
      <x:color rgb="FF2F5597"/>
      <x:name val="Microsoft YaHei"/>
    </x:font>
    <x:font>
      <x:b/>
      <x:sz val="10"/>
      <x:color rgb="FFFFFFFF"/>
      <x:name val="Microsoft YaHei"/>
    </x:font>
    <x:font>
      <x:b/>
      <x:sz val="22"/>
      <x:color rgb="FF17365D"/>
      <x:name val="Microsoft YaHei"/>
    </x:font>
    <x:font>
      <x:b/>
      <x:sz val="11"/>
      <x:color rgb="FFFFFFFF"/>
      <x:name val="Microsoft YaHei"/>
    </x:font>
    <x:font>
      <x:sz val="9"/>
      <x:color rgb="FF1F1F1F"/>
      <x:name val="Microsoft YaHei"/>
    </x:font>
    <x:font>
      <x:b/>
      <x:sz val="11"/>
      <x:color rgb="FF17365D"/>
      <x:name val="Microsoft YaHei"/>
    </x:font>
    <x:font>
      <x:b/>
      <x:sz val="10"/>
      <x:color rgb="FF17365D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9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horizontal="center" vertical="top" wrapText="1"/>
    </x:xf>
    <x:xf numFmtId="0" fontId="7" fillId="5" borderId="3" xfId="0" applyNumberFormat="1" applyFont="1" applyFill="1" applyBorder="1" applyAlignment="1">
      <x:alignment horizontal="center" vertical="top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6" fillId="3" borderId="2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5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E4DFEC"/>
        </x:patternFill>
      </x:fill>
    </x:dxf>
    <x:dxf>
      <x:font>
        <x:b/>
        <x:color rgb="FF17365D"/>
      </x:font>
      <x:fill>
        <x:patternFill patternType="solid">
          <x:bgColor rgb="FFE4DFE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EEF4F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fe22e7fb3433c" /><Relationship Type="http://schemas.openxmlformats.org/officeDocument/2006/relationships/theme" Target="/xl/theme/theme1.xml" Id="R6a6ef16d35934870" /><Relationship Type="http://schemas.openxmlformats.org/officeDocument/2006/relationships/sharedStrings" Target="/xl/sharedStrings.xml" Id="R324df55f0a25499f" /><Relationship Type="http://schemas.openxmlformats.org/officeDocument/2006/relationships/worksheet" Target="/xl/worksheets/sheet1.xml" Id="R4a91c56d49af4b01" /><Relationship Type="http://schemas.openxmlformats.org/officeDocument/2006/relationships/worksheet" Target="/xl/worksheets/sheet2.xml" Id="R7b104f8913284fe1" /><Relationship Type="http://schemas.openxmlformats.org/officeDocument/2006/relationships/worksheet" Target="/xl/worksheets/sheet3.xml" Id="Rcd107fe05a7d4ddc" /><Relationship Type="http://schemas.openxmlformats.org/officeDocument/2006/relationships/worksheet" Target="/xl/worksheets/sheet4.xml" Id="R97a71e4eacd74200" /><Relationship Type="http://schemas.openxmlformats.org/officeDocument/2006/relationships/worksheet" Target="/xl/worksheets/sheet5.xml" Id="Rc2370c1b7f5c4005" /><Relationship Type="http://schemas.openxmlformats.org/officeDocument/2006/relationships/worksheet" Target="/xl/worksheets/sheet6.xml" Id="R2dbf68b7c33b488e" /><Relationship Type="http://schemas.openxmlformats.org/officeDocument/2006/relationships/worksheet" Target="/xl/worksheets/sheet7.xml" Id="Rb27c6163ee4b43ad" /><Relationship Type="http://schemas.openxmlformats.org/officeDocument/2006/relationships/worksheet" Target="/xl/worksheets/sheet8.xml" Id="Re800fb3b72954f52" /><Relationship Type="http://schemas.openxmlformats.org/officeDocument/2006/relationships/worksheet" Target="/xl/worksheets/sheet9.xml" Id="Ra3c95b9a43bc4255" /></Relationships>
</file>

<file path=xl/tables/table1.xml><?xml version="1.0" encoding="utf-8"?>
<x:table xmlns:x="http://schemas.openxmlformats.org/spreadsheetml/2006/main" id="1" name="LeanValidationTable" displayName="LeanValidationTable" ref="A4:N15" headerRowCount="1" totalsRowCount="0" totalsRowShown="0">
  <x:autoFilter ref="A4:N15"/>
  <x:tableColumns count="14">
    <x:tableColumn id="1" name="序号"/>
    <x:tableColumn id="2" name="验证ID"/>
    <x:tableColumn id="3" name="验证主题"/>
    <x:tableColumn id="4" name="类型"/>
    <x:tableColumn id="5" name="关键级别"/>
    <x:tableColumn id="6" name="主关联IR"/>
    <x:tableColumn id="7" name="次关联IR"/>
    <x:tableColumn id="8" name="必须回答的决策问题"/>
    <x:tableColumn id="9" name="为何决定IR成败"/>
    <x:tableColumn id="10" name="证伪意图"/>
    <x:tableColumn id="11" name="正式项目延续路径"/>
    <x:tableColumn id="12" name="原V1.3来源"/>
    <x:tableColumn id="13" name="周期"/>
    <x:tableColumn id="14" name="当前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ationDesignV15" displayName="ValidationDesignV15" ref="A4:Q15" headerRowCount="1" totalsRowCount="0" totalsRowShown="0">
  <x:autoFilter ref="A4:Q15"/>
  <x:tableColumns count="17">
    <x:tableColumn id="1" name="验证ID"/>
    <x:tableColumn id="2" name="核心假设"/>
    <x:tableColumn id="3" name="最小原型范围"/>
    <x:tableColumn id="4" name="实验矩阵"/>
    <x:tableColumn id="5" name="对照基线"/>
    <x:tableColumn id="6" name="关键指标"/>
    <x:tableColumn id="7" name="Go门槛"/>
    <x:tableColumn id="8" name="Conditional门槛"/>
    <x:tableColumn id="9" name="No-Go门槛"/>
    <x:tableColumn id="10" name="明确不做"/>
    <x:tableColumn id="11" name="必须交付证据"/>
    <x:tableColumn id="12" name="原型延续资产"/>
    <x:tableColumn id="13" name="证伪标记"/>
    <x:tableColumn id="14" name="周期"/>
    <x:tableColumn id="15" name="关键IR"/>
    <x:tableColumn id="16" name="关键SRS/SR锚点"/>
    <x:tableColumn id="17" name="结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rTraceTableV15" displayName="IrTraceTableV15" ref="A4:J28" headerRowCount="1" totalsRowCount="0" totalsRowShown="0">
  <x:autoFilter ref="A4:J28"/>
  <x:tableColumns count="10">
    <x:tableColumn id="1" name="IR ID"/>
    <x:tableColumn id="2" name="SF"/>
    <x:tableColumn id="3" name="IR功能化描述"/>
    <x:tableColumn id="4" name="关键级别"/>
    <x:tableColumn id="5" name="关键性判断"/>
    <x:tableColumn id="6" name="关联验证ID"/>
    <x:tableColumn id="7" name="覆盖方式"/>
    <x:tableColumn id="8" name="IR KPI锚点"/>
    <x:tableColumn id="9" name="是否需单独设项"/>
    <x:tableColumn id="10" name="审视结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13AuditTable" displayName="V13AuditTable" ref="A4:H29" headerRowCount="1" totalsRowCount="0" totalsRowShown="0">
  <x:autoFilter ref="A4:H29"/>
  <x:tableColumns count="8">
    <x:tableColumn id="1" name="原ID"/>
    <x:tableColumn id="2" name="原验证主题"/>
    <x:tableColumn id="3" name="审计动作"/>
    <x:tableColumn id="4" name="归并到V1.5"/>
    <x:tableColumn id="5" name="关联IR"/>
    <x:tableColumn id="6" name="审计理由"/>
    <x:tableColumn id="7" name="是否仍占立项前名额"/>
    <x:tableColumn id="8" name="处理结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PackTable" displayName="EvidencePackTable" ref="A4:M12" headerRowCount="1" totalsRowCount="0" totalsRowShown="0">
  <x:autoFilter ref="A4:M12"/>
  <x:tableColumns count="13">
    <x:tableColumn id="1" name="验证ID"/>
    <x:tableColumn id="2" name="要证明的关键问题"/>
    <x:tableColumn id="3" name="依赖的关键IR"/>
    <x:tableColumn id="4" name="原型资产"/>
    <x:tableColumn id="5" name="必须提交的原始证据"/>
    <x:tableColumn id="6" name="结果摘要"/>
    <x:tableColumn id="7" name="指标结果"/>
    <x:tableColumn id="8" name="结论"/>
    <x:tableColumn id="9" name="对架构的影响"/>
    <x:tableColumn id="10" name="对范围/里程碑的影响"/>
    <x:tableColumn id="11" name="对人员技能/数量的影响"/>
    <x:tableColumn id="12" name="证据位置/Commit"/>
    <x:tableColumn id="13" name="评审签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474fdb593147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1f1521e65f48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5dc4b0402346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176fafd10947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22a6d181354a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  <x:col min="3" max="3" width="28" hidden="0" customWidth="1"/>
    <x:col min="4" max="4" width="28" hidden="0" customWidth="1"/>
  </x:cols>
  <x:sheetData>
    <x:row r="1" ht="30" customHeight="1">
      <x:c r="A1" s="3" t="str">
        <x:v>关键技术原型验证清单 V1.5｜SRS V2.2对齐审视结论</x:v>
      </x:c>
      <x:c r="B1" s="3"/>
      <x:c r="C1" s="3"/>
      <x:c r="D1" s="3"/>
    </x:row>
    <x:row r="2" ht="36" customHeight="1">
      <x:c r="A2" s="6" t="str">
        <x:v>规范基线：KVCache SRS需求列表 V2.2_传输底座视角_建议修订版.xlsx；分解基线：统一异构KVCache存储池_全量需求树_V2.2.xlsx。每项必须决定某个IR成败、可证伪、可形成证据且原型可延续。</x:v>
      </x:c>
      <x:c r="B2" s="6"/>
      <x:c r="C2" s="6"/>
      <x:c r="D2" s="6"/>
    </x:row>
    <x:row r="4">
      <x:c r="A4" s="11" t="str">
        <x:v>V1.3原验证主题</x:v>
      </x:c>
      <x:c r="B4" s="11" t="str">
        <x:v>V1.5立项前必做</x:v>
      </x:c>
      <x:c r="C4" s="11" t="str">
        <x:v>V1.5条件/证伪</x:v>
      </x:c>
      <x:c r="D4" s="11" t="str">
        <x:v>移出立项前范围</x:v>
      </x:c>
    </x:row>
    <x:row r="5" ht="42" customHeight="1">
      <x:c r="A5" s="15" t="n">
        <x:f>COUNTA('V1.3项审计'!$A$5:$A$29)</x:f>
        <x:v>25</x:v>
      </x:c>
      <x:c r="B5" s="15" t="n">
        <x:f>COUNTIF('精简验证总表'!$D$5:$D$15,"立项前必做")</x:f>
        <x:v>8</x:v>
      </x:c>
      <x:c r="C5" s="15" t="n">
        <x:f>COUNTIF('精简验证总表'!$D$5:$D$15,"条件/证伪")</x:f>
        <x:v>3</x:v>
      </x:c>
      <x:c r="D5" s="15" t="n">
        <x:f>COUNTIF('V1.3项审计'!$C$5:$C$29,"移出")</x:f>
        <x:v>1</x:v>
      </x:c>
    </x:row>
    <x:row r="8">
      <x:c r="A8" s="16" t="str">
        <x:v>核心判断</x:v>
      </x:c>
      <x:c r="B8" s="16"/>
      <x:c r="C8" s="16"/>
      <x:c r="D8" s="16"/>
    </x:row>
    <x:row r="9" ht="46" customHeight="1">
      <x:c r="A9" s="30" t="str">
        <x:v>1</x:v>
      </x:c>
      <x:c r="B9" s="22" t="str">
        <x:v>V1.3的技术方向总体正确，但把收益门禁、底座微基准、策略算法和条件硬件并列成25个主题，重复建设风险高，不利于立项决策。</x:v>
      </x:c>
      <x:c r="C9" s="22"/>
      <x:c r="D9" s="22"/>
    </x:row>
    <x:row r="10" ht="46" customHeight="1">
      <x:c r="A10" s="31" t="str">
        <x:v>2</x:v>
      </x:c>
      <x:c r="B10" s="23" t="str">
        <x:v>V1.5保持8个立项前必做原型包，覆盖24条IR并重点覆盖K0关键IR；每个包只回答一个可改变架构、范围、采购或人力决策的问题。</x:v>
      </x:c>
      <x:c r="C10" s="23"/>
      <x:c r="D10" s="23"/>
    </x:row>
    <x:row r="11" ht="46" customHeight="1">
      <x:c r="A11" s="31" t="str">
        <x:v>3</x:v>
      </x:c>
      <x:c r="B11" s="23" t="str">
        <x:v>HBM↔SSD直达或低Host参与被设为容量主路径验证焦点；DDR仅验证可证明正收益的条件角色。DPU/硬件codec为条件项，CPU压缩/解压和通用CRC不作为主路径回退。</x:v>
      </x:c>
      <x:c r="C11" s="23"/>
      <x:c r="D11" s="23"/>
    </x:row>
    <x:row r="12" ht="46" customHeight="1">
      <x:c r="A12" s="31" t="str">
        <x:v>4</x:v>
      </x:c>
      <x:c r="B12" s="23" t="str">
        <x:v>组件消息通道全面改用UBMEM/URMA移出立项前清单：它弱关联统一协议，但不是任何关键IR成功的必要条件，后续由实测瓶颈触发。</x:v>
      </x:c>
      <x:c r="C12" s="23"/>
      <x:c r="D12" s="23"/>
    </x:row>
    <x:row r="13" ht="46" customHeight="1">
      <x:c r="A13" s="31" t="str">
        <x:v>5</x:v>
      </x:c>
      <x:c r="B13" s="23" t="str">
        <x:v>所有必做原型均要求产出可进入正式仓库的接口、探针、harness、golden case或薄闭环，禁止交付一次性Demo。</x:v>
      </x:c>
      <x:c r="C13" s="23"/>
      <x:c r="D13" s="23"/>
    </x:row>
    <x:row r="15">
      <x:c r="A15" s="16" t="str">
        <x:v>立项管理口径</x:v>
      </x:c>
      <x:c r="B15" s="16"/>
      <x:c r="C15" s="16"/>
      <x:c r="D15" s="16"/>
    </x:row>
    <x:row r="16" ht="42" customHeight="1">
      <x:c r="A16" s="36" t="str">
        <x:v>数量上限</x:v>
      </x:c>
      <x:c r="B16" s="22" t="str">
        <x:v>默认仅8个必做包；3个条件项不进入人力基线，只有触发门满足后单独申请。</x:v>
      </x:c>
      <x:c r="C16" s="22"/>
      <x:c r="D16" s="22"/>
    </x:row>
    <x:row r="17" ht="42" customHeight="1">
      <x:c r="A17" s="37" t="str">
        <x:v>结论格式</x:v>
      </x:c>
      <x:c r="B17" s="23" t="str">
        <x:v>每项必须输出Go / Conditional / No-Go / Not Supported、适用边界、默认回退和对IR的影响。</x:v>
      </x:c>
      <x:c r="C17" s="23"/>
      <x:c r="D17" s="23"/>
    </x:row>
    <x:row r="18" ht="42" customHeight="1">
      <x:c r="A18" s="37" t="str">
        <x:v>证据要求</x:v>
      </x:c>
      <x:c r="B18" s="23" t="str">
        <x:v>必须同时保留配置、版本、原始数据、分位数、资源计数、异常结果和一键复现入口。</x:v>
      </x:c>
      <x:c r="C18" s="23"/>
      <x:c r="D18" s="23"/>
    </x:row>
    <x:row r="19" ht="42" customHeight="1">
      <x:c r="A19" s="37" t="str">
        <x:v>延续性</x:v>
      </x:c>
      <x:c r="B19" s="23" t="str">
        <x:v>Go/Conditional原型的核心代码、接口和测试必须能迁入正式模块；No-Go项保留证据和feature flag，不延续实现。</x:v>
      </x:c>
      <x:c r="C19" s="23"/>
      <x:c r="D19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" hidden="0" customWidth="1"/>
    <x:col min="3" max="3" width="34" hidden="0" customWidth="1"/>
    <x:col min="4" max="4" width="14" hidden="0" customWidth="1"/>
    <x:col min="5" max="5" width="10" hidden="0" customWidth="1"/>
    <x:col min="6" max="6" width="34" hidden="0" customWidth="1"/>
    <x:col min="7" max="7" width="36" hidden="0" customWidth="1"/>
    <x:col min="8" max="8" width="54" hidden="0" customWidth="1"/>
    <x:col min="9" max="9" width="56" hidden="0" customWidth="1"/>
    <x:col min="10" max="10" width="30" hidden="0" customWidth="1"/>
    <x:col min="11" max="11" width="50" hidden="0" customWidth="1"/>
    <x:col min="12" max="12" width="32" hidden="0" customWidth="1"/>
    <x:col min="13" max="13" width="16" hidden="0" customWidth="1"/>
    <x:col min="14" max="14" width="12" hidden="0" customWidth="1"/>
  </x:cols>
  <x:sheetData>
    <x:row r="1" ht="30" customHeight="1">
      <x:c r="A1" s="39" t="str">
        <x:v>V1.5 关键技术原型验证总表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 ht="36" customHeight="1">
      <x:c r="A2" s="41" t="str">
        <x:v>8项立项前必做 + 3项条件/证伪；已按SRS V2.2刷新容量主路径、CPU数据面边界、SR锚点及性能门槛。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4" ht="40" customHeight="1">
      <x:c r="A4" s="46" t="str">
        <x:v>序号</x:v>
      </x:c>
      <x:c r="B4" s="46" t="str">
        <x:v>验证ID</x:v>
      </x:c>
      <x:c r="C4" s="46" t="str">
        <x:v>验证主题</x:v>
      </x:c>
      <x:c r="D4" s="46" t="str">
        <x:v>类型</x:v>
      </x:c>
      <x:c r="E4" s="46" t="str">
        <x:v>关键级别</x:v>
      </x:c>
      <x:c r="F4" s="46" t="str">
        <x:v>主关联IR</x:v>
      </x:c>
      <x:c r="G4" s="46" t="str">
        <x:v>次关联IR</x:v>
      </x:c>
      <x:c r="H4" s="46" t="str">
        <x:v>必须回答的决策问题</x:v>
      </x:c>
      <x:c r="I4" s="46" t="str">
        <x:v>为何决定IR成败</x:v>
      </x:c>
      <x:c r="J4" s="46" t="str">
        <x:v>证伪意图</x:v>
      </x:c>
      <x:c r="K4" s="46" t="str">
        <x:v>正式项目延续路径</x:v>
      </x:c>
      <x:c r="L4" s="46" t="str">
        <x:v>原V1.3来源</x:v>
      </x:c>
      <x:c r="M4" s="46" t="str">
        <x:v>周期</x:v>
      </x:c>
      <x:c r="N4" s="46" t="str">
        <x:v>当前状态</x:v>
      </x:c>
    </x:row>
    <x:row r="5" ht="21.600000381469727" hidden="0" customHeight="1">
      <x:c r="A5" s="47" t="n">
        <x:v>1</x:v>
      </x:c>
      <x:c r="B5" s="47" t="str">
        <x:v>PVT-00</x:v>
      </x:c>
      <x:c r="C5" s="47" t="str">
        <x:v>统一业务基线、收益上限与全链路观测底座</x:v>
      </x:c>
      <x:c r="D5" s="47" t="str">
        <x:v>立项前必做</x:v>
      </x:c>
      <x:c r="E5" s="47" t="str">
        <x:v>K0</x:v>
      </x:c>
      <x:c r="F5" s="47" t="str">
        <x:v>IR-02-11、IR-02-12</x:v>
      </x:c>
      <x:c r="G5" s="47" t="str">
        <x:v>IR-02-03</x:v>
      </x:c>
      <x:c r="H5" s="22" t="str">
        <x:v>目标业务是否真的存在足够的可复用前缀与 saved-prefill 收益；后续所有原型结果能否用同一 workload、trace 和时钟口径复现并对账。</x:v>
      </x:c>
      <x:c r="I5" s="22" t="str">
        <x:v>若自然复用上限不足或 TTFT/TPOT/Host touch/NPU stall 无法统一观测，则任何传输带宽、目录命中或容量扩展都不能证明项目价值。</x:v>
      </x:c>
      <x:c r="J5" s="22" t="str">
        <x:v>否（收益前提确认）</x:v>
      </x:c>
      <x:c r="K5" s="22" t="str">
        <x:v>直接演进为 IR-02-11 的 telemetry/trace 与 IR-02-12 的 perf/CI 基线，不做一次性脚本。</x:v>
      </x:c>
      <x:c r="L5" s="22" t="str">
        <x:v>MFS-0、BVG-01</x:v>
      </x:c>
      <x:c r="M5" s="47" t="str">
        <x:v>4~6人日</x:v>
      </x:c>
      <x:c r="N5" s="47" t="str">
        <x:v>待启动</x:v>
      </x:c>
    </x:row>
    <x:row r="6" ht="32.400001525878906" hidden="0" customHeight="1">
      <x:c r="A6" s="48" t="n">
        <x:v>2</x:v>
      </x:c>
      <x:c r="B6" s="48" t="str">
        <x:v>PVT-01</x:v>
      </x:c>
      <x:c r="C6" s="48" t="str">
        <x:v>HBM/DDR/SSD/远端介质数据路径与完整性能力矩阵</x:v>
      </x:c>
      <x:c r="D6" s="48" t="str">
        <x:v>立项前必做</x:v>
      </x:c>
      <x:c r="E6" s="48" t="str">
        <x:v>K0</x:v>
      </x:c>
      <x:c r="F6" s="48" t="str">
        <x:v>IR-01-06、IR-01-08、IR-01-09、IR-01-12</x:v>
      </x:c>
      <x:c r="G6" s="48" t="str">
        <x:v>IR-01-07、IR-02-11</x:v>
      </x:c>
      <x:c r="H6" s="23" t="str">
        <x:v>UBMEM/URMA、RDMA、C2C、NVMe/SSD 能否形成至少一条热路径，以及一条不强制经过DDR的HBM↔SSD直达或低Host参与容量主路径；每条路径的Host参与、完成可见性和完整性证据是否可接受。</x:v>
      </x:c>
      <x:c r="I6" s="23" t="str">
        <x:v>这是统一异构池的数据面硬门槛；若介质不可达、隐式经过 CPU/DDR、fence/ready 不闭环或错误 KV 可被消费，核心产品形态和性能叙事直接不成立。</x:v>
      </x:c>
      <x:c r="J6" s="23" t="str">
        <x:v>否（底座能力确认）</x:v>
      </x:c>
      <x:c r="K6" s="23" t="str">
        <x:v>探针、注册池、句柄和microbench进入正式 Backend Provider 与CI硬件回归。</x:v>
      </x:c>
      <x:c r="L6" s="23" t="str">
        <x:v>MFS-D1、MFS-D2、KTP-03、KTP-04</x:v>
      </x:c>
      <x:c r="M6" s="48" t="str">
        <x:v>10~14人日</x:v>
      </x:c>
      <x:c r="N6" s="48" t="str">
        <x:v>待启动</x:v>
      </x:c>
    </x:row>
    <x:row r="7" ht="32.400001525878906" hidden="0" customHeight="1">
      <x:c r="A7" s="48" t="n">
        <x:v>3</x:v>
      </x:c>
      <x:c r="B7" s="48" t="str">
        <x:v>PVT-02</x:v>
      </x:c>
      <x:c r="C7" s="48" t="str">
        <x:v>vLLM/SGLang布局—Extent/Descriptor—异步传输流水</x:v>
      </x:c>
      <x:c r="D7" s="48" t="str">
        <x:v>立项前必做</x:v>
      </x:c>
      <x:c r="E7" s="48" t="str">
        <x:v>K0</x:v>
      </x:c>
      <x:c r="F7" s="48" t="str">
        <x:v>IR-01-02、IR-01-04</x:v>
      </x:c>
      <x:c r="G7" s="48" t="str">
        <x:v>IR-01-06、IR-01-08、IR-02-06</x:v>
      </x:c>
      <x:c r="H7" s="23" t="str">
        <x:v>不同框架的逻辑 KV block/page/radix span 能否被稳定编译为各路径可执行的批量描述符，并与 Prefill/Decode 形成可取消、可回退的流水。</x:v>
      </x:c>
      <x:c r="I7" s="23" t="str">
        <x:v>若需要逐块拷贝、重复后端适配或整对象同步等待，即使底层带宽达标，CPU submit、小I/O放大和串行等待仍会吞噬 TTFT。</x:v>
      </x:c>
      <x:c r="J7" s="23" t="str">
        <x:v>否（关键执行链确认）</x:v>
      </x:c>
      <x:c r="K7" s="23" t="str">
        <x:v>原型代码直接进入 Transfer Manager 的 Descriptor/Async DAG 子模块。</x:v>
      </x:c>
      <x:c r="L7" s="23" t="str">
        <x:v>MFS-L、KTP-09</x:v>
      </x:c>
      <x:c r="M7" s="48" t="str">
        <x:v>10~12人日</x:v>
      </x:c>
      <x:c r="N7" s="48" t="str">
        <x:v>待启动</x:v>
      </x:c>
    </x:row>
    <x:row r="8" ht="32.400001525878906" hidden="0" customHeight="1">
      <x:c r="A8" s="48" t="n">
        <x:v>4</x:v>
      </x:c>
      <x:c r="B8" s="48" t="str">
        <x:v>PVT-03</x:v>
      </x:c>
      <x:c r="C8" s="48" t="str">
        <x:v>UBMEM元数据、block_table与KV direct-view安全边界</x:v>
      </x:c>
      <x:c r="D8" s="48" t="str">
        <x:v>立项前必做</x:v>
      </x:c>
      <x:c r="E8" s="48" t="str">
        <x:v>K0</x:v>
      </x:c>
      <x:c r="F8" s="48" t="str">
        <x:v>IR-01-07、IR-02-04、IR-02-05</x:v>
      </x:c>
      <x:c r="G8" s="48" t="str">
        <x:v>IR-01-10、IR-01-12、IR-02-09、IR-02-10</x:v>
      </x:c>
      <x:c r="H8" s="23" t="str">
        <x:v>哪些对象适合 UBMEM/共享内存语义直接访问，哪些必须 local mirror 或 copy-to-HBM；decode-active KV direct-view 是否应成为默认路径。</x:v>
      </x:c>
      <x:c r="I8" s="23" t="str">
        <x:v>UBMEM/URMA 是核心技术基础，但 PrefixDirectory、block_table 与 attention 重读 KV 的访问模式完全不同；错误地统一成 direct-view 会造成 page fault、TLB miss、remote stall 和 stale view。</x:v>
      </x:c>
      <x:c r="J8" s="23" t="str">
        <x:v>是（证伪“decode-active KV 默认 direct-view”）</x:v>
      </x:c>
      <x:c r="K8" s="23" t="str">
        <x:v>DirectViewGuard、对象分类与counter探针进入正式 View/Copy cost model。</x:v>
      </x:c>
      <x:c r="L8" s="23" t="str">
        <x:v>MFS-M、KTP-01、KTP-02、KTP-10</x:v>
      </x:c>
      <x:c r="M8" s="48" t="str">
        <x:v>10~14人日</x:v>
      </x:c>
      <x:c r="N8" s="48" t="str">
        <x:v>待启动</x:v>
      </x:c>
    </x:row>
    <x:row r="9" ht="21.600000381469727" hidden="0" customHeight="1">
      <x:c r="A9" s="48" t="n">
        <x:v>5</x:v>
      </x:c>
      <x:c r="B9" s="48" t="str">
        <x:v>PVT-04</x:v>
      </x:c>
      <x:c r="C9" s="48" t="str">
        <x:v>QueryPlan的load-vs-recompute、PlacementResolver与动态路径选择</x:v>
      </x:c>
      <x:c r="D9" s="48" t="str">
        <x:v>立项前必做</x:v>
      </x:c>
      <x:c r="E9" s="48" t="str">
        <x:v>K0</x:v>
      </x:c>
      <x:c r="F9" s="48" t="str">
        <x:v>IR-01-03、IR-01-05</x:v>
      </x:c>
      <x:c r="G9" s="48" t="str">
        <x:v>IR-01-09、IR-02-02、IR-02-11</x:v>
      </x:c>
      <x:c r="H9" s="23" t="str">
        <x:v>系统能否在微秒级用真实路径成本识别正收益命中，选择正确副本/路径，并在拥塞或故障时有界回退。</x:v>
      </x:c>
      <x:c r="I9" s="23" t="str">
        <x:v>物理命中不等于收益；若 cost model、路径选择或准入错误，远端 load 会比重算更慢并造成 abandoned hit、TTFT尾延迟和跨节点流量放大。</x:v>
      </x:c>
      <x:c r="J9" s="23" t="str">
        <x:v>否（决策能力确认）</x:v>
      </x:c>
      <x:c r="K9" s="23" t="str">
        <x:v>原型直接演进为 PolicyEngine/PlacementResolver，并复用路径telemetry。</x:v>
      </x:c>
      <x:c r="L9" s="23" t="str">
        <x:v>MFS-B、BVG-03、BVG-06、KTP-08、KTP-12</x:v>
      </x:c>
      <x:c r="M9" s="48" t="str">
        <x:v>8~10人日</x:v>
      </x:c>
      <x:c r="N9" s="48" t="str">
        <x:v>待启动</x:v>
      </x:c>
    </x:row>
    <x:row r="10" ht="32.400001525878906" hidden="0" customHeight="1">
      <x:c r="A10" s="48" t="n">
        <x:v>6</x:v>
      </x:c>
      <x:c r="B10" s="48" t="str">
        <x:v>PVT-05</x:v>
      </x:c>
      <x:c r="C10" s="48" t="str">
        <x:v>统一池分层容量、DDR角色与KV生命周期策略</x:v>
      </x:c>
      <x:c r="D10" s="48" t="str">
        <x:v>立项前必做</x:v>
      </x:c>
      <x:c r="E10" s="48" t="str">
        <x:v>K0</x:v>
      </x:c>
      <x:c r="F10" s="48" t="str">
        <x:v>IR-01-01、IR-02-08、IR-02-09</x:v>
      </x:c>
      <x:c r="G10" s="48" t="str">
        <x:v>IR-02-02</x:v>
      </x:c>
      <x:c r="H10" s="23" t="str">
        <x:v>HBM↔SSD直达或低Host参与通路能否成为默认容量主路径并转化为可服务容量与NPU利用率；DDR应承担哪些可证明正收益的条件角色；复杂分层策略是否优于简单水位策略。</x:v>
      </x:c>
      <x:c r="I10" s="23" t="str">
        <x:v>可寻址字节增加不等于服务容量增加；若碎片、preemption、迁移抖动或DDR成本抵消收益，统一池最核心的容量价值无法成立。</x:v>
      </x:c>
      <x:c r="J10" s="23" t="str">
        <x:v>否（容量价值确认）</x:v>
      </x:c>
      <x:c r="K10" s="23" t="str">
        <x:v>回放器与策略接口进入TierManager；实验结论冻结硬件容量和人力投入边界。</x:v>
      </x:c>
      <x:c r="L10" s="23" t="str">
        <x:v>MFS-R、BVG-04、BVG-08、KTP-06、KTP-07、KTP-17</x:v>
      </x:c>
      <x:c r="M10" s="48" t="str">
        <x:v>10~14人日</x:v>
      </x:c>
      <x:c r="N10" s="48" t="str">
        <x:v>待启动</x:v>
      </x:c>
    </x:row>
    <x:row r="11" ht="32.400001525878906" hidden="0" customHeight="1">
      <x:c r="A11" s="48" t="n">
        <x:v>7</x:v>
      </x:c>
      <x:c r="B11" s="48" t="str">
        <x:v>PVT-06</x:v>
      </x:c>
      <x:c r="C11" s="48" t="str">
        <x:v>Raw Hit→Usable Hit→Attach/Partial Reuse的正确性闭环</x:v>
      </x:c>
      <x:c r="D11" s="48" t="str">
        <x:v>立项前必做</x:v>
      </x:c>
      <x:c r="E11" s="48" t="str">
        <x:v>K0</x:v>
      </x:c>
      <x:c r="F11" s="48" t="str">
        <x:v>IR-01-10、IR-01-11、IR-02-01、IR-02-05</x:v>
      </x:c>
      <x:c r="G11" s="48" t="str">
        <x:v>IR-01-12、IR-02-03、IR-02-04、IR-02-09、IR-02-10</x:v>
      </x:c>
      <x:c r="H11" s="23" t="str">
        <x:v>前缀候选能否在版本、layout、ready、lease、rank等约束下被安全消费；部分命中与故障回退是否仍有净收益。</x:v>
      </x:c>
      <x:c r="I11" s="23" t="str">
        <x:v>项目价值取决于 usable hit，而不是 raw hit；任何错误或过期KV被attach都会形成正确性事故，多rank不一致还会造成死锁或隐蔽错误。</x:v>
      </x:c>
      <x:c r="J11" s="23" t="str">
        <x:v>否（可消费性确认）</x:v>
      </x:c>
      <x:c r="K11" s="23" t="str">
        <x:v>协议、判定器、golden cases与fault tests进入Connector/Directory正式模块。</x:v>
      </x:c>
      <x:c r="L11" s="23" t="str">
        <x:v>BVG-02、BVG-07</x:v>
      </x:c>
      <x:c r="M11" s="48" t="str">
        <x:v>10~12人日</x:v>
      </x:c>
      <x:c r="N11" s="48" t="str">
        <x:v>待启动</x:v>
      </x:c>
    </x:row>
    <x:row r="12" ht="21.600000381469727" hidden="0" customHeight="1">
      <x:c r="A12" s="48" t="n">
        <x:v>8</x:v>
      </x:c>
      <x:c r="B12" s="48" t="str">
        <x:v>PVT-07</x:v>
      </x:c>
      <x:c r="C12" s="48" t="str">
        <x:v>前后台QoS、计算—传输重叠与端到端收益薄闭环</x:v>
      </x:c>
      <x:c r="D12" s="48" t="str">
        <x:v>立项前必做</x:v>
      </x:c>
      <x:c r="E12" s="48" t="str">
        <x:v>K0</x:v>
      </x:c>
      <x:c r="F12" s="48" t="str">
        <x:v>IR-01-04、IR-01-11、IR-02-06</x:v>
      </x:c>
      <x:c r="G12" s="48" t="str">
        <x:v>IR-01-12、IR-02-02、IR-02-07、IR-02-11</x:v>
      </x:c>
      <x:c r="H12" s="23" t="str">
        <x:v>在真实前台Decode与后台SSD回源、预取、迁移混压下，统一池能否改善TTFT、容量和NPU利用率，同时把TPOT尾部退化控制在业务门槛内。</x:v>
      </x:c>
      <x:c r="I12" s="23" t="str">
        <x:v>单项带宽或算法达标不代表在线业务成功；共享RNIC、DMA、内存带宽和copy stream的干扰可能把容量与命中收益全部抵消。</x:v>
      </x:c>
      <x:c r="J12" s="23" t="str">
        <x:v>否（项目价值总门禁）</x:v>
      </x:c>
      <x:c r="K12" s="23" t="str">
        <x:v>薄闭环成为首个vertical slice与回归场景；QoS分类、指标和fallback接口直接进入正式系统。</x:v>
      </x:c>
      <x:c r="L12" s="23" t="str">
        <x:v>MFS-B、BVG-03、BVG-05、KTP-11</x:v>
      </x:c>
      <x:c r="M12" s="48" t="str">
        <x:v>12~15人日</x:v>
      </x:c>
      <x:c r="N12" s="48" t="str">
        <x:v>待启动</x:v>
      </x:c>
    </x:row>
    <x:row r="13" ht="21.600000381469727" hidden="0" customHeight="1">
      <x:c r="A13" s="48" t="n">
        <x:v>9</x:v>
      </x:c>
      <x:c r="B13" s="48" t="str">
        <x:v>CVT-01</x:v>
      </x:c>
      <x:c r="C13" s="48" t="str">
        <x:v>多消费者一次加载与1→N多播/fanout边界</x:v>
      </x:c>
      <x:c r="D13" s="48" t="str">
        <x:v>条件/证伪</x:v>
      </x:c>
      <x:c r="E13" s="48" t="str">
        <x:v>K1</x:v>
      </x:c>
      <x:c r="F13" s="48" t="str">
        <x:v>IR-01-04、IR-01-10</x:v>
      </x:c>
      <x:c r="G13" s="48" t="str">
        <x:v>—</x:v>
      </x:c>
      <x:c r="H13" s="23" t="str">
        <x:v>热点前缀是否需要硬件多播，还是节点级staging/软件fanout已足够。</x:v>
      </x:c>
      <x:c r="I13" s="23" t="str">
        <x:v>只在真实fanout高且重复远端字节成为瓶颈时影响IR；否则不应提前占用主线人力。</x:v>
      </x:c>
      <x:c r="J13" s="23" t="str">
        <x:v>是（证伪“硬件多播是关键IR前置条件”）</x:v>
      </x:c>
      <x:c r="K13" s="23" t="str">
        <x:v>仅Go后进入Async DAG的可选Multicast Provider。</x:v>
      </x:c>
      <x:c r="L13" s="23" t="str">
        <x:v>KTP-14</x:v>
      </x:c>
      <x:c r="M13" s="48" t="str">
        <x:v>6~8人日（触发后）</x:v>
      </x:c>
      <x:c r="N13" s="48" t="str">
        <x:v>待启动</x:v>
      </x:c>
    </x:row>
    <x:row r="14" ht="32.400001525878906" hidden="0" customHeight="1">
      <x:c r="A14" s="48" t="n">
        <x:v>10</x:v>
      </x:c>
      <x:c r="B14" s="48" t="str">
        <x:v>CVT-02</x:v>
      </x:c>
      <x:c r="C14" s="48" t="str">
        <x:v>atomic remap/page migration相对软件RCU的必要性</x:v>
      </x:c>
      <x:c r="D14" s="48" t="str">
        <x:v>条件/证伪</x:v>
      </x:c>
      <x:c r="E14" s="48" t="str">
        <x:v>K1</x:v>
      </x:c>
      <x:c r="F14" s="48" t="str">
        <x:v>IR-01-01、IR-01-11、IR-01-12</x:v>
      </x:c>
      <x:c r="G14" s="48" t="str">
        <x:v>—</x:v>
      </x:c>
      <x:c r="H14" s="23" t="str">
        <x:v>硬件atomic remap/page migration是否必须进入默认迁移路径，还是RCU+copy-on-migrate已满足SLO。</x:v>
      </x:c>
      <x:c r="I14" s="23" t="str">
        <x:v>该能力仅在迁移/压紧pause成为已证实瓶颈时决定IR实现；否则属于P2/P3平台优化。</x:v>
      </x:c>
      <x:c r="J14" s="23" t="str">
        <x:v>是（优先证伪硬件原语必要性）</x:v>
      </x:c>
      <x:c r="K14" s="23" t="str">
        <x:v>仅Go后把硬件remap作为feature-flag后端；RCU原型直接保留。</x:v>
      </x:c>
      <x:c r="L14" s="23" t="str">
        <x:v>KTP-15</x:v>
      </x:c>
      <x:c r="M14" s="48" t="str">
        <x:v>8~12人日（触发后）</x:v>
      </x:c>
      <x:c r="N14" s="48" t="str">
        <x:v>待启动</x:v>
      </x:c>
    </x:row>
    <x:row r="15" ht="21.600000381469727" hidden="0" customHeight="1">
      <x:c r="A15" s="48" t="n">
        <x:v>11</x:v>
      </x:c>
      <x:c r="B15" s="48" t="str">
        <x:v>CVT-03</x:v>
      </x:c>
      <x:c r="C15" s="48" t="str">
        <x:v>DPU/CQ/硬件codec卸载的可用性与净收益</x:v>
      </x:c>
      <x:c r="D15" s="48" t="str">
        <x:v>条件/证伪</x:v>
      </x:c>
      <x:c r="E15" s="48" t="str">
        <x:v>K1</x:v>
      </x:c>
      <x:c r="F15" s="48" t="str">
        <x:v>IR-01-08、IR-01-09</x:v>
      </x:c>
      <x:c r="G15" s="48" t="str">
        <x:v>IR-01-12</x:v>
      </x:c>
      <x:c r="H15" s="23" t="str">
        <x:v>DPU/NPU/SSD原生能力是否值得进入默认路径；项目是否可以在无DPU/codec时按raw/direct路径成立。</x:v>
      </x:c>
      <x:c r="I15" s="23" t="str">
        <x:v>DPU与硬件codec是可选加速而非统一池成立前提；只有平台真实提供且Host CPU/CQ/存储带宽成为瓶颈时才需要验证。</x:v>
      </x:c>
      <x:c r="J15" s="23" t="str">
        <x:v>是（证伪“DPU/codec是项目必需依赖”）</x:v>
      </x:c>
      <x:c r="K15" s="23" t="str">
        <x:v>仅Go后作为Backend Provider可选插件；主路径保持无DPU可运行。</x:v>
      </x:c>
      <x:c r="L15" s="23" t="str">
        <x:v>KTP-13、KTP-16</x:v>
      </x:c>
      <x:c r="M15" s="48" t="str">
        <x:v>5~8人日（触发后）</x:v>
      </x:c>
      <x:c r="N15" s="48" t="str">
        <x:v>待启动</x:v>
      </x:c>
    </x:row>
  </x:sheetData>
  <x:mergeCells>
    <x:mergeCell ref="A1:N1"/>
    <x:mergeCell ref="A2:N2"/>
  </x:mergeCells>
  <x:conditionalFormatting sqref="D5:D15">
    <x:cfRule type="containsText" dxfId="0" priority="1" operator="containsText" text="立项前必做"/>
    <x:cfRule type="containsText" dxfId="1" priority="2" operator="containsText" text="条件/证伪"/>
  </x:conditionalFormatting>
  <x:conditionalFormatting sqref="J5:J15">
    <x:cfRule type="containsText" dxfId="2" priority="3" operator="containsText" text="是"/>
  </x:conditionalFormatting>
  <x:dataValidations count="1">
    <x:dataValidation type="list" sqref="N5:N15">
      <x:formula1>"待启动,进行中,已完成,受阻,不启动"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474fdb593147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8" hidden="0" customWidth="1"/>
    <x:col min="3" max="3" width="58" hidden="0" customWidth="1"/>
    <x:col min="4" max="4" width="42" hidden="0" customWidth="1"/>
    <x:col min="5" max="5" width="38" hidden="0" customWidth="1"/>
    <x:col min="6" max="6" width="48" hidden="0" customWidth="1"/>
    <x:col min="7" max="7" width="52" hidden="0" customWidth="1"/>
    <x:col min="8" max="8" width="48" hidden="0" customWidth="1"/>
    <x:col min="9" max="9" width="48" hidden="0" customWidth="1"/>
    <x:col min="10" max="10" width="44" hidden="0" customWidth="1"/>
    <x:col min="11" max="11" width="48" hidden="0" customWidth="1"/>
    <x:col min="12" max="12" width="48" hidden="0" customWidth="1"/>
    <x:col min="13" max="13" width="32" hidden="0" customWidth="1"/>
    <x:col min="14" max="14" width="18" hidden="0" customWidth="1"/>
    <x:col min="15" max="15" width="36" hidden="0" customWidth="1"/>
    <x:col min="16" max="16" width="48" hidden="0" customWidth="1"/>
    <x:col min="17" max="17" width="15" hidden="0" customWidth="1"/>
  </x:cols>
  <x:sheetData>
    <x:row r="1" ht="30" customHeight="1">
      <x:c r="A1" s="39" t="str">
        <x:v>关键技术最小原型验证设计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</x:row>
    <x:row r="2" ht="36" customHeight="1">
      <x:c r="A2" s="41" t="str">
        <x:v>每项只实现足以证实或证伪核心假设的最小切片；Go门槛与需求树IR KPI一致，结果必须输出适用边界和默认回退。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</x:row>
    <x:row r="4" ht="40" customHeight="1">
      <x:c r="A4" s="46" t="str">
        <x:v>验证ID</x:v>
      </x:c>
      <x:c r="B4" s="46" t="str">
        <x:v>核心假设</x:v>
      </x:c>
      <x:c r="C4" s="46" t="str">
        <x:v>最小原型范围</x:v>
      </x:c>
      <x:c r="D4" s="46" t="str">
        <x:v>实验矩阵</x:v>
      </x:c>
      <x:c r="E4" s="46" t="str">
        <x:v>对照基线</x:v>
      </x:c>
      <x:c r="F4" s="46" t="str">
        <x:v>关键指标</x:v>
      </x:c>
      <x:c r="G4" s="46" t="str">
        <x:v>Go门槛</x:v>
      </x:c>
      <x:c r="H4" s="46" t="str">
        <x:v>Conditional门槛</x:v>
      </x:c>
      <x:c r="I4" s="46" t="str">
        <x:v>No-Go门槛</x:v>
      </x:c>
      <x:c r="J4" s="46" t="str">
        <x:v>明确不做</x:v>
      </x:c>
      <x:c r="K4" s="46" t="str">
        <x:v>必须交付证据</x:v>
      </x:c>
      <x:c r="L4" s="46" t="str">
        <x:v>原型延续资产</x:v>
      </x:c>
      <x:c r="M4" s="46" t="str">
        <x:v>证伪标记</x:v>
      </x:c>
      <x:c r="N4" s="46" t="str">
        <x:v>周期</x:v>
      </x:c>
      <x:c r="O4" s="46" t="str">
        <x:v>关键IR</x:v>
      </x:c>
      <x:c r="P4" s="46" t="str">
        <x:v>关键SRS/SR锚点</x:v>
      </x:c>
      <x:c r="Q4" s="46" t="str">
        <x:v>结论</x:v>
      </x:c>
    </x:row>
    <x:row r="5" ht="54" hidden="0" customHeight="1">
      <x:c r="A5" s="47" t="str">
        <x:v>PVT-00</x:v>
      </x:c>
      <x:c r="B5" s="22" t="str">
        <x:v>至少一个目标 workload 分层的理论 saved-prefill 收益能覆盖目录、QueryPlan、传输、attach 与同步预算；同一实验重复运行的关键指标可稳定复现。</x:v>
      </x:c>
      <x:c r="C5" s="22" t="str">
        <x:v>抽取 1~3 天匿名业务 trace；拿不到真实数据时使用固定版本 ShareGPT + Zipf 合成轨迹双轨替代。冻结模型、tokenizer、chat template、layout、并发、拓扑和到达分布；为 vLLM/SGLang 建立统一时间戳、raw/usable/abandoned hit、Host Payload touch、NPU busy/stall 与 fallback 采集。</x:v>
      </x:c>
      <x:c r="D5" s="22" t="str">
        <x:v>2 个框架；1 个主模型；4 档上下文（4K/32K/128K/256K+）；3 档并发；同一 case 重复≥3次。</x:v>
      </x:c>
      <x:c r="E5" s="22" t="str">
        <x:v>vLLM/SGLang 原生 prefix cache/offload 关闭与开启两组；所有后续 PVT 共用本基线。</x:v>
      </x:c>
      <x:c r="F5" s="22" t="str">
        <x:v>可复用请求/token占比、prefix P50/P95、reuse distance、容量—命中曲线、理论 saved-prefill、TTFT分解、TPOT、NPU busy/stall、Host touch、指标丢失率、重复实验CV。</x:v>
      </x:c>
      <x:c r="G5" s="22" t="str">
        <x:v>至少一个明确业务分层的 P95 saved-prefill 预算≥控制+传输+attach 预算的2倍；核心指标丢失率&lt;0.1%，重复实验CV&lt;5%。</x:v>
      </x:c>
      <x:c r="H5" s="22" t="str">
        <x:v>收益仅集中于特定模板/租户时，项目限定场景立项并冻结白名单。</x:v>
      </x:c>
      <x:c r="I5" s="22" t="str">
        <x:v>自然复用过低、reuse distance 远超经济容量，或指标无法对账复现。</x:v>
      </x:c>
      <x:c r="J5" s="22" t="str">
        <x:v>不实现生产目录、完整调度器、HA、在线学习；不把合成热点直接外推为生产承诺。</x:v>
      </x:c>
      <x:c r="K5" s="22" t="str">
        <x:v>版本化 workload pack、baseline 报告、trace schema、指标字典、原始数据与一键复现实验脚本。</x:v>
      </x:c>
      <x:c r="L5" s="22" t="str">
        <x:v>直接演进为 IR-02-11 的 telemetry/trace 与 IR-02-12 的 perf/CI 基线，不做一次性脚本。</x:v>
      </x:c>
      <x:c r="M5" s="47" t="str">
        <x:v>否（收益前提确认）</x:v>
      </x:c>
      <x:c r="N5" s="47" t="str">
        <x:v>4~6人日</x:v>
      </x:c>
      <x:c r="O5" s="47" t="str">
        <x:v>IR-02-11、IR-02-12</x:v>
      </x:c>
      <x:c r="P5" s="47" t="str">
        <x:v>SRS：L3-OB-PerPathTelemetry-047、L1-OB-SemanticMetrics-016、SE-MONITOR-001、SE-PERF-001；SR：SR-02-11-01/02</x:v>
      </x:c>
      <x:c r="Q5" s="47" t="str">
        <x:v>待判定</x:v>
      </x:c>
    </x:row>
    <x:row r="6" ht="43.20000076293945" hidden="0" customHeight="1">
      <x:c r="A6" s="48" t="str">
        <x:v>PVT-01</x:v>
      </x:c>
      <x:c r="B6" s="23" t="str">
        <x:v>代表硬件上可形成 HBM↔DDR、跨节点 HBM/DDR，以及不依赖HBM→DDR→SSD三级串行搬运的HBM↔SSD容量路径；主路径不触碰Host Payload，staged例外可量化、限流和禁用。</x:v>
      </x:c>
      <x:c r="C6" s="23" t="str">
        <x:v>建立 PathCapability 探针和统一 microbench；覆盖 registered pool、remote extent handle、RDMA CQ、URMA/UBMEM view、io_uring/SPDK/Direct Storage；实现 completion→fence→integrity evidence→ready→attach 的最小链，并注入超时、半写、ECC/RAS、句柄失效。</x:v>
      </x:c>
      <x:c r="D6" s="23" t="str">
        <x:v>64KB~1GB；QD 1/8/32/128；对齐/非对齐；本地/跨节点；正常/拥塞/故障；至少 1 条 SSD 容量路径。</x:v>
      </x:c>
      <x:c r="E6" s="23" t="str">
        <x:v>CPU memcpy、TCP/staged、框架原生swap/offload、HBM→DDR→SSD三级传递；同硬件空载峰值。</x:v>
      </x:c>
      <x:c r="F6" s="23" t="str">
        <x:v>P50/P95/P99、effective BW/峰值比、CPU cycles/GB、Host payload bytes、CQ/fence耗时、ready延迟、retry/fallback、错误KV消费数。</x:v>
      </x:c>
      <x:c r="G6" s="23" t="str">
        <x:v>至少一条热路径和一条HBM↔SSD直达或低Host参与容量路径正确闭环；RDMA有效带宽≥线速80%，SSD顺序带宽≥设备峰值80%，主路径Host Payload touch=0，CPU压缩/解压和全量CRC调用=0，错误/半写KV消费=0。</x:v>
      </x:c>
      <x:c r="H6" s="23" t="str">
        <x:v>仅 staged 路径可用时，明确CPU预算、适用数据规模和限流条件，作为非默认回退。</x:v>
      </x:c>
      <x:c r="I6" s="23" t="str">
        <x:v>无可用容量路径、Host参与不可观测、完成语义不可靠或错误KV可进入推理。</x:v>
      </x:c>
      <x:c r="J6" s="23" t="str">
        <x:v>不做完整 tier manager、生产HA、CPU codec/全量CPU CRC、全平台适配。</x:v>
      </x:c>
      <x:c r="K6" s="23" t="str">
        <x:v>版本化 capability matrix、路径性能曲线、Host touch 对账、故障注入报告、Go/禁用/回退路径表。</x:v>
      </x:c>
      <x:c r="L6" s="23" t="str">
        <x:v>探针、注册池、句柄和microbench进入正式 Backend Provider 与CI硬件回归。</x:v>
      </x:c>
      <x:c r="M6" s="48" t="str">
        <x:v>否（底座能力确认）</x:v>
      </x:c>
      <x:c r="N6" s="48" t="str">
        <x:v>10~14人日</x:v>
      </x:c>
      <x:c r="O6" s="48" t="str">
        <x:v>IR-01-06、IR-01-08、IR-01-09、IR-01-12</x:v>
      </x:c>
      <x:c r="P6" s="48" t="str">
        <x:v>SRS：L4-MC-HIER-STORE-001、L3-MS-Tiering-038、L4-HW-HostPayloadTouchBudget-076、L4-FT-PathIntegrityPolicy-077；SR：IR-01-08/09/12下对应SR</x:v>
      </x:c>
      <x:c r="Q6" s="48" t="str">
        <x:v>待判定</x:v>
      </x:c>
    </x:row>
    <x:row r="7" ht="43.20000076293945" hidden="0" customHeight="1">
      <x:c r="A7" s="48" t="str">
        <x:v>PVT-02</x:v>
      </x:c>
      <x:c r="B7" s="23" t="str">
        <x:v>ExtentManifest + LayoutNegotiation + BulkDescriptor 可同时覆盖 vLLM block 与 SGLang page/radix span，并显著减少 descriptor 与提交开销；Layer/Page ready 可让计算与传输重叠。</x:v>
      </x:c>
      <x:c r="C7" s="23" t="str">
        <x:v>实现只支持两种代表 layout 的 descriptor compiler；输出 SG/segment、alignment、registration、queue、fence 与 fallback 约束；接入 PVT-01 的 RDMA 和 SSD 两个后端，构建 page/layer 级异步 DAG、取消与部分完成处理。</x:v>
      </x:c>
      <x:c r="D7" s="23" t="str">
        <x:v>vLLM paged block + SGLang page/radix；4档对象大小；SG数量1~1024；QD 1~64；整段/部分前缀；取消/超时。</x:v>
      </x:c>
      <x:c r="E7" s="23" t="str">
        <x:v>逐 block/page copy + 单请求单 descriptor + 整对象完成后计算。</x:v>
      </x:c>
      <x:c r="F7" s="23" t="str">
        <x:v>descriptor数、I/O放大、submit CPU、effective BW、布局错误、batch latency、计算—传输重叠率、额外内存、取消释放时延。</x:v>
      </x:c>
      <x:c r="G7" s="23" t="str">
        <x:v>descriptor数下降≥50%、effective BW提升≥30%、CPU submit下降≥40%、布局协商错误=0、计算—传输重叠≥60%、额外内存≤15%。</x:v>
      </x:c>
      <x:c r="H7" s="23" t="str">
        <x:v>只有单一框架/布局达标时限定首发范围；不兼容路径使用显式 transform 或重算。</x:v>
      </x:c>
      <x:c r="I7" s="23" t="str">
        <x:v>描述符编译收益不足、布局错误不可防止，或流水导致TPOT/内存显著退化。</x:v>
      </x:c>
      <x:c r="J7" s="23" t="str">
        <x:v>不做通用格式转换器、全模型layout、生产级调度器或所有后端。</x:v>
      </x:c>
      <x:c r="K7" s="23" t="str">
        <x:v>可复用 descriptor compiler、两后端 adapter、DAG执行器薄片、golden layout cases 与性能报告。</x:v>
      </x:c>
      <x:c r="L7" s="23" t="str">
        <x:v>原型代码直接进入 Transfer Manager 的 Descriptor/Async DAG 子模块。</x:v>
      </x:c>
      <x:c r="M7" s="48" t="str">
        <x:v>否（关键执行链确认）</x:v>
      </x:c>
      <x:c r="N7" s="48" t="str">
        <x:v>10~12人日</x:v>
      </x:c>
      <x:c r="O7" s="48" t="str">
        <x:v>IR-01-02、IR-01-04</x:v>
      </x:c>
      <x:c r="P7" s="48" t="str">
        <x:v>SRS：L3-SE-DescriptorFromManifest-079、L3-MC-LayoutTransformPlan-078、L2-OL-BulkDescriptor-025、L2-OL-LayoutNegotiation-024；SR：SR-01-02-01~05</x:v>
      </x:c>
      <x:c r="Q7" s="48" t="str">
        <x:v>待判定</x:v>
      </x:c>
    </x:row>
    <x:row r="8" ht="32.400001525878906" hidden="0" customHeight="1">
      <x:c r="A8" s="48" t="str">
        <x:v>PVT-03</x:v>
      </x:c>
      <x:c r="B8" s="23" t="str">
        <x:v>热元数据/只读快照存在稳定 direct-view 安全区；decode-active KV 默认 copy-to-HBM，除非 size、reuse、page size 与 remote stall 能稳定预测正收益。</x:v>
      </x:c>
      <x:c r="C8" s="23" t="str">
        <x:v>同一 harness 分开验证 PrefixDirectory lookup、block_table attach/read、KV span attention-like 重读；对比 local mirror、host copy、UBMEM view、copy-to-HBM；实现 read-only lease、version、revoke、stale/越界保护。</x:v>
      </x:c>
      <x:c r="D8" s="23" t="str">
        <x:v>metadata 64B~64KB；KV span 256KB~64MB；一次读/多次重读；1/2/4 rank；first-touch、page size、并发、映射失效。</x:v>
      </x:c>
      <x:c r="E8" s="23" t="str">
        <x:v>本地hash/radix mirror、RPC精确查询、block_table本地执行内存、KV显式copy-to-HBM。</x:v>
      </x:c>
      <x:c r="F8" s="23" t="str">
        <x:v>lookup/attach P99、每token访问P99、TPOT、remote stall、TLB/page fault、copy latency、revoke P99、stale/越界、策略准确率。</x:v>
      </x:c>
      <x:c r="G8" s="23" t="str">
        <x:v>本地快判&lt;10us；目标 direct-view 场景 TPOT P99 回退&lt;3%、stale/越界=0、view revoke P99&lt;1ms，且识别出可稳定复现的安全区。</x:v>
      </x:c>
      <x:c r="H8" s="23" t="str">
        <x:v>只允许 metadata/attach前只读快照 direct-view；decode-active KV一律copy-to-HBM。</x:v>
      </x:c>
      <x:c r="I8" s="23" t="str">
        <x:v>crossover 不稳定、关键计数器不可用或 direct-view 导致不可控远端stall。</x:v>
      </x:c>
      <x:c r="J8" s="23" t="str">
        <x:v>不做通用统一内存、写共享、跨租户共享、完整目录HA或全部模型。</x:v>
      </x:c>
      <x:c r="K8" s="23" t="str">
        <x:v>对象类型×访问模式决策表、DirectViewGuard原型、lease/revoke测试、性能crossover曲线。</x:v>
      </x:c>
      <x:c r="L8" s="23" t="str">
        <x:v>DirectViewGuard、对象分类与counter探针进入正式 View/Copy cost model。</x:v>
      </x:c>
      <x:c r="M8" s="48" t="str">
        <x:v>是（证伪“decode-active KV 默认 direct-view”）</x:v>
      </x:c>
      <x:c r="N8" s="48" t="str">
        <x:v>10~14人日</x:v>
      </x:c>
      <x:c r="O8" s="48" t="str">
        <x:v>IR-01-07、IR-02-04、IR-02-05</x:v>
      </x:c>
      <x:c r="P8" s="48" t="str">
        <x:v>SRS：L1-OL-ViewVsCopy-011、L2-MM-ViewLease-028、L3-SE-ViewCopyCostModel-034、L3-MS-UBC2CTier-055；SR：对应IR-01-07/01-10/02-04/02-05 SR</x:v>
      </x:c>
      <x:c r="Q8" s="48" t="str">
        <x:v>待判定</x:v>
      </x:c>
    </x:row>
    <x:row r="9" ht="32.400001525878906" hidden="0" customHeight="1">
      <x:c r="A9" s="48" t="str">
        <x:v>PVT-04</x:v>
      </x:c>
      <x:c r="B9" s="23" t="str">
        <x:v>静态 capability + 低频 topology/quality 更新 + EWMA路径成本足以在本地微秒级生成接近离线oracle的QueryPlan，无需项目早期引入复杂在线学习。</x:v>
      </x:c>
      <x:c r="C9" s="23" t="str">
        <x:v>复用PVT-00 trace和PVT-01路径矩阵；纳入3条真实/模拟路径、2个副本、SSD direct/staged、DDR/remote DDR、partial hit；实现shadow QueryPlan、离线oracle、deadline/queue/failure sweep与fallback chain。</x:v>
      </x:c>
      <x:c r="D9" s="23" t="str">
        <x:v>4档KV大小；3档deadline；4档queue depth；路径正常/退化/断开；local/remote/recompute。</x:v>
      </x:c>
      <x:c r="E9" s="23" t="str">
        <x:v>固定优先级、nearest replica、always-load、always-recompute、round-robin。</x:v>
      </x:c>
      <x:c r="F9" s="23" t="str">
        <x:v>决策P99、选择准确率、预测误差、错误Load、abandoned remote load、cross-node bytes、净TTFT benefit、故障切换、无效路径选择。</x:v>
      </x:c>
      <x:c r="G9" s="23" t="str">
        <x:v>QueryPlan/策略决策P99&lt;5us，Fabric Router路由决策P99&lt;3us；路径选择准确率≥90%、成本预测误差&lt;20%、错误Load&lt;1%、无效路径=0、故障切换&lt;200ms。</x:v>
      </x:c>
      <x:c r="H9" s="23" t="str">
        <x:v>只对白名单prefix/路径启用；动态质量噪声过大时采用静态规则+feature flag。</x:v>
      </x:c>
      <x:c r="I9" s="23" t="str">
        <x:v>尾部成本无法预测、错误Load持续超门槛或复杂策略不优于静态基线。</x:v>
      </x:c>
      <x:c r="J9" s="23" t="str">
        <x:v>不做在线学习、生产router、自动扩缩容、千卡控制面或全模型调参。</x:v>
      </x:c>
      <x:c r="K9" s="23" t="str">
        <x:v>QueryPlan字段冻结稿、cost model原型、oracle对账、正收益白名单、fallback原因码。</x:v>
      </x:c>
      <x:c r="L9" s="23" t="str">
        <x:v>原型直接演进为 PolicyEngine/PlacementResolver，并复用路径telemetry。</x:v>
      </x:c>
      <x:c r="M9" s="48" t="str">
        <x:v>否（决策能力确认）</x:v>
      </x:c>
      <x:c r="N9" s="48" t="str">
        <x:v>8~10人日</x:v>
      </x:c>
      <x:c r="O9" s="48" t="str">
        <x:v>IR-01-03、IR-01-05</x:v>
      </x:c>
      <x:c r="P9" s="48" t="str">
        <x:v>SRS：L1-RT-Admission-007、L3-SE-QueryPlanFastPath-072、L3-TRANS-TOPO-SENSE-004、L3-TRANS-CAP-API-002、L4-FABRIC-ROUTER-001；SR：对应IR-01-03/01-05/01-09/02-02 SR</x:v>
      </x:c>
      <x:c r="Q9" s="48" t="str">
        <x:v>待判定</x:v>
      </x:c>
    </x:row>
    <x:row r="10" ht="54" hidden="0" customHeight="1">
      <x:c r="A10" s="48" t="str">
        <x:v>PVT-05</x:v>
      </x:c>
      <x:c r="B10" s="23" t="str">
        <x:v>HBM/SSD主路径可显著提高稳定并发并降低OOM；DDR只在warm、remote、prefetch/burst或registered pool等角色按数据准入；双水位+hysteresis足以作为安全基线。</x:v>
      </x:c>
      <x:c r="C10" s="23" t="str">
        <x:v>先用trace做LRU/LFU/size-aware/cost-aware和固定阈值/双水位/成本分层回放，再用受控HBM/DDR/SSD环境验证两档长上下文；显式对比HBM↔SSD直达/低Host、HBM→DDR→SSD三级传递、local DDR warm、remote DDR和DDR prefetch。</x:v>
      </x:c>
      <x:c r="D10" s="23" t="str">
        <x:v>128K/256K/1M；容量压力10%/30%/50%；3档并发；DDR容量阶梯；热点/长尾两类workload。</x:v>
      </x:c>
      <x:c r="E10" s="23" t="str">
        <x:v>框架原生容量、水位与preemption；SSD-only；LRU/固定冷热阈值。</x:v>
      </x:c>
      <x:c r="F10" s="23" t="str">
        <x:v>HBM effective capacity、稳定并发/QPS、OOM/preemption、碎片、usable hit、迁移bytes/ping-pong、SSD P99、DDR staging bytes、端到端hop时延、DDR GB/BW、单位有效容量成本、NPU busy/stall。</x:v>
      </x:c>
      <x:c r="G10" s="23" t="str">
        <x:v>HBM↔SSD容量主路径闭环且有效带宽≥设备峰值80%；HBM有效容量提升≥30%、OOM/preemption降低≥50%、碎片&lt;5%；至少一个DDR角色持续正收益，否则DDR退出Payload主路径；成本策略相对固定阈值迁移bytes下降≥20%且收益不下降。</x:v>
      </x:c>
      <x:c r="H10" s="23" t="str">
        <x:v>DDR无正收益时仅保留metadata/control/必要registered pool；复杂策略无优势时使用双水位+hysteresis。</x:v>
      </x:c>
      <x:c r="I10" s="23" t="str">
        <x:v>释放容量无法转化为稳定服务能力，或迁移/DDR成本使TTFT/TPOT净收益为负。</x:v>
      </x:c>
      <x:c r="J10" s="23" t="str">
        <x:v>不实现生产tier manager、跨节点副本编排、在线学习、自动调参和完整defrag。</x:v>
      </x:c>
      <x:c r="K10" s="23" t="str">
        <x:v>容量—服务能力曲线、DDR角色决策、策略回放器、模型KV规格表、水位/回退默认值。</x:v>
      </x:c>
      <x:c r="L10" s="23" t="str">
        <x:v>回放器与策略接口进入TierManager；实验结论冻结硬件容量和人力投入边界。</x:v>
      </x:c>
      <x:c r="M10" s="48" t="str">
        <x:v>否（容量价值确认）</x:v>
      </x:c>
      <x:c r="N10" s="48" t="str">
        <x:v>10~14人日</x:v>
      </x:c>
      <x:c r="O10" s="48" t="str">
        <x:v>IR-01-01、IR-02-08、IR-02-09</x:v>
      </x:c>
      <x:c r="P10" s="48" t="str">
        <x:v>SRS：L3-MS-Tiering-038、L3-MC-HIER-STORE-002、L3-MS-DDRRolePolicy-092、L3-SE-TierBypassPolicy-091、L4-MC-HIER-STORE-001；SR：IR-01-01/02-08/02-09下对应SR</x:v>
      </x:c>
      <x:c r="Q10" s="48" t="str">
        <x:v>待判定</x:v>
      </x:c>
    </x:row>
    <x:row r="11" ht="43.20000076293945" hidden="0" customHeight="1">
      <x:c r="A11" s="48" t="str">
        <x:v>PVT-06</x:v>
      </x:c>
      <x:c r="B11" s="23" t="str">
        <x:v>少量版本化语义字段、ConsumeEligibility、AttachHandle、ready bitmap、lease和rank consensus即可解释主要损耗，并把错误消费降为0。</x:v>
      </x:c>
      <x:c r="C11" s="23" t="str">
        <x:v>从PVT-00轨迹生成候选；注入model/tokenizer/template/adapter/layout/version/ready/lease/rank故障；实现reason-code判定器、whole/partial attach、min-safe-prefix、fallback和重复拉取合并，不构建完整在线目录。</x:v>
      </x:c>
      <x:c r="D11" s="23" t="str">
        <x:v>whole/25%/50%/75% partial hit；1/2/4 rank；ready延迟、版本冲突、lease失效、单rank故障。</x:v>
      </x:c>
      <x:c r="E11" s="23" t="str">
        <x:v>raw hash hit直接消费、全量recompute、无重复拉取合并。</x:v>
      </x:c>
      <x:c r="F11" s="23" t="str">
        <x:v>raw/usable/stale/abandoned/fallback漏斗、错误消费、prefix lookup P99、attach P99、rank wait、duplicate pull、effective reused tokens、recompute tokens、fallback恢复时间。</x:v>
      </x:c>
      <x:c r="G11" s="23" t="str">
        <x:v>错误/过期KV消费=0、fallback成功率=100%、rank wait P99&lt;100us、prefix lookup P99&lt;200us、usable hit提升≥15%、重复拉取下降≥50%。</x:v>
      </x:c>
      <x:c r="H11" s="23" t="str">
        <x:v>只开放同模型/同版本/同layout、whole-prefix或min-safe-prefix白名单。</x:v>
      </x:c>
      <x:c r="I11" s="23" t="str">
        <x:v>语义碎片化导致大多数raw hit不可消费，或partial/rank同步成本抵消收益。</x:v>
      </x:c>
      <x:c r="J11" s="23" t="str">
        <x:v>不实现完整目录HA、跨租户共享、全量多卡故障恢复或生产调度。</x:v>
      </x:c>
      <x:c r="K11" s="23" t="str">
        <x:v>兼容性矩阵、ConsumeEligibility/AttachHandle原型、reason code、故障用例和漏斗报告。</x:v>
      </x:c>
      <x:c r="L11" s="23" t="str">
        <x:v>协议、判定器、golden cases与fault tests进入Connector/Directory正式模块。</x:v>
      </x:c>
      <x:c r="M11" s="48" t="str">
        <x:v>否（可消费性确认）</x:v>
      </x:c>
      <x:c r="N11" s="48" t="str">
        <x:v>10~12人日</x:v>
      </x:c>
      <x:c r="O11" s="48" t="str">
        <x:v>IR-01-10、IR-01-11、IR-02-01、IR-02-05</x:v>
      </x:c>
      <x:c r="P11" s="48" t="str">
        <x:v>SRS：L2-KV-AttachHandle-034、L2-KV-PartialAttachPlan-038、L3-MS-ConsumeEligibility-060、L3-CO-VisibilityReadyBitmap-064、L1-PD-RankConsensus-013；SR：对应IR-01-10/01-11/02-01/02-05/02-10 SR</x:v>
      </x:c>
      <x:c r="Q11" s="48" t="str">
        <x:v>待判定</x:v>
      </x:c>
    </x:row>
    <x:row r="12" ht="32.400001525878906" hidden="0" customHeight="1">
      <x:c r="A12" s="48" t="str">
        <x:v>PVT-07</x:v>
      </x:c>
      <x:c r="B12" s="23" t="str">
        <x:v>通过语义队列、限速/暂停和page/layer流水，能找到稳定前后台安全包络；复用PVT-01~06的最小实现即可形成端到端证据，无需提前开发完整产品。</x:v>
      </x:c>
      <x:c r="C12" s="23" t="str">
        <x:v>选择1个模型、1个框架、2节点和2条路径，串联lookup→QueryPlan→descriptor→load/attach或recompute；注入TTFT_LOAD、DECODE_COPY、SSD_RESTORE、PREFETCH、MIGRATION；比较无隔离、软件限流、硬件TC/独立队列。</x:v>
      </x:c>
      <x:c r="D12" s="23" t="str">
        <x:v>3档前台并发×4档后台带宽×burst/steady；正常/拥塞/单路径故障；长上下文与共享前缀两类workload。</x:v>
      </x:c>
      <x:c r="E12" s="23" t="str">
        <x:v>框架原生路径；统一池关闭QoS/流水；always-load与recompute。</x:v>
      </x:c>
      <x:c r="F12" s="23" t="str">
        <x:v>TTFT P50/P99、TPOT P50/P99/tail spike、QPS、NPU busy/stall、overlap、前后台BW/QD、abandoned load、fallback、恢复时间。</x:v>
      </x:c>
      <x:c r="G12" s="23" t="str">
        <x:v>端到端p99 TTFT降低≥20%；SemanticQoS受控子测试p99 TTFT降低≥25%；QPS提升≥10%、计算—传输重叠≥60%，安全包络内TPOT P99回退&lt;3%，fallback成功率=100%。</x:v>
      </x:c>
      <x:c r="H12" s="23" t="str">
        <x:v>仅在低水位/空闲时段运行后台任务，或仅对白名单场景开放远端Load。</x:v>
      </x:c>
      <x:c r="I12" s="23" t="str">
        <x:v>极低后台流量即造成不可控TPOT尾抖，或端到端收益无法覆盖控制与回退成本。</x:v>
      </x:c>
      <x:c r="J12" s="23" t="str">
        <x:v>不实现生产QoS控制器、全网调度、多租户计费、生产HA和全模型适配。</x:v>
      </x:c>
      <x:c r="K12" s="23" t="str">
        <x:v>可运行薄闭环、干扰安全包络、性能分解、fallback演练、项目级Go/Conditional/No-Go结论。</x:v>
      </x:c>
      <x:c r="L12" s="23" t="str">
        <x:v>薄闭环成为首个vertical slice与回归场景；QoS分类、指标和fallback接口直接进入正式系统。</x:v>
      </x:c>
      <x:c r="M12" s="48" t="str">
        <x:v>否（项目价值总门禁）</x:v>
      </x:c>
      <x:c r="N12" s="48" t="str">
        <x:v>12~15人日</x:v>
      </x:c>
      <x:c r="O12" s="48" t="str">
        <x:v>IR-01-04、IR-01-11、IR-02-06</x:v>
      </x:c>
      <x:c r="P12" s="48" t="str">
        <x:v>SRS：L3-QO-SemanticQoS-045、L3-MS-StateAwarePrefetch-081、L3-OB-PerPathTelemetry-047、L4-FT-PathIntegrityPolicy-077；SR：对应IR-01-04/01-11/02-06/02-07/02-11 SR</x:v>
      </x:c>
      <x:c r="Q12" s="48" t="str">
        <x:v>待判定</x:v>
      </x:c>
    </x:row>
    <x:row r="13" ht="21.600000381469727" hidden="0" customHeight="1">
      <x:c r="A13" s="48" t="str">
        <x:v>CVT-01</x:v>
      </x:c>
      <x:c r="B13" s="23" t="str">
        <x:v>一次加载+共享可见性可降低重复字节；硬件多播并非默认前置依赖。</x:v>
      </x:c>
      <x:c r="C13" s="23" t="str">
        <x:v>1源、2/4/8消费者；比较N次拉取、节点staging、硬件多播（若可用）；验证lease/refcount与部分目标失败。</x:v>
      </x:c>
      <x:c r="D13" s="23" t="str">
        <x:v>固定热点prefix；2档对象大小；正常/慢消费者/单目标故障。</x:v>
      </x:c>
      <x:c r="E13" s="23" t="str">
        <x:v>N次独立拉取、软件staging。</x:v>
      </x:c>
      <x:c r="F13" s="23" t="str">
        <x:v>源端bytes、完成P99、consumer skew、重复拉取、refcount/lease泄漏、源端CPU/BW。</x:v>
      </x:c>
      <x:c r="G13" s="23" t="str">
        <x:v>重复远端拉取下降≥50%，源端带宽增长显著低于O(N)，错误共享/泄漏=0。</x:v>
      </x:c>
      <x:c r="H13" s="23" t="str">
        <x:v>硬件多播无额外净收益时保留软件fanout。</x:v>
      </x:c>
      <x:c r="I13" s="23" t="str">
        <x:v>fanout工作负载不足或多播复杂度/尾延迟抵消收益。</x:v>
      </x:c>
      <x:c r="J13" s="23" t="str">
        <x:v>不做全局热度预测、生产多播控制面和自动副本生命周期。</x:v>
      </x:c>
      <x:c r="K13" s="23" t="str">
        <x:v>fanout crossover、feature flag建议和回退策略。</x:v>
      </x:c>
      <x:c r="L13" s="23" t="str">
        <x:v>仅Go后进入Async DAG的可选Multicast Provider。</x:v>
      </x:c>
      <x:c r="M13" s="48" t="str">
        <x:v>是（证伪“硬件多播是关键IR前置条件”）</x:v>
      </x:c>
      <x:c r="N13" s="48" t="str">
        <x:v>6~8人日（触发后）</x:v>
      </x:c>
      <x:c r="O13" s="48" t="str">
        <x:v>IR-01-04、IR-01-10</x:v>
      </x:c>
      <x:c r="P13" s="48" t="str">
        <x:v>SRS：L4-RDMA-MUL-FABRIC-002；SR：SR-01-04-07（另关联IR-01-10共享租约SR）</x:v>
      </x:c>
      <x:c r="Q13" s="48" t="str">
        <x:v>待判定</x:v>
      </x:c>
    </x:row>
    <x:row r="14" ht="21.600000381469727" hidden="0" customHeight="1">
      <x:c r="A14" s="48" t="str">
        <x:v>CVT-02</x:v>
      </x:c>
      <x:c r="B14" s="23" t="str">
        <x:v>软件RCU路径是安全默认值；硬件原语只有在稳定降低pause且可回滚时才进入。</x:v>
      </x:c>
      <x:c r="C14" s="23" t="str">
        <x:v>单extent、并发reader；复制→校验→fence→remap；比较stop-the-world、RCU和硬件remap，注入前后故障。</x:v>
      </x:c>
      <x:c r="D14" s="23" t="str">
        <x:v>3档extent；1/8/32 reader；remap前/中/后故障。</x:v>
      </x:c>
      <x:c r="E14" s="23" t="str">
        <x:v>RCU + copy-on-migrate + drain/quiesce。</x:v>
      </x:c>
      <x:c r="F14" s="23" t="str">
        <x:v>stale/use-after-free、pause P99、TPOT jitter、remap、TLB shootdown、回滚。</x:v>
      </x:c>
      <x:c r="G14" s="23" t="str">
        <x:v>错误访问=0、迁移TPOT抖动&lt;5%、失败可回滚，且硬件相对RCU有稳定净收益。</x:v>
      </x:c>
      <x:c r="H14" s="23" t="str">
        <x:v>硬件收益不足则正式路线固定软件RCU。</x:v>
      </x:c>
      <x:c r="I14" s="23" t="str">
        <x:v>硬件语义不成熟、无法回滚或收益不稳定。</x:v>
      </x:c>
      <x:c r="J14" s="23" t="str">
        <x:v>不实现完整defrag、跨节点迁移编排或生产allocator。</x:v>
      </x:c>
      <x:c r="K14" s="23" t="str">
        <x:v>RCU基线、硬件原语No-Go/Go结论、迁移互锁接口。</x:v>
      </x:c>
      <x:c r="L14" s="23" t="str">
        <x:v>仅Go后把硬件remap作为feature-flag后端；RCU原型直接保留。</x:v>
      </x:c>
      <x:c r="M14" s="48" t="str">
        <x:v>是（优先证伪硬件原语必要性）</x:v>
      </x:c>
      <x:c r="N14" s="48" t="str">
        <x:v>8~12人日（触发后）</x:v>
      </x:c>
      <x:c r="O14" s="48" t="str">
        <x:v>IR-01-01、IR-01-11、IR-01-12</x:v>
      </x:c>
      <x:c r="P14" s="48" t="str">
        <x:v>SRS：L4-CO-AtomicRemapPrimitive-065、L3-CO-MigrationRCULock-090；SR：对应IR-01-01/01-11/01-12 SR</x:v>
      </x:c>
      <x:c r="Q14" s="48" t="str">
        <x:v>待判定</x:v>
      </x:c>
    </x:row>
    <x:row r="15" ht="32.400001525878906" hidden="0" customHeight="1">
      <x:c r="A15" s="48" t="str">
        <x:v>CVT-03</x:v>
      </x:c>
      <x:c r="B15" s="23" t="str">
        <x:v>主项目不依赖DPU/codec；若硬件存在，CQ/route/codec卸载必须产生端到端净收益且可旁路。</x:v>
      </x:c>
      <x:c r="C15" s="23" t="str">
        <x:v>仅在真实硬件能力可用时做raw/direct vs DPU CQ/route vs hardware codec A/B；记录Host touch、CPU、TPOT、fallback和格式正确性。CPU codec/全量CRC只作为诊断对照，不得作为正式回退实现。</x:v>
      </x:c>
      <x:c r="D15" s="23" t="str">
        <x:v>2档对象大小；3档并发；正常/卸载故障；raw与硬件codec。</x:v>
      </x:c>
      <x:c r="E15" s="23" t="str">
        <x:v>Host仅控制提交、不触碰Payload的raw/direct路径。</x:v>
      </x:c>
      <x:c r="F15" s="23" t="str">
        <x:v>Host CPU、CQ latency、route lookup、压缩比/吞吐、额外时延、TPOT、fallback、Host touch。</x:v>
      </x:c>
      <x:c r="G15" s="23" t="str">
        <x:v>Host CPU下降≥30%，端到端净收益为正，故障可无损旁路，Host Payload touch不增加。</x:v>
      </x:c>
      <x:c r="H15" s="23" t="str">
        <x:v>只卸载CQ/路由或只用于冷数据后台；硬件能力不足时保持raw/direct，不允许改用CPU压缩/解压或全量CRC填补能力缺口。</x:v>
      </x:c>
      <x:c r="I15" s="23" t="str">
        <x:v>无硬件、收益不足、格式/正确性不稳定或影响TPOT。</x:v>
      </x:c>
      <x:c r="J15" s="23" t="str">
        <x:v>明确排除CPU压缩/解压、CPU全量CRC与DDR codec工作区。</x:v>
      </x:c>
      <x:c r="K15" s="23" t="str">
        <x:v>Not Supported/Go报告、能力表、feature flag与旁路方案。</x:v>
      </x:c>
      <x:c r="L15" s="23" t="str">
        <x:v>仅Go后作为Backend Provider可选插件；主路径保持无DPU可运行。</x:v>
      </x:c>
      <x:c r="M15" s="48" t="str">
        <x:v>是（证伪“DPU/codec是项目必需依赖”）</x:v>
      </x:c>
      <x:c r="N15" s="48" t="str">
        <x:v>5~8人日（触发后）</x:v>
      </x:c>
      <x:c r="O15" s="48" t="str">
        <x:v>IR-01-08、IR-01-09</x:v>
      </x:c>
      <x:c r="P15" s="48" t="str">
        <x:v>SRS：L4-MC-HIER-STORE-002、L4-MC-HIER-STORE-003、L4-NET-OFFLOAD-DPU-001、L4-FT-PathIntegrityPolicy-077；SR：对应IR-01-08/01-09/01-12 SR</x:v>
      </x:c>
      <x:c r="Q15" s="48" t="str">
        <x:v>待判定</x:v>
      </x:c>
    </x:row>
  </x:sheetData>
  <x:mergeCells>
    <x:mergeCell ref="A1:Q1"/>
    <x:mergeCell ref="A2:Q2"/>
  </x:mergeCells>
  <x:conditionalFormatting sqref="M5:M15">
    <x:cfRule type="containsText" dxfId="3" priority="1" operator="containsText" text="是"/>
  </x:conditionalFormatting>
  <x:dataValidations count="1">
    <x:dataValidation type="list" sqref="Q5:Q15">
      <x:formula1>"待判定,Go,Conditional,No-Go,Not Supported"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1f1521e65f48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40" hidden="0" customWidth="1"/>
    <x:col min="4" max="4" width="11" hidden="0" customWidth="1"/>
    <x:col min="5" max="5" width="42" hidden="0" customWidth="1"/>
    <x:col min="6" max="6" width="34" hidden="0" customWidth="1"/>
    <x:col min="7" max="7" width="18" hidden="0" customWidth="1"/>
    <x:col min="8" max="8" width="54" hidden="0" customWidth="1"/>
    <x:col min="9" max="9" width="16" hidden="0" customWidth="1"/>
    <x:col min="10" max="10" width="46" hidden="0" customWidth="1"/>
  </x:cols>
  <x:sheetData>
    <x:row r="1" ht="30" customHeight="1">
      <x:c r="A1" s="39" t="str">
        <x:v>需求树IR—提前验证追溯矩阵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36" customHeight="1">
      <x:c r="A2" s="41" t="str">
        <x:v>覆盖不等于每条IR单设验证项：同一原型包必须同时证明一个完整成败链；K2仅由共享底座或薄闭环覆盖，不单独占用立项前项目名额。</x:v>
      </x:c>
      <x:c r="B2" s="41"/>
      <x:c r="C2" s="41"/>
      <x:c r="D2" s="41"/>
      <x:c r="E2" s="41"/>
      <x:c r="F2" s="41"/>
      <x:c r="G2" s="41"/>
      <x:c r="H2" s="41"/>
      <x:c r="I2" s="41"/>
      <x:c r="J2" s="41"/>
    </x:row>
    <x:row r="4" ht="40" customHeight="1">
      <x:c r="A4" s="46" t="str">
        <x:v>IR ID</x:v>
      </x:c>
      <x:c r="B4" s="46" t="str">
        <x:v>SF</x:v>
      </x:c>
      <x:c r="C4" s="46" t="str">
        <x:v>IR功能化描述</x:v>
      </x:c>
      <x:c r="D4" s="46" t="str">
        <x:v>关键级别</x:v>
      </x:c>
      <x:c r="E4" s="46" t="str">
        <x:v>关键性判断</x:v>
      </x:c>
      <x:c r="F4" s="46" t="str">
        <x:v>关联验证ID</x:v>
      </x:c>
      <x:c r="G4" s="46" t="str">
        <x:v>覆盖方式</x:v>
      </x:c>
      <x:c r="H4" s="46" t="str">
        <x:v>IR KPI锚点</x:v>
      </x:c>
      <x:c r="I4" s="46" t="str">
        <x:v>是否需单独设项</x:v>
      </x:c>
      <x:c r="J4" s="46" t="str">
        <x:v>审视结论</x:v>
      </x:c>
    </x:row>
    <x:row r="5" ht="32.400001525878906" hidden="0" customHeight="1">
      <x:c r="A5" s="47" t="str">
        <x:v>IR-01-01</x:v>
      </x:c>
      <x:c r="B5" s="47" t="str">
        <x:v>SF-01</x:v>
      </x:c>
      <x:c r="C5" s="22" t="str">
        <x:v>支持HBM、DDR、SSD及远端介质统一纳管，并以HBM↔SSD构建容量主路径</x:v>
      </x:c>
      <x:c r="D5" s="47" t="str">
        <x:v>K0</x:v>
      </x:c>
      <x:c r="E5" s="47" t="str">
        <x:v>统一池产品形态与容量价值硬门槛</x:v>
      </x:c>
      <x:c r="F5" s="47" t="str">
        <x:v>PVT-05、CVT-02</x:v>
      </x:c>
      <x:c r="G5" s="47" t="str">
        <x:v>单包主证据</x:v>
      </x:c>
      <x:c r="H5" s="22" t="str">
        <x:v>碎片率&lt;5%；HBM有效容量提升≥30%；OOM/preemption降低≥50%；HBM↔SSD容量路径有效带宽≥设备峰值80%；DDR角色必须至少一项持续正收益，否则退出Payload主路径。</x:v>
      </x:c>
      <x:c r="I5" s="47" t="str">
        <x:v>否</x:v>
      </x:c>
      <x:c r="J5" s="22" t="str">
        <x:v>已由 PVT-05、CVT-02 覆盖；无需复制V1.3粒度。</x:v>
      </x:c>
    </x:row>
    <x:row r="6" ht="21.600000381469727" hidden="0" customHeight="1">
      <x:c r="A6" s="48" t="str">
        <x:v>IR-01-02</x:v>
      </x:c>
      <x:c r="B6" s="48" t="str">
        <x:v>SF-01</x:v>
      </x:c>
      <x:c r="C6" s="23" t="str">
        <x:v>支持vLLM/SGLang KV块跨介质批量传输的布局适配与描述生成</x:v>
      </x:c>
      <x:c r="D6" s="48" t="str">
        <x:v>K0</x:v>
      </x:c>
      <x:c r="E6" s="48" t="str">
        <x:v>决定跨框架、跨后端数据是否能高效执行</x:v>
      </x:c>
      <x:c r="F6" s="48" t="str">
        <x:v>PVT-02</x:v>
      </x:c>
      <x:c r="G6" s="48" t="str">
        <x:v>单包主证据</x:v>
      </x:c>
      <x:c r="H6" s="23" t="str">
        <x:v>descriptor 数降低≥50%；effective BW提升≥30%；CPU submit time降低≥40%；布局协商错误=0。</x:v>
      </x:c>
      <x:c r="I6" s="48" t="str">
        <x:v>否</x:v>
      </x:c>
      <x:c r="J6" s="23" t="str">
        <x:v>已由 PVT-02 覆盖；无需复制V1.3粒度。</x:v>
      </x:c>
    </x:row>
    <x:row r="7" ht="21.600000381469727" hidden="0" customHeight="1">
      <x:c r="A7" s="48" t="str">
        <x:v>IR-01-03</x:v>
      </x:c>
      <x:c r="B7" s="48" t="str">
        <x:v>SF-01</x:v>
      </x:c>
      <x:c r="C7" s="23" t="str">
        <x:v>面向TTFT收益与资源成本的KV访问决策和QueryPlan生成</x:v>
      </x:c>
      <x:c r="D7" s="48" t="str">
        <x:v>K0</x:v>
      </x:c>
      <x:c r="E7" s="48" t="str">
        <x:v>决定命中是否产生正TTFT收益</x:v>
      </x:c>
      <x:c r="F7" s="48" t="str">
        <x:v>PVT-04</x:v>
      </x:c>
      <x:c r="G7" s="48" t="str">
        <x:v>单包主证据</x:v>
      </x:c>
      <x:c r="H7" s="23" t="str">
        <x:v>Usable Hit Rate提升≥20%；路径成本预测误差&lt;20%；单次策略调用&lt;5 μs；负收益命中强制放弃。</x:v>
      </x:c>
      <x:c r="I7" s="48" t="str">
        <x:v>否</x:v>
      </x:c>
      <x:c r="J7" s="23" t="str">
        <x:v>已由 PVT-04 覆盖；无需复制V1.3粒度。</x:v>
      </x:c>
    </x:row>
    <x:row r="8" ht="32.400001525878906" hidden="0" customHeight="1">
      <x:c r="A8" s="48" t="str">
        <x:v>IR-01-04</x:v>
      </x:c>
      <x:c r="B8" s="48" t="str">
        <x:v>SF-01</x:v>
      </x:c>
      <x:c r="C8" s="23" t="str">
        <x:v>支持P/D分离、流水加载及一对多共享的异步KV传输编排</x:v>
      </x:c>
      <x:c r="D8" s="48" t="str">
        <x:v>K0</x:v>
      </x:c>
      <x:c r="E8" s="48" t="str">
        <x:v>决定计算传输重叠与在线尾时延</x:v>
      </x:c>
      <x:c r="F8" s="48" t="str">
        <x:v>PVT-02、PVT-07、CVT-01</x:v>
      </x:c>
      <x:c r="G8" s="48" t="str">
        <x:v>多包共同证明</x:v>
      </x:c>
      <x:c r="H8" s="23" t="str">
        <x:v>P/D handoff p99降低≥20%；热点分发p99降低≥40%；广播完成率≥99.99%；计算/传输重叠≥60%。</x:v>
      </x:c>
      <x:c r="I8" s="48" t="str">
        <x:v>否</x:v>
      </x:c>
      <x:c r="J8" s="23" t="str">
        <x:v>已由 PVT-02、PVT-07、CVT-01 覆盖；无需复制V1.3粒度。</x:v>
      </x:c>
    </x:row>
    <x:row r="9" ht="21.600000381469727" hidden="0" customHeight="1">
      <x:c r="A9" s="48" t="str">
        <x:v>IR-01-05</x:v>
      </x:c>
      <x:c r="B9" s="48" t="str">
        <x:v>SF-01</x:v>
      </x:c>
      <x:c r="C9" s="23" t="str">
        <x:v>面向异构介质与集群拓扑的传输能力探测和动态路径选择</x:v>
      </x:c>
      <x:c r="D9" s="48" t="str">
        <x:v>K1</x:v>
      </x:c>
      <x:c r="E9" s="48" t="str">
        <x:v>路径动态性的重要支撑，可先用少量路径证实</x:v>
      </x:c>
      <x:c r="F9" s="48" t="str">
        <x:v>PVT-04</x:v>
      </x:c>
      <x:c r="G9" s="48" t="str">
        <x:v>单包主证据</x:v>
      </x:c>
      <x:c r="H9" s="23" t="str">
        <x:v>路径选择准确率≥90%；同机架 Local Usable Hit提升≥30%；故障切换&lt;200ms；探测开销&lt;0.5% BW。</x:v>
      </x:c>
      <x:c r="I9" s="48" t="str">
        <x:v>否</x:v>
      </x:c>
      <x:c r="J9" s="23" t="str">
        <x:v>已由 PVT-04 覆盖；无需复制V1.3粒度。</x:v>
      </x:c>
    </x:row>
    <x:row r="10" ht="21.600000381469727" hidden="0" customHeight="1">
      <x:c r="A10" s="48" t="str">
        <x:v>IR-01-06</x:v>
      </x:c>
      <x:c r="B10" s="48" t="str">
        <x:v>SF-01</x:v>
      </x:c>
      <x:c r="C10" s="23" t="str">
        <x:v>支持跨节点HBM/DDR零拷贝的RDMA高速KV传输</x:v>
      </x:c>
      <x:c r="D10" s="48" t="str">
        <x:v>K0</x:v>
      </x:c>
      <x:c r="E10" s="48" t="str">
        <x:v>跨节点热路径与零拷贝硬门槛</x:v>
      </x:c>
      <x:c r="F10" s="48" t="str">
        <x:v>PVT-01、PVT-02</x:v>
      </x:c>
      <x:c r="G10" s="48" t="str">
        <x:v>多包共同证明</x:v>
      </x:c>
      <x:c r="H10" s="23" t="str">
        <x:v>端到端传输时延降低≥40%；有效带宽≥链路线速80%；CPU payload copy=0；CPU提交开销&lt;50 μs。</x:v>
      </x:c>
      <x:c r="I10" s="48" t="str">
        <x:v>否</x:v>
      </x:c>
      <x:c r="J10" s="23" t="str">
        <x:v>已由 PVT-01、PVT-02 覆盖；无需复制V1.3粒度。</x:v>
      </x:c>
    </x:row>
    <x:row r="11" ht="21.600000381469727" hidden="0" customHeight="1">
      <x:c r="A11" s="48" t="str">
        <x:v>IR-01-07</x:v>
      </x:c>
      <x:c r="B11" s="48" t="str">
        <x:v>SF-01</x:v>
      </x:c>
      <x:c r="C11" s="23" t="str">
        <x:v>支持UBMEM/C2C内存语义的KV直接访问、回填与View保护</x:v>
      </x:c>
      <x:c r="D11" s="48" t="str">
        <x:v>K0</x:v>
      </x:c>
      <x:c r="E11" s="48" t="str">
        <x:v>UBMEM/URMA核心技术成立边界</x:v>
      </x:c>
      <x:c r="F11" s="48" t="str">
        <x:v>PVT-01、PVT-03</x:v>
      </x:c>
      <x:c r="G11" s="48" t="str">
        <x:v>多包共同证明</x:v>
      </x:c>
      <x:c r="H11" s="23" t="str">
        <x:v>direct-view TPOT p99回退&lt;3%；Host Payload touch=0；stale view fault=0；HBM+C2C有效容量提升≥20%。</x:v>
      </x:c>
      <x:c r="I11" s="48" t="str">
        <x:v>否</x:v>
      </x:c>
      <x:c r="J11" s="23" t="str">
        <x:v>已由 PVT-01、PVT-03 覆盖；无需复制V1.3粒度。</x:v>
      </x:c>
    </x:row>
    <x:row r="12" ht="32.400001525878906" hidden="0" customHeight="1">
      <x:c r="A12" s="48" t="str">
        <x:v>IR-01-08</x:v>
      </x:c>
      <x:c r="B12" s="48" t="str">
        <x:v>SF-01</x:v>
      </x:c>
      <x:c r="C12" s="23" t="str">
        <x:v>支持HBM↔SSD直达容量I/O及条件化DPU/硬件Codec卸载</x:v>
      </x:c>
      <x:c r="D12" s="48" t="str">
        <x:v>K0</x:v>
      </x:c>
      <x:c r="E12" s="48" t="str">
        <x:v>SSD容量层和低成本扩容硬门槛</x:v>
      </x:c>
      <x:c r="F12" s="48" t="str">
        <x:v>PVT-01、PVT-02、CVT-03</x:v>
      </x:c>
      <x:c r="G12" s="48" t="str">
        <x:v>多包共同证明</x:v>
      </x:c>
      <x:c r="H12" s="23" t="str">
        <x:v>SSD restore TTFT降低≥30%；NPU stall降低≥50%；主路径Host Payload touch=0；顺序带宽达到设备峰值≥80%；条件卸载必须相对raw/direct路径产生正收益。</x:v>
      </x:c>
      <x:c r="I12" s="48" t="str">
        <x:v>否</x:v>
      </x:c>
      <x:c r="J12" s="23" t="str">
        <x:v>已由 PVT-01、PVT-02、CVT-03 覆盖；无需复制V1.3粒度。</x:v>
      </x:c>
    </x:row>
    <x:row r="13" ht="21.600000381469727" hidden="0" customHeight="1">
      <x:c r="A13" s="48" t="str">
        <x:v>IR-01-09</x:v>
      </x:c>
      <x:c r="B13" s="48" t="str">
        <x:v>SF-01</x:v>
      </x:c>
      <x:c r="C13" s="23" t="str">
        <x:v>统一抽象UB、URMA、RDMA、C2C和SSD传输能力并按需路由</x:v>
      </x:c>
      <x:c r="D13" s="48" t="str">
        <x:v>K0</x:v>
      </x:c>
      <x:c r="E13" s="48" t="str">
        <x:v>多后端统一与可审计降级硬门槛</x:v>
      </x:c>
      <x:c r="F13" s="48" t="str">
        <x:v>PVT-01、PVT-04、CVT-03</x:v>
      </x:c>
      <x:c r="G13" s="48" t="str">
        <x:v>多包共同证明</x:v>
      </x:c>
      <x:c r="H13" s="23" t="str">
        <x:v>能力表覆盖率=100%；错误路由=0；QueryPlan策略决策&lt;5 μs；Fabric Router路由决策&lt;3 μs；任何 staged 例外可见且可禁用。</x:v>
      </x:c>
      <x:c r="I13" s="48" t="str">
        <x:v>否</x:v>
      </x:c>
      <x:c r="J13" s="23" t="str">
        <x:v>已由 PVT-01、PVT-04、CVT-03 覆盖；无需复制V1.3粒度。</x:v>
      </x:c>
    </x:row>
    <x:row r="14" ht="32.400001525878906" hidden="0" customHeight="1">
      <x:c r="A14" s="48" t="str">
        <x:v>IR-01-10</x:v>
      </x:c>
      <x:c r="B14" s="48" t="str">
        <x:v>SF-01</x:v>
      </x:c>
      <x:c r="C14" s="23" t="str">
        <x:v>支持多消费者共享、租约引用管理及故障快速回退</x:v>
      </x:c>
      <x:c r="D14" s="48" t="str">
        <x:v>K1</x:v>
      </x:c>
      <x:c r="E14" s="48" t="str">
        <x:v>共享收益与故障恢复关键支撑</x:v>
      </x:c>
      <x:c r="F14" s="48" t="str">
        <x:v>PVT-03、PVT-06、CVT-01</x:v>
      </x:c>
      <x:c r="G14" s="48" t="str">
        <x:v>多包共同证明</x:v>
      </x:c>
      <x:c r="H14" s="23" t="str">
        <x:v>stale view fault=0；重复远端拉取降低≥50%；fallback成功率=100%；fallback触发到恢复&lt;500ms。</x:v>
      </x:c>
      <x:c r="I14" s="48" t="str">
        <x:v>否</x:v>
      </x:c>
      <x:c r="J14" s="23" t="str">
        <x:v>已由 PVT-03、PVT-06、CVT-01 覆盖；无需复制V1.3粒度。</x:v>
      </x:c>
    </x:row>
    <x:row r="15" ht="21.600000381469727" hidden="0" customHeight="1">
      <x:c r="A15" s="48" t="str">
        <x:v>IR-01-11</x:v>
      </x:c>
      <x:c r="B15" s="48" t="str">
        <x:v>SF-01</x:v>
      </x:c>
      <x:c r="C15" s="23" t="str">
        <x:v>支持KV发布迁移一致性、多租户隔离和前后台传输QoS</x:v>
      </x:c>
      <x:c r="D15" s="48" t="str">
        <x:v>K0</x:v>
      </x:c>
      <x:c r="E15" s="48" t="str">
        <x:v>一致性与前后台QoS上线硬门槛</x:v>
      </x:c>
      <x:c r="F15" s="48" t="str">
        <x:v>PVT-06、PVT-07、CVT-02</x:v>
      </x:c>
      <x:c r="G15" s="48" t="str">
        <x:v>多包共同证明</x:v>
      </x:c>
      <x:c r="H15" s="23" t="str">
        <x:v>data corruption=0；后台干扰降低≥50%；TPOT p99回退&lt;3%；租户间干扰&lt;5%；越权访问=0。</x:v>
      </x:c>
      <x:c r="I15" s="48" t="str">
        <x:v>否</x:v>
      </x:c>
      <x:c r="J15" s="23" t="str">
        <x:v>已由 PVT-06、PVT-07、CVT-02 覆盖；无需复制V1.3粒度。</x:v>
      </x:c>
    </x:row>
    <x:row r="16" ht="21.600000381469727" hidden="0" customHeight="1">
      <x:c r="A16" s="48" t="str">
        <x:v>IR-01-12</x:v>
      </x:c>
      <x:c r="B16" s="48" t="str">
        <x:v>SF-01</x:v>
      </x:c>
      <x:c r="C16" s="23" t="str">
        <x:v>支持按路径提供KV完整性证据、访问保护及硬件故障恢复</x:v>
      </x:c>
      <x:c r="D16" s="48" t="str">
        <x:v>K0</x:v>
      </x:c>
      <x:c r="E16" s="48" t="str">
        <x:v>错误KV不可消费的正确性硬门槛</x:v>
      </x:c>
      <x:c r="F16" s="48" t="str">
        <x:v>PVT-01、PVT-03、PVT-06、PVT-07、CVT-02、CVT-03</x:v>
      </x:c>
      <x:c r="G16" s="48" t="str">
        <x:v>多包共同证明</x:v>
      </x:c>
      <x:c r="H16" s="23" t="str">
        <x:v>错误/过期 KV 被消费=0；越权访问=0；主路径CPU全量CRC=0；view revocation p99&lt;1ms；故障注入覆盖率=100%。</x:v>
      </x:c>
      <x:c r="I16" s="48" t="str">
        <x:v>否</x:v>
      </x:c>
      <x:c r="J16" s="23" t="str">
        <x:v>已由 PVT-01、PVT-03、PVT-06、PVT-07、CVT-02、CVT-03 覆盖；无需复制V1.3粒度。</x:v>
      </x:c>
    </x:row>
    <x:row r="17" ht="21.600000381469727" hidden="0" customHeight="1">
      <x:c r="A17" s="48" t="str">
        <x:v>IR-02-01</x:v>
      </x:c>
      <x:c r="B17" s="48" t="str">
        <x:v>SF-02</x:v>
      </x:c>
      <x:c r="C17" s="23" t="str">
        <x:v>面向vLLM/SGLang的统一KVCache访问接口和后端插件规范</x:v>
      </x:c>
      <x:c r="D17" s="48" t="str">
        <x:v>K1</x:v>
      </x:c>
      <x:c r="E17" s="48" t="str">
        <x:v>框架接入协议需在薄闭环验证，但无需提前全量实现</x:v>
      </x:c>
      <x:c r="F17" s="48" t="str">
        <x:v>PVT-06</x:v>
      </x:c>
      <x:c r="G17" s="48" t="str">
        <x:v>单包主证据</x:v>
      </x:c>
      <x:c r="H17" s="23" t="str">
        <x:v>conformance通过率=100%；接口调用&lt;5 μs；元数据编解码&lt;200 ns/次；新后端接入工期降低≥50%。</x:v>
      </x:c>
      <x:c r="I17" s="48" t="str">
        <x:v>否</x:v>
      </x:c>
      <x:c r="J17" s="23" t="str">
        <x:v>已由 PVT-06 覆盖；无需复制V1.3粒度。</x:v>
      </x:c>
    </x:row>
    <x:row r="18" ht="21.600000381469727" hidden="0" customHeight="1">
      <x:c r="A18" s="48" t="str">
        <x:v>IR-02-02</x:v>
      </x:c>
      <x:c r="B18" s="48" t="str">
        <x:v>SF-02</x:v>
      </x:c>
      <x:c r="C18" s="23" t="str">
        <x:v>基于缓存位置、加载收益和水位预算的推理调度与准入</x:v>
      </x:c>
      <x:c r="D18" s="48" t="str">
        <x:v>K0</x:v>
      </x:c>
      <x:c r="E18" s="48" t="str">
        <x:v>负收益命中护栏和请求准入硬门槛</x:v>
      </x:c>
      <x:c r="F18" s="48" t="str">
        <x:v>PVT-04、PVT-05、PVT-07</x:v>
      </x:c>
      <x:c r="G18" s="48" t="str">
        <x:v>多包共同证明</x:v>
      </x:c>
      <x:c r="H18" s="23" t="str">
        <x:v>p99 TTFT降低≥20%；abandoned remote load降低≥50%；跨节点bytes/request降低≥30%；QPS提升≥10%。</x:v>
      </x:c>
      <x:c r="I18" s="48" t="str">
        <x:v>否</x:v>
      </x:c>
      <x:c r="J18" s="23" t="str">
        <x:v>已由 PVT-04、PVT-05、PVT-07 覆盖；无需复制V1.3粒度。</x:v>
      </x:c>
    </x:row>
    <x:row r="19" ht="21.600000381469727" hidden="0" customHeight="1">
      <x:c r="A19" s="48" t="str">
        <x:v>IR-02-03</x:v>
      </x:c>
      <x:c r="B19" s="48" t="str">
        <x:v>SF-02</x:v>
      </x:c>
      <x:c r="C19" s="23" t="str">
        <x:v>支持vLLM哈希和SGLang RadixTree的低时延前缀匹配</x:v>
      </x:c>
      <x:c r="D19" s="48" t="str">
        <x:v>K1</x:v>
      </x:c>
      <x:c r="E19" s="48" t="str">
        <x:v>前缀发现性能影响TTFT，但可复用既有算法原型</x:v>
      </x:c>
      <x:c r="F19" s="48" t="str">
        <x:v>PVT-00、PVT-06</x:v>
      </x:c>
      <x:c r="G19" s="48" t="str">
        <x:v>多包共同证明</x:v>
      </x:c>
      <x:c r="H19" s="23" t="str">
        <x:v>Prefix lookup p99&lt;200 μs；100并发吞吐提升≥8x；Usable Hit Rate提升≥15%；GIL持有时间降低≥90%。</x:v>
      </x:c>
      <x:c r="I19" s="48" t="str">
        <x:v>否</x:v>
      </x:c>
      <x:c r="J19" s="23" t="str">
        <x:v>已由 PVT-00、PVT-06 覆盖；无需复制V1.3粒度。</x:v>
      </x:c>
    </x:row>
    <x:row r="20" ht="21.600000381469727" hidden="0" customHeight="1">
      <x:c r="A20" s="48" t="str">
        <x:v>IR-02-04</x:v>
      </x:c>
      <x:c r="B20" s="48" t="str">
        <x:v>SF-02</x:v>
      </x:c>
      <x:c r="C20" s="23" t="str">
        <x:v>支持本地元数据缓存、Negative Cache及批量查询的命中快判</x:v>
      </x:c>
      <x:c r="D20" s="48" t="str">
        <x:v>K1</x:v>
      </x:c>
      <x:c r="E20" s="48" t="str">
        <x:v>本地快判减少目录串行开销</x:v>
      </x:c>
      <x:c r="F20" s="48" t="str">
        <x:v>PVT-03、PVT-06</x:v>
      </x:c>
      <x:c r="G20" s="48" t="str">
        <x:v>多包共同证明</x:v>
      </x:c>
      <x:c r="H20" s="23" t="str">
        <x:v>本地命中查询&lt;10 μs；确定miss p99&lt;5 μs；remote lookup QPS降低≥50%；Bloom FPR&lt;0.1%。</x:v>
      </x:c>
      <x:c r="I20" s="48" t="str">
        <x:v>否</x:v>
      </x:c>
      <x:c r="J20" s="23" t="str">
        <x:v>已由 PVT-03、PVT-06 覆盖；无需复制V1.3粒度。</x:v>
      </x:c>
    </x:row>
    <x:row r="21" ht="21.600000381469727" hidden="0" customHeight="1">
      <x:c r="A21" s="48" t="str">
        <x:v>IR-02-05</x:v>
      </x:c>
      <x:c r="B21" s="48" t="str">
        <x:v>SF-02</x:v>
      </x:c>
      <x:c r="C21" s="23" t="str">
        <x:v>支持集群级前缀目录、KV位置索引及副本可用性查询</x:v>
      </x:c>
      <x:c r="D21" s="48" t="str">
        <x:v>K0</x:v>
      </x:c>
      <x:c r="E21" s="48" t="str">
        <x:v>集群复用的可发现性与消费资格硬门槛</x:v>
      </x:c>
      <x:c r="F21" s="48" t="str">
        <x:v>PVT-03、PVT-06</x:v>
      </x:c>
      <x:c r="G21" s="48" t="str">
        <x:v>多包共同证明</x:v>
      </x:c>
      <x:c r="H21" s="23" t="str">
        <x:v>remote directory RTT降低≥50%；lookup p99降低≥30%；目录可用性≥99.99%；stale hit=0。</x:v>
      </x:c>
      <x:c r="I21" s="48" t="str">
        <x:v>否</x:v>
      </x:c>
      <x:c r="J21" s="23" t="str">
        <x:v>已由 PVT-03、PVT-06 覆盖；无需复制V1.3粒度。</x:v>
      </x:c>
    </x:row>
    <x:row r="22" ht="21.600000381469727" hidden="0" customHeight="1">
      <x:c r="A22" s="48" t="str">
        <x:v>IR-02-06</x:v>
      </x:c>
      <x:c r="B22" s="48" t="str">
        <x:v>SF-02</x:v>
      </x:c>
      <x:c r="C22" s="23" t="str">
        <x:v>支持KV卸载加载、分层回源及计算—传输流水并行</x:v>
      </x:c>
      <x:c r="D22" s="48" t="str">
        <x:v>K0</x:v>
      </x:c>
      <x:c r="E22" s="48" t="str">
        <x:v>加载能否隐藏在计算下决定端到端收益</x:v>
      </x:c>
      <x:c r="F22" s="48" t="str">
        <x:v>PVT-02、PVT-07</x:v>
      </x:c>
      <x:c r="G22" s="48" t="str">
        <x:v>多包共同证明</x:v>
      </x:c>
      <x:c r="H22" s="23" t="str">
        <x:v>计算/传输重叠≥60%；swap-in TTFT降低≥25%；批量传输时延降低≥50%；额外内存≤15%。</x:v>
      </x:c>
      <x:c r="I22" s="48" t="str">
        <x:v>否</x:v>
      </x:c>
      <x:c r="J22" s="23" t="str">
        <x:v>已由 PVT-02、PVT-07 覆盖；无需复制V1.3粒度。</x:v>
      </x:c>
    </x:row>
    <x:row r="23" ht="21.600000381469727" hidden="0" customHeight="1">
      <x:c r="A23" s="48" t="str">
        <x:v>IR-02-07</x:v>
      </x:c>
      <x:c r="B23" s="48" t="str">
        <x:v>SF-02</x:v>
      </x:c>
      <x:c r="C23" s="23" t="str">
        <x:v>基于请求趋势和复用概率的KV投机预取及效果反馈</x:v>
      </x:c>
      <x:c r="D23" s="48" t="str">
        <x:v>K2</x:v>
      </x:c>
      <x:c r="E23" s="48" t="str">
        <x:v>预测算法可在项目内迭代，立项前只验证干扰与收益边界</x:v>
      </x:c>
      <x:c r="F23" s="48" t="str">
        <x:v>PVT-07</x:v>
      </x:c>
      <x:c r="G23" s="48" t="str">
        <x:v>单包主证据</x:v>
      </x:c>
      <x:c r="H23" s="23" t="str">
        <x:v>预取命中率≥70%；命中时等待时延降低≥60%；误预取率&lt;20%；额外HBM≤10%。</x:v>
      </x:c>
      <x:c r="I23" s="48" t="str">
        <x:v>否</x:v>
      </x:c>
      <x:c r="J23" s="23" t="str">
        <x:v>已由 PVT-07 覆盖；无需复制V1.3粒度。</x:v>
      </x:c>
    </x:row>
    <x:row r="24" ht="21.600000381469727" hidden="0" customHeight="1">
      <x:c r="A24" s="48" t="str">
        <x:v>IR-02-08</x:v>
      </x:c>
      <x:c r="B24" s="48" t="str">
        <x:v>SF-02</x:v>
      </x:c>
      <x:c r="C24" s="23" t="str">
        <x:v>支持模型级KV容量估算、水位准入及全生命周期状态管理</x:v>
      </x:c>
      <x:c r="D24" s="48" t="str">
        <x:v>K1</x:v>
      </x:c>
      <x:c r="E24" s="48" t="str">
        <x:v>容量口径与生命周期支撑统一池收益</x:v>
      </x:c>
      <x:c r="F24" s="48" t="str">
        <x:v>PVT-05</x:v>
      </x:c>
      <x:c r="G24" s="48" t="str">
        <x:v>单包主证据</x:v>
      </x:c>
      <x:c r="H24" s="23" t="str">
        <x:v>估算误差&lt;5%；OOM/preemption降低≥50%；碎片率&lt;5%；节点变化只失效一致性哈希对应比例。</x:v>
      </x:c>
      <x:c r="I24" s="48" t="str">
        <x:v>否</x:v>
      </x:c>
      <x:c r="J24" s="23" t="str">
        <x:v>已由 PVT-05 覆盖；无需复制V1.3粒度。</x:v>
      </x:c>
    </x:row>
    <x:row r="25" ht="21.600000381469727" hidden="0" customHeight="1">
      <x:c r="A25" s="48" t="str">
        <x:v>IR-02-09</x:v>
      </x:c>
      <x:c r="B25" s="48" t="str">
        <x:v>SF-02</x:v>
      </x:c>
      <x:c r="C25" s="23" t="str">
        <x:v>面向Decode活跃KV、热前缀和冷KV的分层驻留与淘汰</x:v>
      </x:c>
      <x:c r="D25" s="48" t="str">
        <x:v>K1</x:v>
      </x:c>
      <x:c r="E25" s="48" t="str">
        <x:v>驻留/淘汰策略可先以回放证明方向</x:v>
      </x:c>
      <x:c r="F25" s="48" t="str">
        <x:v>PVT-03、PVT-05、PVT-06</x:v>
      </x:c>
      <x:c r="G25" s="48" t="str">
        <x:v>多包共同证明</x:v>
      </x:c>
      <x:c r="H25" s="23" t="str">
        <x:v>HBM有效容量提升≥20%；TPOT p99回退&lt;3%；prefill FLOPs/request降低≥15%；每GB saved tokens提升≥25%。</x:v>
      </x:c>
      <x:c r="I25" s="48" t="str">
        <x:v>否</x:v>
      </x:c>
      <x:c r="J25" s="23" t="str">
        <x:v>已由 PVT-03、PVT-05、PVT-06 覆盖；无需复制V1.3粒度。</x:v>
      </x:c>
    </x:row>
    <x:row r="26" ht="21.600000381469727" hidden="0" customHeight="1">
      <x:c r="A26" s="48" t="str">
        <x:v>IR-02-10</x:v>
      </x:c>
      <x:c r="B26" s="48" t="str">
        <x:v>SF-02</x:v>
      </x:c>
      <x:c r="C26" s="23" t="str">
        <x:v>支持张量/流水并行多卡KV一致消费及指标治理</x:v>
      </x:c>
      <x:c r="D26" s="48" t="str">
        <x:v>K1</x:v>
      </x:c>
      <x:c r="E26" s="48" t="str">
        <x:v>多rank正确性需验证，完整治理后置</x:v>
      </x:c>
      <x:c r="F26" s="48" t="str">
        <x:v>PVT-03、PVT-06</x:v>
      </x:c>
      <x:c r="G26" s="48" t="str">
        <x:v>多包共同证明</x:v>
      </x:c>
      <x:c r="H26" s="23" t="str">
        <x:v>correctness fault=0；rank wait p99&lt;100 μs；指标字段覆盖率=100%；观测开销&lt;1%。</x:v>
      </x:c>
      <x:c r="I26" s="48" t="str">
        <x:v>否</x:v>
      </x:c>
      <x:c r="J26" s="23" t="str">
        <x:v>已由 PVT-03、PVT-06 覆盖；无需复制V1.3粒度。</x:v>
      </x:c>
    </x:row>
    <x:row r="27" ht="21.600000381469727" hidden="0" customHeight="1">
      <x:c r="A27" s="48" t="str">
        <x:v>IR-02-11</x:v>
      </x:c>
      <x:c r="B27" s="48" t="str">
        <x:v>SF-02</x:v>
      </x:c>
      <x:c r="C27" s="23" t="str">
        <x:v>支持请求—计划—对象—路径的全链路观测及故障定位</x:v>
      </x:c>
      <x:c r="D27" s="48" t="str">
        <x:v>K0</x:v>
      </x:c>
      <x:c r="E27" s="48" t="str">
        <x:v>所有可行性结论的证据基础</x:v>
      </x:c>
      <x:c r="F27" s="48" t="str">
        <x:v>PVT-00、PVT-01、PVT-04、PVT-07</x:v>
      </x:c>
      <x:c r="G27" s="48" t="str">
        <x:v>多包共同证明</x:v>
      </x:c>
      <x:c r="H27" s="23" t="str">
        <x:v>cost预测误差&lt;20%；常态探针开销&lt;1%；fallback reason覆盖率=100%；MTTR降至分钟级。</x:v>
      </x:c>
      <x:c r="I27" s="48" t="str">
        <x:v>否</x:v>
      </x:c>
      <x:c r="J27" s="23" t="str">
        <x:v>已由 PVT-00、PVT-01、PVT-04、PVT-07 覆盖；无需复制V1.3粒度。</x:v>
      </x:c>
    </x:row>
    <x:row r="28" ht="21.600000381469727" hidden="0" customHeight="1">
      <x:c r="A28" s="48" t="str">
        <x:v>IR-02-12</x:v>
      </x:c>
      <x:c r="B28" s="48" t="str">
        <x:v>SF-02</x:v>
      </x:c>
      <x:c r="C28" s="23" t="str">
        <x:v>支持跨平台构建、自动化测试、性能基线及灰度发布的工程交付体系</x:v>
      </x:c>
      <x:c r="D28" s="48" t="str">
        <x:v>K2</x:v>
      </x:c>
      <x:c r="E28" s="48" t="str">
        <x:v>工程化体系需复用原型资产，但不单独做技术可行性原型</x:v>
      </x:c>
      <x:c r="F28" s="48" t="str">
        <x:v>PVT-00</x:v>
      </x:c>
      <x:c r="G28" s="48" t="str">
        <x:v>单包主证据</x:v>
      </x:c>
      <x:c r="H28" s="23" t="str">
        <x:v>核心覆盖率&gt;85%；MR反馈&lt;15min；72h长稳零泄漏；故障fallback&lt;500ms且0错误；回滚&lt;1min。</x:v>
      </x:c>
      <x:c r="I28" s="48" t="str">
        <x:v>否</x:v>
      </x:c>
      <x:c r="J28" s="23" t="str">
        <x:v>已由 PVT-00 覆盖；无需复制V1.3粒度。</x:v>
      </x:c>
    </x:row>
  </x:sheetData>
  <x:mergeCells>
    <x:mergeCell ref="A1:J1"/>
    <x:mergeCell ref="A2:J2"/>
  </x:mergeCells>
  <x:conditionalFormatting sqref="D5:D28">
    <x:cfRule type="containsText" dxfId="4" priority="1" operator="containsText" text="K0"/>
    <x:cfRule type="containsText" dxfId="5" priority="2" operator="containsText" text="K1"/>
    <x:cfRule type="containsText" dxfId="6" priority="3" operator="containsText" text="K2"/>
  </x:conditionalFormatting>
  <x:pageMargins left="0.7" right="0.7" top="0.75" bottom="0.75" header="0.3" footer="0.3"/>
  <x:tableParts count="1">
    <x:tablePart xmlns:r="http://schemas.openxmlformats.org/officeDocument/2006/relationships" r:id="Ra95dc4b0402346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2" hidden="0" customWidth="1"/>
    <x:col min="3" max="3" width="18" hidden="0" customWidth="1"/>
    <x:col min="4" max="4" width="24" hidden="0" customWidth="1"/>
    <x:col min="5" max="5" width="36" hidden="0" customWidth="1"/>
    <x:col min="6" max="6" width="60" hidden="0" customWidth="1"/>
    <x:col min="7" max="7" width="22" hidden="0" customWidth="1"/>
    <x:col min="8" max="8" width="34" hidden="0" customWidth="1"/>
  </x:cols>
  <x:sheetData>
    <x:row r="1" ht="30" customHeight="1">
      <x:c r="A1" s="39" t="str">
        <x:v>V1.3原验证项逐项合理性审计</x:v>
      </x:c>
      <x:c r="B1" s="39"/>
      <x:c r="C1" s="39"/>
      <x:c r="D1" s="39"/>
      <x:c r="E1" s="39"/>
      <x:c r="F1" s="39"/>
      <x:c r="G1" s="39"/>
      <x:c r="H1" s="39"/>
    </x:row>
    <x:row r="2" ht="36" customHeight="1">
      <x:c r="A2" s="41" t="str">
        <x:v>审计动作：保留并扩展、合并、条件保留/证伪、移出。判定依据是是否决定关键IR成功，而不是技术新颖度。</x:v>
      </x:c>
      <x:c r="B2" s="41"/>
      <x:c r="C2" s="41"/>
      <x:c r="D2" s="41"/>
      <x:c r="E2" s="41"/>
      <x:c r="F2" s="41"/>
      <x:c r="G2" s="41"/>
      <x:c r="H2" s="41"/>
    </x:row>
    <x:row r="4" ht="40" customHeight="1">
      <x:c r="A4" s="46" t="str">
        <x:v>原ID</x:v>
      </x:c>
      <x:c r="B4" s="46" t="str">
        <x:v>原验证主题</x:v>
      </x:c>
      <x:c r="C4" s="46" t="str">
        <x:v>审计动作</x:v>
      </x:c>
      <x:c r="D4" s="46" t="str">
        <x:v>归并到V1.5</x:v>
      </x:c>
      <x:c r="E4" s="46" t="str">
        <x:v>关联IR</x:v>
      </x:c>
      <x:c r="F4" s="46" t="str">
        <x:v>审计理由</x:v>
      </x:c>
      <x:c r="G4" s="46" t="str">
        <x:v>是否仍占立项前名额</x:v>
      </x:c>
      <x:c r="H4" s="46" t="str">
        <x:v>处理结论</x:v>
      </x:c>
    </x:row>
    <x:row r="5" ht="15" hidden="0" customHeight="1">
      <x:c r="A5" s="47" t="str">
        <x:v>BVG-01</x:v>
      </x:c>
      <x:c r="B5" s="22" t="str">
        <x:v>真实工作负载前缀复用分布与理论收益上限</x:v>
      </x:c>
      <x:c r="C5" s="47" t="str">
        <x:v>合并</x:v>
      </x:c>
      <x:c r="D5" s="47" t="str">
        <x:v>PVT-00</x:v>
      </x:c>
      <x:c r="E5" s="47" t="str">
        <x:v>IR-02-03、IR-02-11、IR-02-12</x:v>
      </x:c>
      <x:c r="F5" s="22" t="str">
        <x:v>收益上限不是独立开发项，纳入共享基线与观测底座。</x:v>
      </x:c>
      <x:c r="G5" s="47" t="str">
        <x:v>是（已并包）</x:v>
      </x:c>
      <x:c r="H5" s="47" t="str">
        <x:v>由目标原型包统一交付</x:v>
      </x:c>
    </x:row>
    <x:row r="6" ht="15" hidden="0" customHeight="1">
      <x:c r="A6" s="48" t="str">
        <x:v>BVG-02</x:v>
      </x:c>
      <x:c r="B6" s="23" t="str">
        <x:v>Raw Hit→Usable Hit→实际复用的语义兼容损耗漏斗</x:v>
      </x:c>
      <x:c r="C6" s="48" t="str">
        <x:v>合并</x:v>
      </x:c>
      <x:c r="D6" s="48" t="str">
        <x:v>PVT-06</x:v>
      </x:c>
      <x:c r="E6" s="48" t="str">
        <x:v>IR-01-10、IR-01-11、IR-02-01、IR-02-05</x:v>
      </x:c>
      <x:c r="F6" s="23" t="str">
        <x:v>Usable Hit本质是消费资格与Attach正确性证据。</x:v>
      </x:c>
      <x:c r="G6" s="48" t="str">
        <x:v>是（已并包）</x:v>
      </x:c>
      <x:c r="H6" s="48" t="str">
        <x:v>由目标原型包统一交付</x:v>
      </x:c>
    </x:row>
    <x:row r="7" ht="15" hidden="0" customHeight="1">
      <x:c r="A7" s="48" t="str">
        <x:v>BVG-03</x:v>
      </x:c>
      <x:c r="B7" s="23" t="str">
        <x:v>端到端 TTFT 净收益预算与负收益命中护栏</x:v>
      </x:c>
      <x:c r="C7" s="48" t="str">
        <x:v>合并</x:v>
      </x:c>
      <x:c r="D7" s="48" t="str">
        <x:v>PVT-04/PVT-07</x:v>
      </x:c>
      <x:c r="E7" s="48" t="str">
        <x:v>IR-01-03、IR-02-02、IR-02-11</x:v>
      </x:c>
      <x:c r="F7" s="23" t="str">
        <x:v>净收益预算进入QueryPlan，最终由薄闭环验收。</x:v>
      </x:c>
      <x:c r="G7" s="48" t="str">
        <x:v>是（已并包）</x:v>
      </x:c>
      <x:c r="H7" s="48" t="str">
        <x:v>由目标原型包统一交付</x:v>
      </x:c>
    </x:row>
    <x:row r="8" ht="21.600000381469727" hidden="0" customHeight="1">
      <x:c r="A8" s="48" t="str">
        <x:v>BVG-04</x:v>
      </x:c>
      <x:c r="B8" s="23" t="str">
        <x:v>长上下文下 HBM 有效容量、OOM/Preemption 与服务能力转化</x:v>
      </x:c>
      <x:c r="C8" s="48" t="str">
        <x:v>合并</x:v>
      </x:c>
      <x:c r="D8" s="48" t="str">
        <x:v>PVT-05</x:v>
      </x:c>
      <x:c r="E8" s="48" t="str">
        <x:v>IR-01-01、IR-02-08、IR-02-09</x:v>
      </x:c>
      <x:c r="F8" s="23" t="str">
        <x:v>容量、OOM与服务能力必须同一实验闭环。</x:v>
      </x:c>
      <x:c r="G8" s="48" t="str">
        <x:v>是（已并包）</x:v>
      </x:c>
      <x:c r="H8" s="48" t="str">
        <x:v>由目标原型包统一交付</x:v>
      </x:c>
    </x:row>
    <x:row r="9" ht="15" hidden="0" customHeight="1">
      <x:c r="A9" s="48" t="str">
        <x:v>BVG-05</x:v>
      </x:c>
      <x:c r="B9" s="23" t="str">
        <x:v>后台迁移/回源/预取对前台 TPOT 的干扰包络</x:v>
      </x:c>
      <x:c r="C9" s="48" t="str">
        <x:v>合并</x:v>
      </x:c>
      <x:c r="D9" s="48" t="str">
        <x:v>PVT-07</x:v>
      </x:c>
      <x:c r="E9" s="48" t="str">
        <x:v>IR-01-11、IR-02-06</x:v>
      </x:c>
      <x:c r="F9" s="23" t="str">
        <x:v>干扰包络是QoS与端到端收益同一门禁。</x:v>
      </x:c>
      <x:c r="G9" s="48" t="str">
        <x:v>是（已并包）</x:v>
      </x:c>
      <x:c r="H9" s="48" t="str">
        <x:v>由目标原型包统一交付</x:v>
      </x:c>
    </x:row>
    <x:row r="10" ht="15" hidden="0" customHeight="1">
      <x:c r="A10" s="48" t="str">
        <x:v>BVG-06</x:v>
      </x:c>
      <x:c r="B10" s="23" t="str">
        <x:v>KV 亲和路由：移动请求、移动 KV 与本地重算的收益边界</x:v>
      </x:c>
      <x:c r="C10" s="48" t="str">
        <x:v>合并</x:v>
      </x:c>
      <x:c r="D10" s="48" t="str">
        <x:v>PVT-04</x:v>
      </x:c>
      <x:c r="E10" s="48" t="str">
        <x:v>IR-01-03、IR-01-05、IR-02-02</x:v>
      </x:c>
      <x:c r="F10" s="23" t="str">
        <x:v>请求路由、位置选择和重算共同属于QueryPlan决策。</x:v>
      </x:c>
      <x:c r="G10" s="48" t="str">
        <x:v>是（已并包）</x:v>
      </x:c>
      <x:c r="H10" s="48" t="str">
        <x:v>由目标原型包统一交付</x:v>
      </x:c>
    </x:row>
    <x:row r="11" ht="15" hidden="0" customHeight="1">
      <x:c r="A11" s="48" t="str">
        <x:v>BVG-07</x:v>
      </x:c>
      <x:c r="B11" s="23" t="str">
        <x:v>部分前缀复用、预取与传输/计算重叠的有效收益</x:v>
      </x:c>
      <x:c r="C11" s="48" t="str">
        <x:v>合并</x:v>
      </x:c>
      <x:c r="D11" s="48" t="str">
        <x:v>PVT-06/PVT-07</x:v>
      </x:c>
      <x:c r="E11" s="48" t="str">
        <x:v>IR-01-04、IR-02-06、IR-02-10</x:v>
      </x:c>
      <x:c r="F11" s="23" t="str">
        <x:v>部分复用先验证消费正确性，再在薄闭环验证重叠收益。</x:v>
      </x:c>
      <x:c r="G11" s="48" t="str">
        <x:v>是（已并包）</x:v>
      </x:c>
      <x:c r="H11" s="48" t="str">
        <x:v>由目标原型包统一交付</x:v>
      </x:c>
    </x:row>
    <x:row r="12" ht="15" hidden="0" customHeight="1">
      <x:c r="A12" s="48" t="str">
        <x:v>BVG-08</x:v>
      </x:c>
      <x:c r="B12" s="23" t="str">
        <x:v>DDR角色化使用的容量/带宽/成本净收益边界</x:v>
      </x:c>
      <x:c r="C12" s="48" t="str">
        <x:v>合并</x:v>
      </x:c>
      <x:c r="D12" s="48" t="str">
        <x:v>PVT-05</x:v>
      </x:c>
      <x:c r="E12" s="48" t="str">
        <x:v>IR-01-01、IR-02-08、IR-02-09</x:v>
      </x:c>
      <x:c r="F12" s="23" t="str">
        <x:v>DDR价值是统一分层容量实验的一组A/B，不应单列项目。</x:v>
      </x:c>
      <x:c r="G12" s="48" t="str">
        <x:v>是（已并包）</x:v>
      </x:c>
      <x:c r="H12" s="48" t="str">
        <x:v>由目标原型包统一交付</x:v>
      </x:c>
    </x:row>
    <x:row r="13" ht="15" hidden="0" customHeight="1">
      <x:c r="A13" s="48" t="str">
        <x:v>KTP-01</x:v>
      </x:c>
      <x:c r="B13" s="23" t="str">
        <x:v>全局PrefixDirectory大表结构、部署与UBMEM访问</x:v>
      </x:c>
      <x:c r="C13" s="48" t="str">
        <x:v>合并</x:v>
      </x:c>
      <x:c r="D13" s="48" t="str">
        <x:v>PVT-03</x:v>
      </x:c>
      <x:c r="E13" s="48" t="str">
        <x:v>IR-01-07、IR-02-05</x:v>
      </x:c>
      <x:c r="F13" s="23" t="str">
        <x:v>PrefixDirectory与block_table分别测，但共享UBMEM边界原型。</x:v>
      </x:c>
      <x:c r="G13" s="48" t="str">
        <x:v>是（已并包）</x:v>
      </x:c>
      <x:c r="H13" s="48" t="str">
        <x:v>由目标原型包统一交付</x:v>
      </x:c>
    </x:row>
    <x:row r="14" ht="15" hidden="0" customHeight="1">
      <x:c r="A14" s="48" t="str">
        <x:v>KTP-02</x:v>
      </x:c>
      <x:c r="B14" s="23" t="str">
        <x:v>vLLM block_table元数据的UBMEM/共享内存语义访问</x:v>
      </x:c>
      <x:c r="C14" s="48" t="str">
        <x:v>合并</x:v>
      </x:c>
      <x:c r="D14" s="48" t="str">
        <x:v>PVT-03</x:v>
      </x:c>
      <x:c r="E14" s="48" t="str">
        <x:v>IR-01-07、IR-02-04、IR-02-10</x:v>
      </x:c>
      <x:c r="F14" s="23" t="str">
        <x:v>与目录同属对象类型差异化的view/copy边界。</x:v>
      </x:c>
      <x:c r="G14" s="48" t="str">
        <x:v>是（已并包）</x:v>
      </x:c>
      <x:c r="H14" s="48" t="str">
        <x:v>由目标原型包统一交付</x:v>
      </x:c>
    </x:row>
    <x:row r="15" ht="21.600000381469727" hidden="0" customHeight="1">
      <x:c r="A15" s="48" t="str">
        <x:v>KTP-03</x:v>
      </x:c>
      <x:c r="B15" s="23" t="str">
        <x:v>HBM↔SSD direct主路径、DDR选择性路径与Host参与度矩阵</x:v>
      </x:c>
      <x:c r="C15" s="48" t="str">
        <x:v>合并</x:v>
      </x:c>
      <x:c r="D15" s="48" t="str">
        <x:v>PVT-01</x:v>
      </x:c>
      <x:c r="E15" s="48" t="str">
        <x:v>IR-01-06、IR-01-08、IR-01-09</x:v>
      </x:c>
      <x:c r="F15" s="23" t="str">
        <x:v>数据路径、DDR旁路与Host参与必须与可见性/完整性一起判断。</x:v>
      </x:c>
      <x:c r="G15" s="48" t="str">
        <x:v>是（已并包）</x:v>
      </x:c>
      <x:c r="H15" s="48" t="str">
        <x:v>由目标原型包统一交付</x:v>
      </x:c>
    </x:row>
    <x:row r="16" ht="21.600000381469727" hidden="0" customHeight="1">
      <x:c r="A16" s="48" t="str">
        <x:v>KTP-04</x:v>
      </x:c>
      <x:c r="B16" s="23" t="str">
        <x:v>跨HBM/SSD/DDR/UBMEM/URMA的completion-fence-ready与分路径完整性链</x:v>
      </x:c>
      <x:c r="C16" s="48" t="str">
        <x:v>合并</x:v>
      </x:c>
      <x:c r="D16" s="48" t="str">
        <x:v>PVT-01</x:v>
      </x:c>
      <x:c r="E16" s="48" t="str">
        <x:v>IR-01-11、IR-01-12</x:v>
      </x:c>
      <x:c r="F16" s="23" t="str">
        <x:v>completion/fence/ready是每条物理路径的正确性证据。</x:v>
      </x:c>
      <x:c r="G16" s="48" t="str">
        <x:v>是（已并包）</x:v>
      </x:c>
      <x:c r="H16" s="48" t="str">
        <x:v>由目标原型包统一交付</x:v>
      </x:c>
    </x:row>
    <x:row r="17" ht="21.600000381469727" hidden="0" customHeight="1">
      <x:c r="A17" s="48" t="str">
        <x:v>KTP-05</x:v>
      </x:c>
      <x:c r="B17" s="23" t="str">
        <x:v>组件消息通道使用UBMEM/URMA的适用边界</x:v>
      </x:c>
      <x:c r="C17" s="48" t="str">
        <x:v>移出</x:v>
      </x:c>
      <x:c r="D17" s="48" t="str">
        <x:v>正式项目性能Backlog</x:v>
      </x:c>
      <x:c r="E17" s="48" t="str">
        <x:v>可弱关联IR-02-01，但不构成立项门禁</x:v>
      </x:c>
      <x:c r="F17" s="23" t="str">
        <x:v>组件消息通道换成UBMEM/URMA不是关键IR成功前提；只有测得控制消息成为瓶颈后再优化。</x:v>
      </x:c>
      <x:c r="G17" s="48" t="str">
        <x:v>否</x:v>
      </x:c>
      <x:c r="H17" s="48" t="str">
        <x:v>转正式项目性能Backlog</x:v>
      </x:c>
    </x:row>
    <x:row r="18" ht="15" hidden="0" customHeight="1">
      <x:c r="A18" s="48" t="str">
        <x:v>KTP-06</x:v>
      </x:c>
      <x:c r="B18" s="23" t="str">
        <x:v>成本感知KV剔除/准入算法的离线回放</x:v>
      </x:c>
      <x:c r="C18" s="48" t="str">
        <x:v>合并</x:v>
      </x:c>
      <x:c r="D18" s="48" t="str">
        <x:v>PVT-05</x:v>
      </x:c>
      <x:c r="E18" s="48" t="str">
        <x:v>IR-01-01、IR-02-08、IR-02-09</x:v>
      </x:c>
      <x:c r="F18" s="23" t="str">
        <x:v>淘汰算法与分层容量/生命周期共享trace和目标函数。</x:v>
      </x:c>
      <x:c r="G18" s="48" t="str">
        <x:v>是（已并包）</x:v>
      </x:c>
      <x:c r="H18" s="48" t="str">
        <x:v>由目标原型包统一交付</x:v>
      </x:c>
    </x:row>
    <x:row r="19" ht="15" hidden="0" customHeight="1">
      <x:c r="A19" s="48" t="str">
        <x:v>KTP-07</x:v>
      </x:c>
      <x:c r="B19" s="23" t="str">
        <x:v>KV升级/降级与DDR角色选择算法的影子回放</x:v>
      </x:c>
      <x:c r="C19" s="48" t="str">
        <x:v>合并</x:v>
      </x:c>
      <x:c r="D19" s="48" t="str">
        <x:v>PVT-05</x:v>
      </x:c>
      <x:c r="E19" s="48" t="str">
        <x:v>IR-01-01、IR-02-09</x:v>
      </x:c>
      <x:c r="F19" s="23" t="str">
        <x:v>升级/降级策略不能脱离DDR角色和物理成本独立验证。</x:v>
      </x:c>
      <x:c r="G19" s="48" t="str">
        <x:v>是（已并包）</x:v>
      </x:c>
      <x:c r="H19" s="48" t="str">
        <x:v>由目标原型包统一交付</x:v>
      </x:c>
    </x:row>
    <x:row r="20" ht="15" hidden="0" customHeight="1">
      <x:c r="A20" s="48" t="str">
        <x:v>KTP-08</x:v>
      </x:c>
      <x:c r="B20" s="23" t="str">
        <x:v>QueryPlan驱动的load-vs-recompute与SSD命中净收益判定</x:v>
      </x:c>
      <x:c r="C20" s="48" t="str">
        <x:v>合并</x:v>
      </x:c>
      <x:c r="D20" s="48" t="str">
        <x:v>PVT-04</x:v>
      </x:c>
      <x:c r="E20" s="48" t="str">
        <x:v>IR-01-03、IR-02-02</x:v>
      </x:c>
      <x:c r="F20" s="23" t="str">
        <x:v>load-vs-recompute是QueryPlan核心，不单独设项。</x:v>
      </x:c>
      <x:c r="G20" s="48" t="str">
        <x:v>是（已并包）</x:v>
      </x:c>
      <x:c r="H20" s="48" t="str">
        <x:v>由目标原型包统一交付</x:v>
      </x:c>
    </x:row>
    <x:row r="21" ht="21.600000381469727" hidden="0" customHeight="1">
      <x:c r="A21" s="48" t="str">
        <x:v>KTP-09</x:v>
      </x:c>
      <x:c r="B21" s="23" t="str">
        <x:v>KV布局→SSD segment/ExtentManifest→Descriptor的直达与批量提交</x:v>
      </x:c>
      <x:c r="C21" s="48" t="str">
        <x:v>保留并扩展</x:v>
      </x:c>
      <x:c r="D21" s="48" t="str">
        <x:v>PVT-02</x:v>
      </x:c>
      <x:c r="E21" s="48" t="str">
        <x:v>IR-01-02、IR-01-04</x:v>
      </x:c>
      <x:c r="F21" s="23" t="str">
        <x:v>该项直接决定IR-01-02是否成立，并补入异步流水。</x:v>
      </x:c>
      <x:c r="G21" s="48" t="str">
        <x:v>是（已并包）</x:v>
      </x:c>
      <x:c r="H21" s="48" t="str">
        <x:v>由目标原型包统一交付</x:v>
      </x:c>
    </x:row>
    <x:row r="22" ht="15" hidden="0" customHeight="1">
      <x:c r="A22" s="48" t="str">
        <x:v>KTP-10</x:v>
      </x:c>
      <x:c r="B22" s="23" t="str">
        <x:v>UB/C2C direct-view与copy-to-HBM边界</x:v>
      </x:c>
      <x:c r="C22" s="48" t="str">
        <x:v>合并且标证伪</x:v>
      </x:c>
      <x:c r="D22" s="48" t="str">
        <x:v>PVT-03</x:v>
      </x:c>
      <x:c r="E22" s="48" t="str">
        <x:v>IR-01-07、IR-02-09</x:v>
      </x:c>
      <x:c r="F22" s="23" t="str">
        <x:v>direct-view不能按数据/元数据混为一谈，目标是证伪默认decode direct-view。</x:v>
      </x:c>
      <x:c r="G22" s="48" t="str">
        <x:v>是（已并包）</x:v>
      </x:c>
      <x:c r="H22" s="48" t="str">
        <x:v>由目标原型包统一交付</x:v>
      </x:c>
    </x:row>
    <x:row r="23" ht="15" hidden="0" customHeight="1">
      <x:c r="A23" s="48" t="str">
        <x:v>KTP-11</x:v>
      </x:c>
      <x:c r="B23" s="23" t="str">
        <x:v>SSD回源/DDR预取/迁移与前台load/decode的硬件QoS隔离</x:v>
      </x:c>
      <x:c r="C23" s="48" t="str">
        <x:v>保留并扩展</x:v>
      </x:c>
      <x:c r="D23" s="48" t="str">
        <x:v>PVT-07</x:v>
      </x:c>
      <x:c r="E23" s="48" t="str">
        <x:v>IR-01-11、IR-02-06</x:v>
      </x:c>
      <x:c r="F23" s="23" t="str">
        <x:v>QoS必须与计算传输重叠和端到端TTFT/TPOT共同验收。</x:v>
      </x:c>
      <x:c r="G23" s="48" t="str">
        <x:v>是（已并包）</x:v>
      </x:c>
      <x:c r="H23" s="48" t="str">
        <x:v>由目标原型包统一交付</x:v>
      </x:c>
    </x:row>
    <x:row r="24" ht="21.600000381469727" hidden="0" customHeight="1">
      <x:c r="A24" s="48" t="str">
        <x:v>KTP-12</x:v>
      </x:c>
      <x:c r="B24" s="23" t="str">
        <x:v>Capability/Topology驱动的图式多语义路径选择与tier bypass</x:v>
      </x:c>
      <x:c r="C24" s="48" t="str">
        <x:v>合并</x:v>
      </x:c>
      <x:c r="D24" s="48" t="str">
        <x:v>PVT-04</x:v>
      </x:c>
      <x:c r="E24" s="48" t="str">
        <x:v>IR-01-03、IR-01-05、IR-01-09</x:v>
      </x:c>
      <x:c r="F24" s="23" t="str">
        <x:v>能力/拓扑路由是PlacementResolver的输入，不单列一套router原型。</x:v>
      </x:c>
      <x:c r="G24" s="48" t="str">
        <x:v>是（已并包）</x:v>
      </x:c>
      <x:c r="H24" s="48" t="str">
        <x:v>由目标原型包统一交付</x:v>
      </x:c>
    </x:row>
    <x:row r="25" ht="15" hidden="0" customHeight="1">
      <x:c r="A25" s="48" t="str">
        <x:v>KTP-13</x:v>
      </x:c>
      <x:c r="B25" s="23" t="str">
        <x:v>DPU/NPU/存储设备硬件原生KVCache压缩/解压</x:v>
      </x:c>
      <x:c r="C25" s="48" t="str">
        <x:v>条件合并/证伪</x:v>
      </x:c>
      <x:c r="D25" s="48" t="str">
        <x:v>CVT-03</x:v>
      </x:c>
      <x:c r="E25" s="48" t="str">
        <x:v>IR-01-08、IR-01-09</x:v>
      </x:c>
      <x:c r="F25" s="23" t="str">
        <x:v>无真实硬件能力不启动，且项目不得依赖codec。</x:v>
      </x:c>
      <x:c r="G25" s="48" t="str">
        <x:v>否（触发后申请）</x:v>
      </x:c>
      <x:c r="H25" s="48" t="str">
        <x:v>保留证据，不预占人力</x:v>
      </x:c>
    </x:row>
    <x:row r="26" ht="15" hidden="0" customHeight="1">
      <x:c r="A26" s="48" t="str">
        <x:v>KTP-14</x:v>
      </x:c>
      <x:c r="B26" s="23" t="str">
        <x:v>多消费者一次加载与1→N多播/节点级fanout</x:v>
      </x:c>
      <x:c r="C26" s="48" t="str">
        <x:v>条件保留/证伪</x:v>
      </x:c>
      <x:c r="D26" s="48" t="str">
        <x:v>CVT-01</x:v>
      </x:c>
      <x:c r="E26" s="48" t="str">
        <x:v>IR-01-04、IR-01-10</x:v>
      </x:c>
      <x:c r="F26" s="23" t="str">
        <x:v>只有真实fanout证据触发；优先证伪硬件多播必要性。</x:v>
      </x:c>
      <x:c r="G26" s="48" t="str">
        <x:v>否（触发后申请）</x:v>
      </x:c>
      <x:c r="H26" s="48" t="str">
        <x:v>保留证据，不预占人力</x:v>
      </x:c>
    </x:row>
    <x:row r="27" ht="15" hidden="0" customHeight="1">
      <x:c r="A27" s="48" t="str">
        <x:v>KTP-15</x:v>
      </x:c>
      <x:c r="B27" s="23" t="str">
        <x:v>迁移/压紧期间的RCU与atomic remap/page migration</x:v>
      </x:c>
      <x:c r="C27" s="48" t="str">
        <x:v>条件保留/证伪</x:v>
      </x:c>
      <x:c r="D27" s="48" t="str">
        <x:v>CVT-02</x:v>
      </x:c>
      <x:c r="E27" s="48" t="str">
        <x:v>IR-01-01、IR-01-11、IR-01-12</x:v>
      </x:c>
      <x:c r="F27" s="23" t="str">
        <x:v>只有迁移pause成为瓶颈时触发，软件RCU为默认。</x:v>
      </x:c>
      <x:c r="G27" s="48" t="str">
        <x:v>否（触发后申请）</x:v>
      </x:c>
      <x:c r="H27" s="48" t="str">
        <x:v>保留证据，不预占人力</x:v>
      </x:c>
    </x:row>
    <x:row r="28" ht="15" hidden="0" customHeight="1">
      <x:c r="A28" s="48" t="str">
        <x:v>KTP-16</x:v>
      </x:c>
      <x:c r="B28" s="23" t="str">
        <x:v>DPU卸载CQ/路由/硬件变换控制路径</x:v>
      </x:c>
      <x:c r="C28" s="48" t="str">
        <x:v>条件合并/证伪</x:v>
      </x:c>
      <x:c r="D28" s="48" t="str">
        <x:v>CVT-03</x:v>
      </x:c>
      <x:c r="E28" s="48" t="str">
        <x:v>IR-01-08、IR-01-09</x:v>
      </x:c>
      <x:c r="F28" s="23" t="str">
        <x:v>DPU是可选Provider，不是主路径依赖。</x:v>
      </x:c>
      <x:c r="G28" s="48" t="str">
        <x:v>否（触发后申请）</x:v>
      </x:c>
      <x:c r="H28" s="48" t="str">
        <x:v>保留证据，不预占人力</x:v>
      </x:c>
    </x:row>
    <x:row r="29" ht="21.600000381469727" hidden="0" customHeight="1">
      <x:c r="A29" s="48" t="str">
        <x:v>KTP-17</x:v>
      </x:c>
      <x:c r="B29" s="23" t="str">
        <x:v>DDR角色化使用与净收益边界：热点KV、远端DDR、预取/突发缓冲</x:v>
      </x:c>
      <x:c r="C29" s="48" t="str">
        <x:v>合并</x:v>
      </x:c>
      <x:c r="D29" s="48" t="str">
        <x:v>PVT-05</x:v>
      </x:c>
      <x:c r="E29" s="48" t="str">
        <x:v>IR-01-01、IR-02-08、IR-02-09</x:v>
      </x:c>
      <x:c r="F29" s="23" t="str">
        <x:v>DDR角色是分层容量的一组决策变量。</x:v>
      </x:c>
      <x:c r="G29" s="48" t="str">
        <x:v>是（已并包）</x:v>
      </x:c>
      <x:c r="H29" s="48" t="str">
        <x:v>由目标原型包统一交付</x:v>
      </x:c>
    </x:row>
  </x:sheetData>
  <x:mergeCells>
    <x:mergeCell ref="A1:H1"/>
    <x:mergeCell ref="A2:H2"/>
  </x:mergeCells>
  <x:conditionalFormatting sqref="C5:C29">
    <x:cfRule type="containsText" dxfId="7" priority="1" operator="containsText" text="移出"/>
    <x:cfRule type="containsText" dxfId="8" priority="2" operator="containsText" text="条件"/>
    <x:cfRule type="containsText" dxfId="9" priority="3" operator="containsText" text="保留并扩展"/>
  </x:conditionalFormatting>
  <x:pageMargins left="0.7" right="0.7" top="0.75" bottom="0.75" header="0.3" footer="0.3"/>
  <x:tableParts count="1">
    <x:tablePart xmlns:r="http://schemas.openxmlformats.org/officeDocument/2006/relationships" r:id="R87176fafd10947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8" hidden="0" customWidth="1"/>
    <x:col min="3" max="3" width="34" hidden="0" customWidth="1"/>
    <x:col min="4" max="4" width="46" hidden="0" customWidth="1"/>
    <x:col min="5" max="5" width="50" hidden="0" customWidth="1"/>
    <x:col min="6" max="6" width="42" hidden="0" customWidth="1"/>
    <x:col min="7" max="7" width="34" hidden="0" customWidth="1"/>
    <x:col min="8" max="8" width="15" hidden="0" customWidth="1"/>
    <x:col min="9" max="9" width="44" hidden="0" customWidth="1"/>
    <x:col min="10" max="10" width="38" hidden="0" customWidth="1"/>
    <x:col min="11" max="11" width="38" hidden="0" customWidth="1"/>
    <x:col min="12" max="12" width="34" hidden="0" customWidth="1"/>
    <x:col min="13" max="13" width="24" hidden="0" customWidth="1"/>
  </x:cols>
  <x:sheetData>
    <x:row r="1" ht="30" customHeight="1">
      <x:c r="A1" s="39" t="str">
        <x:v>立项前向技术/项目/人力主管提交的证据包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</x:row>
    <x:row r="2" ht="36" customHeight="1">
      <x:c r="A2" s="41" t="str">
        <x:v>本表是执行与评审模板，不预填不存在的原型结果；每个PVT完成后必须用可复现证据替换“待执行”。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</x:row>
    <x:row r="4" ht="40" customHeight="1">
      <x:c r="A4" s="46" t="str">
        <x:v>验证ID</x:v>
      </x:c>
      <x:c r="B4" s="46" t="str">
        <x:v>要证明的关键问题</x:v>
      </x:c>
      <x:c r="C4" s="46" t="str">
        <x:v>依赖的关键IR</x:v>
      </x:c>
      <x:c r="D4" s="46" t="str">
        <x:v>原型资产</x:v>
      </x:c>
      <x:c r="E4" s="46" t="str">
        <x:v>必须提交的原始证据</x:v>
      </x:c>
      <x:c r="F4" s="46" t="str">
        <x:v>结果摘要</x:v>
      </x:c>
      <x:c r="G4" s="46" t="str">
        <x:v>指标结果</x:v>
      </x:c>
      <x:c r="H4" s="46" t="str">
        <x:v>结论</x:v>
      </x:c>
      <x:c r="I4" s="46" t="str">
        <x:v>对架构的影响</x:v>
      </x:c>
      <x:c r="J4" s="46" t="str">
        <x:v>对范围/里程碑的影响</x:v>
      </x:c>
      <x:c r="K4" s="46" t="str">
        <x:v>对人员技能/数量的影响</x:v>
      </x:c>
      <x:c r="L4" s="46" t="str">
        <x:v>证据位置/Commit</x:v>
      </x:c>
      <x:c r="M4" s="46" t="str">
        <x:v>评审签字</x:v>
      </x:c>
    </x:row>
    <x:row r="5" ht="92" customHeight="1">
      <x:c r="A5" s="47" t="str">
        <x:v>PVT-00</x:v>
      </x:c>
      <x:c r="B5" s="22" t="str">
        <x:v>目标业务是否真的存在足够的可复用前缀与 saved-prefill 收益；后续所有原型结果能否用同一 workload、trace 和时钟口径复现并对账。</x:v>
      </x:c>
      <x:c r="C5" s="22" t="str">
        <x:v>IR-02-11、IR-02-12</x:v>
      </x:c>
      <x:c r="D5" s="22" t="str">
        <x:v>直接演进为 IR-02-11 的 telemetry/trace 与 IR-02-12 的 perf/CI 基线，不做一次性脚本。</x:v>
      </x:c>
      <x:c r="E5" s="22" t="str">
        <x:v>版本化 workload pack、baseline 报告、trace schema、指标字典、原始数据与一键复现实验脚本。</x:v>
      </x:c>
      <x:c r="F5" s="22" t="str">
        <x:v>待执行</x:v>
      </x:c>
      <x:c r="G5" s="22" t="str">
        <x:v>待执行</x:v>
      </x:c>
      <x:c r="H5" s="22" t="str">
        <x:v>待判定</x:v>
      </x:c>
      <x:c r="I5" s="22" t="str">
        <x:v>待评审</x:v>
      </x:c>
      <x:c r="J5" s="22" t="str">
        <x:v>待评审</x:v>
      </x:c>
      <x:c r="K5" s="22" t="str">
        <x:v>待评审</x:v>
      </x:c>
      <x:c r="L5" s="22" t="str"/>
      <x:c r="M5" s="22" t="str"/>
    </x:row>
    <x:row r="6" ht="92" customHeight="1">
      <x:c r="A6" s="48" t="str">
        <x:v>PVT-01</x:v>
      </x:c>
      <x:c r="B6" s="23" t="str">
        <x:v>UBMEM/URMA、RDMA、C2C、NVMe/SSD 能否形成至少一条热路径，以及一条不强制经过DDR的HBM↔SSD直达或低Host参与容量主路径；每条路径的Host参与、完成可见性和完整性证据是否可接受。</x:v>
      </x:c>
      <x:c r="C6" s="23" t="str">
        <x:v>IR-01-06、IR-01-08、IR-01-09、IR-01-12</x:v>
      </x:c>
      <x:c r="D6" s="23" t="str">
        <x:v>探针、注册池、句柄和microbench进入正式 Backend Provider 与CI硬件回归。</x:v>
      </x:c>
      <x:c r="E6" s="23" t="str">
        <x:v>版本化 capability matrix、路径性能曲线、Host touch 对账、故障注入报告、Go/禁用/回退路径表。</x:v>
      </x:c>
      <x:c r="F6" s="23" t="str">
        <x:v>待执行</x:v>
      </x:c>
      <x:c r="G6" s="23" t="str">
        <x:v>待执行</x:v>
      </x:c>
      <x:c r="H6" s="23" t="str">
        <x:v>待判定</x:v>
      </x:c>
      <x:c r="I6" s="23" t="str">
        <x:v>待评审</x:v>
      </x:c>
      <x:c r="J6" s="23" t="str">
        <x:v>待评审</x:v>
      </x:c>
      <x:c r="K6" s="23" t="str">
        <x:v>待评审</x:v>
      </x:c>
      <x:c r="L6" s="23" t="str"/>
      <x:c r="M6" s="23" t="str"/>
    </x:row>
    <x:row r="7" ht="92" customHeight="1">
      <x:c r="A7" s="48" t="str">
        <x:v>PVT-02</x:v>
      </x:c>
      <x:c r="B7" s="23" t="str">
        <x:v>不同框架的逻辑 KV block/page/radix span 能否被稳定编译为各路径可执行的批量描述符，并与 Prefill/Decode 形成可取消、可回退的流水。</x:v>
      </x:c>
      <x:c r="C7" s="23" t="str">
        <x:v>IR-01-02、IR-01-04</x:v>
      </x:c>
      <x:c r="D7" s="23" t="str">
        <x:v>原型代码直接进入 Transfer Manager 的 Descriptor/Async DAG 子模块。</x:v>
      </x:c>
      <x:c r="E7" s="23" t="str">
        <x:v>可复用 descriptor compiler、两后端 adapter、DAG执行器薄片、golden layout cases 与性能报告。</x:v>
      </x:c>
      <x:c r="F7" s="23" t="str">
        <x:v>待执行</x:v>
      </x:c>
      <x:c r="G7" s="23" t="str">
        <x:v>待执行</x:v>
      </x:c>
      <x:c r="H7" s="23" t="str">
        <x:v>待判定</x:v>
      </x:c>
      <x:c r="I7" s="23" t="str">
        <x:v>待评审</x:v>
      </x:c>
      <x:c r="J7" s="23" t="str">
        <x:v>待评审</x:v>
      </x:c>
      <x:c r="K7" s="23" t="str">
        <x:v>待评审</x:v>
      </x:c>
      <x:c r="L7" s="23" t="str"/>
      <x:c r="M7" s="23" t="str"/>
    </x:row>
    <x:row r="8" ht="92" customHeight="1">
      <x:c r="A8" s="48" t="str">
        <x:v>PVT-03</x:v>
      </x:c>
      <x:c r="B8" s="23" t="str">
        <x:v>哪些对象适合 UBMEM/共享内存语义直接访问，哪些必须 local mirror 或 copy-to-HBM；decode-active KV direct-view 是否应成为默认路径。</x:v>
      </x:c>
      <x:c r="C8" s="23" t="str">
        <x:v>IR-01-07、IR-02-04、IR-02-05</x:v>
      </x:c>
      <x:c r="D8" s="23" t="str">
        <x:v>DirectViewGuard、对象分类与counter探针进入正式 View/Copy cost model。</x:v>
      </x:c>
      <x:c r="E8" s="23" t="str">
        <x:v>对象类型×访问模式决策表、DirectViewGuard原型、lease/revoke测试、性能crossover曲线。</x:v>
      </x:c>
      <x:c r="F8" s="23" t="str">
        <x:v>待执行</x:v>
      </x:c>
      <x:c r="G8" s="23" t="str">
        <x:v>待执行</x:v>
      </x:c>
      <x:c r="H8" s="23" t="str">
        <x:v>待判定</x:v>
      </x:c>
      <x:c r="I8" s="23" t="str">
        <x:v>待评审</x:v>
      </x:c>
      <x:c r="J8" s="23" t="str">
        <x:v>待评审</x:v>
      </x:c>
      <x:c r="K8" s="23" t="str">
        <x:v>待评审</x:v>
      </x:c>
      <x:c r="L8" s="23" t="str"/>
      <x:c r="M8" s="23" t="str"/>
    </x:row>
    <x:row r="9" ht="92" customHeight="1">
      <x:c r="A9" s="48" t="str">
        <x:v>PVT-04</x:v>
      </x:c>
      <x:c r="B9" s="23" t="str">
        <x:v>系统能否在微秒级用真实路径成本识别正收益命中，选择正确副本/路径，并在拥塞或故障时有界回退。</x:v>
      </x:c>
      <x:c r="C9" s="23" t="str">
        <x:v>IR-01-03、IR-01-05</x:v>
      </x:c>
      <x:c r="D9" s="23" t="str">
        <x:v>原型直接演进为 PolicyEngine/PlacementResolver，并复用路径telemetry。</x:v>
      </x:c>
      <x:c r="E9" s="23" t="str">
        <x:v>QueryPlan字段冻结稿、cost model原型、oracle对账、正收益白名单、fallback原因码。</x:v>
      </x:c>
      <x:c r="F9" s="23" t="str">
        <x:v>待执行</x:v>
      </x:c>
      <x:c r="G9" s="23" t="str">
        <x:v>待执行</x:v>
      </x:c>
      <x:c r="H9" s="23" t="str">
        <x:v>待判定</x:v>
      </x:c>
      <x:c r="I9" s="23" t="str">
        <x:v>待评审</x:v>
      </x:c>
      <x:c r="J9" s="23" t="str">
        <x:v>待评审</x:v>
      </x:c>
      <x:c r="K9" s="23" t="str">
        <x:v>待评审</x:v>
      </x:c>
      <x:c r="L9" s="23" t="str"/>
      <x:c r="M9" s="23" t="str"/>
    </x:row>
    <x:row r="10" ht="92" customHeight="1">
      <x:c r="A10" s="48" t="str">
        <x:v>PVT-05</x:v>
      </x:c>
      <x:c r="B10" s="23" t="str">
        <x:v>HBM↔SSD直达或低Host参与通路能否成为默认容量主路径并转化为可服务容量与NPU利用率；DDR应承担哪些可证明正收益的条件角色；复杂分层策略是否优于简单水位策略。</x:v>
      </x:c>
      <x:c r="C10" s="23" t="str">
        <x:v>IR-01-01、IR-02-08、IR-02-09</x:v>
      </x:c>
      <x:c r="D10" s="23" t="str">
        <x:v>回放器与策略接口进入TierManager；实验结论冻结硬件容量和人力投入边界。</x:v>
      </x:c>
      <x:c r="E10" s="23" t="str">
        <x:v>容量—服务能力曲线、DDR角色决策、策略回放器、模型KV规格表、水位/回退默认值。</x:v>
      </x:c>
      <x:c r="F10" s="23" t="str">
        <x:v>待执行</x:v>
      </x:c>
      <x:c r="G10" s="23" t="str">
        <x:v>待执行</x:v>
      </x:c>
      <x:c r="H10" s="23" t="str">
        <x:v>待判定</x:v>
      </x:c>
      <x:c r="I10" s="23" t="str">
        <x:v>待评审</x:v>
      </x:c>
      <x:c r="J10" s="23" t="str">
        <x:v>待评审</x:v>
      </x:c>
      <x:c r="K10" s="23" t="str">
        <x:v>待评审</x:v>
      </x:c>
      <x:c r="L10" s="23" t="str"/>
      <x:c r="M10" s="23" t="str"/>
    </x:row>
    <x:row r="11" ht="92" customHeight="1">
      <x:c r="A11" s="48" t="str">
        <x:v>PVT-06</x:v>
      </x:c>
      <x:c r="B11" s="23" t="str">
        <x:v>前缀候选能否在版本、layout、ready、lease、rank等约束下被安全消费；部分命中与故障回退是否仍有净收益。</x:v>
      </x:c>
      <x:c r="C11" s="23" t="str">
        <x:v>IR-01-10、IR-01-11、IR-02-01、IR-02-05</x:v>
      </x:c>
      <x:c r="D11" s="23" t="str">
        <x:v>协议、判定器、golden cases与fault tests进入Connector/Directory正式模块。</x:v>
      </x:c>
      <x:c r="E11" s="23" t="str">
        <x:v>兼容性矩阵、ConsumeEligibility/AttachHandle原型、reason code、故障用例和漏斗报告。</x:v>
      </x:c>
      <x:c r="F11" s="23" t="str">
        <x:v>待执行</x:v>
      </x:c>
      <x:c r="G11" s="23" t="str">
        <x:v>待执行</x:v>
      </x:c>
      <x:c r="H11" s="23" t="str">
        <x:v>待判定</x:v>
      </x:c>
      <x:c r="I11" s="23" t="str">
        <x:v>待评审</x:v>
      </x:c>
      <x:c r="J11" s="23" t="str">
        <x:v>待评审</x:v>
      </x:c>
      <x:c r="K11" s="23" t="str">
        <x:v>待评审</x:v>
      </x:c>
      <x:c r="L11" s="23" t="str"/>
      <x:c r="M11" s="23" t="str"/>
    </x:row>
    <x:row r="12" ht="92" customHeight="1">
      <x:c r="A12" s="48" t="str">
        <x:v>PVT-07</x:v>
      </x:c>
      <x:c r="B12" s="23" t="str">
        <x:v>在真实前台Decode与后台SSD回源、预取、迁移混压下，统一池能否改善TTFT、容量和NPU利用率，同时把TPOT尾部退化控制在业务门槛内。</x:v>
      </x:c>
      <x:c r="C12" s="23" t="str">
        <x:v>IR-01-04、IR-01-11、IR-02-06</x:v>
      </x:c>
      <x:c r="D12" s="23" t="str">
        <x:v>薄闭环成为首个vertical slice与回归场景；QoS分类、指标和fallback接口直接进入正式系统。</x:v>
      </x:c>
      <x:c r="E12" s="23" t="str">
        <x:v>可运行薄闭环、干扰安全包络、性能分解、fallback演练、项目级Go/Conditional/No-Go结论。</x:v>
      </x:c>
      <x:c r="F12" s="23" t="str">
        <x:v>待执行</x:v>
      </x:c>
      <x:c r="G12" s="23" t="str">
        <x:v>待执行</x:v>
      </x:c>
      <x:c r="H12" s="23" t="str">
        <x:v>待判定</x:v>
      </x:c>
      <x:c r="I12" s="23" t="str">
        <x:v>待评审</x:v>
      </x:c>
      <x:c r="J12" s="23" t="str">
        <x:v>待评审</x:v>
      </x:c>
      <x:c r="K12" s="23" t="str">
        <x:v>待评审</x:v>
      </x:c>
      <x:c r="L12" s="23" t="str"/>
      <x:c r="M12" s="23" t="str"/>
    </x:row>
  </x:sheetData>
  <x:mergeCells>
    <x:mergeCell ref="A1:M1"/>
    <x:mergeCell ref="A2:M2"/>
  </x:mergeCells>
  <x:conditionalFormatting sqref="H5:H12">
    <x:cfRule type="containsText" dxfId="10" priority="1" operator="containsText" text="Go"/>
    <x:cfRule type="containsText" dxfId="11" priority="2" operator="containsText" text="Conditional"/>
    <x:cfRule type="containsText" dxfId="12" priority="3" operator="containsText" text="No-Go"/>
  </x:conditionalFormatting>
  <x:dataValidations count="1">
    <x:dataValidation type="list" sqref="H5:H12">
      <x:formula1>"待判定,Go,Conditional,No-Go"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22a6d181354a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8" hidden="0" customWidth="1"/>
    <x:col min="4" max="4" width="36" hidden="0" customWidth="1"/>
    <x:col min="5" max="5" width="46" hidden="0" customWidth="1"/>
    <x:col min="6" max="6" width="56" hidden="0" customWidth="1"/>
    <x:col min="7" max="7" width="50" hidden="0" customWidth="1"/>
    <x:col min="8" max="8" width="44" hidden="0" customWidth="1"/>
    <x:col min="9" max="9" width="34" hidden="0" customWidth="1"/>
  </x:cols>
  <x:sheetData>
    <x:row r="1" ht="30" customHeight="1">
      <x:c r="A1" s="39" t="str">
        <x:v>建议实施波次、依赖关系与退出门</x:v>
      </x:c>
      <x:c r="B1" s="39"/>
      <x:c r="C1" s="39"/>
      <x:c r="D1" s="39"/>
      <x:c r="E1" s="39"/>
      <x:c r="F1" s="39"/>
      <x:c r="G1" s="39"/>
      <x:c r="H1" s="39"/>
      <x:c r="I1" s="39"/>
    </x:row>
    <x:row r="2" ht="36" customHeight="1">
      <x:c r="A2" s="41" t="str">
        <x:v>总日历建议4~5周；人日为原型工作量而非简单相加。PVT共享一套harness与2节点环境；CVT不进入默认排期。</x:v>
      </x:c>
      <x:c r="B2" s="41"/>
      <x:c r="C2" s="41"/>
      <x:c r="D2" s="41"/>
      <x:c r="E2" s="41"/>
      <x:c r="F2" s="41"/>
      <x:c r="G2" s="41"/>
      <x:c r="H2" s="41"/>
      <x:c r="I2" s="41"/>
    </x:row>
    <x:row r="4" ht="40" customHeight="1">
      <x:c r="A4" s="46" t="str">
        <x:v>波次</x:v>
      </x:c>
      <x:c r="B4" s="46" t="str">
        <x:v>周期</x:v>
      </x:c>
      <x:c r="C4" s="46" t="str">
        <x:v>验证包</x:v>
      </x:c>
      <x:c r="D4" s="46" t="str">
        <x:v>可并行关系</x:v>
      </x:c>
      <x:c r="E4" s="46" t="str">
        <x:v>进入条件</x:v>
      </x:c>
      <x:c r="F4" s="46" t="str">
        <x:v>统一退出门</x:v>
      </x:c>
      <x:c r="G4" s="46" t="str">
        <x:v>关键决策输出</x:v>
      </x:c>
      <x:c r="H4" s="46" t="str">
        <x:v>不做内容</x:v>
      </x:c>
      <x:c r="I4" s="46" t="str">
        <x:v>建议核心角色</x:v>
      </x:c>
    </x:row>
    <x:row r="5" ht="84" customHeight="1">
      <x:c r="A5" s="22" t="str">
        <x:v>W0 事实与基线</x:v>
      </x:c>
      <x:c r="B5" s="22" t="str">
        <x:v>第1周</x:v>
      </x:c>
      <x:c r="C5" s="22" t="str">
        <x:v>PVT-00、PVT-01</x:v>
      </x:c>
      <x:c r="D5" s="22" t="str">
        <x:v>trace/观测与硬件路径并行</x:v>
      </x:c>
      <x:c r="E5" s="22" t="str">
        <x:v>目标workload或固定替代集、代表硬件可用</x:v>
      </x:c>
      <x:c r="F5" s="22" t="str">
        <x:v>业务收益上限和capability matrix可复现；错误KV消费=0</x:v>
      </x:c>
      <x:c r="G5" s="22" t="str">
        <x:v>首发场景、路径白名单、硬件/固件短板</x:v>
      </x:c>
      <x:c r="H5" s="22" t="str">
        <x:v>生产目录、完整池、CPU codec/CRC</x:v>
      </x:c>
      <x:c r="I5" s="22" t="str">
        <x:v>性能2、底层传输2、框架1</x:v>
      </x:c>
    </x:row>
    <x:row r="6" ht="84" customHeight="1">
      <x:c r="A6" s="23" t="str">
        <x:v>W1 语义与执行链</x:v>
      </x:c>
      <x:c r="B6" s="23" t="str">
        <x:v>第2~3周</x:v>
      </x:c>
      <x:c r="C6" s="23" t="str">
        <x:v>PVT-02、PVT-03、PVT-04</x:v>
      </x:c>
      <x:c r="D6" s="23" t="str">
        <x:v>共享PVT-01路径与PVT-00 trace</x:v>
      </x:c>
      <x:c r="E6" s="23" t="str">
        <x:v>W0至少一条热路径和一条容量路径可用</x:v>
      </x:c>
      <x:c r="F6" s="23" t="str">
        <x:v>descriptor、view/copy、QueryPlan均形成Go/Conditional/No-Go</x:v>
      </x:c>
      <x:c r="G6" s="23" t="str">
        <x:v>接口字段、direct-view边界、正收益白名单</x:v>
      </x:c>
      <x:c r="H6" s="23" t="str">
        <x:v>全后端、在线学习、生产router</x:v>
      </x:c>
      <x:c r="I6" s="23" t="str">
        <x:v>传输2、内存语义2、策略1、框架1</x:v>
      </x:c>
    </x:row>
    <x:row r="7" ht="84" customHeight="1">
      <x:c r="A7" s="23" t="str">
        <x:v>W2 容量与消费</x:v>
      </x:c>
      <x:c r="B7" s="23" t="str">
        <x:v>第3~4周</x:v>
      </x:c>
      <x:c r="C7" s="23" t="str">
        <x:v>PVT-05、PVT-06</x:v>
      </x:c>
      <x:c r="D7" s="23" t="str">
        <x:v>策略回放与消费正确性并行</x:v>
      </x:c>
      <x:c r="E7" s="23" t="str">
        <x:v>W0/W1成本和语义口径冻结</x:v>
      </x:c>
      <x:c r="F7" s="23" t="str">
        <x:v>容量能转为服务能力；错误消费=0；DDR角色可决策</x:v>
      </x:c>
      <x:c r="G7" s="23" t="str">
        <x:v>容量/采购建议、协议与fallback、P0范围</x:v>
      </x:c>
      <x:c r="H7" s="23" t="str">
        <x:v>生产tier manager、目录HA</x:v>
      </x:c>
      <x:c r="I7" s="23" t="str">
        <x:v>策略2、框架2、测试1</x:v>
      </x:c>
    </x:row>
    <x:row r="8" ht="84" customHeight="1">
      <x:c r="A8" s="23" t="str">
        <x:v>W3 薄闭环总门禁</x:v>
      </x:c>
      <x:c r="B8" s="23" t="str">
        <x:v>第4~5周</x:v>
      </x:c>
      <x:c r="C8" s="23" t="str">
        <x:v>PVT-07</x:v>
      </x:c>
      <x:c r="D8" s="23" t="str">
        <x:v>串联前序最小实现</x:v>
      </x:c>
      <x:c r="E8" s="23" t="str">
        <x:v>PVT-01~06至少Conditional且有回退</x:v>
      </x:c>
      <x:c r="F8" s="23" t="str">
        <x:v>TTFT/TPOT/QPS/NPU/容量指标形成可复现项目结论</x:v>
      </x:c>
      <x:c r="G8" s="23" t="str">
        <x:v>项目Go/Conditional/No-Go、里程碑与人力基线</x:v>
      </x:c>
      <x:c r="H8" s="23" t="str">
        <x:v>生产QoS、多租户计费、全模型</x:v>
      </x:c>
      <x:c r="I8" s="23" t="str">
        <x:v>架构1、性能2、传输2、框架2、测试1</x:v>
      </x:c>
    </x:row>
    <x:row r="9" ht="84" customHeight="1">
      <x:c r="A9" s="23" t="str">
        <x:v>WC 条件证伪</x:v>
      </x:c>
      <x:c r="B9" s="23" t="str">
        <x:v>按触发</x:v>
      </x:c>
      <x:c r="C9" s="23" t="str">
        <x:v>CVT-01~03</x:v>
      </x:c>
      <x:c r="D9" s="23" t="str">
        <x:v>每项独立feature flag</x:v>
      </x:c>
      <x:c r="E9" s="23" t="str">
        <x:v>触发门满足且结论会改变设计/采购</x:v>
      </x:c>
      <x:c r="F9" s="23" t="str">
        <x:v>未达净收益或正确性门槛即旁路/关闭</x:v>
      </x:c>
      <x:c r="G9" s="23" t="str">
        <x:v>硬件多播/remap/DPU是否进入路线</x:v>
      </x:c>
      <x:c r="H9" s="23" t="str">
        <x:v>无触发证据的创新试验</x:v>
      </x:c>
      <x:c r="I9" s="23" t="str">
        <x:v>单项2~3名对应专家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40" hidden="0" customWidth="1"/>
    <x:col min="4" max="4" width="40" hidden="0" customWidth="1"/>
    <x:col min="5" max="5" width="38" hidden="0" customWidth="1"/>
    <x:col min="6" max="6" width="22" hidden="0" customWidth="1"/>
    <x:col min="7" max="7" width="20" hidden="0" customWidth="1"/>
  </x:cols>
  <x:sheetData>
    <x:row r="1" ht="30" customHeight="1">
      <x:c r="A1" s="39" t="str">
        <x:v>提前验证项筛选、证伪与延续规则</x:v>
      </x:c>
      <x:c r="B1" s="39"/>
      <x:c r="C1" s="39"/>
      <x:c r="D1" s="39"/>
      <x:c r="E1" s="39"/>
      <x:c r="F1" s="39"/>
      <x:c r="G1" s="39"/>
    </x:row>
    <x:row r="2" ht="36" customHeight="1">
      <x:c r="A2" s="41" t="str">
        <x:v>防止把详细设计、完整产品开发或技术兴趣项包装成“提前验证”。</x:v>
      </x:c>
      <x:c r="B2" s="41"/>
      <x:c r="C2" s="41"/>
      <x:c r="D2" s="41"/>
      <x:c r="E2" s="41"/>
      <x:c r="F2" s="41"/>
      <x:c r="G2" s="41"/>
    </x:row>
    <x:row r="4" ht="40" customHeight="1">
      <x:c r="A4" s="46" t="str">
        <x:v>规则</x:v>
      </x:c>
      <x:c r="B4" s="46" t="str">
        <x:v>硬门槛</x:v>
      </x:c>
      <x:c r="C4" s="46" t="str">
        <x:v>通过示例</x:v>
      </x:c>
      <x:c r="D4" s="46" t="str">
        <x:v>不通过示例</x:v>
      </x:c>
      <x:c r="E4" s="46" t="str">
        <x:v>处理</x:v>
      </x:c>
      <x:c r="F4" s="46" t="str">
        <x:v>评审责任人</x:v>
      </x:c>
      <x:c r="G4" s="46" t="str">
        <x:v>检查频率</x:v>
      </x:c>
    </x:row>
    <x:row r="5" ht="72" customHeight="1">
      <x:c r="A5" s="22" t="str">
        <x:v>IR关联</x:v>
      </x:c>
      <x:c r="B5" s="22" t="str">
        <x:v>至少1条明确IR；必须说明为何决定IR成败</x:v>
      </x:c>
      <x:c r="C5" s="22" t="str">
        <x:v>PVT-02→IR-01-02/04</x:v>
      </x:c>
      <x:c r="D5" s="22" t="str">
        <x:v>消息通道换实现但不改变IR结果</x:v>
      </x:c>
      <x:c r="E5" s="22" t="str">
        <x:v>无强关联则移出</x:v>
      </x:c>
      <x:c r="F5" s="22" t="str">
        <x:v>架构师</x:v>
      </x:c>
      <x:c r="G5" s="22" t="str">
        <x:v>立项前/变更时</x:v>
      </x:c>
    </x:row>
    <x:row r="6" ht="72" customHeight="1">
      <x:c r="A6" s="23" t="str">
        <x:v>问题关键性</x:v>
      </x:c>
      <x:c r="B6" s="23" t="str">
        <x:v>失败会改变架构、首发范围、硬件采购、里程碑或人力</x:v>
      </x:c>
      <x:c r="C6" s="23" t="str">
        <x:v>SSD路径Host touch不可控</x:v>
      </x:c>
      <x:c r="D6" s="23" t="str">
        <x:v>局部日志格式优化</x:v>
      </x:c>
      <x:c r="E6" s="23" t="str">
        <x:v>不能改变决策则后置</x:v>
      </x:c>
      <x:c r="F6" s="23" t="str">
        <x:v>技术主管</x:v>
      </x:c>
      <x:c r="G6" s="23" t="str">
        <x:v>立项前</x:v>
      </x:c>
    </x:row>
    <x:row r="7" ht="72" customHeight="1">
      <x:c r="A7" s="23" t="str">
        <x:v>可证伪</x:v>
      </x:c>
      <x:c r="B7" s="23" t="str">
        <x:v>有明确假设、Go/Conditional/No-Go与默认回退</x:v>
      </x:c>
      <x:c r="C7" s="23" t="str">
        <x:v>direct-view TPOT回退&lt;3%</x:v>
      </x:c>
      <x:c r="D7" s="23" t="str">
        <x:v>“性能有所提升”</x:v>
      </x:c>
      <x:c r="E7" s="23" t="str">
        <x:v>不能形成结论则重写</x:v>
      </x:c>
      <x:c r="F7" s="23" t="str">
        <x:v>性能负责人</x:v>
      </x:c>
      <x:c r="G7" s="23" t="str">
        <x:v>方案评审</x:v>
      </x:c>
    </x:row>
    <x:row r="8" ht="72" customHeight="1">
      <x:c r="A8" s="23" t="str">
        <x:v>最小范围</x:v>
      </x:c>
      <x:c r="B8" s="23" t="str">
        <x:v>≤2节点或可mock；单项只回答一个决策问题</x:v>
      </x:c>
      <x:c r="C8" s="23" t="str">
        <x:v>2路径+2副本resolver</x:v>
      </x:c>
      <x:c r="D8" s="23" t="str">
        <x:v>完整统一池Demo</x:v>
      </x:c>
      <x:c r="E8" s="23" t="str">
        <x:v>拆小或合并共享底座</x:v>
      </x:c>
      <x:c r="F8" s="23" t="str">
        <x:v>项目经理</x:v>
      </x:c>
      <x:c r="G8" s="23" t="str">
        <x:v>排期评审</x:v>
      </x:c>
    </x:row>
    <x:row r="9" ht="72" customHeight="1">
      <x:c r="A9" s="23" t="str">
        <x:v>数量控制</x:v>
      </x:c>
      <x:c r="B9" s="23" t="str">
        <x:v>默认8个必做包；条件项不预占人力</x:v>
      </x:c>
      <x:c r="C9" s="23" t="str">
        <x:v>共享trace/路径矩阵</x:v>
      </x:c>
      <x:c r="D9" s="23" t="str">
        <x:v>25项并行开工</x:v>
      </x:c>
      <x:c r="E9" s="23" t="str">
        <x:v>新增必做项必须替换/合并现有项</x:v>
      </x:c>
      <x:c r="F9" s="23" t="str">
        <x:v>项目经理/人力主管</x:v>
      </x:c>
      <x:c r="G9" s="23" t="str">
        <x:v>周会</x:v>
      </x:c>
    </x:row>
    <x:row r="10" ht="72" customHeight="1">
      <x:c r="A10" s="23" t="str">
        <x:v>证据完整</x:v>
      </x:c>
      <x:c r="B10" s="23" t="str">
        <x:v>版本、配置、raw data、分位数、资源、异常、边界、复现入口</x:v>
      </x:c>
      <x:c r="C10" s="23" t="str">
        <x:v>P99+Host CPU+fallback</x:v>
      </x:c>
      <x:c r="D10" s="23" t="str">
        <x:v>只报峰值带宽</x:v>
      </x:c>
      <x:c r="E10" s="23" t="str">
        <x:v>证据不全不判Go</x:v>
      </x:c>
      <x:c r="F10" s="23" t="str">
        <x:v>测试负责人</x:v>
      </x:c>
      <x:c r="G10" s="23" t="str">
        <x:v>退出评审</x:v>
      </x:c>
    </x:row>
    <x:row r="11" ht="72" customHeight="1">
      <x:c r="A11" s="23" t="str">
        <x:v>原型延续</x:v>
      </x:c>
      <x:c r="B11" s="23" t="str">
        <x:v>Go/Conditional代码和测试能迁入正式仓库</x:v>
      </x:c>
      <x:c r="C11" s="23" t="str">
        <x:v>descriptor compiler + golden cases</x:v>
      </x:c>
      <x:c r="D11" s="23" t="str">
        <x:v>一次性脚本/手工Excel</x:v>
      </x:c>
      <x:c r="E11" s="23" t="str">
        <x:v>不具延续性则只允许证伪项</x:v>
      </x:c>
      <x:c r="F11" s="23" t="str">
        <x:v>研发主管</x:v>
      </x:c>
      <x:c r="G11" s="23" t="str">
        <x:v>代码评审</x:v>
      </x:c>
    </x:row>
    <x:row r="12" ht="72" customHeight="1">
      <x:c r="A12" s="23" t="str">
        <x:v>证伪标识</x:v>
      </x:c>
      <x:c r="B12" s="23" t="str">
        <x:v>意在否定默认依赖的项必须预先标“是”并写回退</x:v>
      </x:c>
      <x:c r="C12" s="23" t="str">
        <x:v>硬件多播/DPU非必需</x:v>
      </x:c>
      <x:c r="D12" s="23" t="str">
        <x:v>失败后仍强行纳入主路径</x:v>
      </x:c>
      <x:c r="E12" s="23" t="str">
        <x:v>No-Go即关闭feature flag</x:v>
      </x:c>
      <x:c r="F12" s="23" t="str">
        <x:v>架构师</x:v>
      </x:c>
      <x:c r="G12" s="23" t="str">
        <x:v>启动/退出</x:v>
      </x:c>
    </x:row>
    <x:row r="14">
      <x:c r="A14" s="16" t="str">
        <x:v>版本变更摘要</x:v>
      </x:c>
      <x:c r="B14" s="16"/>
      <x:c r="C14" s="16"/>
      <x:c r="D14" s="16"/>
      <x:c r="E14" s="16"/>
      <x:c r="F14" s="16"/>
      <x:c r="G14" s="16"/>
    </x:row>
    <x:row r="15">
      <x:c r="A15" s="34" t="str">
        <x:v>V1.4→V1.5</x:v>
      </x:c>
      <x:c r="B15" s="22" t="str">
        <x:v>以SRS V2.2重新校准：HBM↔SSD为容量主路径，DDR为条件角色，CPU不承担默认codec/全量CRC；同步修正IR/SR锚点和性能门槛。</x:v>
      </x:c>
      <x:c r="C15" s="22"/>
      <x:c r="D15" s="22"/>
      <x:c r="E15" s="22"/>
      <x:c r="F15" s="22"/>
      <x:c r="G15" s="22"/>
    </x:row>
    <x:row r="16">
      <x:c r="A16" s="35" t="str">
        <x:v>数量</x:v>
      </x:c>
      <x:c r="B16" s="23" t="str">
        <x:v>25个原主题归并为8个必做原型包和3个条件/证伪项。</x:v>
      </x:c>
      <x:c r="C16" s="23"/>
      <x:c r="D16" s="23"/>
      <x:c r="E16" s="23"/>
      <x:c r="F16" s="23"/>
      <x:c r="G16" s="23"/>
    </x:row>
    <x:row r="17">
      <x:c r="A17" s="35" t="str">
        <x:v>追溯</x:v>
      </x:c>
      <x:c r="B17" s="23" t="str">
        <x:v>新增24条IR全量覆盖矩阵和关键级别K0/K1/K2。</x:v>
      </x:c>
      <x:c r="C17" s="23"/>
      <x:c r="D17" s="23"/>
      <x:c r="E17" s="23"/>
      <x:c r="F17" s="23"/>
      <x:c r="G17" s="23"/>
    </x:row>
    <x:row r="18">
      <x:c r="A18" s="35" t="str">
        <x:v>延续</x:v>
      </x:c>
      <x:c r="B18" s="23" t="str">
        <x:v>新增正式项目延续资产、证据包模板和人力决策输出。</x:v>
      </x:c>
      <x:c r="C18" s="23"/>
      <x:c r="D18" s="23"/>
      <x:c r="E18" s="23"/>
      <x:c r="F18" s="23"/>
      <x:c r="G18" s="23"/>
    </x:row>
    <x:row r="19">
      <x:c r="A19" s="35" t="str">
        <x:v>移出</x:v>
      </x:c>
      <x:c r="B19" s="23" t="str">
        <x:v>KTP-05组件消息通道UBMEM/URMA化转正式项目性能Backlog。</x:v>
      </x:c>
      <x:c r="C19" s="23"/>
      <x:c r="D19" s="23"/>
      <x:c r="E19" s="23"/>
      <x:c r="F19" s="23"/>
      <x:c r="G19" s="23"/>
    </x:row>
  </x:sheetData>
  <x:mergeCells>
    <x:mergeCell ref="A1:G1"/>
    <x:mergeCell ref="A2:G2"/>
    <x:mergeCell ref="A14:G14"/>
    <x:mergeCell ref="B15:G15"/>
    <x:mergeCell ref="B16:G16"/>
    <x:mergeCell ref="B17:G17"/>
    <x:mergeCell ref="B18:G18"/>
    <x:mergeCell ref="B19:G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2" hidden="0" customWidth="1"/>
    <x:col min="5" max="5" width="14" hidden="0" customWidth="1"/>
    <x:col min="6" max="6" width="50" hidden="0" customWidth="1"/>
  </x:cols>
  <x:sheetData>
    <x:row r="1" ht="30" customHeight="1">
      <x:c r="A1" s="39" t="str">
        <x:v>工作簿质量与需求对齐门禁</x:v>
      </x:c>
      <x:c r="B1" s="39"/>
      <x:c r="C1" s="39"/>
      <x:c r="D1" s="39"/>
      <x:c r="E1" s="39"/>
      <x:c r="F1" s="39"/>
    </x:row>
    <x:row r="2" ht="36" customHeight="1">
      <x:c r="A2" s="41" t="str">
        <x:v>全部PASS后才可作为立项前验证计划基线；公式从各sheet实时计算。</x:v>
      </x:c>
      <x:c r="B2" s="41"/>
      <x:c r="C2" s="41"/>
      <x:c r="D2" s="41"/>
      <x:c r="E2" s="41"/>
      <x:c r="F2" s="41"/>
    </x:row>
    <x:row r="4" ht="40" customHeight="1">
      <x:c r="A4" s="46" t="str">
        <x:v>门禁ID</x:v>
      </x:c>
      <x:c r="B4" s="46" t="str">
        <x:v>检查项</x:v>
      </x:c>
      <x:c r="C4" s="46" t="str">
        <x:v>公式结果</x:v>
      </x:c>
      <x:c r="D4" s="46" t="str">
        <x:v>目标</x:v>
      </x:c>
      <x:c r="E4" s="46" t="str">
        <x:v>状态</x:v>
      </x:c>
      <x:c r="F4" s="46" t="str">
        <x:v>说明</x:v>
      </x:c>
    </x:row>
    <x:row r="5" ht="44" customHeight="1">
      <x:c r="A5" s="47" t="str">
        <x:v>QG-01</x:v>
      </x:c>
      <x:c r="B5" s="47" t="str">
        <x:v>立项前必做项数量</x:v>
      </x:c>
      <x:c r="C5" s="47" t="n">
        <x:f>COUNTIF('精简验证总表'!$D$5:$D$15,"立项前必做")</x:f>
        <x:v>8</x:v>
      </x:c>
      <x:c r="D5" s="47" t="n">
        <x:v>8</x:v>
      </x:c>
      <x:c r="E5" s="47" t="str">
        <x:f>IF(C5=D5,"PASS","FAIL")</x:f>
        <x:v>PASS</x:v>
      </x:c>
      <x:c r="F5" s="22" t="str">
        <x:v>严格控制为8个共享原型包</x:v>
      </x:c>
    </x:row>
    <x:row r="6" ht="44" customHeight="1">
      <x:c r="A6" s="48" t="str">
        <x:v>QG-02</x:v>
      </x:c>
      <x:c r="B6" s="48" t="str">
        <x:v>条件/证伪项数量</x:v>
      </x:c>
      <x:c r="C6" s="48" t="n">
        <x:f>COUNTIF('精简验证总表'!$D$5:$D$15,"条件/证伪")</x:f>
        <x:v>3</x:v>
      </x:c>
      <x:c r="D6" s="48" t="n">
        <x:v>3</x:v>
      </x:c>
      <x:c r="E6" s="48" t="str">
        <x:f>IF(C6=D6,"PASS","FAIL")</x:f>
        <x:v>PASS</x:v>
      </x:c>
      <x:c r="F6" s="23" t="str">
        <x:v>不进入默认人力与排期</x:v>
      </x:c>
    </x:row>
    <x:row r="7" ht="44" customHeight="1">
      <x:c r="A7" s="48" t="str">
        <x:v>QG-03</x:v>
      </x:c>
      <x:c r="B7" s="48" t="str">
        <x:v>原V1.3审计项数量</x:v>
      </x:c>
      <x:c r="C7" s="48" t="n">
        <x:f>COUNTA('V1.3项审计'!$A$5:$A$29)</x:f>
        <x:v>25</x:v>
      </x:c>
      <x:c r="D7" s="48" t="n">
        <x:v>25</x:v>
      </x:c>
      <x:c r="E7" s="48" t="str">
        <x:f>IF(C7=D7,"PASS","FAIL")</x:f>
        <x:v>PASS</x:v>
      </x:c>
      <x:c r="F7" s="23" t="str">
        <x:v>8个BVG+17个KTP</x:v>
      </x:c>
    </x:row>
    <x:row r="8" ht="44" customHeight="1">
      <x:c r="A8" s="48" t="str">
        <x:v>QG-04</x:v>
      </x:c>
      <x:c r="B8" s="48" t="str">
        <x:v>无关联IR的新验证项</x:v>
      </x:c>
      <x:c r="C8" s="48" t="n">
        <x:f>COUNTBLANK('精简验证总表'!$F$5:$F$15)</x:f>
        <x:v>0</x:v>
      </x:c>
      <x:c r="D8" s="48" t="n">
        <x:v>0</x:v>
      </x:c>
      <x:c r="E8" s="48" t="str">
        <x:f>IF(C8=D8,"PASS","FAIL")</x:f>
        <x:v>PASS</x:v>
      </x:c>
      <x:c r="F8" s="23" t="str">
        <x:v>主关联IR不得为空</x:v>
      </x:c>
    </x:row>
    <x:row r="9" ht="44" customHeight="1">
      <x:c r="A9" s="48" t="str">
        <x:v>QG-05</x:v>
      </x:c>
      <x:c r="B9" s="48" t="str">
        <x:v>24条IR无任何覆盖项</x:v>
      </x:c>
      <x:c r="C9" s="48" t="n">
        <x:f>COUNTIF('IR追溯矩阵'!$F$5:$F$28,"—")</x:f>
        <x:v>0</x:v>
      </x:c>
      <x:c r="D9" s="48" t="n">
        <x:v>0</x:v>
      </x:c>
      <x:c r="E9" s="48" t="str">
        <x:f>IF(C9=D9,"PASS","FAIL")</x:f>
        <x:v>PASS</x:v>
      </x:c>
      <x:c r="F9" s="23" t="str">
        <x:v>允许并包覆盖，不要求单设项</x:v>
      </x:c>
    </x:row>
    <x:row r="10" ht="44" customHeight="1">
      <x:c r="A10" s="48" t="str">
        <x:v>QG-06</x:v>
      </x:c>
      <x:c r="B10" s="48" t="str">
        <x:v>K0 IR未被PVT覆盖</x:v>
      </x:c>
      <x:c r="C10" s="48" t="n">
        <x:f>COUNTIFS('IR追溯矩阵'!$D$5:$D$28,"K0",'IR追溯矩阵'!$F$5:$F$28,"—")</x:f>
        <x:v>0</x:v>
      </x:c>
      <x:c r="D10" s="48" t="n">
        <x:v>0</x:v>
      </x:c>
      <x:c r="E10" s="48" t="str">
        <x:f>IF(C10=D10,"PASS","FAIL")</x:f>
        <x:v>PASS</x:v>
      </x:c>
      <x:c r="F10" s="23" t="str">
        <x:v>关键IR必须有立项前证据</x:v>
      </x:c>
    </x:row>
    <x:row r="11" ht="44" customHeight="1">
      <x:c r="A11" s="48" t="str">
        <x:v>QG-07</x:v>
      </x:c>
      <x:c r="B11" s="48" t="str">
        <x:v>证伪项未标识证伪意图</x:v>
      </x:c>
      <x:c r="C11" s="48" t="n">
        <x:f>COUNTIFS('精简验证总表'!$D$5:$D$15,"条件/证伪",'精简验证总表'!$J$5:$J$15,"")</x:f>
        <x:v>0</x:v>
      </x:c>
      <x:c r="D11" s="48" t="n">
        <x:v>0</x:v>
      </x:c>
      <x:c r="E11" s="48" t="str">
        <x:f>IF(C11=D11,"PASS","FAIL")</x:f>
        <x:v>PASS</x:v>
      </x:c>
      <x:c r="F11" s="23" t="str">
        <x:v>条件项必须显式标记</x:v>
      </x:c>
    </x:row>
    <x:row r="12" ht="44" customHeight="1">
      <x:c r="A12" s="48" t="str">
        <x:v>QG-08</x:v>
      </x:c>
      <x:c r="B12" s="48" t="str">
        <x:v>必做项缺少延续路径</x:v>
      </x:c>
      <x:c r="C12" s="48" t="n">
        <x:f>COUNTIFS('精简验证总表'!$D$5:$D$15,"立项前必做",'精简验证总表'!$K$5:$K$15,"")</x:f>
        <x:v>0</x:v>
      </x:c>
      <x:c r="D12" s="48" t="n">
        <x:v>0</x:v>
      </x:c>
      <x:c r="E12" s="48" t="str">
        <x:f>IF(C12=D12,"PASS","FAIL")</x:f>
        <x:v>PASS</x:v>
      </x:c>
      <x:c r="F12" s="23" t="str">
        <x:v>避免一次性Demo</x:v>
      </x:c>
    </x:row>
    <x:row r="13" ht="44" customHeight="1">
      <x:c r="A13" s="48" t="str">
        <x:v>QG-09</x:v>
      </x:c>
      <x:c r="B13" s="48" t="str">
        <x:v>明确移出项数量</x:v>
      </x:c>
      <x:c r="C13" s="48" t="n">
        <x:f>COUNTIF('V1.3项审计'!$C$5:$C$29,"移出")</x:f>
        <x:v>1</x:v>
      </x:c>
      <x:c r="D13" s="48" t="n">
        <x:v>1</x:v>
      </x:c>
      <x:c r="E13" s="48" t="str">
        <x:f>IF(C13=D13,"PASS","FAIL")</x:f>
        <x:v>PASS</x:v>
      </x:c>
      <x:c r="F13" s="23" t="str">
        <x:v>KTP-05</x:v>
      </x:c>
    </x:row>
  </x:sheetData>
  <x:mergeCells>
    <x:mergeCell ref="A1:F1"/>
    <x:mergeCell ref="A2:F2"/>
  </x:mergeCells>
  <x:conditionalFormatting sqref="E5:E13">
    <x:cfRule type="containsText" dxfId="13" priority="1" operator="containsText" text="PASS"/>
    <x:cfRule type="containsText" dxfId="14" priority="2" operator="containsText" text="FAIL"/>
  </x:conditionalFormatting>
  <x:pageMargins left="0.7" right="0.7" top="0.75" bottom="0.75" header="0.3" footer="0.3"/>
</x:worksheet>
</file>