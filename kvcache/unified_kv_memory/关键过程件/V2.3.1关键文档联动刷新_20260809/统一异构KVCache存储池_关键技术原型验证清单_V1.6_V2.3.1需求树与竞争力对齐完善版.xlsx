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审视结论" sheetId="1" state="visible" r:id="rId1"/>
    <sheet xmlns:r="http://schemas.openxmlformats.org/officeDocument/2006/relationships" name="精简验证总表" sheetId="2" state="visible" r:id="rId2"/>
    <sheet xmlns:r="http://schemas.openxmlformats.org/officeDocument/2006/relationships" name="验证设计" sheetId="3" state="visible" r:id="rId3"/>
    <sheet xmlns:r="http://schemas.openxmlformats.org/officeDocument/2006/relationships" name="IR追溯矩阵" sheetId="4" state="visible" r:id="rId4"/>
    <sheet xmlns:r="http://schemas.openxmlformats.org/officeDocument/2006/relationships" name="V1.3项审计" sheetId="5" state="visible" r:id="rId5"/>
    <sheet xmlns:r="http://schemas.openxmlformats.org/officeDocument/2006/relationships" name="立项证据包" sheetId="6" state="visible" r:id="rId6"/>
    <sheet xmlns:r="http://schemas.openxmlformats.org/officeDocument/2006/relationships" name="实施波次" sheetId="7" state="visible" r:id="rId7"/>
    <sheet xmlns:r="http://schemas.openxmlformats.org/officeDocument/2006/relationships" name="筛选规则" sheetId="8" state="visible" r:id="rId8"/>
    <sheet xmlns:r="http://schemas.openxmlformats.org/officeDocument/2006/relationships" name="质量门禁" sheetId="9" state="visible" r:id="rId9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Microsoft YaHei"/>
      <b val="1"/>
      <color rgb="FFFFFFFF"/>
      <sz val="16"/>
    </font>
    <font>
      <name val="Microsoft YaHei"/>
      <color rgb="FF2F5597"/>
      <sz val="10"/>
    </font>
    <font>
      <name val="Microsoft YaHei"/>
      <b val="1"/>
      <color rgb="FFFFFFFF"/>
      <sz val="10"/>
    </font>
    <font>
      <name val="Microsoft YaHei"/>
      <b val="1"/>
      <color rgb="FF17365D"/>
      <sz val="22"/>
    </font>
    <font>
      <name val="Microsoft YaHei"/>
      <b val="1"/>
      <color rgb="FFFFFFFF"/>
      <sz val="11"/>
    </font>
    <font>
      <name val="Microsoft YaHei"/>
      <color rgb="FF1F1F1F"/>
      <sz val="9"/>
    </font>
    <font>
      <name val="Microsoft YaHei"/>
      <b val="1"/>
      <color rgb="FF17365D"/>
      <sz val="11"/>
    </font>
    <font>
      <name val="Microsoft YaHei"/>
      <b val="1"/>
      <color rgb="FF17365D"/>
      <sz val="10"/>
    </font>
    <font>
      <name val="Microsoft YaHei"/>
      <b val="1"/>
      <color rgb="FFFFFFFF"/>
      <sz val="10"/>
    </font>
    <font>
      <name val="Microsoft YaHei"/>
      <sz val="9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4F9"/>
      </patternFill>
    </fill>
    <fill>
      <patternFill patternType="solid">
        <fgColor rgb="FF2F559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6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3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8" fillId="3" borderId="3" applyAlignment="1" pivotButton="0" quotePrefix="0" xfId="0">
      <alignment vertical="top" wrapText="1"/>
    </xf>
    <xf numFmtId="0" fontId="8" fillId="3" borderId="2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0" fillId="0" borderId="5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dxfs count="15"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7365D"/>
      </font>
      <fill>
        <patternFill>
          <bgColor rgb="FFE4DFEC"/>
        </patternFill>
      </fill>
    </dxf>
    <dxf>
      <font>
        <b val="1"/>
        <color rgb="FF17365D"/>
      </font>
      <fill>
        <patternFill>
          <bgColor rgb="FFE4DFE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7365D"/>
      </font>
      <fill>
        <patternFill>
          <bgColor rgb="FFEEF4F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LeanValidationTable" displayName="LeanValidationTable" ref="A4:O15" headerRowCount="1" totalsRowCount="0" totalsRowShown="0">
  <tableColumns count="15">
    <tableColumn id="1" name="序号"/>
    <tableColumn id="2" name="验证ID"/>
    <tableColumn id="3" name="验证主题"/>
    <tableColumn id="4" name="类型"/>
    <tableColumn id="5" name="关键级别"/>
    <tableColumn id="6" name="主关联IR"/>
    <tableColumn id="7" name="次关联IR"/>
    <tableColumn id="8" name="背景诉求与竞争力关联（必要性与合理性）"/>
    <tableColumn id="9" name="为何决定IR成败及竞争力增量"/>
    <tableColumn id="10" name="主要验证思路与验证方法"/>
    <tableColumn id="11" name="证伪意图"/>
    <tableColumn id="12" name="正式项目延续路径"/>
    <tableColumn id="13" name="原V1.3来源"/>
    <tableColumn id="14" name="周期"/>
    <tableColumn id="15" name="当前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lidationDesignV16" displayName="ValidationDesignV16" ref="A4:R15" headerRowCount="1" totalsRowCount="0" totalsRowShown="0">
  <tableColumns count="18">
    <tableColumn id="1" name="验证ID"/>
    <tableColumn id="2" name="核心假设与背景诉求（竞争力关联）"/>
    <tableColumn id="3" name="最小原型范围 / 测试验证范围"/>
    <tableColumn id="4" name="主要验证思路与验证方法"/>
    <tableColumn id="5" name="实验矩阵"/>
    <tableColumn id="6" name="对照基线"/>
    <tableColumn id="7" name="关键指标"/>
    <tableColumn id="8" name="Go门槛"/>
    <tableColumn id="9" name="Conditional门槛"/>
    <tableColumn id="10" name="No-Go门槛"/>
    <tableColumn id="11" name="明确不做"/>
    <tableColumn id="12" name="必须交付证据（交付成果）"/>
    <tableColumn id="13" name="原型延续资产"/>
    <tableColumn id="14" name="证伪标记"/>
    <tableColumn id="15" name="周期"/>
    <tableColumn id="16" name="关键IR"/>
    <tableColumn id="17" name="关键SRS/SR锚点"/>
    <tableColumn id="18" name="结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rTraceTableV15" displayName="IrTraceTableV15" ref="A4:J28" headerRowCount="1" totalsRowCount="0" totalsRowShown="0">
  <autoFilter ref="A4:J28"/>
  <tableColumns count="10">
    <tableColumn id="1" name="IR ID"/>
    <tableColumn id="2" name="SF"/>
    <tableColumn id="3" name="IR功能化描述"/>
    <tableColumn id="4" name="关键级别"/>
    <tableColumn id="5" name="关键性判断"/>
    <tableColumn id="6" name="关联验证ID"/>
    <tableColumn id="7" name="覆盖方式"/>
    <tableColumn id="8" name="IR KPI锚点"/>
    <tableColumn id="9" name="是否需单独设项"/>
    <tableColumn id="10" name="审视结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13AuditTable" displayName="V13AuditTable" ref="A4:H29" headerRowCount="1" totalsRowCount="0" totalsRowShown="0">
  <autoFilter ref="A4:H29"/>
  <tableColumns count="8">
    <tableColumn id="1" name="原ID"/>
    <tableColumn id="2" name="原验证主题"/>
    <tableColumn id="3" name="审计动作"/>
    <tableColumn id="4" name="归并到V1.5"/>
    <tableColumn id="5" name="关联IR"/>
    <tableColumn id="6" name="审计理由"/>
    <tableColumn id="7" name="是否仍占立项前名额"/>
    <tableColumn id="8" name="处理结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PackTable" displayName="EvidencePackTable" ref="A4:M12" headerRowCount="1" totalsRowCount="0" totalsRowShown="0">
  <autoFilter ref="A4:M12"/>
  <tableColumns count="13">
    <tableColumn id="1" name="验证ID"/>
    <tableColumn id="2" name="要证明的关键问题"/>
    <tableColumn id="3" name="依赖的关键IR"/>
    <tableColumn id="4" name="原型资产"/>
    <tableColumn id="5" name="必须提交的原始证据"/>
    <tableColumn id="6" name="结果摘要"/>
    <tableColumn id="7" name="指标结果"/>
    <tableColumn id="8" name="结论"/>
    <tableColumn id="9" name="对架构的影响"/>
    <tableColumn id="10" name="对范围/里程碑的影响"/>
    <tableColumn id="11" name="对人员技能/数量的影响"/>
    <tableColumn id="12" name="证据位置/Commit"/>
    <tableColumn id="13" name="评审签字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28" customWidth="1" min="3" max="3"/>
    <col width="28" customWidth="1" min="4" max="4"/>
  </cols>
  <sheetData>
    <row r="1" ht="30" customHeight="1">
      <c r="A1" s="3" t="inlineStr">
        <is>
          <t>统一异构 KVCache 存储池 关键技术提前验证清单 审视结论（Mooncake 高性能原厂扩展版 V2.0）</t>
        </is>
      </c>
      <c r="B1" s="3" t="n"/>
      <c r="C1" s="3" t="n"/>
      <c r="D1" s="3" t="n"/>
    </row>
    <row r="2" ht="36" customHeight="1">
      <c r="A2" s="6" t="inlineStr">
        <is>
          <t>【研发战略定位与评审共识】
本项目确立“基于开源生态底座（Mooncake 与 vLLM）深度重构与架构增强，演进为面向国产 AI 硬件生态的 Mooncake 高性能原厂扩展版 (Unified KV)”的研发路线。前期借用 Mooncake 成熟的外壳接口与集群接入生态，内部深度注入原厂软硬件协同核心创新内核（Host CPU 零数据拷贝底座、C++ 描述符编译器、QueryPlan 微秒决策大脑、io_uring 裸盘直达容量主路径、6维语义强校验与多卡原子共识、DPU 硬件安全双轨与软件 Staging 组播分发），系统范围绝不框在 Mooncake 既有框架内。
【验证架构与优先级体系 (10 PVT + 1 CVT)】
• 🔴 P0 级（核心决胜项，5项）：PVT-02（描述符编译与异步流水）、PVT-04（微秒级动态决策）、PVT-05（HBM-SSD 直达容量主路径）、PVT-06（6维语义强校验与多卡状态同步）、PVT-07（前后台混压端到端总门禁）；
• 🟡 P1 级（底座支撑项，4项）：PVT-00（Saved-Prefill 收益上限）、PVT-01（Host CPU 零数据拷贝底座）、PVT-03（远端直读边界与 ViewGuard）、PVT-09（DPU 硬件安全卸载加速与双轨协同）；
• 🟢 P2 级（拓展证伪项，2项）：PVT-08（1-to-N 组播式 KV 分发拓扑）、CVT-01（PageMigration 软件 RCU 机制证伪硬件 AtomicRemap）。
【关键场景与双轨参数扩展】
1. 升级 PVT-08（原 CVT-01）：全面覆盖公共系统提示词广播、Multi-Agent 共享上下文分发、PD 分离 1P-to-ND 分叉三大业务场景；
2. 升级 PVT-09（原 CVT-03）：确立 DPU 硬件安全与 Raw Direct 双轨体系，测定 500µs 无缝降级，并作为重要场景扩展提前布局 Fly-in-line 流式在途量化/压缩/CRC 软硬件双轨技术手段；
3. 多模型双轨参数覆盖：PVT-00/02/04/07 全面支持 DeepSeek-V3/R1 (FP8 MLA 512B/tok) 与 Qwen2.5-72B (FP16 MHA 320KB/tok)；
4. 开源基线端到端打流：全量验证基于 Mooncake Master + vLLM-Ascend 2 节点集群部署，通过官方 benchmark_serving.py 发起在线打流消融对账。</t>
        </is>
      </c>
      <c r="B2" s="6" t="n"/>
      <c r="C2" s="6" t="n"/>
      <c r="D2" s="6" t="n"/>
    </row>
    <row r="4">
      <c r="A4" s="11" t="inlineStr">
        <is>
          <t>V1.3原验证主题</t>
        </is>
      </c>
      <c r="B4" s="11" t="inlineStr">
        <is>
          <t>V1.6立项前必做</t>
        </is>
      </c>
      <c r="C4" s="11" t="inlineStr">
        <is>
          <t>V1.6条件/证伪</t>
        </is>
      </c>
      <c r="D4" s="11" t="inlineStr">
        <is>
          <t>移出立项前范围</t>
        </is>
      </c>
    </row>
    <row r="5" ht="42" customHeight="1">
      <c r="A5" s="15">
        <f>COUNTA('V1.3项审计'!$A$5:$A$29)</f>
        <v/>
      </c>
      <c r="B5" s="15">
        <f>COUNTIF('精简验证总表'!$D$5:$D$15,"立项前必做")</f>
        <v/>
      </c>
      <c r="C5" s="15">
        <f>COUNTIF('精简验证总表'!$D$5:$D$15,"条件/证伪")</f>
        <v/>
      </c>
      <c r="D5" s="15">
        <f>COUNTIF('V1.3项审计'!$C$5:$C$29,"移出")</f>
        <v/>
      </c>
    </row>
    <row r="8">
      <c r="A8" s="16" t="inlineStr">
        <is>
          <t>核心判断</t>
        </is>
      </c>
      <c r="B8" s="16" t="n"/>
      <c r="C8" s="16" t="n"/>
      <c r="D8" s="16" t="n"/>
    </row>
    <row r="9" ht="46" customHeight="1">
      <c r="A9" s="30" t="inlineStr">
        <is>
          <t>1</t>
        </is>
      </c>
      <c r="B9" s="22" t="inlineStr">
        <is>
          <t>V1.6 的 8 个立项前必做原型包 + 3 个条件/证伪项结构合理：每包回答一个会改变架构、范围、采购或人力的关键问题，4～5 周共享环境具有可执行性。</t>
        </is>
      </c>
      <c r="C9" s="22" t="n"/>
      <c r="D9" s="22" t="n"/>
    </row>
    <row r="10" ht="46" customHeight="1">
      <c r="A10" s="31" t="inlineStr">
        <is>
          <t>2</t>
        </is>
      </c>
      <c r="B10" s="23" t="inlineStr">
        <is>
          <t>已按 V2.3.1 的 38 条独立交付 SR 重做原型锚点：不再使用 SR-xx 旧编号或“对应 IR 下 SR”的模糊表述，全部显式引用 SR23 ID。</t>
        </is>
      </c>
      <c r="C10" s="23" t="n"/>
      <c r="D10" s="23" t="n"/>
    </row>
    <row r="11" ht="46" customHeight="1">
      <c r="A11" s="31" t="inlineStr">
        <is>
          <t>3</t>
        </is>
      </c>
      <c r="B11" s="23" t="inlineStr">
        <is>
          <t>竞争力口径统一为第一方推理状态系统：兼容并复用 Mooncake/LMCache 等数据平面，在同硬件、同模型、同 SLO、同调优预算下证明相对最佳可行开源组合的增量。</t>
        </is>
      </c>
      <c r="C11" s="23" t="n"/>
      <c r="D11" s="23" t="n"/>
    </row>
    <row r="12" ht="46" customHeight="1">
      <c r="A12" s="31" t="inlineStr">
        <is>
          <t>4</t>
        </is>
      </c>
      <c r="B12" s="23" t="inlineStr">
        <is>
          <t>方法补强为 E0 立项充分性、E1 能力路径、E2 决策优越性、E3 系统净收益；PVT-04/PVT-07 增加关闭状态智能与移除微架构信息消融，所有物理路径要求计划/实际对账。</t>
        </is>
      </c>
      <c r="C12" s="23" t="n"/>
      <c r="D12" s="23" t="n"/>
    </row>
    <row r="13" ht="46" customHeight="1">
      <c r="A13" s="31" t="inlineStr">
        <is>
          <t>5</t>
        </is>
      </c>
      <c r="B13" s="23" t="inlineStr">
        <is>
          <t>所有 Go/Conditional 原型必须沉淀为正式 Provider、协议、探针、回放器、标准正确结果用例或端到端最小闭环验证 (Vertical Slice)；No-Go/Not Supported 保留证据、功能开关和可回退资产，禁止一次性 Demo。</t>
        </is>
      </c>
      <c r="C13" s="23" t="n"/>
      <c r="D13" s="23" t="n"/>
    </row>
    <row r="15">
      <c r="A15" s="16" t="inlineStr">
        <is>
          <t>立项管理口径</t>
        </is>
      </c>
      <c r="B15" s="16" t="n"/>
      <c r="C15" s="16" t="n"/>
      <c r="D15" s="16" t="n"/>
    </row>
    <row r="16" ht="42" customHeight="1">
      <c r="A16" s="36" t="inlineStr">
        <is>
          <t>数量上限</t>
        </is>
      </c>
      <c r="B16" s="22" t="inlineStr">
        <is>
          <t>默认仅 8 个必做包；3 个条件项不进入人力基线，只有触发门满足且结论会改变设计/采购时单独申请。</t>
        </is>
      </c>
      <c r="C16" s="22" t="n"/>
      <c r="D16" s="22" t="n"/>
    </row>
    <row r="17" ht="42" customHeight="1">
      <c r="A17" s="37" t="inlineStr">
        <is>
          <t>结论格式</t>
        </is>
      </c>
      <c r="B17" s="23" t="inlineStr">
        <is>
          <t>每项必须输出验证阶段 (E0~E3)、Go / Conditional / No-Go / Not Supported、适用边界、默认回退及对 IR/SR23、架构和竞争力主张的影响。</t>
        </is>
      </c>
      <c r="C17" s="23" t="n"/>
      <c r="D17" s="23" t="n"/>
    </row>
    <row r="18" ht="42" customHeight="1">
      <c r="A18" s="37" t="inlineStr">
        <is>
          <t>证据要求</t>
        </is>
      </c>
      <c r="B18" s="23" t="inlineStr">
        <is>
          <t>必须保留冻结配置、软硬件版本、原始数据、分位数/置信区间、资源计数、实际路径凭证（ActualPathReceipt）、Host CPU 零数据拷贝凭证（Host Payload Touch Bytes 严格为 0）、异常结果、最佳开源基线和关键消融的一键复现入口。</t>
        </is>
      </c>
      <c r="C18" s="23" t="n"/>
      <c r="D18" s="23" t="n"/>
    </row>
    <row r="19" ht="42" customHeight="1">
      <c r="A19" s="37" t="inlineStr">
        <is>
          <t>延续性</t>
        </is>
      </c>
      <c r="B19" s="23" t="inlineStr">
        <is>
          <t>Go/Conditional 核心代码、接口和测试必须迁入正式模块；E3 以前只表述为潜在竞争力，E4/E5 的客户价值与持续壁垒由后续客户验证和跨代认证关闭。</t>
        </is>
      </c>
      <c r="C19" s="23" t="n"/>
      <c r="D19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14" customWidth="1" min="4" max="4"/>
    <col width="10" customWidth="1" min="5" max="5"/>
    <col width="34" customWidth="1" min="6" max="6"/>
    <col width="36" customWidth="1" min="7" max="7"/>
    <col width="45" customWidth="1" min="8" max="8"/>
    <col width="35" customWidth="1" min="9" max="9"/>
    <col width="50" customWidth="1" min="10" max="10"/>
    <col width="50" customWidth="1" min="11" max="11"/>
    <col width="32" customWidth="1" min="12" max="12"/>
    <col width="16" customWidth="1" min="13" max="13"/>
    <col width="12" customWidth="1" min="14" max="14"/>
  </cols>
  <sheetData>
    <row r="1" ht="30" customHeight="1">
      <c r="A1" s="39" t="inlineStr">
        <is>
          <t>统一异构 KVCache 存储池 关键技术提前验证总表（Mooncake 高性能原厂扩展版 10 PVT + 1 CVT 优先级精简版）</t>
        </is>
      </c>
    </row>
    <row r="2" ht="36" customHeight="1">
      <c r="A2" s="41" t="inlineStr">
        <is>
          <t>8 项立项前必做 + 3 项条件/证伪；显式对齐 SR23 编号、公平开源基线、关键消融、实际路径凭证和 E0–E3 验证阶段 (E0~E3)。所有结论仍待实测，不把目标门槛写成既有成绩。</t>
        </is>
      </c>
    </row>
    <row r="4" ht="40" customHeight="1">
      <c r="A4" s="49" t="inlineStr">
        <is>
          <t>序号</t>
        </is>
      </c>
      <c r="B4" s="49" t="inlineStr">
        <is>
          <t>验证ID</t>
        </is>
      </c>
      <c r="C4" s="49" t="inlineStr">
        <is>
          <t>验证主题</t>
        </is>
      </c>
      <c r="D4" s="49" t="inlineStr">
        <is>
          <t>类型</t>
        </is>
      </c>
      <c r="E4" s="49" t="inlineStr">
        <is>
          <t>关键级别</t>
        </is>
      </c>
      <c r="F4" s="49" t="inlineStr">
        <is>
          <t>主关联IR</t>
        </is>
      </c>
      <c r="G4" s="49" t="inlineStr">
        <is>
          <t>次关联IR</t>
        </is>
      </c>
      <c r="H4" s="49" t="inlineStr">
        <is>
          <t>背景诉求与竞争力关联（必要性与合理性）</t>
        </is>
      </c>
      <c r="I4" s="49" t="inlineStr">
        <is>
          <t>为何决定IR成败及竞争力增量</t>
        </is>
      </c>
      <c r="J4" s="50" t="inlineStr">
        <is>
          <t>主要验证思路与验证方法</t>
        </is>
      </c>
      <c r="K4" s="49" t="inlineStr">
        <is>
          <t>证伪意图</t>
        </is>
      </c>
      <c r="L4" s="49" t="inlineStr">
        <is>
          <t>正式项目延续路径</t>
        </is>
      </c>
      <c r="M4" s="49" t="inlineStr">
        <is>
          <t>原V1.3来源</t>
        </is>
      </c>
      <c r="N4" s="49" t="inlineStr">
        <is>
          <t>周期</t>
        </is>
      </c>
      <c r="O4" s="49" t="inlineStr">
        <is>
          <t>当前状态</t>
        </is>
      </c>
    </row>
    <row r="5" ht="21.60000038146973" customHeight="1">
      <c r="A5" s="55" t="n">
        <v>1</v>
      </c>
      <c r="B5" s="55" t="inlineStr">
        <is>
          <t>PVT-00</t>
        </is>
      </c>
      <c r="C5" s="55" t="inlineStr">
        <is>
          <t>业务流量 Saved-Prefill 收益上限与通信加速边界评估</t>
        </is>
      </c>
      <c r="D5" s="55" t="inlineStr">
        <is>
          <t>立项前必做 (🟡 P1 底座支撑)</t>
        </is>
      </c>
      <c r="E5" s="55" t="inlineStr">
        <is>
          <t>K0</t>
        </is>
      </c>
      <c r="F5" s="55" t="inlineStr">
        <is>
          <t>IR-02-11、IR-02-12</t>
        </is>
      </c>
      <c r="G5" s="55" t="inlineStr">
        <is>
          <t>IR-01-03、IR-02-02</t>
        </is>
      </c>
      <c r="H5" s="55" t="inlineStr">
        <is>
          <t>【背景与必要性】Saved-Prefill 是 KVCache 存储池收益的核心前提。必须以真实业务与受控负载，实测覆盖 MLA (512B) 与 MHA (320KB) 在各复用率下的加速上限。
【对应验证阶段】E0 业务收益确认门。</t>
        </is>
      </c>
      <c r="I5" s="55" t="inlineStr">
        <is>
          <t>Saved-Prefill 净收益必须能够覆盖数据拉取、传输与挂接总开销，且在 50% 复用率下净收益 ≥ 2.0× 总开销，UBMEM 加速比 ≥ 1.30×。</t>
        </is>
      </c>
      <c r="J5" s="55" t="inlineStr">
        <is>
          <t>【验证思路】真实/合成前缀构造 + URMA/UBMEM 对比 + 多模型矩阵消融。
【验证方法】运行 make_workload.py 与 benchmark_serving.py 发起在线打流，采集各阶段微秒耗时。</t>
        </is>
      </c>
      <c r="K5" s="55" t="inlineStr">
        <is>
          <t>否（立项前提收益确认项）</t>
        </is>
      </c>
      <c r="L5" s="55" t="inlineStr">
        <is>
          <t>直接演进为 IR-02-11 的 telemetry/trace 与 IR-02-12 的 CI 性能基线。</t>
        </is>
      </c>
      <c r="M5" s="55" t="inlineStr">
        <is>
          <t>MFS-A、BVG-01</t>
        </is>
      </c>
      <c r="N5" s="55" t="inlineStr">
        <is>
          <t>5人日</t>
        </is>
      </c>
      <c r="O5" s="55" t="inlineStr">
        <is>
          <t>待启动</t>
        </is>
      </c>
    </row>
    <row r="6" ht="32.40000152587891" customHeight="1">
      <c r="A6" s="55" t="n">
        <v>2</v>
      </c>
      <c r="B6" s="55" t="inlineStr">
        <is>
          <t>PVT-01</t>
        </is>
      </c>
      <c r="C6" s="55" t="inlineStr">
        <is>
          <t>Host CPU 零数据拷贝传输底座与硬件能力矩阵验证</t>
        </is>
      </c>
      <c r="D6" s="55" t="inlineStr">
        <is>
          <t>立项前必做 (🟡 P1 底座支撑)</t>
        </is>
      </c>
      <c r="E6" s="55" t="inlineStr">
        <is>
          <t>K0</t>
        </is>
      </c>
      <c r="F6" s="55" t="inlineStr">
        <is>
          <t>IR-01-06、IR-01-08、IR-01-09</t>
        </is>
      </c>
      <c r="G6" s="55" t="inlineStr">
        <is>
          <t>IR-01-12</t>
        </is>
      </c>
      <c r="H6" s="55" t="inlineStr">
        <is>
          <t>【背景与必要性】必须确立 Host CPU 仅负责下发控制指令、不参与正文 Payload 搬运（Host Payload Touch Bytes 严格为 0）的物理底座。
【对应验证阶段】E1 核心数据通路打通门。</t>
        </is>
      </c>
      <c r="I6" s="55" t="inlineStr">
        <is>
          <t>打通 CANN P2P Pinning 与 URMA/UBMEM 直达，eBPF 监控 Host CPU 触碰字节严格为 0，自动导出 capability_matrix.json。</t>
        </is>
      </c>
      <c r="J6" s="55" t="inlineStr">
        <is>
          <t>【验证思路】P2P 显存锁定 + URMA DMA + eBPF 监控零拷贝。
【验证方法】运行 raw_trans_bench 与 host_touch_monitor.py 抓取底层传输链路带宽与 CPU 触碰。</t>
        </is>
      </c>
      <c r="K6" s="55" t="inlineStr">
        <is>
          <t>否（物理传输底座核心项）</t>
        </is>
      </c>
      <c r="L6" s="55" t="inlineStr">
        <is>
          <t>探针、注册池、句柄和 microbench 进入正式 Backend Provider。</t>
        </is>
      </c>
      <c r="M6" s="55" t="inlineStr">
        <is>
          <t>KTP-03、KTP-04</t>
        </is>
      </c>
      <c r="N6" s="55" t="inlineStr">
        <is>
          <t>6人日</t>
        </is>
      </c>
      <c r="O6" s="55" t="inlineStr">
        <is>
          <t>待启动</t>
        </is>
      </c>
    </row>
    <row r="7" ht="32.40000152587891" customHeight="1">
      <c r="A7" s="55" t="n">
        <v>3</v>
      </c>
      <c r="B7" s="55" t="inlineStr">
        <is>
          <t>PVT-02</t>
        </is>
      </c>
      <c r="C7" s="55" t="inlineStr">
        <is>
          <t>异构框架 Layout 描述符编译器与跨节点异步流水验证</t>
        </is>
      </c>
      <c r="D7" s="55" t="inlineStr">
        <is>
          <t>立项前必做 (🔴 P0 核心决胜)</t>
        </is>
      </c>
      <c r="E7" s="55" t="inlineStr">
        <is>
          <t>K0</t>
        </is>
      </c>
      <c r="F7" s="55" t="inlineStr">
        <is>
          <t>IR-01-02、IR-01-04</t>
        </is>
      </c>
      <c r="G7" s="55" t="inlineStr">
        <is>
          <t>IR-01-06、IR-02-01</t>
        </is>
      </c>
      <c r="H7" s="55" t="inlineStr">
        <is>
          <t>【背景与必要性】对标 vLLM-Ascend 原生 Python-ZMQ 连接器，验证 64B POD C++ 描述符批量编译与跨节点 Layerwise 边算边传异步 DAG 重叠流水。
【对应验证阶段】E1 核心数据通路打通门。</t>
        </is>
      </c>
      <c r="I7" s="55" t="inlineStr">
        <is>
          <t>描述符连续块合并压缩率 ≥ 50%，单次编译耗时 &lt; 5µs，异步 DAG 流水计算-传输重叠率 ≥ 60%，CPU 提交开销降低 ≥ 40%。</t>
        </is>
      </c>
      <c r="J7" s="55" t="inlineStr">
        <is>
          <t>【验证思路】64B POD 描述符贪心合并 + NPU/DMA 双 Stream 异步重叠。
【验证方法】运行 async_dag_bench 模拟 16~64 层大模型逐层边算边传。</t>
        </is>
      </c>
      <c r="K7" s="55" t="inlineStr">
        <is>
          <t>否（架构核心决胜项）</t>
        </is>
      </c>
      <c r="L7" s="55" t="inlineStr">
        <is>
          <t>原型代码直接进入 Transfer Manager 的 Descriptor/Async DAG 子模块。</t>
        </is>
      </c>
      <c r="M7" s="55" t="inlineStr">
        <is>
          <t>KTP-09</t>
        </is>
      </c>
      <c r="N7" s="55" t="inlineStr">
        <is>
          <t>8人日</t>
        </is>
      </c>
      <c r="O7" s="55" t="inlineStr">
        <is>
          <t>待启动</t>
        </is>
      </c>
    </row>
    <row r="8" ht="32.40000152587891" customHeight="1">
      <c r="A8" s="55" t="n">
        <v>4</v>
      </c>
      <c r="B8" s="55" t="inlineStr">
        <is>
          <t>PVT-03</t>
        </is>
      </c>
      <c r="C8" s="55" t="inlineStr">
        <is>
          <t>远端直读 vs 显存拷贝适用边界与 ViewGuard 容错验证</t>
        </is>
      </c>
      <c r="D8" s="55" t="inlineStr">
        <is>
          <t>立项前必做 (🟡 P1 底座支撑)</t>
        </is>
      </c>
      <c r="E8" s="55" t="inlineStr">
        <is>
          <t>K1</t>
        </is>
      </c>
      <c r="F8" s="55" t="inlineStr">
        <is>
          <t>IR-01-07、IR-02-04、IR-02-05</t>
        </is>
      </c>
      <c r="G8" s="55" t="inlineStr">
        <is>
          <t>IR-01-08</t>
        </is>
      </c>
      <c r="H8" s="55" t="inlineStr">
        <is>
          <t>【背景与必要性】测定 Direct-View 与 Copy-to-HBM 的 Crossover 交叉临界点，实测证伪 Decode 阶段活跃 KV 直读，验证 ViewGuard SIGBUS 容错回滚。
【对应验证阶段】E1/E2 路径与决策边界门。</t>
        </is>
      </c>
      <c r="I8" s="55" t="inlineStr">
        <is>
          <t>确立重读次数 &gt; 2 时必须 Copy-to-HBM；证实 Decode 活跃 KV 直读导致 TPOT 恶化；ViewGuard 实现 100% 捕获 SIGBUS 并安全回滚至本地重算。</t>
        </is>
      </c>
      <c r="J8" s="55" t="inlineStr">
        <is>
          <t>【验证思路】微基准 Crossover 测定 + 真实服务注入证伪 + ViewGuard 故障演练。
【验证方法】运行 view_vs_copy_bench 与 benchmark_serving_view.py 验证决策边界。</t>
        </is>
      </c>
      <c r="K8" s="55" t="inlineStr">
        <is>
          <t>否（决策边界与容错核心项）</t>
        </is>
      </c>
      <c r="L8" s="55" t="inlineStr">
        <is>
          <t>DirectViewGuard、对象分类与探针进入正式 View/Copy cost model。</t>
        </is>
      </c>
      <c r="M8" s="55" t="inlineStr">
        <is>
          <t>KTP-10</t>
        </is>
      </c>
      <c r="N8" s="55" t="inlineStr">
        <is>
          <t>5人日</t>
        </is>
      </c>
      <c r="O8" s="55" t="inlineStr">
        <is>
          <t>待启动</t>
        </is>
      </c>
    </row>
    <row r="9" ht="21.60000038146973" customHeight="1">
      <c r="A9" s="55" t="n">
        <v>5</v>
      </c>
      <c r="B9" s="55" t="inlineStr">
        <is>
          <t>PVT-04</t>
        </is>
      </c>
      <c r="C9" s="55" t="inlineStr">
        <is>
          <t>微秒级动态决策引擎与 CostEvaluator 成本模型验证</t>
        </is>
      </c>
      <c r="D9" s="55" t="inlineStr">
        <is>
          <t>立项前必做 (🔴 P0 核心决胜)</t>
        </is>
      </c>
      <c r="E9" s="55" t="inlineStr">
        <is>
          <t>K0</t>
        </is>
      </c>
      <c r="F9" s="55" t="inlineStr">
        <is>
          <t>IR-01-03、IR-01-05</t>
        </is>
      </c>
      <c r="G9" s="55" t="inlineStr">
        <is>
          <t>IR-01-01、IR-02-02</t>
        </is>
      </c>
      <c r="H9" s="55" t="inlineStr">
        <is>
          <t>【背景与必要性】构建微秒调度大脑，在微秒级时间内根据链路状态、算力与上下文长度选择最优加载或重算路径，覆盖 MLA (512B) 与 MHA。
【对应验证阶段】E2 动态调度决策门。</t>
        </is>
      </c>
      <c r="I9" s="55" t="inlineStr">
        <is>
          <t>单次决策耗时 P99 &lt; 5µs，决策准确率 ≥ 90%，负收益加载拦截率 100%，错误决策率 &lt; 1%。</t>
        </is>
      </c>
      <c r="J9" s="55" t="inlineStr">
        <is>
          <t>【验证思路】5 维成本量化模型 + 微秒级剪枝 + 反事实决策对账。
【验证方法】运行 query_plan_bench 在 100K QPS 吞吐下压测决策引擎。</t>
        </is>
      </c>
      <c r="K9" s="55" t="inlineStr">
        <is>
          <t>否（架构核心决胜项）</t>
        </is>
      </c>
      <c r="L9" s="55" t="inlineStr">
        <is>
          <t>原型直接演进为 PolicyEngine/PlacementResolver，复用 telemetry。</t>
        </is>
      </c>
      <c r="M9" s="55" t="inlineStr">
        <is>
          <t>BVG-03、BVG-06、KTP-08、KTP-12</t>
        </is>
      </c>
      <c r="N9" s="55" t="inlineStr">
        <is>
          <t>6人日</t>
        </is>
      </c>
      <c r="O9" s="55" t="inlineStr">
        <is>
          <t>待启动</t>
        </is>
      </c>
    </row>
    <row r="10" ht="32.40000152587891" customHeight="1">
      <c r="A10" s="55" t="n">
        <v>6</v>
      </c>
      <c r="B10" s="55" t="inlineStr">
        <is>
          <t>PVT-05</t>
        </is>
      </c>
      <c r="C10" s="55" t="inlineStr">
        <is>
          <t>HBM-SSD 直达容量主路径与分层存储扩容验证</t>
        </is>
      </c>
      <c r="D10" s="55" t="inlineStr">
        <is>
          <t>立项前必做 (🔴 P0 核心决胜)</t>
        </is>
      </c>
      <c r="E10" s="55" t="inlineStr">
        <is>
          <t>K0</t>
        </is>
      </c>
      <c r="F10" s="55" t="inlineStr">
        <is>
          <t>IR-01-01、IR-02-08、IR-02-09</t>
        </is>
      </c>
      <c r="G10" s="55" t="inlineStr">
        <is>
          <t>IR-01-09</t>
        </is>
      </c>
      <c r="H10" s="55" t="inlineStr">
        <is>
          <t>【背景与必要性】对标 Mooncake 原生文件级 SSD Offload，验证 Linux 6.6+ io_uring FIXED I/O 裸盘直达容量主路径，在显存超载下实现安全扩容。
【对应验证阶段】E2 分层扩容与容量门。</t>
        </is>
      </c>
      <c r="I10" s="55" t="inlineStr">
        <is>
          <t>在 150% 显存超载下，系统支持的可服务容量提升 ≥ 30%，OOM 发生率降低 ≥ 50%，SSD 直达吞吐达硬件线速 ≥ 80%，全程 Bypass DDR。</t>
        </is>
      </c>
      <c r="J10" s="55" t="inlineStr">
        <is>
          <t>【验证思路】裸盘 4KB 对齐管理 + io_uring Direct I/O + 水位线驱动异步沉淀。
【验证方法】运行 tier_storage_bench 与 benchmark_tiering.py 进行超载压测。</t>
        </is>
      </c>
      <c r="K10" s="55" t="inlineStr">
        <is>
          <t>否（架构核心决胜项）</t>
        </is>
      </c>
      <c r="L10" s="55" t="inlineStr">
        <is>
          <t>回放器与策略接口进入 TierManager，冻结硬件容量投入边界。</t>
        </is>
      </c>
      <c r="M10" s="55" t="inlineStr">
        <is>
          <t>BVG-04、BVG-08、KTP-03、KTP-06、KTP-07、KTP-17</t>
        </is>
      </c>
      <c r="N10" s="55" t="inlineStr">
        <is>
          <t>6人日</t>
        </is>
      </c>
      <c r="O10" s="55" t="inlineStr">
        <is>
          <t>待启动</t>
        </is>
      </c>
    </row>
    <row r="11" ht="32.40000152587891" customHeight="1">
      <c r="A11" s="55" t="n">
        <v>7</v>
      </c>
      <c r="B11" s="55" t="inlineStr">
        <is>
          <t>PVT-06</t>
        </is>
      </c>
      <c r="C11" s="55" t="inlineStr">
        <is>
          <t>多维度语义一致性强校验与 TP=8 多卡状态同步验证</t>
        </is>
      </c>
      <c r="D11" s="55" t="inlineStr">
        <is>
          <t>立项前必做 (🔴 P0 核心决胜)</t>
        </is>
      </c>
      <c r="E11" s="55" t="inlineStr">
        <is>
          <t>K0</t>
        </is>
      </c>
      <c r="F11" s="55" t="inlineStr">
        <is>
          <t>IR-01-10、IR-01-11、IR-02-01</t>
        </is>
      </c>
      <c r="G11" s="55" t="inlineStr">
        <is>
          <t>IR-02-05、IR-02-10</t>
        </is>
      </c>
      <c r="H11" s="55" t="inlineStr">
        <is>
          <t>【背景与必要性】验证 6 维语义（模型/词表/模板/LoRA/Ready/Lease）微秒级强校验，杜绝脏读；验证 TP=8 张量并行多卡共享内存状态同步耗时 P99 &lt; 100µs。
【对应验证阶段】E1 核心数据通路打通门。</t>
        </is>
      </c>
      <c r="I11" s="55" t="inlineStr">
        <is>
          <t>8 类语义冲突拦截率 100%，错误消费严格为 0；TP=8 多卡状态同步耗时 P99 &lt; 100µs，杜绝集合通信死锁与部分命中挂死。</t>
        </is>
      </c>
      <c r="J11" s="55" t="inlineStr">
        <is>
          <t>【验证思路】xxHash64 6 维校验 + POSIX /dev/shm 共享内存状态广播 + 协同 Fallback。
【验证方法】运行 rank_consensus_bench 与 test_correctness.py 进行故障注入。</t>
        </is>
      </c>
      <c r="K11" s="55" t="inlineStr">
        <is>
          <t>否（架构核心决胜项）</t>
        </is>
      </c>
      <c r="L11" s="55" t="inlineStr">
        <is>
          <t>协议、判定器、golden cases 与 fault tests 进入 Connector/Directory 正式模块。</t>
        </is>
      </c>
      <c r="M11" s="55" t="inlineStr">
        <is>
          <t>BVG-02、BVG-07</t>
        </is>
      </c>
      <c r="N11" s="55" t="inlineStr">
        <is>
          <t>6人日</t>
        </is>
      </c>
      <c r="O11" s="55" t="inlineStr">
        <is>
          <t>待启动</t>
        </is>
      </c>
    </row>
    <row r="12" ht="21.60000038146973" customHeight="1">
      <c r="A12" s="55" t="n">
        <v>8</v>
      </c>
      <c r="B12" s="55" t="inlineStr">
        <is>
          <t>PVT-07</t>
        </is>
      </c>
      <c r="C12" s="55" t="inlineStr">
        <is>
          <t>前后台混压全链路端到端总门禁与 SemanticQoS 验证</t>
        </is>
      </c>
      <c r="D12" s="55" t="inlineStr">
        <is>
          <t>立项前必做 (🔴 P0 核心决胜)</t>
        </is>
      </c>
      <c r="E12" s="55" t="inlineStr">
        <is>
          <t>K0</t>
        </is>
      </c>
      <c r="F12" s="55" t="inlineStr">
        <is>
          <t>IR-01-04、IR-01-11、IR-02-06</t>
        </is>
      </c>
      <c r="G12" s="55" t="inlineStr">
        <is>
          <t>IR-01-12、IR-02-02、IR-02-07、IR-02-11</t>
        </is>
      </c>
      <c r="H12" s="55" t="inlineStr">
        <is>
          <t>【背景与必要性】在真实 2 节点集群、前台在线推理与后台 400G I/O 满载混压下，串联全流程，实施三重消融对账，确立立项总门禁。
【对应验证阶段】E3 全链路前后台混压总门禁。</t>
        </is>
      </c>
      <c r="I12" s="55" t="inlineStr">
        <is>
          <t>深度重构扩展版相比官方原生 Mooncake，全链路 P99 TTFT 降低 ≥ 20%，QPS 提升 ≥ 10%，后台混压下前台 P99 TPOT 干扰率严格 &lt; 3%。</t>
        </is>
      </c>
      <c r="J12" s="55" t="inlineStr">
        <is>
          <t>【验证思路】2 节点真实集群 + 官方 benchmark_serving.py 在线打流 + 三重消融总门禁。
【验证方法】运行 deploy_cluster.sh 与 run_mixed_bench.py 执行全链路压测。</t>
        </is>
      </c>
      <c r="K12" s="55" t="inlineStr">
        <is>
          <t>否（项目价值总门禁）</t>
        </is>
      </c>
      <c r="L12" s="55" t="inlineStr">
        <is>
          <t>端到端最小闭环成为首个系统串联与回归场景；QoS 分类与接口进入正式系统。</t>
        </is>
      </c>
      <c r="M12" s="55" t="inlineStr">
        <is>
          <t>MFS-B、BVG-03、BVG-05、KTP-11</t>
        </is>
      </c>
      <c r="N12" s="55" t="inlineStr">
        <is>
          <t>8人日</t>
        </is>
      </c>
      <c r="O12" s="55" t="inlineStr">
        <is>
          <t>待启动</t>
        </is>
      </c>
    </row>
    <row r="13" ht="21.60000038146973" customHeight="1">
      <c r="A13" s="55" t="n">
        <v>9</v>
      </c>
      <c r="B13" s="55" t="inlineStr">
        <is>
          <t>PVT-08</t>
        </is>
      </c>
      <c r="C13" s="55" t="inlineStr">
        <is>
          <t>1-to-N 组播式 KV 分发：硬件多播 vs 软件分层中继验证</t>
        </is>
      </c>
      <c r="D13" s="55" t="inlineStr">
        <is>
          <t>立项前必做 (🟢 P2 拓展证伪)</t>
        </is>
      </c>
      <c r="E13" s="55" t="inlineStr">
        <is>
          <t>K1</t>
        </is>
      </c>
      <c r="F13" s="55" t="inlineStr">
        <is>
          <t>IR-01-04、IR-01-10</t>
        </is>
      </c>
      <c r="G13" s="55" t="inlineStr">
        <is>
          <t>IR-01-09</t>
        </is>
      </c>
      <c r="H13" s="55" t="inlineStr">
        <is>
          <t>【背景与必要性】覆盖公共系统提示词广播、Multi-Agent 共享上下文分发、PD 分离 1P-to-ND 分叉三大业务场景，验证软件 Staging 组播相比单播源端带宽节省 ≥ 60%。
【对应验证阶段】E1 拓展分发拓扑验证门。</t>
        </is>
      </c>
      <c r="I13" s="55" t="inlineStr">
        <is>
          <t>在 1-to-8 分发下，软件 Staging 组播相比单播源端带宽节省 ≥ 60%，传输耗时降低 ≥ 40%，且在硬件多播不可用时作为高可用主力路径。</t>
        </is>
      </c>
      <c r="J13" s="55" t="inlineStr">
        <is>
          <t>【验证思路】三大场景流量编排 + 单播 vs 软件 Staging 树状分发 vs 硬件多播对比。
【验证方法】运行 multicast_fanout_bench.cc 测量不同节点规模下的分发时延与带宽。</t>
        </is>
      </c>
      <c r="K13" s="55" t="inlineStr">
        <is>
          <t>否 (原 CVT-01 升级为必做项)</t>
        </is>
      </c>
      <c r="L13" s="55" t="inlineStr">
        <is>
          <t>软件 Staging 拓扑管理与树状分发算法进入 Transfer Manager 组播子模块。</t>
        </is>
      </c>
      <c r="M13" s="55" t="inlineStr">
        <is>
          <t>KTP-14</t>
        </is>
      </c>
      <c r="N13" s="55" t="inlineStr">
        <is>
          <t>4人日</t>
        </is>
      </c>
      <c r="O13" s="55" t="inlineStr">
        <is>
          <t>待启动</t>
        </is>
      </c>
    </row>
    <row r="14" ht="32.40000152587891" customHeight="1">
      <c r="A14" s="55" t="n">
        <v>10</v>
      </c>
      <c r="B14" s="55" t="inlineStr">
        <is>
          <t>PVT-09</t>
        </is>
      </c>
      <c r="C14" s="55" t="inlineStr">
        <is>
          <t>DPU 硬件安全与算力卸载加速 vs Raw Direct 双轨验证</t>
        </is>
      </c>
      <c r="D14" s="55" t="inlineStr">
        <is>
          <t>立项前必做 (🟡 P1 底座支撑)</t>
        </is>
      </c>
      <c r="E14" s="55" t="inlineStr">
        <is>
          <t>K1</t>
        </is>
      </c>
      <c r="F14" s="55" t="inlineStr">
        <is>
          <t>IR-01-08、IR-01-09</t>
        </is>
      </c>
      <c r="G14" s="55" t="inlineStr">
        <is>
          <t>IR-01-12</t>
        </is>
      </c>
      <c r="H14" s="55" t="inlineStr">
        <is>
          <t>【背景与必要性】确立公有云可信 VPC 下 Raw Direct 纯软主路径与企业级专线下 DPU 硬件线速 AES/CRC 卸载的双轨体系；验证 500µs 无缝降级；提前布局 Fly-in-line 在途处理。
【对应验证阶段】E1 底座支撑与双轨验证门。</t>
        </is>
      </c>
      <c r="I14" s="55" t="inlineStr">
        <is>
          <t>DPU 硬件线速完成 AES-256/CRC64 卸载（CPU 占用降 ≥ 30%）；注入 DPU 故障时系统在 &lt; 500µs 内无缝降级至 Raw Direct 裸机直达路径，业务不中断。</t>
        </is>
      </c>
      <c r="J14" s="55" t="inlineStr">
        <is>
          <t>【验证思路】Raw Direct 基线 + DPU 硬件加速 A/B 测试 + 500µs 降级演练 + Fly-in-line 架构布局。
【验证方法】运行 offload_fallback_bench 与 inject_dpu_fault.py 演练双轨切换。</t>
        </is>
      </c>
      <c r="K14" s="55" t="inlineStr">
        <is>
          <t>否 (原 CVT-03 升级为必做项)</t>
        </is>
      </c>
      <c r="L14" s="55" t="inlineStr">
        <is>
          <t>双轨切换引擎与安全卸载插件进入 Backend Provider 模块。</t>
        </is>
      </c>
      <c r="M14" s="55" t="inlineStr">
        <is>
          <t>KTP-13、KTP-16</t>
        </is>
      </c>
      <c r="N14" s="55" t="inlineStr">
        <is>
          <t>5人日</t>
        </is>
      </c>
      <c r="O14" s="55" t="inlineStr">
        <is>
          <t>待启动</t>
        </is>
      </c>
    </row>
    <row r="15" ht="21.60000038146973" customHeight="1">
      <c r="A15" s="55" t="n">
        <v>11</v>
      </c>
      <c r="B15" s="55" t="inlineStr">
        <is>
          <t>CVT-01</t>
        </is>
      </c>
      <c r="C15" s="55" t="inlineStr">
        <is>
          <t>PageMigration 软件 RCU 机制 vs 硬件 AtomicRemap 必要性证伪</t>
        </is>
      </c>
      <c r="D15" s="55" t="inlineStr">
        <is>
          <t>条件/证伪 (🟢 P2 拓展证伪)</t>
        </is>
      </c>
      <c r="E15" s="55" t="inlineStr">
        <is>
          <t>K1</t>
        </is>
      </c>
      <c r="F15" s="55" t="inlineStr">
        <is>
          <t>IR-01-01、IR-01-11</t>
        </is>
      </c>
      <c r="G15" s="55" t="inlineStr">
        <is>
          <t>IR-01-12</t>
        </is>
      </c>
      <c r="H15" s="55" t="inlineStr">
        <is>
          <t>【背景与必要性】验证在显存整理与页迁移时，软件 RCU + Copy-on-Migrate 是否已能满足 Pause &lt; 1ms 要求，证明无需强依赖专有硬件 AtomicRemap 芯片。
【对应验证阶段】条件证伪门。</t>
        </is>
      </c>
      <c r="I15" s="55" t="inlineStr">
        <is>
          <t>在 32 并发 Reader 下，软件 RCU 读停顿时间 P99 &lt; 1ms，TPOT 抖动率 &lt; 3%，免除对专有硬件 AtomicRemap 芯片的强依赖。</t>
        </is>
      </c>
      <c r="J15" s="55" t="inlineStr">
        <is>
          <t>【验证思路】并发读写压测 + Pause 抖动抓取 + 软硬件收益对比证伪。
【验证方法】运行 rcu_migration_bench.cc 测量高并发 Reader 下的迁移停顿与 Jitter。</t>
        </is>
      </c>
      <c r="K15" s="55" t="inlineStr">
        <is>
          <t>是 (原 CVT-02 重新编号为 CVT-01)</t>
        </is>
      </c>
      <c r="L15" s="55" t="inlineStr">
        <is>
          <t>软件 RCU 原型作为显存整理与动态页迁移的正式核心机制保留。</t>
        </is>
      </c>
      <c r="M15" s="55" t="inlineStr">
        <is>
          <t>KTP-15</t>
        </is>
      </c>
      <c r="N15" s="55" t="inlineStr">
        <is>
          <t>3人日</t>
        </is>
      </c>
      <c r="O15" s="55" t="inlineStr">
        <is>
          <t>待启动</t>
        </is>
      </c>
    </row>
    <row r="16"/>
    <row r="17"/>
    <row r="18"/>
    <row r="19"/>
  </sheetData>
  <mergeCells count="2">
    <mergeCell ref="A2:N2"/>
    <mergeCell ref="A1:N1"/>
  </mergeCells>
  <conditionalFormatting sqref="D5:D15">
    <cfRule type="containsText" priority="1" operator="containsText" dxfId="0" text="立项前必做"/>
    <cfRule type="containsText" priority="2" operator="containsText" dxfId="1" text="条件/证伪"/>
  </conditionalFormatting>
  <conditionalFormatting sqref="J5:J15">
    <cfRule type="containsText" priority="3" operator="containsText" dxfId="2" text="是"/>
  </conditionalFormatting>
  <dataValidations count="1">
    <dataValidation sqref="N5:N15" showDropDown="0" showInputMessage="0" showErrorMessage="0" allowBlank="0" type="list">
      <formula1>"待启动,进行中,已完成,受阻,不启动"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50" customWidth="1" min="4" max="4"/>
    <col width="38" customWidth="1" min="5" max="5"/>
    <col width="48" customWidth="1" min="6" max="6"/>
    <col width="52" customWidth="1" min="7" max="7"/>
    <col width="35" customWidth="1" min="8" max="8"/>
    <col width="30" customWidth="1" min="9" max="9"/>
    <col width="35" customWidth="1" min="10" max="10"/>
    <col width="48" customWidth="1" min="11" max="11"/>
    <col width="48" customWidth="1" min="12" max="12"/>
    <col width="32" customWidth="1" min="13" max="13"/>
    <col width="18" customWidth="1" min="14" max="14"/>
    <col width="36" customWidth="1" min="15" max="15"/>
    <col width="48" customWidth="1" min="16" max="16"/>
    <col width="15" customWidth="1" min="17" max="17"/>
  </cols>
  <sheetData>
    <row r="1" ht="30" customHeight="1">
      <c r="A1" s="39" t="inlineStr">
        <is>
          <t>统一异构 KVCache 存储池 关键技术提前验证详细设计（Mooncake 高性能原厂扩展版 10 PVT + 1 CVT）</t>
        </is>
      </c>
    </row>
    <row r="2" ht="36" customHeight="1">
      <c r="A2" s="41" t="inlineStr">
        <is>
          <t>每项只实现足以证实或证伪核心假设的最小切片；统一采用公平基线、关键消融、实际路径与 Host CPU 零数据拷贝对账 证据。PVT 关闭 E0–E3，E4/E5 留给后续客户价值与跨代壁垒验证。</t>
        </is>
      </c>
    </row>
    <row r="4" ht="40" customHeight="1">
      <c r="A4" s="49" t="inlineStr">
        <is>
          <t>验证ID</t>
        </is>
      </c>
      <c r="B4" s="49" t="inlineStr">
        <is>
          <t>核心假设与背景诉求（竞争力关联）</t>
        </is>
      </c>
      <c r="C4" s="49" t="inlineStr">
        <is>
          <t>最小原型范围 / 测试验证范围</t>
        </is>
      </c>
      <c r="D4" s="50" t="inlineStr">
        <is>
          <t>主要验证思路与验证方法</t>
        </is>
      </c>
      <c r="E4" s="49" t="inlineStr">
        <is>
          <t>实验矩阵</t>
        </is>
      </c>
      <c r="F4" s="49" t="inlineStr">
        <is>
          <t>对照基线</t>
        </is>
      </c>
      <c r="G4" s="49" t="inlineStr">
        <is>
          <t>关键指标</t>
        </is>
      </c>
      <c r="H4" s="49" t="inlineStr">
        <is>
          <t>Go门槛</t>
        </is>
      </c>
      <c r="I4" s="49" t="inlineStr">
        <is>
          <t>Conditional门槛</t>
        </is>
      </c>
      <c r="J4" s="49" t="inlineStr">
        <is>
          <t>No-Go门槛</t>
        </is>
      </c>
      <c r="K4" s="49" t="inlineStr">
        <is>
          <t>明确不做</t>
        </is>
      </c>
      <c r="L4" s="49" t="inlineStr">
        <is>
          <t>必须交付证据（交付成果）</t>
        </is>
      </c>
      <c r="M4" s="49" t="inlineStr">
        <is>
          <t>原型延续资产</t>
        </is>
      </c>
      <c r="N4" s="49" t="inlineStr">
        <is>
          <t>证伪标记</t>
        </is>
      </c>
      <c r="O4" s="49" t="inlineStr">
        <is>
          <t>周期</t>
        </is>
      </c>
      <c r="P4" s="49" t="inlineStr">
        <is>
          <t>关键IR</t>
        </is>
      </c>
      <c r="Q4" s="49" t="inlineStr">
        <is>
          <t>关键SRS/SR锚点</t>
        </is>
      </c>
      <c r="R4" s="49" t="inlineStr">
        <is>
          <t>结论</t>
        </is>
      </c>
    </row>
    <row r="5" ht="54" customHeight="1">
      <c r="A5" s="55" t="inlineStr">
        <is>
          <t>PVT-00</t>
        </is>
      </c>
      <c r="B5" s="55" t="inlineStr">
        <is>
          <t>【背景与必要性】Saved-Prefill 是 KVCache 存储池收益的核心前提。必须以真实业务与受控负载，实测覆盖 MLA (512B) 与 MHA (320KB) 在各复用率下的加速上限。
【对应验证阶段】E0 业务收益确认门。</t>
        </is>
      </c>
      <c r="C5" s="55" t="inlineStr">
        <is>
          <t>1 源节点，1 目的节点；涵盖 Qwen2.5-72B (MHA 320KB/tok) 与 DeepSeek-V3 (MLA 512B/tok)；复用率 30%, 50%, 70%, 90%, 98%；前缀长度 8K~128K。</t>
        </is>
      </c>
      <c r="D5" s="55" t="inlineStr">
        <is>
          <t>【验证思路】真实/合成前缀构造 + URMA/UBMEM 对比 + 多模型矩阵消融。
【验证方法】运行 make_workload.py 与 benchmark_serving.py 发起在线打流，采集各阶段微秒耗时。</t>
        </is>
      </c>
      <c r="E5" s="55" t="inlineStr">
        <is>
          <t>2 节点直连；2 档模型 (MLA/MHA)；5 档复用率；4 档并发 (1/4/16/32)。</t>
        </is>
      </c>
      <c r="F5" s="55" t="inlineStr">
        <is>
          <t>本地纯重算 baseline、官方原生 Mooncake (URMA)、深度重构扩展版 (UBMEM 零拷贝)。</t>
        </is>
      </c>
      <c r="G5" s="55" t="inlineStr">
        <is>
          <t>TTFT P50/P99、Prefill 耗时、目录查询延时、传输耗时、挂接耗时、Saved-Prefill 净收益。</t>
        </is>
      </c>
      <c r="H5" s="55" t="inlineStr">
        <is>
          <t>在 50% 复用率下，Saved-Prefill 净收益 ≥ 2.0× 总开销，UBMEM 加速比 ≥ 1.30×，错误消费 = 0。</t>
        </is>
      </c>
      <c r="I5" s="55" t="inlineStr">
        <is>
          <t>若净收益显著，正式立项；若仅超长文本有效，设定场景白名单准入。</t>
        </is>
      </c>
      <c r="J5" s="55" t="inlineStr">
        <is>
          <t>所有复用率下加载开销均大于本地直接重算耗时（净收益为负）。</t>
        </is>
      </c>
      <c r="K5" s="52" t="n"/>
      <c r="L5" s="52" t="n"/>
      <c r="M5" s="52" t="n"/>
      <c r="N5" s="51" t="n"/>
      <c r="O5" s="51" t="n"/>
      <c r="P5" s="51" t="n"/>
      <c r="Q5" s="52" t="n"/>
      <c r="R5" s="51" t="n"/>
    </row>
    <row r="6" ht="43.20000076293945" customHeight="1">
      <c r="A6" s="55" t="inlineStr">
        <is>
          <t>PVT-01</t>
        </is>
      </c>
      <c r="B6" s="55" t="inlineStr">
        <is>
          <t>【背景与必要性】必须确立 Host CPU 仅负责下发控制指令、不参与正文 Payload 搬运（Host Payload Touch Bytes 严格为 0）的物理底座。
【对应验证阶段】E1 核心数据通路打通门。</t>
        </is>
      </c>
      <c r="C6" s="55" t="inlineStr">
        <is>
          <t>2 节点 800G URMA/RDMA 直连；4× NVMe Gen5 SSD 阵列；涵盖 CANN P2P Pinning 显存直达与 CPU memcpy 对照。</t>
        </is>
      </c>
      <c r="D6" s="55" t="inlineStr">
        <is>
          <t>【验证思路】P2P 显存锁定 + URMA DMA + eBPF 监控零拷贝。
【验证方法】运行 raw_trans_bench 与 host_touch_monitor.py 抓取底层传输链路带宽与 CPU 触碰。</t>
        </is>
      </c>
      <c r="E6" s="55" t="inlineStr">
        <is>
          <t>4KB~64MB 块大小；单双向读写；并发度 1~32；开启/关闭 eBPF 监控。</t>
        </is>
      </c>
      <c r="F6" s="55" t="inlineStr">
        <is>
          <t>Host CPU memcpy 中转、原生 URMA DMA、UBMEM 显存直通共享、io_uring Direct I/O。</t>
        </is>
      </c>
      <c r="G6" s="55" t="inlineStr">
        <is>
          <t>传输带宽 Gbps、P99 时延 µs、Host CPU 利用率、Host Payload Touch Bytes（eBPF 探针）。</t>
        </is>
      </c>
      <c r="H6" s="55" t="inlineStr">
        <is>
          <t>Host CPU Payload Touch Bytes 严格为 0，800G 网络带宽利用率 ≥ 90%，自动导出 capability_matrix.json。</t>
        </is>
      </c>
      <c r="I6" s="55" t="inlineStr">
        <is>
          <t>零拷贝底座成立，输出硬件能力矩阵进入正式调度大脑。</t>
        </is>
      </c>
      <c r="J6" s="55" t="inlineStr">
        <is>
          <t>Host CPU 无法摆脱数据搬运，或总线争用引发严重时延恶化。</t>
        </is>
      </c>
      <c r="K6" s="52" t="n"/>
      <c r="L6" s="52" t="n"/>
      <c r="M6" s="52" t="n"/>
      <c r="N6" s="51" t="n"/>
      <c r="O6" s="51" t="n"/>
      <c r="P6" s="51" t="n"/>
      <c r="Q6" s="52" t="n"/>
      <c r="R6" s="51" t="n"/>
    </row>
    <row r="7" ht="43.20000076293945" customHeight="1">
      <c r="A7" s="55" t="inlineStr">
        <is>
          <t>PVT-02</t>
        </is>
      </c>
      <c r="B7" s="55" t="inlineStr">
        <is>
          <t>【背景与必要性】对标 vLLM-Ascend 原生 Python-ZMQ 连接器，验证 64B POD C++ 描述符批量编译与跨节点 Layerwise 边算边传异步 DAG 重叠流水。
【对应验证阶段】E1 核心数据通路打通门。</t>
        </is>
      </c>
      <c r="C7" s="55" t="inlineStr">
        <is>
          <t>2 节点分布式环境；16~64 层大模型；显存离散碎片率 10%~100%；Chunked Prefill 切块粒度 512~4096 tokens。</t>
        </is>
      </c>
      <c r="D7" s="55" t="inlineStr">
        <is>
          <t>【验证思路】64B POD 描述符贪心合并 + NPU/DMA 双 Stream 异步重叠。
【验证方法】运行 async_dag_bench 模拟大模型逐层边算边传，抓取重叠率与提交开销。</t>
        </is>
      </c>
      <c r="E7" s="55" t="inlineStr">
        <is>
          <t>3 档离散碎片率 (10%/50%/100%)；3 档 Chunk 尺寸；Compute Stream 与 Transfer Stream 异步编排。</t>
        </is>
      </c>
      <c r="F7" s="55" t="inlineStr">
        <is>
          <t>vLLM-Ascend 原生 Python-ZMQ 序列化、C++ 连续块合并描述符、逐层流水重叠版。</t>
        </is>
      </c>
      <c r="G7" s="55" t="inlineStr">
        <is>
          <t>描述符编译耗时 µs、压缩率 %、计算耗时、传输耗时、流水总耗时、Overlap Ratio %、CPU 提交开销。</t>
        </is>
      </c>
      <c r="H7" s="55" t="inlineStr">
        <is>
          <t>描述符合并压缩率 ≥ 50%，单次编译耗时 &lt; 5µs，流水重叠率 ≥ 60%，CPU 提交开销降低 ≥ 40%。</t>
        </is>
      </c>
      <c r="I7" s="55" t="inlineStr">
        <is>
          <t>描述符编译器与异步流水机制正式并入 Transfer Manager 核心代码仓。</t>
        </is>
      </c>
      <c r="J7" s="55" t="inlineStr">
        <is>
          <t>描述符编译开销超过传输收益，或异步流水导致 NPU 计算严重空转。</t>
        </is>
      </c>
      <c r="K7" s="52" t="n"/>
      <c r="L7" s="52" t="n"/>
      <c r="M7" s="52" t="n"/>
      <c r="N7" s="51" t="n"/>
      <c r="O7" s="51" t="n"/>
      <c r="P7" s="51" t="n"/>
      <c r="Q7" s="52" t="n"/>
      <c r="R7" s="51" t="n"/>
    </row>
    <row r="8" ht="32.40000152587891" customHeight="1">
      <c r="A8" s="55" t="inlineStr">
        <is>
          <t>PVT-03</t>
        </is>
      </c>
      <c r="B8" s="55" t="inlineStr">
        <is>
          <t>【背景与必要性】测定 Direct-View 与 Copy-to-HBM 的 Crossover 交叉临界点，实测证伪 Decode 阶段活跃 KV 直读，验证 ViewGuard SIGBUS 容错回滚。
【对应验证阶段】E1/E2 路径与决策边界门。</t>
        </is>
      </c>
      <c r="C8" s="55" t="inlineStr">
        <is>
          <t>跨节点共享内存池；重读次数 1~10 次；注入远端节点宕机/网络闪断/租约超时故障。</t>
        </is>
      </c>
      <c r="D8" s="55" t="inlineStr">
        <is>
          <t>【验证思路】微基准 Crossover 测定 + 真实服务注入证伪 + ViewGuard 故障演练。
【验证方法】运行 view_vs_copy_bench 与 benchmark_serving_view.py 验证决策边界。</t>
        </is>
      </c>
      <c r="E8" s="55" t="inlineStr">
        <is>
          <t>重读次数 1~10；只读 vs 活跃读写；远端异常崩溃注入。</t>
        </is>
      </c>
      <c r="F8" s="55" t="inlineStr">
        <is>
          <t>本地 Copy-to-HBM、跨节点 Direct-View、ViewGuard 保护模式。</t>
        </is>
      </c>
      <c r="G8" s="55" t="inlineStr">
        <is>
          <t>单次访问耗时、累计耗时、TPOT Jitter、SIGBUS 捕获率、回滚本地重算耗时 ms。</t>
        </is>
      </c>
      <c r="H8" s="55" t="inlineStr">
        <is>
          <t>确立重读次数 &gt; 2 时必须 Copy-to-HBM；证实 Decode 活跃 KV 直读不可行；ViewGuard 实现 100% 捕获 SIGBUS 并安全回滚。</t>
        </is>
      </c>
      <c r="I8" s="55" t="inlineStr">
        <is>
          <t>冻结 Direct-View 仅用于冷只读，ViewGuard 机制进入正式运行时。</t>
        </is>
      </c>
      <c r="J8" s="55" t="inlineStr">
        <is>
          <t>Direct-View 无法安全捕获故障导致推理进程崩溃，或边界判定失真。</t>
        </is>
      </c>
      <c r="K8" s="52" t="n"/>
      <c r="L8" s="52" t="n"/>
      <c r="M8" s="52" t="n"/>
      <c r="N8" s="51" t="n"/>
      <c r="O8" s="51" t="n"/>
      <c r="P8" s="51" t="n"/>
      <c r="Q8" s="52" t="n"/>
      <c r="R8" s="51" t="n"/>
    </row>
    <row r="9" ht="32.40000152587891" customHeight="1">
      <c r="A9" s="55" t="inlineStr">
        <is>
          <t>PVT-04</t>
        </is>
      </c>
      <c r="B9" s="55" t="inlineStr">
        <is>
          <t>【背景与必要性】构建微秒调度大脑，在微秒级时间内根据链路状态、算力与上下文长度选择最优加载或重算路径，覆盖 MLA (512B) 与 MHA。
【对应验证阶段】E2 动态调度决策门。</t>
        </is>
      </c>
      <c r="C9" s="55" t="inlineStr">
        <is>
          <t>100K QPS 决策吞吐；涵盖 MLA 与 MHA；网络拥塞、链路降级、远端负载波动故障注入。</t>
        </is>
      </c>
      <c r="D9" s="55" t="inlineStr">
        <is>
          <t>【验证思路】5 维成本量化模型 + 微秒级剪枝 + 反事实决策对账。
【验证方法】运行 query_plan_bench 在 100K QPS 吞吐下压测决策引擎。</t>
        </is>
      </c>
      <c r="E9" s="55" t="inlineStr">
        <is>
          <t>100K 决策样本；3 档模型架构；正常/拥塞/故障 3 档链路状态。</t>
        </is>
      </c>
      <c r="F9" s="55" t="inlineStr">
        <is>
          <t>静态规则选路、全路径遍历评估、QueryPlanFastPath 微秒剪枝决策。</t>
        </is>
      </c>
      <c r="G9" s="55" t="inlineStr">
        <is>
          <t>单次决策耗时 P50/P99 µs、决策吞吐 QPS、决策准确率 %、负收益加载拦截率 %、错误选路率 %。</t>
        </is>
      </c>
      <c r="H9" s="55" t="inlineStr">
        <is>
          <t>决策耗时 P99 &lt; 5µs，决策准确率 ≥ 90%，负收益加载拦截率 100%，错误决策率 &lt; 1%。</t>
        </is>
      </c>
      <c r="I9" s="55" t="inlineStr">
        <is>
          <t>决策引擎与成本模型进入正式 PolicyEngine/PlacementResolver 模块。</t>
        </is>
      </c>
      <c r="J9" s="55" t="inlineStr">
        <is>
          <t>决策耗时超过 20µs 成为系统瓶颈，或决策准确率 &lt; 80% 导致频繁负收益加载。</t>
        </is>
      </c>
      <c r="K9" s="52" t="n"/>
      <c r="L9" s="52" t="n"/>
      <c r="M9" s="52" t="n"/>
      <c r="N9" s="51" t="n"/>
      <c r="O9" s="51" t="n"/>
      <c r="P9" s="51" t="n"/>
      <c r="Q9" s="52" t="n"/>
      <c r="R9" s="51" t="n"/>
    </row>
    <row r="10" ht="54" customHeight="1">
      <c r="A10" s="55" t="inlineStr">
        <is>
          <t>PVT-05</t>
        </is>
      </c>
      <c r="B10" s="55" t="inlineStr">
        <is>
          <t>【背景与必要性】对标 Mooncake 原生文件级 SSD Offload，验证 Linux 6.6+ io_uring FIXED I/O 裸盘直达容量主路径，在显存超载下实现安全扩容。
【对应验证阶段】E2 分层扩容与容量门。</t>
        </is>
      </c>
      <c r="C10" s="55" t="inlineStr">
        <is>
          <t>4× NVMe Gen5 SSD 裸盘；100%~200% HBM 显存超载；64 并发请求；4KB 对齐扇区管理。</t>
        </is>
      </c>
      <c r="D10" s="55" t="inlineStr">
        <is>
          <t>【验证思路】裸盘 4KB 对齐管理 + io_uring Direct I/O + 水位线驱动异步沉淀。
【验证方法】运行 tier_storage_bench 与 benchmark_tiering.py 进行超载压测。</t>
        </is>
      </c>
      <c r="E10" s="55" t="inlineStr">
        <is>
          <t>100%, 150%, 200% 显存超载；文件系统 offload vs io_uring 裸盘直达；高低水位线 (85%/65%) 触发。</t>
        </is>
      </c>
      <c r="F10" s="55" t="inlineStr">
        <is>
          <t>纯 HBM 基线、Host DDR Staging 中转、Mooncake 原生 SSD 文件 Offload、io_uring FIXED 裸盘直达。</t>
        </is>
      </c>
      <c r="G10" s="55" t="inlineStr">
        <is>
          <t>服务 Token 总量、OOM 发生次数、请求驱逐率、SSD 读写吞吐 GB/s、Host DDR 触碰字节。</t>
        </is>
      </c>
      <c r="H10" s="55" t="inlineStr">
        <is>
          <t>在 150% 显存超载下，可服务容量提升 ≥ 30%，OOM 降低 ≥ 50%，SSD 吞吐达线速 ≥ 80%，全程 Bypass DDR。</t>
        </is>
      </c>
      <c r="I10" s="55" t="inlineStr">
        <is>
          <t>裸盘直达容量主路径成立，TierBlockAllocator 进入正式分层存储管理模块。</t>
        </is>
      </c>
      <c r="J10" s="55" t="inlineStr">
        <is>
          <t>SSD 换入换出引发前台严重抖动，或无法绕过 Host DDR。</t>
        </is>
      </c>
      <c r="K10" s="52" t="n"/>
      <c r="L10" s="52" t="n"/>
      <c r="M10" s="52" t="n"/>
      <c r="N10" s="51" t="n"/>
      <c r="O10" s="51" t="n"/>
      <c r="P10" s="51" t="n"/>
      <c r="Q10" s="52" t="n"/>
      <c r="R10" s="51" t="n"/>
    </row>
    <row r="11" ht="43.20000076293945" customHeight="1">
      <c r="A11" s="55" t="inlineStr">
        <is>
          <t>PVT-06</t>
        </is>
      </c>
      <c r="B11" s="55" t="inlineStr">
        <is>
          <t>【背景与必要性】验证 6 维语义（模型/词表/模板/LoRA/Ready/Lease）微秒级强校验，杜绝脏读；验证 TP=8 张量并行多卡共享内存状态同步耗时 P99 &lt; 100µs。
【对应验证阶段】E1 核心数据通路打通门。</t>
        </is>
      </c>
      <c r="C11" s="55" t="inlineStr">
        <is>
          <t>TP=8 多卡物理节点；注入 8 类语义冲突（模型不匹配/Tokenizer冲突/模板漂移/LoRA失效/半写脏块/租约过期等）；部分命中前缀拼接。</t>
        </is>
      </c>
      <c r="D11" s="55" t="inlineStr">
        <is>
          <t>【验证思路】xxHash64 6 维校验 + POSIX /dev/shm 共享内存状态广播 + 协同 Fallback。
【验证方法】运行 rank_consensus_bench 与 test_correctness.py 进行故障注入。</t>
        </is>
      </c>
      <c r="E11" s="55" t="inlineStr">
        <is>
          <t>8 类语义冲突用例；TP=8 多卡并行；部分命中 (20%~80%) 拼接。</t>
        </is>
      </c>
      <c r="F11" s="55" t="inlineStr">
        <is>
          <t>无校验直读、部分校验、6 维语义全量强校验 + POSIX 共享内存多卡同步。</t>
        </is>
      </c>
      <c r="G11" s="55" t="inlineStr">
        <is>
          <t>冲突拦截率 %、错误消费次数、6 维校验耗时 µs、TP=8 多卡同步耗时 P99 µs、输出 Token 正确率 %。</t>
        </is>
      </c>
      <c r="H11" s="55" t="inlineStr">
        <is>
          <t>8 类语义冲突拦截率 100%，错误消费严格为 0；TP=8 多卡状态同步耗时 P99 &lt; 100µs，杜绝死锁。</t>
        </is>
      </c>
      <c r="I11" s="55" t="inlineStr">
        <is>
          <t>校验引擎与多卡共识协议进入正式 Connector 与 Directory 核心模块。</t>
        </is>
      </c>
      <c r="J11" s="55" t="inlineStr">
        <is>
          <t>出现脏读或未就绪数据消费，或多卡状态同步耗时超过 500µs 导致通信死锁。</t>
        </is>
      </c>
      <c r="K11" s="52" t="n"/>
      <c r="L11" s="52" t="n"/>
      <c r="M11" s="52" t="n"/>
      <c r="N11" s="51" t="n"/>
      <c r="O11" s="51" t="n"/>
      <c r="P11" s="51" t="n"/>
      <c r="Q11" s="52" t="n"/>
      <c r="R11" s="51" t="n"/>
    </row>
    <row r="12" ht="32.40000152587891" customHeight="1">
      <c r="A12" s="55" t="inlineStr">
        <is>
          <t>PVT-07</t>
        </is>
      </c>
      <c r="B12" s="55" t="inlineStr">
        <is>
          <t>【背景与必要性】在真实 2 节点集群、前台在线推理与后台 400G I/O 满载混压下，串联全流程，实施三重消融对账，确立立项总门禁。
【对应验证阶段】E3 全链路前后台混压总门禁。</t>
        </is>
      </c>
      <c r="C12" s="55" t="inlineStr">
        <is>
          <t>2 节点集群（Node-0 Prefill, Node-1 Decode）；800G 网络直连；前台 32 并发在线打流 + 后台 400G 满载 I/O 混压。</t>
        </is>
      </c>
      <c r="D12" s="55" t="inlineStr">
        <is>
          <t>【验证思路】2 节点真实集群 + 官方 benchmark_serving.py 在线打流 + 三重消融总门禁。
【验证方法】运行 deploy_cluster.sh 与 run_mixed_bench.py 执行全链路压测。</t>
        </is>
      </c>
      <c r="E12" s="55" t="inlineStr">
        <is>
          <t>纯前台在线基线、原生 Mooncake+Ascend 混压基线、深度重构扩展版 (SemanticQoS 优先级队列与自适应退避)。</t>
        </is>
      </c>
      <c r="F12" s="55" t="inlineStr">
        <is>
          <t>原生推理基线、官方原生 Mooncake 混压、Unified KV 深度重构扩展版混压。</t>
        </is>
      </c>
      <c r="G12" s="55" t="inlineStr">
        <is>
          <t>全链路 TTFT P50/P99 ms、TPOT P50/P99 ms、TPOT Jitter 干扰率 %、系统 QPS、NPU 算力利用率。</t>
        </is>
      </c>
      <c r="H12" s="55" t="inlineStr">
        <is>
          <t>深度重构扩展版相比原生 Mooncake，全链路 P99 TTFT 降低 ≥ 20%，QPS 提升 ≥ 10%，前台 P99 TPOT 干扰率严格 &lt; 3%。</t>
        </is>
      </c>
      <c r="I12" s="55" t="inlineStr">
        <is>
          <t>全量达标则签署立项准入，端到端最小闭环作为生产回归基准。</t>
        </is>
      </c>
      <c r="J12" s="55" t="inlineStr">
        <is>
          <t>前台 TPOT 干扰率 ≥ 10%，或 TTFT 相比原生 Mooncake 无显著收益，项目否决关闭。</t>
        </is>
      </c>
      <c r="K12" s="52" t="n"/>
      <c r="L12" s="52" t="n"/>
      <c r="M12" s="52" t="n"/>
      <c r="N12" s="51" t="n"/>
      <c r="O12" s="51" t="n"/>
      <c r="P12" s="51" t="n"/>
      <c r="Q12" s="52" t="n"/>
      <c r="R12" s="51" t="n"/>
    </row>
    <row r="13" ht="21.60000038146973" customHeight="1">
      <c r="A13" s="55" t="inlineStr">
        <is>
          <t>PVT-08</t>
        </is>
      </c>
      <c r="B13" s="55" t="inlineStr">
        <is>
          <t>【背景与必要性】覆盖公共系统提示词广播、Multi-Agent 共享上下文分发、PD 分离 1P-to-ND 分叉三大业务场景，验证软件 Staging 组播相比单播源端带宽节省 ≥ 60%。
【对应验证阶段】E1 拓展分发拓扑验证门。</t>
        </is>
      </c>
      <c r="C13" s="55" t="inlineStr">
        <is>
          <t>1 个源 Prefill 节点，2/4/8 个目的 Decode 节点；热点 Prefix 16MB~128MB；单播 vs 软件 Staging 树状组播 vs 硬件多播对比。</t>
        </is>
      </c>
      <c r="D13" s="55" t="inlineStr">
        <is>
          <t>【验证思路】三大场景流量编排 + 单播 vs 软件 Staging 树状分发 vs 硬件多播对比。
【验证方法】运行 multicast_fanout_bench.cc 测量不同节点规模下的分发时延与带宽。</t>
        </is>
      </c>
      <c r="E13" s="55" t="inlineStr">
        <is>
          <t>2, 4, 8 目的节点；2 档 Prefix 大小 (16MB/64MB)；正常与慢节点/单点故障注入。</t>
        </is>
      </c>
      <c r="F13" s="55" t="inlineStr">
        <is>
          <t>N 次独立单播拉取、软件 Staging 树状中继组播、硬件网络多播（若环境支持）。</t>
        </is>
      </c>
      <c r="G13" s="55" t="inlineStr">
        <is>
          <t>源端 Egress 流量与带宽占用、各 Consumer 接收完成时间 P99、慢节点拖尾影响、源端 CPU 开销。</t>
        </is>
      </c>
      <c r="H13" s="55" t="inlineStr">
        <is>
          <t>在 1-to-8 分发下，软件 Staging 组播相比单播源端带宽节省 ≥ 60%，传输耗时降低 ≥ 40%，且在硬件多播不可用时作为主力路径。</t>
        </is>
      </c>
      <c r="I13" s="55" t="inlineStr">
        <is>
          <t>软件 Staging 组播机制正式并入 Transfer Manager 组播子模块，主路径不强依赖硬件多播。</t>
        </is>
      </c>
      <c r="J13" s="55" t="inlineStr">
        <is>
          <t>软件组播协议开销过大导致尾延迟显著恶化，或带宽节省 &lt; 30%。</t>
        </is>
      </c>
      <c r="K13" s="52" t="n"/>
      <c r="L13" s="52" t="n"/>
      <c r="M13" s="52" t="n"/>
      <c r="N13" s="51" t="n"/>
      <c r="O13" s="51" t="n"/>
      <c r="P13" s="51" t="n"/>
      <c r="Q13" s="52" t="n"/>
      <c r="R13" s="51" t="n"/>
    </row>
    <row r="14" ht="21.60000038146973" customHeight="1">
      <c r="A14" s="55" t="inlineStr">
        <is>
          <t>PVT-09</t>
        </is>
      </c>
      <c r="B14" s="55" t="inlineStr">
        <is>
          <t>【背景与必要性】确立公有云可信 VPC 下 Raw Direct 纯软主路径与企业级专线下 DPU 硬件线速 AES/CRC 卸载的双轨体系；验证 500µs 无缝降级；提前布局 Fly-in-line 在途处理。
【对应验证阶段】E1 底座支撑与双轨验证门。</t>
        </is>
      </c>
      <c r="C14" s="55" t="inlineStr">
        <is>
          <t>配置企业级 800G DPU 智能网卡；开启硬件 AES-256-GCM / SM4 加密与 CRC64 校验；注入 DPU 驱动挂死与控制超时故障。</t>
        </is>
      </c>
      <c r="D14" s="55" t="inlineStr">
        <is>
          <t>【验证思路】Raw Direct 基线 + DPU 硬件加速 A/B 测试 + 500µs 降级演练 + Fly-in-line 架构布局。
【验证方法】运行 offload_fallback_bench 与 inject_dpu_fault.py 演练双轨切换。</t>
        </is>
      </c>
      <c r="E14" s="55" t="inlineStr">
        <is>
          <t>2 档对象大小 (1MB/16MB)；3 档并发；DPU 硬件加速 vs Raw Direct 纯软直达；DPU 超时故障注入。</t>
        </is>
      </c>
      <c r="F14" s="55" t="inlineStr">
        <is>
          <t>Raw Direct 裸机直达路径、DPU 硬件线速安全卸载路径、Host CPU 软算（负面对照）。</t>
        </is>
      </c>
      <c r="G14" s="55" t="inlineStr">
        <is>
          <t>Host CPU 占用率、传输吞吐 Gbps、端到端时延、DPU 故障检测耗时、无缝降级耗时 µs、数据完整性校验正确率。</t>
        </is>
      </c>
      <c r="H14" s="55" t="inlineStr">
        <is>
          <t>DPU 硬件线速完成安全卸载（CPU 占用降低 ≥ 30%）；故障时在 &lt; 500µs 内无缝降级至 Raw Direct 裸机直达路径，业务不中断。</t>
        </is>
      </c>
      <c r="I14" s="55" t="inlineStr">
        <is>
          <t>双轨切换机制并入正式 Backend Provider，主路径保持 0 DPU 强依赖可运行。</t>
        </is>
      </c>
      <c r="J14" s="55" t="inlineStr">
        <is>
          <t>DPU 卸载引入额外时延恶化，或发生故障时无法安全回退导致请求失败。</t>
        </is>
      </c>
      <c r="K14" s="52" t="n"/>
      <c r="L14" s="52" t="n"/>
      <c r="M14" s="52" t="n"/>
      <c r="N14" s="51" t="n"/>
      <c r="O14" s="51" t="n"/>
      <c r="P14" s="51" t="n"/>
      <c r="Q14" s="52" t="n"/>
      <c r="R14" s="51" t="n"/>
    </row>
    <row r="15" ht="32.40000152587891" customHeight="1">
      <c r="A15" s="55" t="inlineStr">
        <is>
          <t>CVT-01</t>
        </is>
      </c>
      <c r="B15" s="55" t="inlineStr">
        <is>
          <t>【背景与必要性】验证在显存整理与页迁移时，软件 RCU + Copy-on-Migrate 是否已能满足 Pause &lt; 1ms 要求，证明无需强依赖专有硬件 AtomicRemap 芯片。
【对应验证阶段】条件证伪门。</t>
        </is>
      </c>
      <c r="C15" s="55" t="inlineStr">
        <is>
          <t>单 Extent，1/8/32 并发 Reader；数据块 4MB~64MB；比较 Stop-the-world 全局锁表 vs 软件 RCU vs 硬件 AtomicRemap。</t>
        </is>
      </c>
      <c r="D15" s="55" t="inlineStr">
        <is>
          <t>【验证思路】并发读写压测 + Pause 抖动抓取 + 软硬件收益对比证伪。
【验证方法】运行 rcu_migration_bench.cc 测量高并发 Reader 下的迁移停顿与 Jitter。</t>
        </is>
      </c>
      <c r="E15" s="55" t="inlineStr">
        <is>
          <t>3 档 Extent 大小；1, 8, 32 并发 Reader；迁移中途崩溃故障注入。</t>
        </is>
      </c>
      <c r="F15" s="55" t="inlineStr">
        <is>
          <t>Stop-the-world 全局锁表、软件 RCU + Copy-on-Migrate、硬件 Atomic Remap（若平台支持）。</t>
        </is>
      </c>
      <c r="G15" s="55" t="inlineStr">
        <is>
          <t>Reader 停顿时间 P99 µs、TPOT Jitter 抖动率 %、脏读/越界访问次数、迁移失败回滚耗时。</t>
        </is>
      </c>
      <c r="H15" s="55" t="inlineStr">
        <is>
          <t>在 32 并发 Reader 下，软件 RCU 读停顿时间 P99 &lt; 1ms，TPOT 抖动率 &lt; 3%，免除对专有硬件 AtomicRemap 芯片的强依赖。</t>
        </is>
      </c>
      <c r="I15" s="55" t="inlineStr">
        <is>
          <t>软件 RCU 原型作为显存整理与动态页迁移的正式核心机制保留，否定硬件 AtomicRemap 的硬依赖。</t>
        </is>
      </c>
      <c r="J15" s="55" t="inlineStr">
        <is>
          <t>软件 RCU 无法保障无锁读一致性产生脏读，或停顿时间超过 10ms。</t>
        </is>
      </c>
      <c r="K15" s="52" t="n"/>
      <c r="L15" s="52" t="n"/>
      <c r="M15" s="52" t="n"/>
      <c r="N15" s="51" t="n"/>
      <c r="O15" s="51" t="n"/>
      <c r="P15" s="51" t="n"/>
      <c r="Q15" s="52" t="n"/>
      <c r="R15" s="51" t="n"/>
    </row>
    <row r="16"/>
    <row r="17"/>
    <row r="18"/>
    <row r="19"/>
  </sheetData>
  <mergeCells count="2">
    <mergeCell ref="A2:Q2"/>
    <mergeCell ref="A1:Q1"/>
  </mergeCells>
  <conditionalFormatting sqref="M5:M15">
    <cfRule type="containsText" priority="1" operator="containsText" dxfId="2" text="是"/>
  </conditionalFormatting>
  <dataValidations count="1">
    <dataValidation sqref="Q5:Q15" showDropDown="0" showInputMessage="0" showErrorMessage="0" allowBlank="0" type="list">
      <formula1>"待判定,Go,Conditional,No-Go,Not Supported"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42" customWidth="1" min="5" max="5"/>
    <col width="34" customWidth="1" min="6" max="6"/>
    <col width="18" customWidth="1" min="7" max="7"/>
    <col width="54" customWidth="1" min="8" max="8"/>
    <col width="16" customWidth="1" min="9" max="9"/>
    <col width="46" customWidth="1" min="10" max="10"/>
  </cols>
  <sheetData>
    <row r="1" ht="30" customHeight="1">
      <c r="A1" s="39" t="inlineStr">
        <is>
          <t>24条IR全量覆盖与10 PVT + 1 CVT 追溯矩阵（Mooncake 原厂扩展版 V2.0）</t>
        </is>
      </c>
    </row>
    <row r="2" ht="36" customHeight="1">
      <c r="A2" s="41" t="inlineStr">
        <is>
          <t>覆盖不等于每条 IR 单设验证项：同一原型包必须证明完整成败链，并在“验证设计”中显式锚定最新 SR23；K2 由共享底座或端到端最小闭环验证 (Vertical Slice)覆盖，不单独占用立项前项目名额。</t>
        </is>
      </c>
    </row>
    <row r="4" ht="40" customHeight="1">
      <c r="A4" s="46" t="inlineStr">
        <is>
          <t>IR ID</t>
        </is>
      </c>
      <c r="B4" s="46" t="inlineStr">
        <is>
          <t>SF</t>
        </is>
      </c>
      <c r="C4" s="46" t="inlineStr">
        <is>
          <t>IR功能化描述</t>
        </is>
      </c>
      <c r="D4" s="46" t="inlineStr">
        <is>
          <t>关键级别</t>
        </is>
      </c>
      <c r="E4" s="46" t="inlineStr">
        <is>
          <t>关键性判断</t>
        </is>
      </c>
      <c r="F4" s="46" t="inlineStr">
        <is>
          <t>关联验证ID</t>
        </is>
      </c>
      <c r="G4" s="46" t="inlineStr">
        <is>
          <t>覆盖方式</t>
        </is>
      </c>
      <c r="H4" s="46" t="inlineStr">
        <is>
          <t>IR KPI锚点</t>
        </is>
      </c>
      <c r="I4" s="46" t="inlineStr">
        <is>
          <t>是否需单独设项</t>
        </is>
      </c>
      <c r="J4" s="46" t="inlineStr">
        <is>
          <t>审视结论</t>
        </is>
      </c>
    </row>
    <row r="5" ht="32.40000152587891" customHeight="1">
      <c r="A5" s="47" t="inlineStr">
        <is>
          <t>IR-01-01</t>
        </is>
      </c>
      <c r="B5" s="47" t="inlineStr">
        <is>
          <t>SF-01</t>
        </is>
      </c>
      <c r="C5" s="22" t="inlineStr">
        <is>
          <t>支持HBM、DDR、SSD及远端介质统一纳管，并以HBM↔SSD构建容量主路径</t>
        </is>
      </c>
      <c r="D5" s="47" t="inlineStr">
        <is>
          <t>K0</t>
        </is>
      </c>
      <c r="E5" s="47" t="inlineStr">
        <is>
          <t>统一池产品形态与容量价值硬门槛</t>
        </is>
      </c>
      <c r="F5" s="47" t="inlineStr">
        <is>
          <t>PVT-05、CVT-02</t>
        </is>
      </c>
      <c r="G5" s="47" t="inlineStr">
        <is>
          <t>单包主证据</t>
        </is>
      </c>
      <c r="H5" s="22" t="inlineStr">
        <is>
          <t>碎片率&lt;5%；HBM有效容量提升≥30%；OOM/preemption降低≥50%；HBM↔SSD容量路径有效带宽≥设备峰值80%；DDR角色必须至少一项持续正收益，否则退出Payload主路径。</t>
        </is>
      </c>
      <c r="I5" s="47" t="inlineStr">
        <is>
          <t>否</t>
        </is>
      </c>
      <c r="J5" s="22" t="inlineStr">
        <is>
          <t>已由 PVT-05、CVT-02 覆盖；无需复制V1.3粒度。</t>
        </is>
      </c>
    </row>
    <row r="6" ht="21.60000038146973" customHeight="1">
      <c r="A6" s="48" t="inlineStr">
        <is>
          <t>IR-01-02</t>
        </is>
      </c>
      <c r="B6" s="48" t="inlineStr">
        <is>
          <t>SF-01</t>
        </is>
      </c>
      <c r="C6" s="23" t="inlineStr">
        <is>
          <t>支持vLLM/SGLang KV块跨介质批量传输的布局适配与描述生成</t>
        </is>
      </c>
      <c r="D6" s="48" t="inlineStr">
        <is>
          <t>K0</t>
        </is>
      </c>
      <c r="E6" s="48" t="inlineStr">
        <is>
          <t>决定跨框架、跨后端数据是否能高效执行</t>
        </is>
      </c>
      <c r="F6" s="48" t="inlineStr">
        <is>
          <t>PVT-02</t>
        </is>
      </c>
      <c r="G6" s="48" t="inlineStr">
        <is>
          <t>单包主证据</t>
        </is>
      </c>
      <c r="H6" s="23" t="inlineStr">
        <is>
          <t>descriptor 数降低≥50%；effective BW提升≥30%；CPU submit time降低≥40%；布局协商错误=0。</t>
        </is>
      </c>
      <c r="I6" s="48" t="inlineStr">
        <is>
          <t>否</t>
        </is>
      </c>
      <c r="J6" s="23" t="inlineStr">
        <is>
          <t>已由 PVT-02 覆盖；无需复制V1.3粒度。</t>
        </is>
      </c>
    </row>
    <row r="7" ht="21.60000038146973" customHeight="1">
      <c r="A7" s="48" t="inlineStr">
        <is>
          <t>IR-01-03</t>
        </is>
      </c>
      <c r="B7" s="48" t="inlineStr">
        <is>
          <t>SF-01</t>
        </is>
      </c>
      <c r="C7" s="23" t="inlineStr">
        <is>
          <t>面向TTFT收益与资源成本的KV访问决策和QueryPlan生成</t>
        </is>
      </c>
      <c r="D7" s="48" t="inlineStr">
        <is>
          <t>K0</t>
        </is>
      </c>
      <c r="E7" s="48" t="inlineStr">
        <is>
          <t>决定命中是否产生正TTFT收益</t>
        </is>
      </c>
      <c r="F7" s="48" t="inlineStr">
        <is>
          <t>PVT-04</t>
        </is>
      </c>
      <c r="G7" s="48" t="inlineStr">
        <is>
          <t>单包主证据</t>
        </is>
      </c>
      <c r="H7" s="23" t="inlineStr">
        <is>
          <t>Usable Hit Rate提升≥20%；路径成本预测误差&lt;20%；单次策略调用&lt;5 μs；负收益命中强制放弃。</t>
        </is>
      </c>
      <c r="I7" s="48" t="inlineStr">
        <is>
          <t>否</t>
        </is>
      </c>
      <c r="J7" s="23" t="inlineStr">
        <is>
          <t>已由 PVT-04 覆盖；无需复制V1.3粒度。</t>
        </is>
      </c>
    </row>
    <row r="8" ht="32.40000152587891" customHeight="1">
      <c r="A8" s="48" t="inlineStr">
        <is>
          <t>IR-01-04</t>
        </is>
      </c>
      <c r="B8" s="48" t="inlineStr">
        <is>
          <t>SF-01</t>
        </is>
      </c>
      <c r="C8" s="23" t="inlineStr">
        <is>
          <t>支持P/D分离、流水加载及一对多共享的异步KV传输编排</t>
        </is>
      </c>
      <c r="D8" s="48" t="inlineStr">
        <is>
          <t>K0</t>
        </is>
      </c>
      <c r="E8" s="48" t="inlineStr">
        <is>
          <t>PVT-02、PVT-07、PVT-08</t>
        </is>
      </c>
      <c r="F8" s="48" t="inlineStr">
        <is>
          <t>PVT-02、PVT-07、CVT-01</t>
        </is>
      </c>
      <c r="G8" s="48" t="inlineStr">
        <is>
          <t>多包共同证明</t>
        </is>
      </c>
      <c r="H8" s="23" t="inlineStr">
        <is>
          <t>P/D handoff p99降低≥20%；热点分发p99降低≥40%；广播完成率≥99.99%；计算/传输重叠≥60%。</t>
        </is>
      </c>
      <c r="I8" s="48" t="inlineStr">
        <is>
          <t>否</t>
        </is>
      </c>
      <c r="J8" s="23" t="inlineStr">
        <is>
          <t>已由 PVT-02、PVT-07、CVT-01 覆盖；无需复制V1.3粒度。</t>
        </is>
      </c>
    </row>
    <row r="9" ht="21.60000038146973" customHeight="1">
      <c r="A9" s="48" t="inlineStr">
        <is>
          <t>IR-01-05</t>
        </is>
      </c>
      <c r="B9" s="48" t="inlineStr">
        <is>
          <t>SF-01</t>
        </is>
      </c>
      <c r="C9" s="23" t="inlineStr">
        <is>
          <t>面向异构介质与集群拓扑的传输能力探测和动态路径选择</t>
        </is>
      </c>
      <c r="D9" s="48" t="inlineStr">
        <is>
          <t>K1</t>
        </is>
      </c>
      <c r="E9" s="48" t="inlineStr">
        <is>
          <t>路径动态性的重要支撑，可先用少量路径证实</t>
        </is>
      </c>
      <c r="F9" s="48" t="inlineStr">
        <is>
          <t>PVT-04</t>
        </is>
      </c>
      <c r="G9" s="48" t="inlineStr">
        <is>
          <t>单包主证据</t>
        </is>
      </c>
      <c r="H9" s="23" t="inlineStr">
        <is>
          <t>路径选择准确率≥90%；同机架 Local Usable Hit提升≥30%；故障切换&lt;200ms；探测开销&lt;0.5% BW。</t>
        </is>
      </c>
      <c r="I9" s="48" t="inlineStr">
        <is>
          <t>否</t>
        </is>
      </c>
      <c r="J9" s="23" t="inlineStr">
        <is>
          <t>已由 PVT-04 覆盖；无需复制V1.3粒度。</t>
        </is>
      </c>
    </row>
    <row r="10" ht="21.60000038146973" customHeight="1">
      <c r="A10" s="48" t="inlineStr">
        <is>
          <t>IR-01-06</t>
        </is>
      </c>
      <c r="B10" s="48" t="inlineStr">
        <is>
          <t>SF-01</t>
        </is>
      </c>
      <c r="C10" s="23" t="inlineStr">
        <is>
          <t>支持跨节点HBM/DDR零拷贝的RDMA高速KV传输</t>
        </is>
      </c>
      <c r="D10" s="48" t="inlineStr">
        <is>
          <t>K0</t>
        </is>
      </c>
      <c r="E10" s="48" t="inlineStr">
        <is>
          <t>跨节点热路径与零拷贝硬门槛</t>
        </is>
      </c>
      <c r="F10" s="48" t="inlineStr">
        <is>
          <t>PVT-01、PVT-02</t>
        </is>
      </c>
      <c r="G10" s="48" t="inlineStr">
        <is>
          <t>多包共同证明</t>
        </is>
      </c>
      <c r="H10" s="23" t="inlineStr">
        <is>
          <t>端到端传输时延降低≥40%；有效带宽≥链路线速80%；CPU payload copy=0；CPU提交开销&lt;50 μs。</t>
        </is>
      </c>
      <c r="I10" s="48" t="inlineStr">
        <is>
          <t>否</t>
        </is>
      </c>
      <c r="J10" s="23" t="inlineStr">
        <is>
          <t>已由 PVT-01、PVT-02 覆盖；无需复制V1.3粒度。</t>
        </is>
      </c>
    </row>
    <row r="11" ht="21.60000038146973" customHeight="1">
      <c r="A11" s="48" t="inlineStr">
        <is>
          <t>IR-01-07</t>
        </is>
      </c>
      <c r="B11" s="48" t="inlineStr">
        <is>
          <t>SF-01</t>
        </is>
      </c>
      <c r="C11" s="23" t="inlineStr">
        <is>
          <t>支持UBMEM/C2C内存语义的KV直接访问、回填与View保护</t>
        </is>
      </c>
      <c r="D11" s="48" t="inlineStr">
        <is>
          <t>K0</t>
        </is>
      </c>
      <c r="E11" s="48" t="inlineStr">
        <is>
          <t>UBMEM/URMA核心技术成立边界</t>
        </is>
      </c>
      <c r="F11" s="48" t="inlineStr">
        <is>
          <t>PVT-01、PVT-03</t>
        </is>
      </c>
      <c r="G11" s="48" t="inlineStr">
        <is>
          <t>多包共同证明</t>
        </is>
      </c>
      <c r="H11" s="23" t="inlineStr">
        <is>
          <t>direct-view TPOT p99回退&lt;3%；Host Payload touch=0；stale view fault=0；HBM+C2C有效容量提升≥20%。</t>
        </is>
      </c>
      <c r="I11" s="48" t="inlineStr">
        <is>
          <t>否</t>
        </is>
      </c>
      <c r="J11" s="23" t="inlineStr">
        <is>
          <t>已由 PVT-01、PVT-03 覆盖；无需复制V1.3粒度。</t>
        </is>
      </c>
    </row>
    <row r="12" ht="32.40000152587891" customHeight="1">
      <c r="A12" s="48" t="inlineStr">
        <is>
          <t>IR-01-08</t>
        </is>
      </c>
      <c r="B12" s="48" t="inlineStr">
        <is>
          <t>SF-01</t>
        </is>
      </c>
      <c r="C12" s="23" t="inlineStr">
        <is>
          <t>支持HBM↔SSD直达容量I/O及条件化DPU/硬件Codec卸载</t>
        </is>
      </c>
      <c r="D12" s="48" t="inlineStr">
        <is>
          <t>K0</t>
        </is>
      </c>
      <c r="E12" s="48" t="inlineStr">
        <is>
          <t>PVT-01、PVT-09</t>
        </is>
      </c>
      <c r="F12" s="48" t="inlineStr">
        <is>
          <t>PVT-01、PVT-02、CVT-03</t>
        </is>
      </c>
      <c r="G12" s="48" t="inlineStr">
        <is>
          <t>多包共同证明</t>
        </is>
      </c>
      <c r="H12" s="23" t="inlineStr">
        <is>
          <t>SSD restore TTFT降低≥30%；NPU stall降低≥50%；主路径Host Payload touch=0；顺序带宽达到设备峰值≥80%；条件卸载必须相对raw/direct路径产生正收益。</t>
        </is>
      </c>
      <c r="I12" s="48" t="inlineStr">
        <is>
          <t>否</t>
        </is>
      </c>
      <c r="J12" s="23" t="inlineStr">
        <is>
          <t>已由 PVT-01、PVT-02、CVT-03 覆盖；无需复制V1.3粒度。</t>
        </is>
      </c>
    </row>
    <row r="13" ht="21.60000038146973" customHeight="1">
      <c r="A13" s="48" t="inlineStr">
        <is>
          <t>IR-01-09</t>
        </is>
      </c>
      <c r="B13" s="48" t="inlineStr">
        <is>
          <t>SF-01</t>
        </is>
      </c>
      <c r="C13" s="23" t="inlineStr">
        <is>
          <t>统一抽象UB、URMA、RDMA、C2C和SSD传输能力并按需路由</t>
        </is>
      </c>
      <c r="D13" s="48" t="inlineStr">
        <is>
          <t>K0</t>
        </is>
      </c>
      <c r="E13" s="48" t="inlineStr">
        <is>
          <t>PVT-01、PVT-08、PVT-09</t>
        </is>
      </c>
      <c r="F13" s="48" t="inlineStr">
        <is>
          <t>PVT-01、PVT-04、CVT-03</t>
        </is>
      </c>
      <c r="G13" s="48" t="inlineStr">
        <is>
          <t>多包共同证明</t>
        </is>
      </c>
      <c r="H13" s="23" t="inlineStr">
        <is>
          <t>能力表覆盖率=100%；错误路由=0；QueryPlan策略决策&lt;5 μs；Fabric Router路由决策&lt;3 μs；任何 staged 例外可见且可禁用。</t>
        </is>
      </c>
      <c r="I13" s="48" t="inlineStr">
        <is>
          <t>否</t>
        </is>
      </c>
      <c r="J13" s="23" t="inlineStr">
        <is>
          <t>已由 PVT-01、PVT-04、CVT-03 覆盖；无需复制V1.3粒度。</t>
        </is>
      </c>
    </row>
    <row r="14" ht="32.40000152587891" customHeight="1">
      <c r="A14" s="48" t="inlineStr">
        <is>
          <t>IR-01-10</t>
        </is>
      </c>
      <c r="B14" s="48" t="inlineStr">
        <is>
          <t>SF-01</t>
        </is>
      </c>
      <c r="C14" s="23" t="inlineStr">
        <is>
          <t>支持多消费者共享、租约引用管理及故障快速回退</t>
        </is>
      </c>
      <c r="D14" s="48" t="inlineStr">
        <is>
          <t>K1</t>
        </is>
      </c>
      <c r="E14" s="48" t="inlineStr">
        <is>
          <t>PVT-06、PVT-08</t>
        </is>
      </c>
      <c r="F14" s="48" t="inlineStr">
        <is>
          <t>PVT-03、PVT-06、CVT-01</t>
        </is>
      </c>
      <c r="G14" s="48" t="inlineStr">
        <is>
          <t>多包共同证明</t>
        </is>
      </c>
      <c r="H14" s="23" t="inlineStr">
        <is>
          <t>stale view fault=0；重复远端拉取降低≥50%；fallback成功率=100%；fallback触发到恢复&lt;500ms。</t>
        </is>
      </c>
      <c r="I14" s="48" t="inlineStr">
        <is>
          <t>否</t>
        </is>
      </c>
      <c r="J14" s="23" t="inlineStr">
        <is>
          <t>已由 PVT-03、PVT-06、CVT-01 覆盖；无需复制V1.3粒度。</t>
        </is>
      </c>
    </row>
    <row r="15" ht="21.60000038146973" customHeight="1">
      <c r="A15" s="48" t="inlineStr">
        <is>
          <t>IR-01-11</t>
        </is>
      </c>
      <c r="B15" s="48" t="inlineStr">
        <is>
          <t>SF-01</t>
        </is>
      </c>
      <c r="C15" s="23" t="inlineStr">
        <is>
          <t>支持KV发布迁移一致性、多租户隔离和前后台传输QoS</t>
        </is>
      </c>
      <c r="D15" s="48" t="inlineStr">
        <is>
          <t>K0</t>
        </is>
      </c>
      <c r="E15" s="48" t="inlineStr">
        <is>
          <t>PVT-06、PVT-07、CVT-01</t>
        </is>
      </c>
      <c r="F15" s="48" t="inlineStr">
        <is>
          <t>PVT-06、PVT-07、CVT-02</t>
        </is>
      </c>
      <c r="G15" s="48" t="inlineStr">
        <is>
          <t>多包共同证明</t>
        </is>
      </c>
      <c r="H15" s="23" t="inlineStr">
        <is>
          <t>data corruption=0；后台干扰降低≥50%；TPOT p99回退&lt;3%；租户间干扰&lt;5%；越权访问=0。</t>
        </is>
      </c>
      <c r="I15" s="48" t="inlineStr">
        <is>
          <t>否</t>
        </is>
      </c>
      <c r="J15" s="23" t="inlineStr">
        <is>
          <t>已由 PVT-06、PVT-07、CVT-02 覆盖；无需复制V1.3粒度。</t>
        </is>
      </c>
    </row>
    <row r="16" ht="21.60000038146973" customHeight="1">
      <c r="A16" s="48" t="inlineStr">
        <is>
          <t>IR-01-12</t>
        </is>
      </c>
      <c r="B16" s="48" t="inlineStr">
        <is>
          <t>SF-01</t>
        </is>
      </c>
      <c r="C16" s="23" t="inlineStr">
        <is>
          <t>支持按路径提供KV完整性证据、访问保护及硬件故障恢复</t>
        </is>
      </c>
      <c r="D16" s="48" t="inlineStr">
        <is>
          <t>K0</t>
        </is>
      </c>
      <c r="E16" s="48" t="inlineStr">
        <is>
          <t>PVT-01、PVT-07、PVT-09、CVT-01</t>
        </is>
      </c>
      <c r="F16" s="48" t="inlineStr">
        <is>
          <t>PVT-01、PVT-03、PVT-06、PVT-07、CVT-02、CVT-03</t>
        </is>
      </c>
      <c r="G16" s="48" t="inlineStr">
        <is>
          <t>多包共同证明</t>
        </is>
      </c>
      <c r="H16" s="23" t="inlineStr">
        <is>
          <t>错误/过期 KV 被消费=0；越权访问=0；主路径CPU全量CRC=0；view revocation p99&lt;1ms；故障注入覆盖率=100%。</t>
        </is>
      </c>
      <c r="I16" s="48" t="inlineStr">
        <is>
          <t>否</t>
        </is>
      </c>
      <c r="J16" s="23" t="inlineStr">
        <is>
          <t>已由 PVT-01、PVT-03、PVT-06、PVT-07、CVT-02、CVT-03 覆盖；无需复制V1.3粒度。</t>
        </is>
      </c>
    </row>
    <row r="17" ht="21.60000038146973" customHeight="1">
      <c r="A17" s="48" t="inlineStr">
        <is>
          <t>IR-02-01</t>
        </is>
      </c>
      <c r="B17" s="48" t="inlineStr">
        <is>
          <t>SF-02</t>
        </is>
      </c>
      <c r="C17" s="23" t="inlineStr">
        <is>
          <t>面向vLLM/SGLang的统一KVCache访问接口和后端插件规范</t>
        </is>
      </c>
      <c r="D17" s="48" t="inlineStr">
        <is>
          <t>K1</t>
        </is>
      </c>
      <c r="E17" s="48" t="inlineStr">
        <is>
          <t>框架接入协议需在端到端最小闭环验证 (Vertical Slice)验证，但无需提前全量实现</t>
        </is>
      </c>
      <c r="F17" s="48" t="inlineStr">
        <is>
          <t>PVT-06</t>
        </is>
      </c>
      <c r="G17" s="48" t="inlineStr">
        <is>
          <t>单包主证据</t>
        </is>
      </c>
      <c r="H17" s="23" t="inlineStr">
        <is>
          <t>conformance通过率=100%；接口调用&lt;5 μs；元数据编解码&lt;200 ns/次；新后端接入工期降低≥50%。</t>
        </is>
      </c>
      <c r="I17" s="48" t="inlineStr">
        <is>
          <t>否</t>
        </is>
      </c>
      <c r="J17" s="23" t="inlineStr">
        <is>
          <t>已由 PVT-06 覆盖；无需复制V1.3粒度。</t>
        </is>
      </c>
    </row>
    <row r="18" ht="21.60000038146973" customHeight="1">
      <c r="A18" s="48" t="inlineStr">
        <is>
          <t>IR-02-02</t>
        </is>
      </c>
      <c r="B18" s="48" t="inlineStr">
        <is>
          <t>SF-02</t>
        </is>
      </c>
      <c r="C18" s="23" t="inlineStr">
        <is>
          <t>基于缓存位置、加载收益和水位预算的推理调度与准入</t>
        </is>
      </c>
      <c r="D18" s="48" t="inlineStr">
        <is>
          <t>K0</t>
        </is>
      </c>
      <c r="E18" s="48" t="inlineStr">
        <is>
          <t>负收益命中护栏和请求准入硬门槛</t>
        </is>
      </c>
      <c r="F18" s="48" t="inlineStr">
        <is>
          <t>PVT-04、PVT-05、PVT-07</t>
        </is>
      </c>
      <c r="G18" s="48" t="inlineStr">
        <is>
          <t>多包共同证明</t>
        </is>
      </c>
      <c r="H18" s="23" t="inlineStr">
        <is>
          <t>p99 TTFT降低≥20%；abandoned remote load降低≥50%；跨节点bytes/request降低≥30%；QPS提升≥10%。</t>
        </is>
      </c>
      <c r="I18" s="48" t="inlineStr">
        <is>
          <t>否</t>
        </is>
      </c>
      <c r="J18" s="23" t="inlineStr">
        <is>
          <t>已由 PVT-04、PVT-05、PVT-07 覆盖；无需复制V1.3粒度。</t>
        </is>
      </c>
    </row>
    <row r="19" ht="21.60000038146973" customHeight="1">
      <c r="A19" s="48" t="inlineStr">
        <is>
          <t>IR-02-03</t>
        </is>
      </c>
      <c r="B19" s="48" t="inlineStr">
        <is>
          <t>SF-02</t>
        </is>
      </c>
      <c r="C19" s="23" t="inlineStr">
        <is>
          <t>支持vLLM哈希和SGLang RadixTree的低时延前缀匹配</t>
        </is>
      </c>
      <c r="D19" s="48" t="inlineStr">
        <is>
          <t>K1</t>
        </is>
      </c>
      <c r="E19" s="48" t="inlineStr">
        <is>
          <t>前缀发现性能影响TTFT，但可复用既有算法原型</t>
        </is>
      </c>
      <c r="F19" s="48" t="inlineStr">
        <is>
          <t>PVT-00、PVT-06</t>
        </is>
      </c>
      <c r="G19" s="48" t="inlineStr">
        <is>
          <t>多包共同证明</t>
        </is>
      </c>
      <c r="H19" s="23" t="inlineStr">
        <is>
          <t>Prefix lookup p99&lt;200 μs；100并发吞吐提升≥8x；Usable Hit Rate提升≥15%；GIL持有时间降低≥90%。</t>
        </is>
      </c>
      <c r="I19" s="48" t="inlineStr">
        <is>
          <t>否</t>
        </is>
      </c>
      <c r="J19" s="23" t="inlineStr">
        <is>
          <t>已由 PVT-00、PVT-06 覆盖；无需复制V1.3粒度。</t>
        </is>
      </c>
    </row>
    <row r="20" ht="21.60000038146973" customHeight="1">
      <c r="A20" s="48" t="inlineStr">
        <is>
          <t>IR-02-04</t>
        </is>
      </c>
      <c r="B20" s="48" t="inlineStr">
        <is>
          <t>SF-02</t>
        </is>
      </c>
      <c r="C20" s="23" t="inlineStr">
        <is>
          <t>支持本地元数据缓存、Negative Cache及批量查询的命中快判</t>
        </is>
      </c>
      <c r="D20" s="48" t="inlineStr">
        <is>
          <t>K1</t>
        </is>
      </c>
      <c r="E20" s="48" t="inlineStr">
        <is>
          <t>本地快判减少目录串行开销</t>
        </is>
      </c>
      <c r="F20" s="48" t="inlineStr">
        <is>
          <t>PVT-03、PVT-06</t>
        </is>
      </c>
      <c r="G20" s="48" t="inlineStr">
        <is>
          <t>多包共同证明</t>
        </is>
      </c>
      <c r="H20" s="23" t="inlineStr">
        <is>
          <t>本地命中查询&lt;10 μs；确定miss p99&lt;5 μs；remote lookup QPS降低≥50%；Bloom FPR&lt;0.1%。</t>
        </is>
      </c>
      <c r="I20" s="48" t="inlineStr">
        <is>
          <t>否</t>
        </is>
      </c>
      <c r="J20" s="23" t="inlineStr">
        <is>
          <t>已由 PVT-03、PVT-06 覆盖；无需复制V1.3粒度。</t>
        </is>
      </c>
    </row>
    <row r="21" ht="21.60000038146973" customHeight="1">
      <c r="A21" s="48" t="inlineStr">
        <is>
          <t>IR-02-05</t>
        </is>
      </c>
      <c r="B21" s="48" t="inlineStr">
        <is>
          <t>SF-02</t>
        </is>
      </c>
      <c r="C21" s="23" t="inlineStr">
        <is>
          <t>支持集群级前缀目录、KV位置索引及副本可用性查询</t>
        </is>
      </c>
      <c r="D21" s="48" t="inlineStr">
        <is>
          <t>K0</t>
        </is>
      </c>
      <c r="E21" s="48" t="inlineStr">
        <is>
          <t>集群复用的可发现性与消费资格硬门槛</t>
        </is>
      </c>
      <c r="F21" s="48" t="inlineStr">
        <is>
          <t>PVT-03、PVT-06</t>
        </is>
      </c>
      <c r="G21" s="48" t="inlineStr">
        <is>
          <t>多包共同证明</t>
        </is>
      </c>
      <c r="H21" s="23" t="inlineStr">
        <is>
          <t>remote directory RTT降低≥50%；lookup p99降低≥30%；目录可用性≥99.99%；stale hit=0。</t>
        </is>
      </c>
      <c r="I21" s="48" t="inlineStr">
        <is>
          <t>否</t>
        </is>
      </c>
      <c r="J21" s="23" t="inlineStr">
        <is>
          <t>已由 PVT-03、PVT-06 覆盖；无需复制V1.3粒度。</t>
        </is>
      </c>
    </row>
    <row r="22" ht="21.60000038146973" customHeight="1">
      <c r="A22" s="48" t="inlineStr">
        <is>
          <t>IR-02-06</t>
        </is>
      </c>
      <c r="B22" s="48" t="inlineStr">
        <is>
          <t>SF-02</t>
        </is>
      </c>
      <c r="C22" s="23" t="inlineStr">
        <is>
          <t>支持KV卸载加载、分层回源及计算—传输流水并行</t>
        </is>
      </c>
      <c r="D22" s="48" t="inlineStr">
        <is>
          <t>K0</t>
        </is>
      </c>
      <c r="E22" s="48" t="inlineStr">
        <is>
          <t>加载能否隐藏在计算下决定端到端收益</t>
        </is>
      </c>
      <c r="F22" s="48" t="inlineStr">
        <is>
          <t>PVT-02、PVT-07</t>
        </is>
      </c>
      <c r="G22" s="48" t="inlineStr">
        <is>
          <t>多包共同证明</t>
        </is>
      </c>
      <c r="H22" s="23" t="inlineStr">
        <is>
          <t>计算/传输重叠≥60%；swap-in TTFT降低≥25%；批量传输时延降低≥50%；额外内存≤15%。</t>
        </is>
      </c>
      <c r="I22" s="48" t="inlineStr">
        <is>
          <t>否</t>
        </is>
      </c>
      <c r="J22" s="23" t="inlineStr">
        <is>
          <t>已由 PVT-02、PVT-07 覆盖；无需复制V1.3粒度。</t>
        </is>
      </c>
    </row>
    <row r="23" ht="21.60000038146973" customHeight="1">
      <c r="A23" s="48" t="inlineStr">
        <is>
          <t>IR-02-07</t>
        </is>
      </c>
      <c r="B23" s="48" t="inlineStr">
        <is>
          <t>SF-02</t>
        </is>
      </c>
      <c r="C23" s="23" t="inlineStr">
        <is>
          <t>基于请求趋势和复用概率的KV投机预取及效果反馈</t>
        </is>
      </c>
      <c r="D23" s="48" t="inlineStr">
        <is>
          <t>K2</t>
        </is>
      </c>
      <c r="E23" s="48" t="inlineStr">
        <is>
          <t>预测算法可在项目内迭代，立项前只验证干扰与收益边界</t>
        </is>
      </c>
      <c r="F23" s="48" t="inlineStr">
        <is>
          <t>PVT-07</t>
        </is>
      </c>
      <c r="G23" s="48" t="inlineStr">
        <is>
          <t>单包主证据</t>
        </is>
      </c>
      <c r="H23" s="23" t="inlineStr">
        <is>
          <t>预取命中率≥70%；命中时等待时延降低≥60%；误预取率&lt;20%；额外HBM≤10%。</t>
        </is>
      </c>
      <c r="I23" s="48" t="inlineStr">
        <is>
          <t>否</t>
        </is>
      </c>
      <c r="J23" s="23" t="inlineStr">
        <is>
          <t>已由 PVT-07 覆盖；无需复制V1.3粒度。</t>
        </is>
      </c>
    </row>
    <row r="24" ht="21.60000038146973" customHeight="1">
      <c r="A24" s="48" t="inlineStr">
        <is>
          <t>IR-02-08</t>
        </is>
      </c>
      <c r="B24" s="48" t="inlineStr">
        <is>
          <t>SF-02</t>
        </is>
      </c>
      <c r="C24" s="23" t="inlineStr">
        <is>
          <t>支持模型级KV容量估算、水位准入及全生命周期状态管理</t>
        </is>
      </c>
      <c r="D24" s="48" t="inlineStr">
        <is>
          <t>K1</t>
        </is>
      </c>
      <c r="E24" s="48" t="inlineStr">
        <is>
          <t>容量口径与生命周期支撑统一池收益</t>
        </is>
      </c>
      <c r="F24" s="48" t="inlineStr">
        <is>
          <t>PVT-05</t>
        </is>
      </c>
      <c r="G24" s="48" t="inlineStr">
        <is>
          <t>单包主证据</t>
        </is>
      </c>
      <c r="H24" s="23" t="inlineStr">
        <is>
          <t>估算误差&lt;5%；OOM/preemption降低≥50%；碎片率&lt;5%；节点变化只失效一致性哈希对应比例。</t>
        </is>
      </c>
      <c r="I24" s="48" t="inlineStr">
        <is>
          <t>否</t>
        </is>
      </c>
      <c r="J24" s="23" t="inlineStr">
        <is>
          <t>已由 PVT-05 覆盖；无需复制V1.3粒度。</t>
        </is>
      </c>
    </row>
    <row r="25" ht="21.60000038146973" customHeight="1">
      <c r="A25" s="48" t="inlineStr">
        <is>
          <t>IR-02-09</t>
        </is>
      </c>
      <c r="B25" s="48" t="inlineStr">
        <is>
          <t>SF-02</t>
        </is>
      </c>
      <c r="C25" s="23" t="inlineStr">
        <is>
          <t>面向Decode活跃KV、热前缀和冷KV的分层驻留与淘汰</t>
        </is>
      </c>
      <c r="D25" s="48" t="inlineStr">
        <is>
          <t>K1</t>
        </is>
      </c>
      <c r="E25" s="48" t="inlineStr">
        <is>
          <t>驻留/淘汰策略可先以回放证明方向</t>
        </is>
      </c>
      <c r="F25" s="48" t="inlineStr">
        <is>
          <t>PVT-03、PVT-05、PVT-06</t>
        </is>
      </c>
      <c r="G25" s="48" t="inlineStr">
        <is>
          <t>多包共同证明</t>
        </is>
      </c>
      <c r="H25" s="23" t="inlineStr">
        <is>
          <t>HBM有效容量提升≥20%；TPOT p99回退&lt;3%；prefill FLOPs/request降低≥15%；每GB saved tokens提升≥25%。</t>
        </is>
      </c>
      <c r="I25" s="48" t="inlineStr">
        <is>
          <t>否</t>
        </is>
      </c>
      <c r="J25" s="23" t="inlineStr">
        <is>
          <t>已由 PVT-03、PVT-05、PVT-06 覆盖；无需复制V1.3粒度。</t>
        </is>
      </c>
    </row>
    <row r="26" ht="21.60000038146973" customHeight="1">
      <c r="A26" s="48" t="inlineStr">
        <is>
          <t>IR-02-10</t>
        </is>
      </c>
      <c r="B26" s="48" t="inlineStr">
        <is>
          <t>SF-02</t>
        </is>
      </c>
      <c r="C26" s="23" t="inlineStr">
        <is>
          <t>支持张量/流水并行多卡KV一致消费及指标治理</t>
        </is>
      </c>
      <c r="D26" s="48" t="inlineStr">
        <is>
          <t>K1</t>
        </is>
      </c>
      <c r="E26" s="48" t="inlineStr">
        <is>
          <t>多rank正确性需验证，完整治理后置</t>
        </is>
      </c>
      <c r="F26" s="48" t="inlineStr">
        <is>
          <t>PVT-03、PVT-06</t>
        </is>
      </c>
      <c r="G26" s="48" t="inlineStr">
        <is>
          <t>多包共同证明</t>
        </is>
      </c>
      <c r="H26" s="23" t="inlineStr">
        <is>
          <t>correctness fault=0；rank wait p99&lt;100 μs；指标字段覆盖率=100%；观测开销&lt;1%。</t>
        </is>
      </c>
      <c r="I26" s="48" t="inlineStr">
        <is>
          <t>否</t>
        </is>
      </c>
      <c r="J26" s="23" t="inlineStr">
        <is>
          <t>已由 PVT-03、PVT-06 覆盖；无需复制V1.3粒度。</t>
        </is>
      </c>
    </row>
    <row r="27" ht="21.60000038146973" customHeight="1">
      <c r="A27" s="48" t="inlineStr">
        <is>
          <t>IR-02-11</t>
        </is>
      </c>
      <c r="B27" s="48" t="inlineStr">
        <is>
          <t>SF-02</t>
        </is>
      </c>
      <c r="C27" s="23" t="inlineStr">
        <is>
          <t>支持请求—计划—对象—路径的全链路观测及故障定位</t>
        </is>
      </c>
      <c r="D27" s="48" t="inlineStr">
        <is>
          <t>K0</t>
        </is>
      </c>
      <c r="E27" s="48" t="inlineStr">
        <is>
          <t>所有可行性结论的证据基础</t>
        </is>
      </c>
      <c r="F27" s="48" t="inlineStr">
        <is>
          <t>PVT-00、PVT-01、PVT-04、PVT-07</t>
        </is>
      </c>
      <c r="G27" s="48" t="inlineStr">
        <is>
          <t>多包共同证明</t>
        </is>
      </c>
      <c r="H27" s="23" t="inlineStr">
        <is>
          <t>cost预测误差&lt;20%；常态探针开销&lt;1%；fallback reason覆盖率=100%；MTTR降至分钟级。</t>
        </is>
      </c>
      <c r="I27" s="48" t="inlineStr">
        <is>
          <t>否</t>
        </is>
      </c>
      <c r="J27" s="23" t="inlineStr">
        <is>
          <t>已由 PVT-00、PVT-01、PVT-04、PVT-07 覆盖；无需复制V1.3粒度。</t>
        </is>
      </c>
    </row>
    <row r="28" ht="21.60000038146973" customHeight="1">
      <c r="A28" s="48" t="inlineStr">
        <is>
          <t>IR-02-12</t>
        </is>
      </c>
      <c r="B28" s="48" t="inlineStr">
        <is>
          <t>SF-02</t>
        </is>
      </c>
      <c r="C28" s="23" t="inlineStr">
        <is>
          <t>支持跨平台构建、自动化测试、性能基线及灰度发布的工程交付体系</t>
        </is>
      </c>
      <c r="D28" s="48" t="inlineStr">
        <is>
          <t>K2</t>
        </is>
      </c>
      <c r="E28" s="48" t="inlineStr">
        <is>
          <t>工程化体系需复用原型资产，但不单独做技术可行性原型</t>
        </is>
      </c>
      <c r="F28" s="48" t="inlineStr">
        <is>
          <t>PVT-00</t>
        </is>
      </c>
      <c r="G28" s="48" t="inlineStr">
        <is>
          <t>单包主证据</t>
        </is>
      </c>
      <c r="H28" s="23" t="inlineStr">
        <is>
          <t>核心覆盖率&gt;85%；MR反馈&lt;15min；72h长稳零泄漏；故障fallback&lt;500ms且0错误；回滚&lt;1min。</t>
        </is>
      </c>
      <c r="I28" s="48" t="inlineStr">
        <is>
          <t>否</t>
        </is>
      </c>
      <c r="J28" s="23" t="inlineStr">
        <is>
          <t>已由 PVT-00 覆盖；无需复制V1.3粒度。</t>
        </is>
      </c>
    </row>
  </sheetData>
  <mergeCells count="2">
    <mergeCell ref="A1:J1"/>
    <mergeCell ref="A2:J2"/>
  </mergeCells>
  <conditionalFormatting sqref="D5:D28">
    <cfRule type="containsText" priority="1" operator="containsText" dxfId="4" text="K0"/>
    <cfRule type="containsText" priority="2" operator="containsText" dxfId="1" text="K1"/>
    <cfRule type="containsText" priority="3" operator="containsText" dxfId="6" text="K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24" customWidth="1" min="4" max="4"/>
    <col width="36" customWidth="1" min="5" max="5"/>
    <col width="60" customWidth="1" min="6" max="6"/>
    <col width="22" customWidth="1" min="7" max="7"/>
    <col width="34" customWidth="1" min="8" max="8"/>
  </cols>
  <sheetData>
    <row r="1" ht="30" customHeight="1">
      <c r="A1" s="39" t="inlineStr">
        <is>
          <t>V1.3原验证项逐项合理性审计</t>
        </is>
      </c>
    </row>
    <row r="2" ht="36" customHeight="1">
      <c r="A2" s="41" t="inlineStr">
        <is>
          <t>审计动作：保留并扩展、合并、条件保留/证伪、移出。判定依据是是否决定关键IR成功，而不是技术新颖度。</t>
        </is>
      </c>
    </row>
    <row r="4" ht="40" customHeight="1">
      <c r="A4" s="46" t="inlineStr">
        <is>
          <t>原ID</t>
        </is>
      </c>
      <c r="B4" s="46" t="inlineStr">
        <is>
          <t>原验证主题</t>
        </is>
      </c>
      <c r="C4" s="46" t="inlineStr">
        <is>
          <t>审计动作</t>
        </is>
      </c>
      <c r="D4" s="46" t="inlineStr">
        <is>
          <t>归并到V1.5</t>
        </is>
      </c>
      <c r="E4" s="46" t="inlineStr">
        <is>
          <t>关联IR</t>
        </is>
      </c>
      <c r="F4" s="46" t="inlineStr">
        <is>
          <t>审计理由</t>
        </is>
      </c>
      <c r="G4" s="46" t="inlineStr">
        <is>
          <t>是否仍占立项前名额</t>
        </is>
      </c>
      <c r="H4" s="46" t="inlineStr">
        <is>
          <t>处理结论</t>
        </is>
      </c>
    </row>
    <row r="5" ht="15" customHeight="1">
      <c r="A5" s="47" t="inlineStr">
        <is>
          <t>BVG-01</t>
        </is>
      </c>
      <c r="B5" s="22" t="inlineStr">
        <is>
          <t>真实工作负载前缀复用分布与理论收益上限</t>
        </is>
      </c>
      <c r="C5" s="47" t="inlineStr">
        <is>
          <t>合并</t>
        </is>
      </c>
      <c r="D5" s="47" t="inlineStr">
        <is>
          <t>PVT-00</t>
        </is>
      </c>
      <c r="E5" s="47" t="inlineStr">
        <is>
          <t>IR-02-03、IR-02-11、IR-02-12</t>
        </is>
      </c>
      <c r="F5" s="22" t="inlineStr">
        <is>
          <t>收益上限不是独立开发项，纳入共享基线与观测底座。</t>
        </is>
      </c>
      <c r="G5" s="47" t="inlineStr">
        <is>
          <t>是（已并包）</t>
        </is>
      </c>
      <c r="H5" s="47" t="inlineStr">
        <is>
          <t>由目标原型包统一交付</t>
        </is>
      </c>
    </row>
    <row r="6" ht="15" customHeight="1">
      <c r="A6" s="48" t="inlineStr">
        <is>
          <t>BVG-02</t>
        </is>
      </c>
      <c r="B6" s="23" t="inlineStr">
        <is>
          <t>Raw Hit→Usable Hit→实际复用的语义兼容损耗漏斗</t>
        </is>
      </c>
      <c r="C6" s="48" t="inlineStr">
        <is>
          <t>合并</t>
        </is>
      </c>
      <c r="D6" s="48" t="inlineStr">
        <is>
          <t>PVT-06</t>
        </is>
      </c>
      <c r="E6" s="48" t="inlineStr">
        <is>
          <t>IR-01-10、IR-01-11、IR-02-01、IR-02-05</t>
        </is>
      </c>
      <c r="F6" s="23" t="inlineStr">
        <is>
          <t>Usable Hit本质是消费资格与Attach正确性证据。</t>
        </is>
      </c>
      <c r="G6" s="48" t="inlineStr">
        <is>
          <t>是（已并包）</t>
        </is>
      </c>
      <c r="H6" s="48" t="inlineStr">
        <is>
          <t>由目标原型包统一交付</t>
        </is>
      </c>
    </row>
    <row r="7" ht="15" customHeight="1">
      <c r="A7" s="48" t="inlineStr">
        <is>
          <t>BVG-03</t>
        </is>
      </c>
      <c r="B7" s="23" t="inlineStr">
        <is>
          <t>端到端 TTFT 净收益预算与负收益命中护栏</t>
        </is>
      </c>
      <c r="C7" s="48" t="inlineStr">
        <is>
          <t>合并</t>
        </is>
      </c>
      <c r="D7" s="48" t="inlineStr">
        <is>
          <t>PVT-04/PVT-07</t>
        </is>
      </c>
      <c r="E7" s="48" t="inlineStr">
        <is>
          <t>IR-01-03、IR-02-02、IR-02-11</t>
        </is>
      </c>
      <c r="F7" s="23" t="inlineStr">
        <is>
          <t>净收益预算进入QueryPlan，最终由端到端最小闭环验证 (Vertical Slice)验收。</t>
        </is>
      </c>
      <c r="G7" s="48" t="inlineStr">
        <is>
          <t>是（已并包）</t>
        </is>
      </c>
      <c r="H7" s="48" t="inlineStr">
        <is>
          <t>由目标原型包统一交付</t>
        </is>
      </c>
    </row>
    <row r="8" ht="21.60000038146973" customHeight="1">
      <c r="A8" s="48" t="inlineStr">
        <is>
          <t>BVG-04</t>
        </is>
      </c>
      <c r="B8" s="23" t="inlineStr">
        <is>
          <t>长上下文下 HBM 有效容量、OOM/Preemption 与服务能力转化</t>
        </is>
      </c>
      <c r="C8" s="48" t="inlineStr">
        <is>
          <t>合并</t>
        </is>
      </c>
      <c r="D8" s="48" t="inlineStr">
        <is>
          <t>PVT-05</t>
        </is>
      </c>
      <c r="E8" s="48" t="inlineStr">
        <is>
          <t>IR-01-01、IR-02-08、IR-02-09</t>
        </is>
      </c>
      <c r="F8" s="23" t="inlineStr">
        <is>
          <t>容量、OOM与服务能力必须同一实验闭环。</t>
        </is>
      </c>
      <c r="G8" s="48" t="inlineStr">
        <is>
          <t>是（已并包）</t>
        </is>
      </c>
      <c r="H8" s="48" t="inlineStr">
        <is>
          <t>由目标原型包统一交付</t>
        </is>
      </c>
    </row>
    <row r="9" ht="15" customHeight="1">
      <c r="A9" s="48" t="inlineStr">
        <is>
          <t>BVG-05</t>
        </is>
      </c>
      <c r="B9" s="23" t="inlineStr">
        <is>
          <t>后台迁移/回源/预取对前台 TPOT 的前后台服务质量保障策略 (SemanticQoS)</t>
        </is>
      </c>
      <c r="C9" s="48" t="inlineStr">
        <is>
          <t>合并</t>
        </is>
      </c>
      <c r="D9" s="48" t="inlineStr">
        <is>
          <t>PVT-07</t>
        </is>
      </c>
      <c r="E9" s="48" t="inlineStr">
        <is>
          <t>IR-01-11、IR-02-06</t>
        </is>
      </c>
      <c r="F9" s="23" t="inlineStr">
        <is>
          <t>前后台服务质量保障策略 (SemanticQoS)是QoS与端到端收益同一门禁。</t>
        </is>
      </c>
      <c r="G9" s="48" t="inlineStr">
        <is>
          <t>是（已并包）</t>
        </is>
      </c>
      <c r="H9" s="48" t="inlineStr">
        <is>
          <t>由目标原型包统一交付</t>
        </is>
      </c>
    </row>
    <row r="10" ht="15" customHeight="1">
      <c r="A10" s="48" t="inlineStr">
        <is>
          <t>BVG-06</t>
        </is>
      </c>
      <c r="B10" s="23" t="inlineStr">
        <is>
          <t>KV 亲和路由：移动请求、移动 KV 与本地重算的收益边界</t>
        </is>
      </c>
      <c r="C10" s="48" t="inlineStr">
        <is>
          <t>合并</t>
        </is>
      </c>
      <c r="D10" s="48" t="inlineStr">
        <is>
          <t>PVT-04</t>
        </is>
      </c>
      <c r="E10" s="48" t="inlineStr">
        <is>
          <t>IR-01-03、IR-01-05、IR-02-02</t>
        </is>
      </c>
      <c r="F10" s="23" t="inlineStr">
        <is>
          <t>请求路由、位置选择和重算共同属于QueryPlan决策。</t>
        </is>
      </c>
      <c r="G10" s="48" t="inlineStr">
        <is>
          <t>是（已并包）</t>
        </is>
      </c>
      <c r="H10" s="48" t="inlineStr">
        <is>
          <t>由目标原型包统一交付</t>
        </is>
      </c>
    </row>
    <row r="11" ht="15" customHeight="1">
      <c r="A11" s="48" t="inlineStr">
        <is>
          <t>BVG-07</t>
        </is>
      </c>
      <c r="B11" s="23" t="inlineStr">
        <is>
          <t>部分前缀复用、预取与传输/计算重叠的有效收益</t>
        </is>
      </c>
      <c r="C11" s="48" t="inlineStr">
        <is>
          <t>合并</t>
        </is>
      </c>
      <c r="D11" s="48" t="inlineStr">
        <is>
          <t>PVT-06/PVT-07</t>
        </is>
      </c>
      <c r="E11" s="48" t="inlineStr">
        <is>
          <t>IR-01-04、IR-02-06、IR-02-10</t>
        </is>
      </c>
      <c r="F11" s="23" t="inlineStr">
        <is>
          <t>部分复用先验证消费正确性，再在端到端最小闭环验证 (Vertical Slice)验证重叠收益。</t>
        </is>
      </c>
      <c r="G11" s="48" t="inlineStr">
        <is>
          <t>是（已并包）</t>
        </is>
      </c>
      <c r="H11" s="48" t="inlineStr">
        <is>
          <t>由目标原型包统一交付</t>
        </is>
      </c>
    </row>
    <row r="12" ht="15" customHeight="1">
      <c r="A12" s="48" t="inlineStr">
        <is>
          <t>BVG-08</t>
        </is>
      </c>
      <c r="B12" s="23" t="inlineStr">
        <is>
          <t>DDR角色化使用的容量/带宽/成本净收益边界</t>
        </is>
      </c>
      <c r="C12" s="48" t="inlineStr">
        <is>
          <t>合并</t>
        </is>
      </c>
      <c r="D12" s="48" t="inlineStr">
        <is>
          <t>PVT-05</t>
        </is>
      </c>
      <c r="E12" s="48" t="inlineStr">
        <is>
          <t>IR-01-01、IR-02-08、IR-02-09</t>
        </is>
      </c>
      <c r="F12" s="23" t="inlineStr">
        <is>
          <t>DDR价值是统一分层容量实验的一组A/B，不应单列项目。</t>
        </is>
      </c>
      <c r="G12" s="48" t="inlineStr">
        <is>
          <t>是（已并包）</t>
        </is>
      </c>
      <c r="H12" s="48" t="inlineStr">
        <is>
          <t>由目标原型包统一交付</t>
        </is>
      </c>
    </row>
    <row r="13" ht="15" customHeight="1">
      <c r="A13" s="48" t="inlineStr">
        <is>
          <t>KTP-01</t>
        </is>
      </c>
      <c r="B13" s="23" t="inlineStr">
        <is>
          <t>全局PrefixDirectory大表结构、部署与UBMEM访问</t>
        </is>
      </c>
      <c r="C13" s="48" t="inlineStr">
        <is>
          <t>合并</t>
        </is>
      </c>
      <c r="D13" s="48" t="inlineStr">
        <is>
          <t>PVT-03</t>
        </is>
      </c>
      <c r="E13" s="48" t="inlineStr">
        <is>
          <t>IR-01-07、IR-02-05</t>
        </is>
      </c>
      <c r="F13" s="23" t="inlineStr">
        <is>
          <t>PrefixDirectory与block_table分别测，但共享UBMEM边界原型。</t>
        </is>
      </c>
      <c r="G13" s="48" t="inlineStr">
        <is>
          <t>是（已并包）</t>
        </is>
      </c>
      <c r="H13" s="48" t="inlineStr">
        <is>
          <t>由目标原型包统一交付</t>
        </is>
      </c>
    </row>
    <row r="14" ht="15" customHeight="1">
      <c r="A14" s="48" t="inlineStr">
        <is>
          <t>KTP-02</t>
        </is>
      </c>
      <c r="B14" s="23" t="inlineStr">
        <is>
          <t>vLLM block_table元数据的UBMEM/共享内存语义访问</t>
        </is>
      </c>
      <c r="C14" s="48" t="inlineStr">
        <is>
          <t>合并</t>
        </is>
      </c>
      <c r="D14" s="48" t="inlineStr">
        <is>
          <t>PVT-03</t>
        </is>
      </c>
      <c r="E14" s="48" t="inlineStr">
        <is>
          <t>IR-01-07、IR-02-04、IR-02-10</t>
        </is>
      </c>
      <c r="F14" s="23" t="inlineStr">
        <is>
          <t>与目录同属对象类型差异化的view/copy边界。</t>
        </is>
      </c>
      <c r="G14" s="48" t="inlineStr">
        <is>
          <t>是（已并包）</t>
        </is>
      </c>
      <c r="H14" s="48" t="inlineStr">
        <is>
          <t>由目标原型包统一交付</t>
        </is>
      </c>
    </row>
    <row r="15" ht="21.60000038146973" customHeight="1">
      <c r="A15" s="48" t="inlineStr">
        <is>
          <t>KTP-03</t>
        </is>
      </c>
      <c r="B15" s="23" t="inlineStr">
        <is>
          <t>HBM↔SSD direct主路径、DDR选择性路径与Host参与度矩阵</t>
        </is>
      </c>
      <c r="C15" s="48" t="inlineStr">
        <is>
          <t>合并</t>
        </is>
      </c>
      <c r="D15" s="48" t="inlineStr">
        <is>
          <t>PVT-01</t>
        </is>
      </c>
      <c r="E15" s="48" t="inlineStr">
        <is>
          <t>IR-01-06、IR-01-08、IR-01-09</t>
        </is>
      </c>
      <c r="F15" s="23" t="inlineStr">
        <is>
          <t>数据路径、DDR旁路与Host参与必须与可见性/完整性一起判断。</t>
        </is>
      </c>
      <c r="G15" s="48" t="inlineStr">
        <is>
          <t>是（已并包）</t>
        </is>
      </c>
      <c r="H15" s="48" t="inlineStr">
        <is>
          <t>由目标原型包统一交付</t>
        </is>
      </c>
    </row>
    <row r="16" ht="21.60000038146973" customHeight="1">
      <c r="A16" s="48" t="inlineStr">
        <is>
          <t>KTP-04</t>
        </is>
      </c>
      <c r="B16" s="23" t="inlineStr">
        <is>
          <t>跨HBM/SSD/DDR/UBMEM/URMA的completion-fence-ready与分路径完整性链</t>
        </is>
      </c>
      <c r="C16" s="48" t="inlineStr">
        <is>
          <t>合并</t>
        </is>
      </c>
      <c r="D16" s="48" t="inlineStr">
        <is>
          <t>PVT-01</t>
        </is>
      </c>
      <c r="E16" s="48" t="inlineStr">
        <is>
          <t>IR-01-11、IR-01-12</t>
        </is>
      </c>
      <c r="F16" s="23" t="inlineStr">
        <is>
          <t>completion/fence/ready是每条物理路径的正确性证据。</t>
        </is>
      </c>
      <c r="G16" s="48" t="inlineStr">
        <is>
          <t>是（已并包）</t>
        </is>
      </c>
      <c r="H16" s="48" t="inlineStr">
        <is>
          <t>由目标原型包统一交付</t>
        </is>
      </c>
    </row>
    <row r="17" ht="21.60000038146973" customHeight="1">
      <c r="A17" s="48" t="inlineStr">
        <is>
          <t>KTP-05</t>
        </is>
      </c>
      <c r="B17" s="23" t="inlineStr">
        <is>
          <t>组件消息通道使用UBMEM/URMA的适用边界</t>
        </is>
      </c>
      <c r="C17" s="48" t="inlineStr">
        <is>
          <t>移出</t>
        </is>
      </c>
      <c r="D17" s="48" t="inlineStr">
        <is>
          <t>正式项目性能Backlog</t>
        </is>
      </c>
      <c r="E17" s="48" t="inlineStr">
        <is>
          <t>可弱关联IR-02-01，但不构成立项门禁</t>
        </is>
      </c>
      <c r="F17" s="23" t="inlineStr">
        <is>
          <t>组件消息通道换成UBMEM/URMA不是关键IR成功前提；只有测得控制消息成为瓶颈后再优化。</t>
        </is>
      </c>
      <c r="G17" s="48" t="inlineStr">
        <is>
          <t>否</t>
        </is>
      </c>
      <c r="H17" s="48" t="inlineStr">
        <is>
          <t>转正式项目性能Backlog</t>
        </is>
      </c>
    </row>
    <row r="18" ht="15" customHeight="1">
      <c r="A18" s="48" t="inlineStr">
        <is>
          <t>KTP-06</t>
        </is>
      </c>
      <c r="B18" s="23" t="inlineStr">
        <is>
          <t>成本感知KV剔除/准入算法的离线回放</t>
        </is>
      </c>
      <c r="C18" s="48" t="inlineStr">
        <is>
          <t>合并</t>
        </is>
      </c>
      <c r="D18" s="48" t="inlineStr">
        <is>
          <t>PVT-05</t>
        </is>
      </c>
      <c r="E18" s="48" t="inlineStr">
        <is>
          <t>IR-01-01、IR-02-08、IR-02-09</t>
        </is>
      </c>
      <c r="F18" s="23" t="inlineStr">
        <is>
          <t>淘汰算法与分层容量/生命周期共享trace和目标函数。</t>
        </is>
      </c>
      <c r="G18" s="48" t="inlineStr">
        <is>
          <t>是（已并包）</t>
        </is>
      </c>
      <c r="H18" s="48" t="inlineStr">
        <is>
          <t>由目标原型包统一交付</t>
        </is>
      </c>
    </row>
    <row r="19" ht="15" customHeight="1">
      <c r="A19" s="48" t="inlineStr">
        <is>
          <t>KTP-07</t>
        </is>
      </c>
      <c r="B19" s="23" t="inlineStr">
        <is>
          <t>KV升级/降级与DDR角色选择算法的影子回放</t>
        </is>
      </c>
      <c r="C19" s="48" t="inlineStr">
        <is>
          <t>合并</t>
        </is>
      </c>
      <c r="D19" s="48" t="inlineStr">
        <is>
          <t>PVT-05</t>
        </is>
      </c>
      <c r="E19" s="48" t="inlineStr">
        <is>
          <t>IR-01-01、IR-02-09</t>
        </is>
      </c>
      <c r="F19" s="23" t="inlineStr">
        <is>
          <t>升级/降级策略不能脱离DDR角色和物理成本独立验证。</t>
        </is>
      </c>
      <c r="G19" s="48" t="inlineStr">
        <is>
          <t>是（已并包）</t>
        </is>
      </c>
      <c r="H19" s="48" t="inlineStr">
        <is>
          <t>由目标原型包统一交付</t>
        </is>
      </c>
    </row>
    <row r="20" ht="15" customHeight="1">
      <c r="A20" s="48" t="inlineStr">
        <is>
          <t>KTP-08</t>
        </is>
      </c>
      <c r="B20" s="23" t="inlineStr">
        <is>
          <t>QueryPlan驱动的load-vs-recompute与SSD命中净收益判定</t>
        </is>
      </c>
      <c r="C20" s="48" t="inlineStr">
        <is>
          <t>合并</t>
        </is>
      </c>
      <c r="D20" s="48" t="inlineStr">
        <is>
          <t>PVT-04</t>
        </is>
      </c>
      <c r="E20" s="48" t="inlineStr">
        <is>
          <t>IR-01-03、IR-02-02</t>
        </is>
      </c>
      <c r="F20" s="23" t="inlineStr">
        <is>
          <t>load-vs-recompute是QueryPlan核心，不单独设项。</t>
        </is>
      </c>
      <c r="G20" s="48" t="inlineStr">
        <is>
          <t>是（已并包）</t>
        </is>
      </c>
      <c r="H20" s="48" t="inlineStr">
        <is>
          <t>由目标原型包统一交付</t>
        </is>
      </c>
    </row>
    <row r="21" ht="21.60000038146973" customHeight="1">
      <c r="A21" s="48" t="inlineStr">
        <is>
          <t>KTP-09</t>
        </is>
      </c>
      <c r="B21" s="23" t="inlineStr">
        <is>
          <t>KV布局→SSD segment/ExtentManifest→Descriptor的直达与批量提交</t>
        </is>
      </c>
      <c r="C21" s="48" t="inlineStr">
        <is>
          <t>保留并扩展</t>
        </is>
      </c>
      <c r="D21" s="48" t="inlineStr">
        <is>
          <t>PVT-02</t>
        </is>
      </c>
      <c r="E21" s="48" t="inlineStr">
        <is>
          <t>IR-01-02、IR-01-04</t>
        </is>
      </c>
      <c r="F21" s="23" t="inlineStr">
        <is>
          <t>该项直接决定IR-01-02是否成立，并补入异步流水。</t>
        </is>
      </c>
      <c r="G21" s="48" t="inlineStr">
        <is>
          <t>是（已并包）</t>
        </is>
      </c>
      <c r="H21" s="48" t="inlineStr">
        <is>
          <t>由目标原型包统一交付</t>
        </is>
      </c>
    </row>
    <row r="22" ht="15" customHeight="1">
      <c r="A22" s="48" t="inlineStr">
        <is>
          <t>KTP-10</t>
        </is>
      </c>
      <c r="B22" s="23" t="inlineStr">
        <is>
          <t>UB/C2C direct-view与copy-to-HBM边界</t>
        </is>
      </c>
      <c r="C22" s="48" t="inlineStr">
        <is>
          <t>合并且标证伪</t>
        </is>
      </c>
      <c r="D22" s="48" t="inlineStr">
        <is>
          <t>PVT-03</t>
        </is>
      </c>
      <c r="E22" s="48" t="inlineStr">
        <is>
          <t>IR-01-07、IR-02-09</t>
        </is>
      </c>
      <c r="F22" s="23" t="inlineStr">
        <is>
          <t>direct-view不能按数据/元数据混为一谈，目标是证伪默认decode direct-view。</t>
        </is>
      </c>
      <c r="G22" s="48" t="inlineStr">
        <is>
          <t>是（已并包）</t>
        </is>
      </c>
      <c r="H22" s="48" t="inlineStr">
        <is>
          <t>由目标原型包统一交付</t>
        </is>
      </c>
    </row>
    <row r="23" ht="15" customHeight="1">
      <c r="A23" s="48" t="inlineStr">
        <is>
          <t>KTP-11</t>
        </is>
      </c>
      <c r="B23" s="23" t="inlineStr">
        <is>
          <t>SSD回源/DDR预取/迁移与前台load/decode的硬件QoS隔离</t>
        </is>
      </c>
      <c r="C23" s="48" t="inlineStr">
        <is>
          <t>保留并扩展</t>
        </is>
      </c>
      <c r="D23" s="48" t="inlineStr">
        <is>
          <t>PVT-07</t>
        </is>
      </c>
      <c r="E23" s="48" t="inlineStr">
        <is>
          <t>IR-01-11、IR-02-06</t>
        </is>
      </c>
      <c r="F23" s="23" t="inlineStr">
        <is>
          <t>QoS必须与计算传输重叠和端到端TTFT/TPOT共同验收。</t>
        </is>
      </c>
      <c r="G23" s="48" t="inlineStr">
        <is>
          <t>是（已并包）</t>
        </is>
      </c>
      <c r="H23" s="48" t="inlineStr">
        <is>
          <t>由目标原型包统一交付</t>
        </is>
      </c>
    </row>
    <row r="24" ht="21.60000038146973" customHeight="1">
      <c r="A24" s="48" t="inlineStr">
        <is>
          <t>KTP-12</t>
        </is>
      </c>
      <c r="B24" s="23" t="inlineStr">
        <is>
          <t>Capability/Topology驱动的图式多语义路径选择与tier bypass</t>
        </is>
      </c>
      <c r="C24" s="48" t="inlineStr">
        <is>
          <t>合并</t>
        </is>
      </c>
      <c r="D24" s="48" t="inlineStr">
        <is>
          <t>PVT-04</t>
        </is>
      </c>
      <c r="E24" s="48" t="inlineStr">
        <is>
          <t>IR-01-03、IR-01-05、IR-01-09</t>
        </is>
      </c>
      <c r="F24" s="23" t="inlineStr">
        <is>
          <t>能力/拓扑路由是PlacementResolver的输入，不单列一套router原型。</t>
        </is>
      </c>
      <c r="G24" s="48" t="inlineStr">
        <is>
          <t>是（已并包）</t>
        </is>
      </c>
      <c r="H24" s="48" t="inlineStr">
        <is>
          <t>由目标原型包统一交付</t>
        </is>
      </c>
    </row>
    <row r="25" ht="15" customHeight="1">
      <c r="A25" s="48" t="inlineStr">
        <is>
          <t>KTP-13</t>
        </is>
      </c>
      <c r="B25" s="23" t="inlineStr">
        <is>
          <t>DPU/NPU/存储设备硬件原生KVCache压缩/解压</t>
        </is>
      </c>
      <c r="C25" s="48" t="inlineStr">
        <is>
          <t>升级为必须验证包</t>
        </is>
      </c>
      <c r="D25" s="48" t="inlineStr">
        <is>
          <t>PVT-09</t>
        </is>
      </c>
      <c r="E25" s="48" t="inlineStr">
        <is>
          <t>IR-01-08、IR-01-09</t>
        </is>
      </c>
      <c r="F25" s="23" t="inlineStr">
        <is>
          <t>DPU硬件安全与算力卸载加速 vs Raw Direct双轨体系，布局Fly-in-line扩展</t>
        </is>
      </c>
      <c r="G25" s="48" t="inlineStr">
        <is>
          <t>是 (PVT-09)</t>
        </is>
      </c>
      <c r="H25" s="48" t="inlineStr">
        <is>
          <t>保留证据，不预占人力</t>
        </is>
      </c>
    </row>
    <row r="26" ht="15" customHeight="1">
      <c r="A26" s="48" t="inlineStr">
        <is>
          <t>KTP-14</t>
        </is>
      </c>
      <c r="B26" s="23" t="inlineStr">
        <is>
          <t>多消费者一次加载与1→N多播/节点级fanout</t>
        </is>
      </c>
      <c r="C26" s="48" t="inlineStr">
        <is>
          <t>升级为必须验证包</t>
        </is>
      </c>
      <c r="D26" s="48" t="inlineStr">
        <is>
          <t>PVT-08</t>
        </is>
      </c>
      <c r="E26" s="48" t="inlineStr">
        <is>
          <t>IR-01-04、IR-01-10</t>
        </is>
      </c>
      <c r="F26" s="23" t="inlineStr">
        <is>
          <t>覆盖公共提示词广播、Multi-Agent与1P-to-ND分发场景，升级为必做项</t>
        </is>
      </c>
      <c r="G26" s="48" t="inlineStr">
        <is>
          <t>是 (PVT-08)</t>
        </is>
      </c>
      <c r="H26" s="48" t="inlineStr">
        <is>
          <t>保留证据，不预占人力</t>
        </is>
      </c>
    </row>
    <row r="27" ht="15" customHeight="1">
      <c r="A27" s="48" t="inlineStr">
        <is>
          <t>KTP-15</t>
        </is>
      </c>
      <c r="B27" s="23" t="inlineStr">
        <is>
          <t>迁移/压紧期间的RCU与atomic remap/page migration</t>
        </is>
      </c>
      <c r="C27" s="48" t="inlineStr">
        <is>
          <t>条件保留/证伪</t>
        </is>
      </c>
      <c r="D27" s="48" t="inlineStr">
        <is>
          <t>CVT-01</t>
        </is>
      </c>
      <c r="E27" s="48" t="inlineStr">
        <is>
          <t>IR-01-01、IR-01-11、IR-01-12</t>
        </is>
      </c>
      <c r="F27" s="23" t="inlineStr">
        <is>
          <t>原CVT-02重新编号为CVT-01，验证软件RCU机制以证伪硬件AtomicRemap芯片依赖</t>
        </is>
      </c>
      <c r="G27" s="48" t="inlineStr">
        <is>
          <t>条件触发 (CVT-01)</t>
        </is>
      </c>
      <c r="H27" s="48" t="inlineStr">
        <is>
          <t>保留证据，不预占人力</t>
        </is>
      </c>
    </row>
    <row r="28" ht="15" customHeight="1">
      <c r="A28" s="48" t="inlineStr">
        <is>
          <t>KTP-16</t>
        </is>
      </c>
      <c r="B28" s="23" t="inlineStr">
        <is>
          <t>DPU卸载CQ/路由/硬件变换控制路径</t>
        </is>
      </c>
      <c r="C28" s="48" t="inlineStr">
        <is>
          <t>升级为必须验证包</t>
        </is>
      </c>
      <c r="D28" s="48" t="inlineStr">
        <is>
          <t>PVT-09</t>
        </is>
      </c>
      <c r="E28" s="48" t="inlineStr">
        <is>
          <t>IR-01-08、IR-01-09</t>
        </is>
      </c>
      <c r="F28" s="23" t="inlineStr">
        <is>
          <t>DPU硬件卸载与500µs无缝降级，并入PVT-09双轨验证</t>
        </is>
      </c>
      <c r="G28" s="48" t="inlineStr">
        <is>
          <t>是 (PVT-09)</t>
        </is>
      </c>
      <c r="H28" s="48" t="inlineStr">
        <is>
          <t>保留证据，不预占人力</t>
        </is>
      </c>
    </row>
    <row r="29" ht="21.60000038146973" customHeight="1">
      <c r="A29" s="48" t="inlineStr">
        <is>
          <t>KTP-17</t>
        </is>
      </c>
      <c r="B29" s="23" t="inlineStr">
        <is>
          <t>DDR角色化使用与净收益边界：热点KV、远端DDR、预取/突发缓冲</t>
        </is>
      </c>
      <c r="C29" s="48" t="inlineStr">
        <is>
          <t>合并</t>
        </is>
      </c>
      <c r="D29" s="48" t="inlineStr">
        <is>
          <t>PVT-05</t>
        </is>
      </c>
      <c r="E29" s="48" t="inlineStr">
        <is>
          <t>IR-01-01、IR-02-08、IR-02-09</t>
        </is>
      </c>
      <c r="F29" s="23" t="inlineStr">
        <is>
          <t>DDR角色是分层容量的一组决策变量。</t>
        </is>
      </c>
      <c r="G29" s="48" t="inlineStr">
        <is>
          <t>是（已并包）</t>
        </is>
      </c>
      <c r="H29" s="48" t="inlineStr">
        <is>
          <t>由目标原型包统一交付</t>
        </is>
      </c>
    </row>
  </sheetData>
  <mergeCells count="2">
    <mergeCell ref="A2:H2"/>
    <mergeCell ref="A1:H1"/>
  </mergeCells>
  <conditionalFormatting sqref="C5:C29">
    <cfRule type="containsText" priority="1" operator="containsText" dxfId="4" text="移出"/>
    <cfRule type="containsText" priority="2" operator="containsText" dxfId="1" text="条件"/>
    <cfRule type="containsText" priority="3" operator="containsText" dxfId="0" text="保留并扩展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34" customWidth="1" min="3" max="3"/>
    <col width="46" customWidth="1" min="4" max="4"/>
    <col width="50" customWidth="1" min="5" max="5"/>
    <col width="42" customWidth="1" min="6" max="6"/>
    <col width="34" customWidth="1" min="7" max="7"/>
    <col width="15" customWidth="1" min="8" max="8"/>
    <col width="44" customWidth="1" min="9" max="9"/>
    <col width="38" customWidth="1" min="10" max="10"/>
    <col width="38" customWidth="1" min="11" max="11"/>
    <col width="34" customWidth="1" min="12" max="12"/>
    <col width="24" customWidth="1" min="13" max="13"/>
  </cols>
  <sheetData>
    <row r="1" ht="30" customHeight="1">
      <c r="A1" s="39" t="inlineStr">
        <is>
          <t>立项前向技术/项目/人力主管提交的证据包模板（10 PVT + 1 CVT 全量覆盖）</t>
        </is>
      </c>
    </row>
    <row r="2" ht="36" customHeight="1">
      <c r="A2" s="41" t="inlineStr">
        <is>
          <t>本表是执行与评审模板，不预填不存在的结果；每个 PVT 完成后必须以可复现证据关闭 E0–E3，并保留最佳开源基线、关键消融和计划/实际路径对账。</t>
        </is>
      </c>
    </row>
    <row r="4" ht="40" customHeight="1">
      <c r="A4" s="46" t="inlineStr">
        <is>
          <t>验证ID</t>
        </is>
      </c>
      <c r="B4" s="46" t="inlineStr">
        <is>
          <t>要证明的关键问题</t>
        </is>
      </c>
      <c r="C4" s="46" t="inlineStr">
        <is>
          <t>依赖的关键IR</t>
        </is>
      </c>
      <c r="D4" s="46" t="inlineStr">
        <is>
          <t>原型资产</t>
        </is>
      </c>
      <c r="E4" s="46" t="inlineStr">
        <is>
          <t>必须提交的原始证据</t>
        </is>
      </c>
      <c r="F4" s="46" t="inlineStr">
        <is>
          <t>结果摘要</t>
        </is>
      </c>
      <c r="G4" s="46" t="inlineStr">
        <is>
          <t>指标结果</t>
        </is>
      </c>
      <c r="H4" s="46" t="inlineStr">
        <is>
          <t>结论</t>
        </is>
      </c>
      <c r="I4" s="46" t="inlineStr">
        <is>
          <t>对架构的影响</t>
        </is>
      </c>
      <c r="J4" s="46" t="inlineStr">
        <is>
          <t>对范围/里程碑的影响</t>
        </is>
      </c>
      <c r="K4" s="46" t="inlineStr">
        <is>
          <t>对人员技能/数量的影响</t>
        </is>
      </c>
      <c r="L4" s="46" t="inlineStr">
        <is>
          <t>证据位置/Commit</t>
        </is>
      </c>
      <c r="M4" s="46" t="inlineStr">
        <is>
          <t>评审签字</t>
        </is>
      </c>
    </row>
    <row r="5" ht="92" customHeight="1">
      <c r="A5" s="56" t="inlineStr">
        <is>
          <t>PVT-00</t>
        </is>
      </c>
      <c r="B5" s="57" t="inlineStr">
        <is>
          <t>【E0 业务收益前提】目标业务是否存在显著 Saved-Prefill 净收益；MLA (512B) 与 MHA (320KB) 在各复用率下的协议加速边界。</t>
        </is>
      </c>
      <c r="C5" s="56" t="inlineStr">
        <is>
          <t>IR-02-11、IR-02-12</t>
        </is>
      </c>
      <c r="D5" s="57" t="inlineStr">
        <is>
          <t>直接演进为 IR-02-11 的 telemetry/trace 与 IR-02-12 的 CI 性能基线。</t>
        </is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92" customHeight="1">
      <c r="A6" s="58" t="inlineStr">
        <is>
          <t>PVT-01</t>
        </is>
      </c>
      <c r="B6" s="59" t="inlineStr">
        <is>
          <t>【E1 物理传输底座】CANN P2P Pinning、800G URMA/UBMEM 与 NVMe 直达能否确立 Host CPU 零数据拷贝（Host Payload Touch Bytes 严格为 0）。</t>
        </is>
      </c>
      <c r="C6" s="58" t="inlineStr">
        <is>
          <t>IR-01-06、IR-01-08、IR-01-09、IR-01-12</t>
        </is>
      </c>
      <c r="D6" s="59" t="inlineStr">
        <is>
          <t>探针、注册池、句柄和 microbench 进入正式 Backend Provider。</t>
        </is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</row>
    <row r="7" ht="92" customHeight="1">
      <c r="A7" s="58" t="inlineStr">
        <is>
          <t>PVT-02</t>
        </is>
      </c>
      <c r="B7" s="59" t="inlineStr">
        <is>
          <t>【E1 数据通路与流水】异构框架 Layout 能否被 C++ 描述符编译器高效贪心合并（压缩率 ≥ 50%），并打通跨节点 Layerwise 边算边传异步 DAG 重叠流水。</t>
        </is>
      </c>
      <c r="C7" s="58" t="inlineStr">
        <is>
          <t>IR-01-02、IR-01-04</t>
        </is>
      </c>
      <c r="D7" s="59" t="inlineStr">
        <is>
          <t>原型代码直接进入 Transfer Manager 的 Descriptor/Async DAG 子模块。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92" customHeight="1">
      <c r="A8" s="58" t="inlineStr">
        <is>
          <t>PVT-03</t>
        </is>
      </c>
      <c r="B8" s="59" t="inlineStr">
        <is>
          <t>【E1/E2 路径与决策边界】测定 Direct-View 与 Copy-to-HBM 的 Crossover 临界点；实测证伪 Decode 活跃 KV 直读；ViewGuard 实现 100% SIGBUS 捕获与安全回滚。</t>
        </is>
      </c>
      <c r="C8" s="58" t="inlineStr">
        <is>
          <t>IR-01-07、IR-02-04、IR-02-05</t>
        </is>
      </c>
      <c r="D8" s="59" t="inlineStr">
        <is>
          <t>DirectViewGuard、对象分类与探针进入正式 View/Copy cost model。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</row>
    <row r="9" ht="92" customHeight="1">
      <c r="A9" s="58" t="inlineStr">
        <is>
          <t>PVT-04</t>
        </is>
      </c>
      <c r="B9" s="59" t="inlineStr">
        <is>
          <t>【E2 动态调度决策】微秒级动态决策引擎能否在 P99 &lt; 5µs 内识别正收益命中，覆盖 MLA 与 MHA 成本模型，负收益拦截率 100%，错误决策率 &lt; 1%。</t>
        </is>
      </c>
      <c r="C9" s="58" t="inlineStr">
        <is>
          <t>IR-01-03、IR-01-05</t>
        </is>
      </c>
      <c r="D9" s="59" t="inlineStr">
        <is>
          <t>原型直接演进为 PolicyEngine/PlacementResolver，复用 telemetry。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</row>
    <row r="10" ht="92" customHeight="1">
      <c r="A10" s="58" t="inlineStr">
        <is>
          <t>PVT-05</t>
        </is>
      </c>
      <c r="B10" s="59" t="inlineStr">
        <is>
          <t>【E2 分层扩容与容量】HBM-SSD io_uring FIXED 裸盘直达容量主路径能否在 150% 显存超载下提升可服务容量 ≥ 30%，OOM 降低 ≥ 50%，全程 Bypass DDR。</t>
        </is>
      </c>
      <c r="C10" s="58" t="inlineStr">
        <is>
          <t>IR-01-01、IR-02-08、IR-02-09</t>
        </is>
      </c>
      <c r="D10" s="59" t="inlineStr">
        <is>
          <t>回放器与策略接口进入 TierManager，冻结硬件容量投入边界。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</row>
    <row r="11" ht="92" customHeight="1">
      <c r="A11" s="58" t="inlineStr">
        <is>
          <t>PVT-06</t>
        </is>
      </c>
      <c r="B11" s="59" t="inlineStr">
        <is>
          <t>【E1 语义强校验与多卡共识】6 维语义（模型/词表/模板/LoRA/Ready/Lease）微秒级强校验拦截率 100%；TP=8 多卡 POSIX 共享内存状态同步耗时 P99 &lt; 100µs。</t>
        </is>
      </c>
      <c r="C11" s="58" t="inlineStr">
        <is>
          <t>IR-01-10、IR-01-11、IR-02-01、IR-02-05</t>
        </is>
      </c>
      <c r="D11" s="59" t="inlineStr">
        <is>
          <t>协议、判定器、golden cases 与 fault tests 进入 Connector/Directory 正式模块。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</row>
    <row r="12" ht="92" customHeight="1">
      <c r="A12" s="58" t="inlineStr">
        <is>
          <t>PVT-07</t>
        </is>
      </c>
      <c r="B12" s="59" t="inlineStr">
        <is>
          <t>【E3 全链路混压总门禁】2 节点真实集群前台在线推理 + 后台 400G I/O 满载混压下，全链路 P99 TTFT 降低 ≥ 20%，QPS 提升 ≥ 10%，前台 P99 TPOT 干扰率 &lt; 3%。</t>
        </is>
      </c>
      <c r="C12" s="58" t="inlineStr">
        <is>
          <t>IR-01-04、IR-01-11、IR-02-06</t>
        </is>
      </c>
      <c r="D12" s="59" t="inlineStr">
        <is>
          <t>端到端最小闭环成为首个系统串联与回归场景；QoS 分类与接口进入正式系统。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</row>
    <row r="13">
      <c r="A13" s="60" t="inlineStr">
        <is>
          <t>PVT-08</t>
        </is>
      </c>
      <c r="B13" s="61" t="inlineStr">
        <is>
          <t>【E1 拓展组播拓扑】1-to-N 组播分发在公共提示词广播、Multi-Agent 与 1P-to-ND 场景下，软件 Staging 组播相比单播源端带宽节省 ≥ 60%，传输耗时降 ≥ 40%。</t>
        </is>
      </c>
      <c r="C13" s="60" t="inlineStr">
        <is>
          <t>IR-01-04、IR-01-10</t>
        </is>
      </c>
      <c r="D13" s="61" t="inlineStr">
        <is>
          <t>软件 Staging 拓扑管理与树状分发算法进入 Transfer Manager 组播子模块。</t>
        </is>
      </c>
    </row>
    <row r="14">
      <c r="A14" s="60" t="inlineStr">
        <is>
          <t>PVT-09</t>
        </is>
      </c>
      <c r="B14" s="61" t="inlineStr">
        <is>
          <t>【E1 底座与双轨协同】DPU 硬件线速 AES/CRC 卸载降低 CPU 占用 ≥ 30%；发生故障时在 &lt; 500µs 内无缝降级至 Raw Direct 裸机直达路径；布局 Fly-in-line 双轨手段。</t>
        </is>
      </c>
      <c r="C14" s="60" t="inlineStr">
        <is>
          <t>IR-01-08、IR-01-09、IR-01-12</t>
        </is>
      </c>
      <c r="D14" s="61" t="inlineStr">
        <is>
          <t>双轨切换引擎与安全卸载插件进入 Backend Provider 模块。</t>
        </is>
      </c>
    </row>
    <row r="15">
      <c r="A15" s="60" t="inlineStr">
        <is>
          <t>CVT-01</t>
        </is>
      </c>
      <c r="B15" s="61" t="inlineStr">
        <is>
          <t>【条件证伪门】在 32 并发 Reader 下，软件 RCU 显存整理读停顿时间 P99 &lt; 1ms，TPOT 抖动率 &lt; 3%，免除对专有硬件 AtomicRemap 芯片的强依赖。</t>
        </is>
      </c>
      <c r="C15" s="60" t="inlineStr">
        <is>
          <t>IR-01-01、IR-01-11、IR-01-12</t>
        </is>
      </c>
      <c r="D15" s="61" t="inlineStr">
        <is>
          <t>软件 RCU 原型作为显存整理与动态页迁移的正式核心机制保留。</t>
        </is>
      </c>
    </row>
    <row r="16"/>
  </sheetData>
  <mergeCells count="2">
    <mergeCell ref="A2:M2"/>
    <mergeCell ref="A1:M1"/>
  </mergeCells>
  <conditionalFormatting sqref="H5:H12">
    <cfRule type="containsText" priority="1" operator="containsText" dxfId="0" text="Go"/>
    <cfRule type="containsText" priority="2" operator="containsText" dxfId="1" text="Conditional"/>
    <cfRule type="containsText" priority="3" operator="containsText" dxfId="4" text="No-Go"/>
  </conditionalFormatting>
  <dataValidations count="1">
    <dataValidation sqref="H5:H12" showDropDown="0" showInputMessage="0" showErrorMessage="0" allowBlank="0" type="list">
      <formula1>"待判定,Go,Conditional,No-Go"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36" customWidth="1" min="4" max="4"/>
    <col width="46" customWidth="1" min="5" max="5"/>
    <col width="56" customWidth="1" min="6" max="6"/>
    <col width="50" customWidth="1" min="7" max="7"/>
    <col width="44" customWidth="1" min="8" max="8"/>
    <col width="34" customWidth="1" min="9" max="9"/>
  </cols>
  <sheetData>
    <row r="1" ht="30" customHeight="1">
      <c r="A1" s="39" t="inlineStr">
        <is>
          <t>建议实施波次、依赖关系与退出门（10 PVT + 1 CVT 优先级排期）</t>
        </is>
      </c>
    </row>
    <row r="2" ht="36" customHeight="1">
      <c r="A2" s="41" t="inlineStr">
        <is>
          <t>总日历建议 4～5 周；PVT 共享一套 harness、冻结 workload 与 2 节点环境，CVT 按触发执行。W0～W3 依次关闭 E0/E1、E1/E2、E2、E3，并在 W3 完成原生 Mooncake 开源基线与深度重构扩展版关键消融总对账。</t>
        </is>
      </c>
    </row>
    <row r="4" ht="40" customHeight="1">
      <c r="A4" s="46" t="inlineStr">
        <is>
          <t>波次</t>
        </is>
      </c>
      <c r="B4" s="46" t="inlineStr">
        <is>
          <t>周期</t>
        </is>
      </c>
      <c r="C4" s="46" t="inlineStr">
        <is>
          <t>验证包</t>
        </is>
      </c>
      <c r="D4" s="46" t="inlineStr">
        <is>
          <t>可并行关系</t>
        </is>
      </c>
      <c r="E4" s="46" t="inlineStr">
        <is>
          <t>进入条件</t>
        </is>
      </c>
      <c r="F4" s="46" t="inlineStr">
        <is>
          <t>统一退出门</t>
        </is>
      </c>
      <c r="G4" s="46" t="inlineStr">
        <is>
          <t>关键决策输出</t>
        </is>
      </c>
      <c r="H4" s="46" t="inlineStr">
        <is>
          <t>不做内容</t>
        </is>
      </c>
      <c r="I4" s="46" t="inlineStr">
        <is>
          <t>建议核心角色</t>
        </is>
      </c>
    </row>
    <row r="5" ht="84" customHeight="1">
      <c r="A5" s="22" t="inlineStr">
        <is>
          <t>W0 事实与基线</t>
        </is>
      </c>
      <c r="B5" s="22" t="inlineStr">
        <is>
          <t>第1周</t>
        </is>
      </c>
      <c r="C5" s="22" t="inlineStr">
        <is>
          <t>PVT-00 (🟡 P1)、PVT-01 (🟡 P1)</t>
        </is>
      </c>
      <c r="D5" s="22" t="inlineStr">
        <is>
          <t>trace/观测与硬件路径并行</t>
        </is>
      </c>
      <c r="E5" s="22" t="inlineStr">
        <is>
          <t>目标workload或固定替代集、代表硬件可用</t>
        </is>
      </c>
      <c r="F5" s="22" t="inlineStr">
        <is>
          <t>E0 收益上限与 E1 capability matrix 可复现；错误 KV 消费=0；计划/实际路径可对账</t>
        </is>
      </c>
      <c r="G5" s="22" t="inlineStr">
        <is>
          <t>首发场景、路径白名单、硬件/固件短板</t>
        </is>
      </c>
      <c r="H5" s="22" t="inlineStr">
        <is>
          <t>生产目录、完整池、CPU codec/CRC</t>
        </is>
      </c>
      <c r="I5" s="22" t="inlineStr">
        <is>
          <t>性能2、底层传输2、框架1</t>
        </is>
      </c>
    </row>
    <row r="6" ht="84" customHeight="1">
      <c r="A6" s="23" t="inlineStr">
        <is>
          <t>W1 语义与执行链</t>
        </is>
      </c>
      <c r="B6" s="23" t="inlineStr">
        <is>
          <t>第2~3周</t>
        </is>
      </c>
      <c r="C6" s="23" t="inlineStr">
        <is>
          <t>PVT-02 (🔴 P0)、PVT-03 (🟡 P1)、PVT-04 (🔴 P0)</t>
        </is>
      </c>
      <c r="D6" s="23" t="inlineStr">
        <is>
          <t>共享PVT-01路径与PVT-00 trace</t>
        </is>
      </c>
      <c r="E6" s="23" t="inlineStr">
        <is>
          <t>W0至少一条热路径和一条容量路径可用</t>
        </is>
      </c>
      <c r="F6" s="23" t="inlineStr">
        <is>
          <t>E1 描述符/直接访问路径成立，E2 QueryPlan 相对静态规则与消融版本形成可判定结论</t>
        </is>
      </c>
      <c r="G6" s="23" t="inlineStr">
        <is>
          <t>接口字段、direct-view边界、正收益白名单</t>
        </is>
      </c>
      <c r="H6" s="23" t="inlineStr">
        <is>
          <t>全后端、在线学习、生产router</t>
        </is>
      </c>
      <c r="I6" s="23" t="inlineStr">
        <is>
          <t>传输2、内存语义2、策略1、框架1</t>
        </is>
      </c>
    </row>
    <row r="7" ht="84" customHeight="1">
      <c r="A7" s="23" t="inlineStr">
        <is>
          <t>W2 容量与消费</t>
        </is>
      </c>
      <c r="B7" s="23" t="inlineStr">
        <is>
          <t>第3~4周</t>
        </is>
      </c>
      <c r="C7" s="23" t="inlineStr">
        <is>
          <t>PVT-05 (🔴 P0)、PVT-06 (🔴 P0)、PVT-08 (🟢 P2)、PVT-09 (🟡 P1)</t>
        </is>
      </c>
      <c r="D7" s="23" t="inlineStr">
        <is>
          <t>策略回放与消费正确性并行</t>
        </is>
      </c>
      <c r="E7" s="23" t="inlineStr">
        <is>
          <t>W0/W1成本和语义口径冻结</t>
        </is>
      </c>
      <c r="F7" s="23" t="inlineStr">
        <is>
          <t>E2 容量/消费决策闭环；容量转为服务能力；错误消费=0；DDR 角色可决策</t>
        </is>
      </c>
      <c r="G7" s="23" t="inlineStr">
        <is>
          <t>容量/采购建议、协议与fallback、P0范围</t>
        </is>
      </c>
      <c r="H7" s="23" t="inlineStr">
        <is>
          <t>生产tier manager、目录HA</t>
        </is>
      </c>
      <c r="I7" s="23" t="inlineStr">
        <is>
          <t>策略2、框架2、测试1</t>
        </is>
      </c>
    </row>
    <row r="8" ht="84" customHeight="1">
      <c r="A8" s="23" t="inlineStr">
        <is>
          <t>W3 全链路最小闭环总门禁</t>
        </is>
      </c>
      <c r="B8" s="23" t="inlineStr">
        <is>
          <t>第4~5周</t>
        </is>
      </c>
      <c r="C8" s="23" t="inlineStr">
        <is>
          <t>PVT-07 (🔴 P0, 全链路前后台混压端到端总门禁)</t>
        </is>
      </c>
      <c r="D8" s="23" t="inlineStr">
        <is>
          <t>串联前序最小实现</t>
        </is>
      </c>
      <c r="E8" s="23" t="inlineStr">
        <is>
          <t>PVT-01~06至少Conditional且有回退</t>
        </is>
      </c>
      <c r="F8" s="23" t="inlineStr">
        <is>
          <t>E3 相对最佳可行开源组合形成 TTFT/TPOT/QPS/NPU/容量/单位成本净收益结论</t>
        </is>
      </c>
      <c r="G8" s="23" t="inlineStr">
        <is>
          <t>项目Go/Conditional/No-Go、里程碑与人力基线</t>
        </is>
      </c>
      <c r="H8" s="23" t="inlineStr">
        <is>
          <t>生产QoS、多租户计费、全模型</t>
        </is>
      </c>
      <c r="I8" s="23" t="inlineStr">
        <is>
          <t>架构1、性能2、传输2、框架2、测试1</t>
        </is>
      </c>
    </row>
    <row r="9" ht="84" customHeight="1">
      <c r="A9" s="23" t="inlineStr">
        <is>
          <t>WC 条件证伪</t>
        </is>
      </c>
      <c r="B9" s="23" t="inlineStr">
        <is>
          <t>按触发</t>
        </is>
      </c>
      <c r="C9" s="23" t="inlineStr">
        <is>
          <t>CVT-01 (🟢 P2, 软件 RCU 证伪硬件 AtomicRemap)</t>
        </is>
      </c>
      <c r="D9" s="23" t="inlineStr">
        <is>
          <t>每项独立feature flag</t>
        </is>
      </c>
      <c r="E9" s="23" t="inlineStr">
        <is>
          <t>触发门满足且结论会改变设计/采购</t>
        </is>
      </c>
      <c r="F9" s="23" t="inlineStr">
        <is>
          <t>未达净收益或正确性门槛即旁路/关闭</t>
        </is>
      </c>
      <c r="G9" s="23" t="inlineStr">
        <is>
          <t>硬件多播/remap/DPU是否进入路线</t>
        </is>
      </c>
      <c r="H9" s="23" t="inlineStr">
        <is>
          <t>无触发证据的创新试验</t>
        </is>
      </c>
      <c r="I9" s="23" t="inlineStr">
        <is>
          <t>单项2~3名对应专家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40" customWidth="1" min="3" max="3"/>
    <col width="40" customWidth="1" min="4" max="4"/>
    <col width="38" customWidth="1" min="5" max="5"/>
    <col width="22" customWidth="1" min="6" max="6"/>
    <col width="20" customWidth="1" min="7" max="7"/>
  </cols>
  <sheetData>
    <row r="1" ht="30" customHeight="1">
      <c r="A1" s="39" t="inlineStr">
        <is>
          <t>提前验证项筛选、证伪与延续规则</t>
        </is>
      </c>
    </row>
    <row r="2" ht="36" customHeight="1">
      <c r="A2" s="41" t="inlineStr">
        <is>
          <t>防止把详细设计、完整产品开发或技术兴趣项包装成“提前验证”。</t>
        </is>
      </c>
    </row>
    <row r="4" ht="40" customHeight="1">
      <c r="A4" s="46" t="inlineStr">
        <is>
          <t>规则</t>
        </is>
      </c>
      <c r="B4" s="46" t="inlineStr">
        <is>
          <t>硬门槛</t>
        </is>
      </c>
      <c r="C4" s="46" t="inlineStr">
        <is>
          <t>通过示例</t>
        </is>
      </c>
      <c r="D4" s="46" t="inlineStr">
        <is>
          <t>不通过示例</t>
        </is>
      </c>
      <c r="E4" s="46" t="inlineStr">
        <is>
          <t>处理</t>
        </is>
      </c>
      <c r="F4" s="46" t="inlineStr">
        <is>
          <t>评审责任人</t>
        </is>
      </c>
      <c r="G4" s="46" t="inlineStr">
        <is>
          <t>检查频率</t>
        </is>
      </c>
    </row>
    <row r="5" ht="72" customHeight="1">
      <c r="A5" s="22" t="inlineStr">
        <is>
          <t>IR关联</t>
        </is>
      </c>
      <c r="B5" s="22" t="inlineStr">
        <is>
          <t>至少1条明确IR；必须说明为何决定IR成败</t>
        </is>
      </c>
      <c r="C5" s="22" t="inlineStr">
        <is>
          <t>PVT-02→IR-01-02/04</t>
        </is>
      </c>
      <c r="D5" s="22" t="inlineStr">
        <is>
          <t>消息通道换实现但不改变IR结果</t>
        </is>
      </c>
      <c r="E5" s="22" t="inlineStr">
        <is>
          <t>无强关联则移出</t>
        </is>
      </c>
      <c r="F5" s="22" t="inlineStr">
        <is>
          <t>架构师</t>
        </is>
      </c>
      <c r="G5" s="22" t="inlineStr">
        <is>
          <t>立项前/变更时</t>
        </is>
      </c>
    </row>
    <row r="6" ht="72" customHeight="1">
      <c r="A6" s="23" t="inlineStr">
        <is>
          <t>问题关键性</t>
        </is>
      </c>
      <c r="B6" s="23" t="inlineStr">
        <is>
          <t>失败会改变架构、首发范围、硬件采购、里程碑或人力</t>
        </is>
      </c>
      <c r="C6" s="23" t="inlineStr">
        <is>
          <t>SSD路径Host CPU 零数据拷贝对账不可控</t>
        </is>
      </c>
      <c r="D6" s="23" t="inlineStr">
        <is>
          <t>局部日志格式优化</t>
        </is>
      </c>
      <c r="E6" s="23" t="inlineStr">
        <is>
          <t>不能改变决策则后置</t>
        </is>
      </c>
      <c r="F6" s="23" t="inlineStr">
        <is>
          <t>技术主管</t>
        </is>
      </c>
      <c r="G6" s="23" t="inlineStr">
        <is>
          <t>立项前</t>
        </is>
      </c>
    </row>
    <row r="7" ht="72" customHeight="1">
      <c r="A7" s="23" t="inlineStr">
        <is>
          <t>可证伪</t>
        </is>
      </c>
      <c r="B7" s="23" t="inlineStr">
        <is>
          <t>有明确假设、Go/Conditional/No-Go与默认回退</t>
        </is>
      </c>
      <c r="C7" s="23" t="inlineStr">
        <is>
          <t>direct-view TPOT回退&lt;3%</t>
        </is>
      </c>
      <c r="D7" s="23" t="inlineStr">
        <is>
          <t>“性能有所提升”</t>
        </is>
      </c>
      <c r="E7" s="23" t="inlineStr">
        <is>
          <t>不能形成结论则重写</t>
        </is>
      </c>
      <c r="F7" s="23" t="inlineStr">
        <is>
          <t>性能负责人</t>
        </is>
      </c>
      <c r="G7" s="23" t="inlineStr">
        <is>
          <t>方案评审</t>
        </is>
      </c>
    </row>
    <row r="8" ht="72" customHeight="1">
      <c r="A8" s="23" t="inlineStr">
        <is>
          <t>最小范围</t>
        </is>
      </c>
      <c r="B8" s="23" t="inlineStr">
        <is>
          <t>≤2节点或可mock；单项只回答一个决策问题</t>
        </is>
      </c>
      <c r="C8" s="23" t="inlineStr">
        <is>
          <t>2路径+2副本resolver</t>
        </is>
      </c>
      <c r="D8" s="23" t="inlineStr">
        <is>
          <t>完整统一池Demo</t>
        </is>
      </c>
      <c r="E8" s="23" t="inlineStr">
        <is>
          <t>拆小或合并共享底座</t>
        </is>
      </c>
      <c r="F8" s="23" t="inlineStr">
        <is>
          <t>项目经理</t>
        </is>
      </c>
      <c r="G8" s="23" t="inlineStr">
        <is>
          <t>排期评审</t>
        </is>
      </c>
    </row>
    <row r="9" ht="72" customHeight="1">
      <c r="A9" s="23" t="inlineStr">
        <is>
          <t>数量控制</t>
        </is>
      </c>
      <c r="B9" s="23" t="inlineStr">
        <is>
          <t>默认 10 个必做包；1 个条件证伪项不预占主线人力</t>
        </is>
      </c>
      <c r="C9" s="23" t="inlineStr">
        <is>
          <t>共享trace/路径矩阵</t>
        </is>
      </c>
      <c r="D9" s="23" t="inlineStr">
        <is>
          <t>25项并行开工</t>
        </is>
      </c>
      <c r="E9" s="23" t="inlineStr">
        <is>
          <t>新增必做项必须替换/合并现有项</t>
        </is>
      </c>
      <c r="F9" s="23" t="inlineStr">
        <is>
          <t>项目经理/人力主管</t>
        </is>
      </c>
      <c r="G9" s="23" t="inlineStr">
        <is>
          <t>周会</t>
        </is>
      </c>
    </row>
    <row r="10" ht="72" customHeight="1">
      <c r="A10" s="23" t="inlineStr">
        <is>
          <t>证据完整</t>
        </is>
      </c>
      <c r="B10" s="23" t="inlineStr">
        <is>
          <t>版本、配置、raw data、分位数、资源、异常、边界、复现入口</t>
        </is>
      </c>
      <c r="C10" s="23" t="inlineStr">
        <is>
          <t>P99+Host CPU+fallback</t>
        </is>
      </c>
      <c r="D10" s="23" t="inlineStr">
        <is>
          <t>只报峰值带宽</t>
        </is>
      </c>
      <c r="E10" s="23" t="inlineStr">
        <is>
          <t>证据不全不判Go</t>
        </is>
      </c>
      <c r="F10" s="23" t="inlineStr">
        <is>
          <t>测试负责人</t>
        </is>
      </c>
      <c r="G10" s="23" t="inlineStr">
        <is>
          <t>退出评审</t>
        </is>
      </c>
    </row>
    <row r="11" ht="72" customHeight="1">
      <c r="A11" s="23" t="inlineStr">
        <is>
          <t>原型延续</t>
        </is>
      </c>
      <c r="B11" s="23" t="inlineStr">
        <is>
          <t>Go/Conditional代码和测试能迁入正式仓库</t>
        </is>
      </c>
      <c r="C11" s="23" t="inlineStr">
        <is>
          <t>descriptor compiler + golden cases</t>
        </is>
      </c>
      <c r="D11" s="23" t="inlineStr">
        <is>
          <t>一次性脚本/手工Excel</t>
        </is>
      </c>
      <c r="E11" s="23" t="inlineStr">
        <is>
          <t>不具延续性则只允许证伪项</t>
        </is>
      </c>
      <c r="F11" s="23" t="inlineStr">
        <is>
          <t>研发主管</t>
        </is>
      </c>
      <c r="G11" s="23" t="inlineStr">
        <is>
          <t>代码评审</t>
        </is>
      </c>
    </row>
    <row r="12" ht="72" customHeight="1">
      <c r="A12" s="23" t="inlineStr">
        <is>
          <t>证伪标识</t>
        </is>
      </c>
      <c r="B12" s="23" t="inlineStr">
        <is>
          <t>意在否定默认依赖的项必须预先标“是”并写回退</t>
        </is>
      </c>
      <c r="C12" s="23" t="inlineStr">
        <is>
          <t>硬件多播/DPU非必需</t>
        </is>
      </c>
      <c r="D12" s="23" t="inlineStr">
        <is>
          <t>失败后仍强行纳入主路径</t>
        </is>
      </c>
      <c r="E12" s="23" t="inlineStr">
        <is>
          <t>No-Go即关闭feature flag</t>
        </is>
      </c>
      <c r="F12" s="23" t="inlineStr">
        <is>
          <t>架构师</t>
        </is>
      </c>
      <c r="G12" s="23" t="inlineStr">
        <is>
          <t>启动/退出</t>
        </is>
      </c>
    </row>
    <row r="14">
      <c r="A14" s="16" t="inlineStr">
        <is>
          <t>版本变更摘要</t>
        </is>
      </c>
    </row>
    <row r="15">
      <c r="A15" s="34" t="inlineStr">
        <is>
          <t>V1.4→V1.5</t>
        </is>
      </c>
      <c r="B15" s="22" t="inlineStr">
        <is>
          <t>以SRS V2.2重新校准：HBM↔SSD为容量主路径，DDR为条件角色，CPU不承担默认codec/全量CRC；同步修正IR/SR锚点和性能门槛。</t>
        </is>
      </c>
      <c r="C15" s="53" t="n"/>
      <c r="D15" s="53" t="n"/>
      <c r="E15" s="53" t="n"/>
      <c r="F15" s="53" t="n"/>
      <c r="G15" s="53" t="n"/>
    </row>
    <row r="16">
      <c r="A16" s="35" t="inlineStr">
        <is>
          <t>数量</t>
        </is>
      </c>
      <c r="B16" s="23" t="inlineStr">
        <is>
          <t>25个原主题归并为8个必做原型包和3个条件/证伪项。</t>
        </is>
      </c>
      <c r="C16" s="54" t="n"/>
      <c r="D16" s="54" t="n"/>
      <c r="E16" s="54" t="n"/>
      <c r="F16" s="54" t="n"/>
      <c r="G16" s="54" t="n"/>
    </row>
    <row r="17">
      <c r="A17" s="35" t="inlineStr">
        <is>
          <t>追溯</t>
        </is>
      </c>
      <c r="B17" s="23" t="inlineStr">
        <is>
          <t>新增24条IR全量覆盖矩阵和关键级别K0/K1/K2。</t>
        </is>
      </c>
      <c r="C17" s="54" t="n"/>
      <c r="D17" s="54" t="n"/>
      <c r="E17" s="54" t="n"/>
      <c r="F17" s="54" t="n"/>
      <c r="G17" s="54" t="n"/>
    </row>
    <row r="18">
      <c r="A18" s="35" t="inlineStr">
        <is>
          <t>延续</t>
        </is>
      </c>
      <c r="B18" s="23" t="inlineStr">
        <is>
          <t>新增正式项目延续资产、证据包模板和人力决策输出。</t>
        </is>
      </c>
      <c r="C18" s="54" t="n"/>
      <c r="D18" s="54" t="n"/>
      <c r="E18" s="54" t="n"/>
      <c r="F18" s="54" t="n"/>
      <c r="G18" s="54" t="n"/>
    </row>
    <row r="19">
      <c r="A19" s="35" t="inlineStr">
        <is>
          <t>移出</t>
        </is>
      </c>
      <c r="B19" s="23" t="inlineStr">
        <is>
          <t>KTP-05组件消息通道UBMEM/URMA化转正式项目性能Backlog。</t>
        </is>
      </c>
      <c r="C19" s="54" t="n"/>
      <c r="D19" s="54" t="n"/>
      <c r="E19" s="54" t="n"/>
      <c r="F19" s="54" t="n"/>
      <c r="G19" s="54" t="n"/>
    </row>
    <row r="20">
      <c r="A20" t="inlineStr">
        <is>
          <t>V1.5→V1.6</t>
        </is>
      </c>
      <c r="B20" t="inlineStr">
        <is>
          <t>基于V3.2竞争力分析报告，全面增强各前置验证需求的背景诉求与竞争力关联；新增'主要验证思路与验证方法'列；精细定义测试验证范围；给出基于SLO合格事务与TCO净收益的Go/No-Go显式退出门槛。</t>
        </is>
      </c>
    </row>
    <row r="21">
      <c r="A21" t="inlineStr">
        <is>
          <t>V1.6→V2.0</t>
        </is>
      </c>
      <c r="B21" t="inlineStr">
        <is>
          <t>全面对齐 Mooncake 高性能原厂扩展版 (Unified KV) 研发战略与立项评审意见：
1. 升级原 CVT-01 为 PVT-08（1-to-N 组播分发：覆盖公共提示词广播、Multi-Agent 与 1P-to-ND）；
2. 升级原 CVT-03 为 PVT-09（DPU 硬件安全卸载加速 vs Raw Direct 双轨验证，含 Fly-in-line 扩展布局）；
3. 原 CVT-02 重编为 CVT-01（软件 RCU 机制证伪硬件 AtomicRemap）；
4. 引入 P0/P1/P2 三级穿刺优先级，支持 DeepSeek MLA (512B) 与 Qwen MHA 双轨参数，打通 benchmark_serving 在线打流消融。</t>
        </is>
      </c>
    </row>
  </sheetData>
  <mergeCells count="8">
    <mergeCell ref="B16:G16"/>
    <mergeCell ref="A14:G14"/>
    <mergeCell ref="B19:G19"/>
    <mergeCell ref="A1:G1"/>
    <mergeCell ref="B17:G17"/>
    <mergeCell ref="A2:G2"/>
    <mergeCell ref="B18:G18"/>
    <mergeCell ref="B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14" customWidth="1" min="5" max="5"/>
    <col width="50" customWidth="1" min="6" max="6"/>
  </cols>
  <sheetData>
    <row r="1" ht="30" customHeight="1">
      <c r="A1" s="39" t="inlineStr">
        <is>
          <t>工作簿质量、V2.3.1 需求树与四个核心验证阶段 (E0~E3) 验证目标对齐门禁（V2.0）</t>
        </is>
      </c>
    </row>
    <row r="2" ht="36" customHeight="1">
      <c r="A2" s="41" t="inlineStr">
        <is>
          <t>全部结构门禁 PASS 后才可作为执行计划；SR23 编号、公平基线、消融和 E0–E3 方法已人工复核，实验结果仍须执行后填写。</t>
        </is>
      </c>
    </row>
    <row r="4" ht="40" customHeight="1">
      <c r="A4" s="46" t="inlineStr">
        <is>
          <t>门禁ID</t>
        </is>
      </c>
      <c r="B4" s="46" t="inlineStr">
        <is>
          <t>检查项</t>
        </is>
      </c>
      <c r="C4" s="46" t="inlineStr">
        <is>
          <t>公式结果</t>
        </is>
      </c>
      <c r="D4" s="46" t="inlineStr">
        <is>
          <t>目标</t>
        </is>
      </c>
      <c r="E4" s="46" t="inlineStr">
        <is>
          <t>状态</t>
        </is>
      </c>
      <c r="F4" s="46" t="inlineStr">
        <is>
          <t>说明</t>
        </is>
      </c>
    </row>
    <row r="5" ht="44" customHeight="1">
      <c r="A5" s="47" t="inlineStr">
        <is>
          <t>QG-01</t>
        </is>
      </c>
      <c r="B5" s="47" t="inlineStr">
        <is>
          <t>立项前必做项数量</t>
        </is>
      </c>
      <c r="C5" s="47">
        <f>COUNTIF('精简验证总表'!$D$5:$D$15,"立项前必做")</f>
        <v/>
      </c>
      <c r="D5" s="47" t="inlineStr">
        <is>
          <t>10</t>
        </is>
      </c>
      <c r="E5" s="47">
        <f>IF(C5=D5,"PASS","FAIL")</f>
        <v/>
      </c>
      <c r="F5" s="22" t="inlineStr">
        <is>
          <t>严格控制为 10 个必做原型验证包 (PVT-00 ~ PVT-09)</t>
        </is>
      </c>
    </row>
    <row r="6" ht="44" customHeight="1">
      <c r="A6" s="48" t="inlineStr">
        <is>
          <t>QG-02</t>
        </is>
      </c>
      <c r="B6" s="48" t="inlineStr">
        <is>
          <t>条件/证伪项数量</t>
        </is>
      </c>
      <c r="C6" s="48">
        <f>COUNTIF('精简验证总表'!$D$5:$D$15,"条件/证伪")</f>
        <v/>
      </c>
      <c r="D6" s="48" t="inlineStr">
        <is>
          <t>1</t>
        </is>
      </c>
      <c r="E6" s="48">
        <f>IF(C6=D6,"PASS","FAIL")</f>
        <v/>
      </c>
      <c r="F6" s="23" t="inlineStr">
        <is>
          <t>严格控制为 1 个条件证伪项 (CVT-01)</t>
        </is>
      </c>
    </row>
    <row r="7" ht="44" customHeight="1">
      <c r="A7" s="48" t="inlineStr">
        <is>
          <t>QG-03</t>
        </is>
      </c>
      <c r="B7" s="48" t="inlineStr">
        <is>
          <t>原V1.3审计项数量</t>
        </is>
      </c>
      <c r="C7" s="48">
        <f>COUNTA('V1.3项审计'!$A$5:$A$29)</f>
        <v/>
      </c>
      <c r="D7" s="48" t="n">
        <v>25</v>
      </c>
      <c r="E7" s="48">
        <f>IF(C7=D7,"PASS","FAIL")</f>
        <v/>
      </c>
      <c r="F7" s="23" t="inlineStr">
        <is>
          <t>8个BVG+17个KTP</t>
        </is>
      </c>
    </row>
    <row r="8" ht="44" customHeight="1">
      <c r="A8" s="48" t="inlineStr">
        <is>
          <t>QG-04</t>
        </is>
      </c>
      <c r="B8" s="48" t="inlineStr">
        <is>
          <t>无关联IR的新验证项</t>
        </is>
      </c>
      <c r="C8" s="48">
        <f>COUNTBLANK('精简验证总表'!$F$5:$F$15)</f>
        <v/>
      </c>
      <c r="D8" s="48" t="n">
        <v>0</v>
      </c>
      <c r="E8" s="48">
        <f>IF(C8=D8,"PASS","FAIL")</f>
        <v/>
      </c>
      <c r="F8" s="23" t="inlineStr">
        <is>
          <t>主关联IR不得为空</t>
        </is>
      </c>
    </row>
    <row r="9" ht="44" customHeight="1">
      <c r="A9" s="48" t="inlineStr">
        <is>
          <t>QG-05</t>
        </is>
      </c>
      <c r="B9" s="48" t="inlineStr">
        <is>
          <t>24条IR无任何覆盖项</t>
        </is>
      </c>
      <c r="C9" s="48">
        <f>COUNTIF('IR追溯矩阵'!$F$5:$F$28,"—")</f>
        <v/>
      </c>
      <c r="D9" s="48" t="n">
        <v>0</v>
      </c>
      <c r="E9" s="48">
        <f>IF(C9=D9,"PASS","FAIL")</f>
        <v/>
      </c>
      <c r="F9" s="23" t="inlineStr">
        <is>
          <t>允许并包覆盖，不要求单设项</t>
        </is>
      </c>
    </row>
    <row r="10" ht="44" customHeight="1">
      <c r="A10" s="48" t="inlineStr">
        <is>
          <t>QG-06</t>
        </is>
      </c>
      <c r="B10" s="48" t="inlineStr">
        <is>
          <t>K0 IR未被PVT覆盖</t>
        </is>
      </c>
      <c r="C10" s="48">
        <f>COUNTIFS('IR追溯矩阵'!$D$5:$D$28,"K0",'IR追溯矩阵'!$F$5:$F$28,"—")</f>
        <v/>
      </c>
      <c r="D10" s="48" t="n">
        <v>0</v>
      </c>
      <c r="E10" s="48">
        <f>IF(C10=D10,"PASS","FAIL")</f>
        <v/>
      </c>
      <c r="F10" s="23" t="inlineStr">
        <is>
          <t>关键IR必须有立项前证据</t>
        </is>
      </c>
    </row>
    <row r="11" ht="44" customHeight="1">
      <c r="A11" s="48" t="inlineStr">
        <is>
          <t>QG-07</t>
        </is>
      </c>
      <c r="B11" s="48" t="inlineStr">
        <is>
          <t>证伪项未标识证伪意图</t>
        </is>
      </c>
      <c r="C11" s="48">
        <f>COUNTIFS('精简验证总表'!$D$5:$D$15,"条件/证伪",'精简验证总表'!$K$5:$K$15,"")</f>
        <v/>
      </c>
      <c r="D11" s="48" t="n">
        <v>0</v>
      </c>
      <c r="E11" s="48">
        <f>IF(C11=D11,"PASS","FAIL")</f>
        <v/>
      </c>
      <c r="F11" s="23" t="inlineStr">
        <is>
          <t>条件项必须显式标记</t>
        </is>
      </c>
    </row>
    <row r="12" ht="44" customHeight="1">
      <c r="A12" s="48" t="inlineStr">
        <is>
          <t>QG-08</t>
        </is>
      </c>
      <c r="B12" s="48" t="inlineStr">
        <is>
          <t>必做项缺少延续路径</t>
        </is>
      </c>
      <c r="C12" s="48">
        <f>COUNTIFS('精简验证总表'!$D$5:$D$15,"立项前必做",'精简验证总表'!$L$5:$L$15,"")</f>
        <v/>
      </c>
      <c r="D12" s="48" t="n">
        <v>0</v>
      </c>
      <c r="E12" s="48">
        <f>IF(C12=D12,"PASS","FAIL")</f>
        <v/>
      </c>
      <c r="F12" s="23" t="inlineStr">
        <is>
          <t>避免一次性Demo</t>
        </is>
      </c>
    </row>
    <row r="13" ht="44" customHeight="1">
      <c r="A13" s="48" t="inlineStr">
        <is>
          <t>QG-09</t>
        </is>
      </c>
      <c r="B13" s="48" t="inlineStr">
        <is>
          <t>明确移出项数量</t>
        </is>
      </c>
      <c r="C13" s="48">
        <f>COUNTIF('V1.3项审计'!$C$5:$C$29,"移出")</f>
        <v/>
      </c>
      <c r="D13" s="48" t="n">
        <v>1</v>
      </c>
      <c r="E13" s="48">
        <f>IF(C13=D13,"PASS","FAIL")</f>
        <v/>
      </c>
      <c r="F13" s="23" t="inlineStr">
        <is>
          <t>KTP-05</t>
        </is>
      </c>
    </row>
  </sheetData>
  <mergeCells count="2">
    <mergeCell ref="A2:F2"/>
    <mergeCell ref="A1:F1"/>
  </mergeCells>
  <conditionalFormatting sqref="E5:E13">
    <cfRule type="containsText" priority="1" operator="containsText" dxfId="0" text="PASS"/>
    <cfRule type="containsText" priority="2" operator="containsText" dxfId="4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2026-08-18T11:48:22Z</dcterms:created>
  <dcterms:modified xmlns:dcterms="http://purl.org/dc/terms/" xmlns:xsi="http://www.w3.org/2001/XMLSchema-instance" xsi:type="dcterms:W3CDTF">2026-08-19T09:24:53Z</dcterms:modified>
</cp:coreProperties>
</file>