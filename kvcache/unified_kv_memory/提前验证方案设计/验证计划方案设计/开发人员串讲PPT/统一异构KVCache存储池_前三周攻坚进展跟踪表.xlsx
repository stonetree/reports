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s\reports\kvcache\unified_kv_memory\提前验证方案设计\验证计划方案设计\开发人员串讲PPT\"/>
    </mc:Choice>
  </mc:AlternateContent>
  <bookViews>
    <workbookView xWindow="0" yWindow="0" windowWidth="23040" windowHeight="11220"/>
  </bookViews>
  <sheets>
    <sheet name="【每日攻坚工作台】" sheetId="1" r:id="rId1"/>
    <sheet name="【人员负荷与职责说明】" sheetId="2" r:id="rId2"/>
  </sheets>
  <calcPr calcId="162913"/>
</workbook>
</file>

<file path=xl/calcChain.xml><?xml version="1.0" encoding="utf-8"?>
<calcChain xmlns="http://schemas.openxmlformats.org/spreadsheetml/2006/main">
  <c r="L2" i="1" l="1"/>
  <c r="I2" i="1"/>
  <c r="F2" i="1"/>
  <c r="D2" i="1"/>
</calcChain>
</file>

<file path=xl/sharedStrings.xml><?xml version="1.0" encoding="utf-8"?>
<sst xmlns="http://schemas.openxmlformats.org/spreadsheetml/2006/main" count="242" uniqueCount="223">
  <si>
    <t>统一异构 KVCache 存储池 · 前三周攻坚进展跟踪表（10月12日启动·周级独立折叠·日会投屏工作台）</t>
  </si>
  <si>
    <t>攻坚周期: 10月12日~11月01日 (21天) | 仲裁: 架构师 LL</t>
  </si>
  <si>
    <t>📌 填报SOP：10月12日(D01)攻坚正式启动；D/E列及D01列现为演示样例，后续由责任人逐日刷新；D02起留空待填；W1/W2/W3支持独立折叠([+]/[-])。</t>
  </si>
  <si>
    <t>【责任人与核心目标 (冻结视窗)】</t>
  </si>
  <si>
    <t>【今日全局态与卡点求助 (日会对齐核心 · 待填报/当前为样例)】</t>
  </si>
  <si>
    <t>【第 1 周：W1 阶段 · 基础打通与分母冻结 (10月12日 ~ 10月18日 · 独立折叠区)】</t>
  </si>
  <si>
    <t>【第 2 周：W2 阶段 · 动态避险与多卡协同 (10月19日 ~ 10月25日 · 独立折叠区)】</t>
  </si>
  <si>
    <t>【第 3 周：W3 阶段 · 全链路组合与边界摸底 (10月26日 ~ 11月01日 · 独立折叠区)】</t>
  </si>
  <si>
    <t>【协同支撑、交付物与仲裁日志】</t>
  </si>
  <si>
    <t>责任人
(主责/投入度)</t>
  </si>
  <si>
    <t>攻坚任务名称与优先级
(Task &amp; Priority)</t>
  </si>
  <si>
    <t>目标量化考核硬指标
(验收红线)</t>
  </si>
  <si>
    <t>当前状态与最新实测
(待日会刷新 · 当前为样例)</t>
  </si>
  <si>
    <t>当前阻碍卡点与求助
(待日会刷新 · 当前为样例)</t>
  </si>
  <si>
    <t>D01 · 10月12日 (周一)
进展与实测 [首日样例]</t>
  </si>
  <si>
    <t>D02 · 10月13日 (周二)
进展与实测</t>
  </si>
  <si>
    <t>D03 · 10月14日 (周三)
进展与实测</t>
  </si>
  <si>
    <t>D04 · 10月15日 (周四)
进展与实测</t>
  </si>
  <si>
    <t>D05 · 10月16日 (周五)
进展与实测</t>
  </si>
  <si>
    <t>D06 · 10月17日 (周六)
进展与实测</t>
  </si>
  <si>
    <t>D07 · 10月18日 (周日)
进展与实测</t>
  </si>
  <si>
    <t>W1 阶段小结 (10月18日)
[分母冻结与基线达标]</t>
  </si>
  <si>
    <t>D08 · 10月19日 (周一)
进展与实测</t>
  </si>
  <si>
    <t>D09 · 10月20日 (周二)
进展与实测</t>
  </si>
  <si>
    <t>D10 · 10月21日 (周三)
进展与实测</t>
  </si>
  <si>
    <t>D11 · 10月22日 (周四)
进展与实测</t>
  </si>
  <si>
    <t>D12 · 10月23日 (周五)
进展与实测</t>
  </si>
  <si>
    <t>D13 · 10月24日 (周六)
进展与实测</t>
  </si>
  <si>
    <t>D14 · 10月25日 (周日)
进展与实测</t>
  </si>
  <si>
    <t>W2 阶段小结 (10月25日)
[避险剪枝与多卡协同]</t>
  </si>
  <si>
    <t>D15 · 10月26日 (周一)
进展与实测</t>
  </si>
  <si>
    <t>D16 · 10月27日 (周二)
进展与实测</t>
  </si>
  <si>
    <t>D17 · 10月28日 (周三)
进展与实测</t>
  </si>
  <si>
    <t>D18 · 10月29日 (周四)
进展与实测</t>
  </si>
  <si>
    <t>D19 · 10月30日 (周五)
进展与实测</t>
  </si>
  <si>
    <t>D20 · 10月31日 (周六)
进展与实测</t>
  </si>
  <si>
    <t>D21 · 11月01日 (周日)
进展与实测</t>
  </si>
  <si>
    <t>W3 阶段小结 (11月01日)
[全链路组合与立项门禁]</t>
  </si>
  <si>
    <t>协同人与主责子领域</t>
  </si>
  <si>
    <t>全周期关键交付物</t>
  </si>
  <si>
    <t>日会决议与架构师仲裁 (LL)</t>
  </si>
  <si>
    <t>WXH (1.0)</t>
  </si>
  <si>
    <t>W3-T00 基线、数据与实验准备 (可信分母)
[P0 · 基线门禁]</t>
  </si>
  <si>
    <t>真实双节点 42GB/s 链路打通；首批 8B 3 点打通，探针埋点冻结，环境变异系数 CV &lt; 10%</t>
  </si>
  <si>
    <t>【样例 · 压测调优中】
42.1GB/s (CV=4.8% 达标)</t>
  </si>
  <si>
    <t>无</t>
  </si>
  <si>
    <t>【实测】42.0GB/s 跑通
【进展】完成双节点环境搭建，42GB/s 通路连通
【卡点/明日】启动 8B 基线压测</t>
  </si>
  <si>
    <t>【周目标/待验收】双节点 42.1GB/s 链路打通，8B Prefill 压测 CV=4.8% &lt; 10%，分母基线正式冻结</t>
  </si>
  <si>
    <t>【周目标/待验收】持续监控双节点环境变异性，保障 T01~T05 联调分母零漂移</t>
  </si>
  <si>
    <t>【周目标/待验收】输出双节点基线环境拓扑与实验变异性报告，支撑最终技术答辩</t>
  </si>
  <si>
    <t>CY, WZX | 调度决策与集成</t>
  </si>
  <si>
    <t>双节点基线环境拓扑、标准压测工具集、环境变异性检验报告</t>
  </si>
  <si>
    <t>基线链路具备可比性，待 W1 末联合复核冻结分母口径</t>
  </si>
  <si>
    <t>LJQ (0.5)</t>
  </si>
  <si>
    <t>W3-T01 元数据与前缀查询快路径
[P1 · 核心主径]</t>
  </si>
  <si>
    <t>单次查表 &lt;50µs，极限高并发 (λ=900+) 排队 P99 降 ≥70%，有效 QPS 升 ≥40%</t>
  </si>
  <si>
    <t>【样例 · 已达标】
48.2µs (P99排队降72%)</t>
  </si>
  <si>
    <t>【实测】初始哈希查表 85µs
【进展】完成前缀哈希与基数树快路径数据结构编码
【卡点/明日】排查读写锁并发争用，引入无锁查询</t>
  </si>
  <si>
    <t>【周目标/待验收】无锁快路径单次 48.2µs，高并发排队 P99 降 72%，有效 QPS 升 42%</t>
  </si>
  <si>
    <t>【周目标/待验收】TP=8 张量并行多进程一致性压测通过，无锁快路径正式集成收口</t>
  </si>
  <si>
    <t>【周目标/待验收】无锁快路径代码入库并固化高并发基准压测对比数据</t>
  </si>
  <si>
    <t>WZX (收口 1.0) | 控制面接入</t>
  </si>
  <si>
    <t>前缀匹配快路径模块、高并发无锁查询测试驱动、基准压测对比数据</t>
  </si>
  <si>
    <t>指标已达标，后续配合 WZX 在 TP=8 下验证多进程一致性</t>
  </si>
  <si>
    <t>CY (1.0)</t>
  </si>
  <si>
    <t>W3-T02 URMA 传输调优与大小 Slice 分档
[P1 · 核心主径]</t>
  </si>
  <si>
    <t>NUMA绑定+小Slice聚合，大Slice稳定带宽 &gt;35GB/s (CV&lt;5%)，长文本 TTFT 升 15%~25%</t>
  </si>
  <si>
    <t>【样例 · 压测调优中】
36.2GB/s (CV=3.6% 达标)</t>
  </si>
  <si>
    <t>【样例】小 Slice 聚合高并发偶发排队 (需协同 NXY 退避策略)</t>
  </si>
  <si>
    <t>【实测】默认传输 28.5GB/s
【进展】完成网卡中断 NUMA 绑定与大页内存预分配
【卡点/明日】排查小包聚合开销与传输分档</t>
  </si>
  <si>
    <t>【周目标/待验收】大 Slice 带宽 36.2GB/s (CV=3.6% &lt; 5%)，64KB 物理分档确立</t>
  </si>
  <si>
    <t>【周目标/待验收】完成大小 Slice 传输参数全量调优，大包稳定带宽维持 &gt;35GB/s</t>
  </si>
  <si>
    <t>【周目标/待验收】URMA 分档传输引擎交付，长文本 TTFT 提升验证完成</t>
  </si>
  <si>
    <t>NXY (协同 0.5) | 数据面与通信</t>
  </si>
  <si>
    <t>URMA 通信参数调优脚本、大小 Slice 自适应分档传输引擎</t>
  </si>
  <si>
    <t>大小 Slice 分档边界固定为 64KB；小包排队协同 NXY 自适应退避算法处理</t>
  </si>
  <si>
    <t>YZN (0.5)</t>
  </si>
  <si>
    <t>W3-T02专项 多通道并发与 TP=8 多卡状态同步
[P1 · 核心主径]</t>
  </si>
  <si>
    <t>双通道并发提升吞吐；张量并行 (TP=8) 多卡状态同步开销压至 P99 &lt; 100µs，消除死锁等待</t>
  </si>
  <si>
    <t>【样例 · 代码编写中】
115µs (逼近 100µs 门限)</t>
  </si>
  <si>
    <t>【样例】高并发下偶发卡间同步超时 (待 CY 协助排查多网卡流)</t>
  </si>
  <si>
    <t>【实测】8卡测试环境就绪
【进展】部署张量并行 (TP=8) 节点，梳理多卡状态同步时序
【卡点/明日】编写基于共享内存的环形同步原语</t>
  </si>
  <si>
    <t>【周目标/待验收】8卡无锁原子环形同步原语就绪，开销降至 115µs，待 W2 压至 &lt;100µs</t>
  </si>
  <si>
    <t>【周目标/待验收】TP=8 状态同步开销 P99 压至 &lt;100µs，彻底消除卡间死锁</t>
  </si>
  <si>
    <t>【周目标/待验收】TP=8 环形状态同步原语与多通道调度模块全量交付</t>
  </si>
  <si>
    <t>CY (协同 1.0) | 数据面与通信</t>
  </si>
  <si>
    <t>张量并行 TP=8 状态同步原语、多网卡通道并发调度模块</t>
  </si>
  <si>
    <t>严禁采用原生集合通信阻塞等待，坚持无锁环形通知路线</t>
  </si>
  <si>
    <t>WZX (1.0)</t>
  </si>
  <si>
    <t>W3-T03 统一描述符批量提交与按层异步流水
[P1 · 核心主径]</t>
  </si>
  <si>
    <t>CPU 提交耗时 15.4ms→2.0ms，流水重叠率 &gt;80%，部分命中在线 TTFT 升 10%~15%</t>
  </si>
  <si>
    <t>【样例 · 代码编写中】
3.2ms (持续优化中)</t>
  </si>
  <si>
    <t>【样例】原生调度器存在不可控调度停顿 (需独立发射队列隔离)</t>
  </si>
  <si>
    <t>【实测】框架原生提交耗时 15.4ms
【进展】分析跨框架张量离散布局，定义连续块描述符 POD
【卡点/明日】实现描述符编译器贪心合并算法</t>
  </si>
  <si>
    <t>【周目标/待验收】连续块描述符 POD 编译器与按层流水调试，提交耗时降至 3.2ms</t>
  </si>
  <si>
    <t>【周目标/待验收】CPU 提交耗时突破至 &lt;2.0ms，流水重叠率达到 &gt;80%</t>
  </si>
  <si>
    <t>【周目标/待验收】统一描述符编译器交付，Host CPU 零数据拷贝架构贯通</t>
  </si>
  <si>
    <t>CY, LJQ | 控制面与框架</t>
  </si>
  <si>
    <t>连续数据块描述符编译器、按层异步流水执行引擎</t>
  </si>
  <si>
    <t>优先保证 Host CPU 零数据拷贝，提交开销必须压至 2.0ms 以内</t>
  </si>
  <si>
    <t>W3-T04 微秒级成本预估与动态选路避险
[P1 · 核心主径]</t>
  </si>
  <si>
    <t>决策耗时 &lt;5µs；在恶劣 3GB/s 下主动回退本地重算，消除 389ms 等待，退化率降至 0%</t>
  </si>
  <si>
    <t>【样例 · 环境就绪】
算法就绪 (待 W2 联调实测)</t>
  </si>
  <si>
    <t>【样例】依赖 T05 实时链路探针输入 (接口已对齐，待 W2 联调)</t>
  </si>
  <si>
    <t>【进展】建立加载总开销 vs 本地重算耗时前置决策模型
【卡点/明日】搭建 3GB/s ~ 40GB/s 动态劣质链路模拟沙箱</t>
  </si>
  <si>
    <t>【周目标/待验收】劣质网络沙箱搭设完成，决策算法单核静态模拟 &lt;3µs，待 W2 接入探针</t>
  </si>
  <si>
    <t>【周目标/待验收】微秒级选路引擎接入实测探针，决策耗时 &lt;5µs，恶劣网络退化率 0%</t>
  </si>
  <si>
    <t>【周目标/待验收】微秒选路决策引擎交付，恶劣链路自适应避险闭环</t>
  </si>
  <si>
    <t>WZX, CY | 调度决策与集成</t>
  </si>
  <si>
    <t>微秒级动态选路决策引擎、成本预估模型与避险回退模块</t>
  </si>
  <si>
    <t>决策逻辑单核耗时硬红线为 5µs，超出则严禁上线</t>
  </si>
  <si>
    <t>NXY (0.5)</t>
  </si>
  <si>
    <t>W3-T05 硬件探针与前后台 QoS 协同控制
[P1 · 核心主径]</t>
  </si>
  <si>
    <t>RoCE优先级队列+自适应退避，后台100G搬运下前台TPOT干扰率&lt;3%，TTFT P99降≥20%</t>
  </si>
  <si>
    <t>【样例 · 环境就绪】
脚本就绪 (待 W2 混压实测)</t>
  </si>
  <si>
    <t>【样例】混压下偶发丢包引发尾延迟抖动 (需 CY 协助调优 PFC/ECN)</t>
  </si>
  <si>
    <t>【进展】梳理 RoCE 硬件 DSCP/PCP 队列映射规范与交换机配置
【卡点/明日】编写轻量级硬件链路带宽与时延周期采样探针</t>
  </si>
  <si>
    <t>【周目标/待验收】RoCE DSCP/PCP 队列映射完成，100G 混压测试脚本就绪，待 W2 混压实测</t>
  </si>
  <si>
    <t>【周目标/待验收】100G 混压下前台 TPOT 干扰率控制在 &lt;3%，自适应退避生效</t>
  </si>
  <si>
    <t>【周目标/待验收】前后台 QoS 协同策略与自适应退避流控引擎交付</t>
  </si>
  <si>
    <t>CY (采集 1.0), WXH | 数据面与通信</t>
  </si>
  <si>
    <t>前后台 QoS 协同流控策略、网络自适应退避引擎、链路物理探针</t>
  </si>
  <si>
    <t>前台 TPOT 干扰率超过 3% 时，后台搬运必须主动让步或暂停</t>
  </si>
  <si>
    <t>W3-T06 有效单项的组合与边际贡献复验
[P0 · 基线门禁]</t>
  </si>
  <si>
    <t>全功能组合 vs 去一项递进对照；组合 TTFT 升 15%~25%，QPS 升 10%~20%；剪枝负增益</t>
  </si>
  <si>
    <t>【样例 · 未启动】
待 W3 组合验证</t>
  </si>
  <si>
    <t>-</t>
  </si>
  <si>
    <t>【进展】明确消融实验评测用例矩阵与增量贡献判定门槛
【卡点/明日】监控前置主径进度，待核心通路打通后启动</t>
  </si>
  <si>
    <t>【周目标/待验收】全链路消融实验用例矩阵排定，待 W2 核心主径完成验证后启动</t>
  </si>
  <si>
    <t>【周目标/待验收】启动 T01~T05 阶段性组合冒烟压测，初步检验叠加增益</t>
  </si>
  <si>
    <t>【周目标/待验收】全链路组合实测 TTFT 提升 15%~25%、QPS 提升 10%~20%，达标准出</t>
  </si>
  <si>
    <t>全员协同 | 调度决策与集成</t>
  </si>
  <si>
    <t>全链路组合 Benchmark 评测集、单项边际贡献与消融实验对账单</t>
  </si>
  <si>
    <t>坚持奥卡姆剃刀，对无边际收益或负增益项坚决执行架构剪枝</t>
  </si>
  <si>
    <t>W3-T07 分层存储容量压力与换入冲击实测
[P2 · 条件探索]</t>
  </si>
  <si>
    <t>72B 工作集超显存 1.5~2 倍；实测 NVMe 换入冲击，验证有效完成率能否维持 &gt;95%</t>
  </si>
  <si>
    <t>【样例 · 未启动】
待 W3 探索实测</t>
  </si>
  <si>
    <t>【进展】锁定 72B 超显存工作集测试配置，主任务有余量时启动
【卡点/明日】准备 NVMe SSD 页面驱动评测工具</t>
  </si>
  <si>
    <t>【周目标/待验收】72B 超显存工作集配置完成，待 W3 视主任务余量实施容量压测</t>
  </si>
  <si>
    <t>【周目标/待验收】监控分层存储技术演进，主路径攻坚优先</t>
  </si>
  <si>
    <t>【周目标/待验收】完成 72B 超显存分层存储容量极限压测报告，摸清物理边界</t>
  </si>
  <si>
    <t>WZX, YZN | 调度决策与集成</t>
  </si>
  <si>
    <t>分层存储容量极限压测报告、NVMe SSD 页面换入换出驱动验证</t>
  </si>
  <si>
    <t>条件探索项，摸清物理边界即可，不承诺全功能产品化</t>
  </si>
  <si>
    <t>W3-T08 热点中继分发 (广播场景流量压缩)
[P2 · 条件探索]</t>
  </si>
  <si>
    <t>二叉树中继使源网卡出流量节省 50%~75%，广播前缀就绪缩短 ≥20% (主任务有余量启动)</t>
  </si>
  <si>
    <t>【进展】明确树状中继转发拓扑设计，主任务 T02/T05 稳定后启动
【卡点/明日】评估转发跳步微秒时延开销</t>
  </si>
  <si>
    <t>【周目标/待验收】树状中继转发拓扑设计完成，待主任务带宽稳定后探索流量压缩</t>
  </si>
  <si>
    <t>【周目标/待验收】保障 CY/NXY 数据面主任务精力，严禁分散算力</t>
  </si>
  <si>
    <t>【周目标/待验收】输出树状中继流量压缩与时延实测报告，作为扩展能力储备</t>
  </si>
  <si>
    <t>分层中继转发算法模块、广播流量抑制压测报告</t>
  </si>
  <si>
    <t>主任务保障优先，不得挤占 T02/T05 数据面攻坚精力</t>
  </si>
  <si>
    <t>WXH / CY</t>
  </si>
  <si>
    <t>W3-T09 远端直读/可选卸载/页迁移专项
[P2 · 条件探索]</t>
  </si>
  <si>
    <t>远端直读 vs 本地拷贝物理平衡点实测；评估硬件卸载与纯软直达代价，支持选型</t>
  </si>
  <si>
    <t>【进展】规划远端直读平衡点实测脚本，准备对比测试用例
【卡点/明日】待 W3 视主任务余量实施</t>
  </si>
  <si>
    <t>【周目标/待验收】直读平衡点实测脚本准备完成，待 W3 评估硬件卸载与纯软直达代价</t>
  </si>
  <si>
    <t>【周目标/待验收】锁定远端直读测试用例，为主管会软硬件选型储备依据</t>
  </si>
  <si>
    <t>【周目标/待验收】输出远端直读 vs 拷贝物理平衡点与硬件卸载代价对比报告</t>
  </si>
  <si>
    <t>YZN, WZX | 调度决策与集成</t>
  </si>
  <si>
    <t>远端直读性能边界报告、硬件卸载收益代价实测对比报告</t>
  </si>
  <si>
    <t>摸清软硬件边界，为架构去依赖与纯软主路径确立提供实测依据</t>
  </si>
  <si>
    <t>LL (架构师)</t>
  </si>
  <si>
    <t>技术仲裁与主管会立项门禁收口
[P0 · 基线门禁]</t>
  </si>
  <si>
    <t>每日异常卡点 24h 闭环仲裁；W1基线冻结仲裁；W2剪枝裁决；W3主管会立项门禁准出</t>
  </si>
  <si>
    <t>【样例 · 进行中】
流程全面受控</t>
  </si>
  <si>
    <t>【仲裁】确认 W3-W1 启动准入标准，核对公平比较分母口径
【裁决】严格执行可信分母原则，零纸面假定
【明日】跟进各卡基线数据</t>
  </si>
  <si>
    <t>【周目标/待验收】W1 基线分母可比性复核通过，裁决 T02 分档边界并准入 T01 联合验证</t>
  </si>
  <si>
    <t>【周目标/待验收】主持 W2 架构剪枝评审，剔除负增益或无边际收益项，锁定纯软主路径</t>
  </si>
  <si>
    <t>【周目标/待验收】三周技术仲裁日志闭环，主管会立项答辩材料全景准出</t>
  </si>
  <si>
    <t>WXH, CY, WZX | 架构与仲裁</t>
  </si>
  <si>
    <t>三周技术攻坚仲裁决议日志、主管会立项技术答辩全景材料</t>
  </si>
  <si>
    <t>严守学术与技术诚信红线，以客观实测数据为准出凭据</t>
  </si>
  <si>
    <t>统一异构 KVCache 存储池 · 前三周攻坚人员分工与负荷总揽表</t>
  </si>
  <si>
    <t>人员标识/姓名</t>
  </si>
  <si>
    <t>投入度</t>
  </si>
  <si>
    <t>主责领域</t>
  </si>
  <si>
    <t>主责攻坚任务清单</t>
  </si>
  <si>
    <t>协同支撑任务</t>
  </si>
  <si>
    <t>核心交付成果与关键指标</t>
  </si>
  <si>
    <t>仲裁与升级链路</t>
  </si>
  <si>
    <t>WXH</t>
  </si>
  <si>
    <t>1.0 (全职)</t>
  </si>
  <si>
    <t>调度决策与系统集成</t>
  </si>
  <si>
    <t>W3-T00 (基线门禁)
W3-T04 (选路主径)
W3-T06 (组合复验)
W3-T07 (分层探索)
W3-T09 (直读探索)</t>
  </si>
  <si>
    <t>W3-T05 (QoS流控)</t>
  </si>
  <si>
    <t>• 双节点 42GB/s 基线可信分母 (CV&lt;10%)
• 微秒级选路决策引擎 (&lt;5µs)
• 全链路消融复验与组合加速收益</t>
  </si>
  <si>
    <t>直接对齐架构师 LL，对整体端到端指标负责</t>
  </si>
  <si>
    <t>CY</t>
  </si>
  <si>
    <t>数据面与底层通信</t>
  </si>
  <si>
    <t>W3-T02 (URMA传输调优)
W3-T08 (热点中继分发)
W3-T09 (硬件卸载评估)</t>
  </si>
  <si>
    <t>W3-T00, W3-T03,
W3-T04, W3-T05</t>
  </si>
  <si>
    <t>• 大Slice稳定带宽 &gt;35GB/s (CV&lt;5%)
• 树状中继流量压缩 50%~75%
• 纯软 vs 硬件卸载代价对比报告</t>
  </si>
  <si>
    <t>技术分歧由 LL 仲裁，严保主径稳定带宽</t>
  </si>
  <si>
    <t>WZX</t>
  </si>
  <si>
    <t>控制面与框架接入</t>
  </si>
  <si>
    <t>W3-T03 (统一描述符编译)
W3-T01 (查询快路径收口)</t>
  </si>
  <si>
    <t>W3-T00, W3-T04,
W3-T07, W3-T09</t>
  </si>
  <si>
    <t>• CPU 描述符提交耗时 15.4ms→2.0ms
• 异步流水重叠率 &gt;80%
• Host CPU 零数据拷贝架构贯通</t>
  </si>
  <si>
    <t>负责控制面与推理框架集成收口</t>
  </si>
  <si>
    <t>LJQ</t>
  </si>
  <si>
    <t>0.5 (兼职)</t>
  </si>
  <si>
    <t>W3-T01 (元数据与前缀快路径)</t>
  </si>
  <si>
    <t>W3-T03 (描述符格式)</t>
  </si>
  <si>
    <t>• 无锁快路径单次查表 &lt;50µs
• 极限高并发 (λ=900+) 排队降 ≥70%
• 有效 QPS 提升 ≥40%</t>
  </si>
  <si>
    <t>与 WZX 紧密协同，WZX 负责最终工程收口</t>
  </si>
  <si>
    <t>YZN</t>
  </si>
  <si>
    <t>W3-T02专项 (多通道并发与 TP=8 多卡同步)</t>
  </si>
  <si>
    <t>W3-T07 (分层存储)
W3-T09 (页迁移)</t>
  </si>
  <si>
    <t>• TP=8 多卡状态同步开销 P99 &lt; 100µs
• 环形无锁通信原语，彻底杜绝死锁
• 双通道并发有效叠加吞吐</t>
  </si>
  <si>
    <t>专项卡点升级至 CY 与 LL，消除集合通信死锁</t>
  </si>
  <si>
    <t>NXY</t>
  </si>
  <si>
    <t>W3-T05 (前后台 QoS 协同控制与探针策略)</t>
  </si>
  <si>
    <t>W3-T02 (Slice分档)
W3-T08 (中继策略)</t>
  </si>
  <si>
    <t>• 链路物理探针采集器
• RoCE 硬件队列映射与微秒自适应退避
• 后台 100G 混压下前台 TPOT 干扰率 &lt;3%</t>
  </si>
  <si>
    <t>前后台流控策略直接对接 WXH 调度引擎</t>
  </si>
  <si>
    <t>LL</t>
  </si>
  <si>
    <t>架构师</t>
  </si>
  <si>
    <t>技术仲裁与主管会门禁</t>
  </si>
  <si>
    <t>全局技术仲裁
架构边界与负增益剪枝
主管会立项门禁交付</t>
  </si>
  <si>
    <t>全任务指导与把关</t>
  </si>
  <si>
    <t>• 每日卡点 24h 闭环裁决
• 严把学术与工程诚信底线 (实测数据)
• 产出主管会立项答辩全景方案</t>
  </si>
  <si>
    <t>技术最终仲裁人，对主管会立项门禁负责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</si>
</sst>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宋体"/>
      <family val="2"/>
      <scheme val="minor"/>
    </font>
    <font>
      <b/>
      <sz val="15"/>
      <color rgb="FFFFFFFF"/>
      <name val="微软雅黑"/>
    </font>
    <font>
      <b/>
      <sz val="9"/>
      <color rgb="FF154360"/>
      <name val="微软雅黑"/>
    </font>
    <font>
      <b/>
      <sz val="9"/>
      <color rgb="FF1C2833"/>
      <name val="微软雅黑"/>
    </font>
    <font>
      <b/>
      <sz val="9"/>
      <color rgb="FF78281F"/>
      <name val="微软雅黑"/>
    </font>
    <font>
      <b/>
      <sz val="9"/>
      <color rgb="FF1B4F72"/>
      <name val="微软雅黑"/>
    </font>
    <font>
      <b/>
      <sz val="9"/>
      <color rgb="FF900C3F"/>
      <name val="微软雅黑"/>
    </font>
    <font>
      <i/>
      <sz val="8.5"/>
      <color rgb="FF4A235A"/>
      <name val="微软雅黑"/>
    </font>
    <font>
      <b/>
      <sz val="10"/>
      <color rgb="FFFFFFFF"/>
      <name val="微软雅黑"/>
    </font>
    <font>
      <b/>
      <sz val="10"/>
      <color rgb="FF1B4F72"/>
      <name val="微软雅黑"/>
    </font>
    <font>
      <b/>
      <sz val="9.5"/>
      <color rgb="FF1C2833"/>
      <name val="微软雅黑"/>
    </font>
    <font>
      <sz val="8.5"/>
      <color rgb="FF2C3E50"/>
      <name val="微软雅黑"/>
    </font>
    <font>
      <b/>
      <sz val="9"/>
      <color rgb="FF7D6608"/>
      <name val="微软雅黑"/>
    </font>
    <font>
      <sz val="8.5"/>
      <color rgb="FF27AE60"/>
      <name val="微软雅黑"/>
    </font>
    <font>
      <sz val="8"/>
      <color rgb="FF1C2833"/>
      <name val="微软雅黑"/>
    </font>
    <font>
      <b/>
      <sz val="8.5"/>
      <color rgb="FF0E6251"/>
      <name val="微软雅黑"/>
    </font>
    <font>
      <b/>
      <sz val="8.5"/>
      <color rgb="FF1A5276"/>
      <name val="微软雅黑"/>
    </font>
    <font>
      <b/>
      <sz val="8.5"/>
      <color rgb="FF1B4F72"/>
      <name val="微软雅黑"/>
    </font>
    <font>
      <sz val="8.5"/>
      <color rgb="FF34495E"/>
      <name val="微软雅黑"/>
    </font>
    <font>
      <i/>
      <sz val="8.5"/>
      <color rgb="FF154360"/>
      <name val="微软雅黑"/>
    </font>
    <font>
      <b/>
      <sz val="9"/>
      <color rgb="FF145A32"/>
      <name val="微软雅黑"/>
    </font>
    <font>
      <b/>
      <sz val="8.5"/>
      <color rgb="FF900C3F"/>
      <name val="微软雅黑"/>
    </font>
    <font>
      <b/>
      <sz val="9"/>
      <color rgb="FF117A65"/>
      <name val="微软雅黑"/>
    </font>
    <font>
      <b/>
      <sz val="9"/>
      <color rgb="FF5D6D7E"/>
      <name val="微软雅黑"/>
    </font>
    <font>
      <sz val="8.5"/>
      <color rgb="FF7F8C8D"/>
      <name val="微软雅黑"/>
    </font>
    <font>
      <b/>
      <sz val="14"/>
      <color rgb="FFFFFFFF"/>
      <name val="微软雅黑"/>
    </font>
    <font>
      <b/>
      <sz val="9.5"/>
      <color rgb="FFFFFFFF"/>
      <name val="微软雅黑"/>
    </font>
    <font>
      <sz val="9"/>
      <color rgb="FF1C2833"/>
      <name val="微软雅黑"/>
    </font>
    <font>
      <sz val="9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4E6F1"/>
        <bgColor rgb="FFD4E6F1"/>
      </patternFill>
    </fill>
    <fill>
      <patternFill patternType="solid">
        <fgColor rgb="FFEAECEE"/>
        <bgColor rgb="FFEAECEE"/>
      </patternFill>
    </fill>
    <fill>
      <patternFill patternType="solid">
        <fgColor rgb="FFFADBD8"/>
        <bgColor rgb="FFFADBD8"/>
      </patternFill>
    </fill>
    <fill>
      <patternFill patternType="solid">
        <fgColor rgb="FFFDEDEC"/>
        <bgColor rgb="FFFDEDEC"/>
      </patternFill>
    </fill>
    <fill>
      <patternFill patternType="solid">
        <fgColor rgb="FFF5EEF8"/>
        <bgColor rgb="FFF5EEF8"/>
      </patternFill>
    </fill>
    <fill>
      <patternFill patternType="solid">
        <fgColor rgb="FFFFFFFF"/>
        <bgColor rgb="FFFFFFFF"/>
      </patternFill>
    </fill>
    <fill>
      <patternFill patternType="solid">
        <fgColor rgb="FF2E4053"/>
        <bgColor rgb="FF2E4053"/>
      </patternFill>
    </fill>
    <fill>
      <patternFill patternType="solid">
        <fgColor rgb="FF873600"/>
        <bgColor rgb="FF873600"/>
      </patternFill>
    </fill>
    <fill>
      <patternFill patternType="solid">
        <fgColor rgb="FF1B4F72"/>
        <bgColor rgb="FF1B4F72"/>
      </patternFill>
    </fill>
    <fill>
      <patternFill patternType="solid">
        <fgColor rgb="FF2874A6"/>
        <bgColor rgb="FF2874A6"/>
      </patternFill>
    </fill>
    <fill>
      <patternFill patternType="solid">
        <fgColor rgb="FF2E86C1"/>
        <bgColor rgb="FF2E86C1"/>
      </patternFill>
    </fill>
    <fill>
      <patternFill patternType="solid">
        <fgColor rgb="FF34495E"/>
        <bgColor rgb="FF34495E"/>
      </patternFill>
    </fill>
    <fill>
      <patternFill patternType="solid">
        <fgColor rgb="FFEAEDED"/>
        <bgColor rgb="FFEAEDED"/>
      </patternFill>
    </fill>
    <fill>
      <patternFill patternType="solid">
        <fgColor rgb="FFD1F2EB"/>
        <bgColor rgb="FFD1F2EB"/>
      </patternFill>
    </fill>
    <fill>
      <patternFill patternType="solid">
        <fgColor rgb="FFFCF3CF"/>
        <bgColor rgb="FFFCF3CF"/>
      </patternFill>
    </fill>
    <fill>
      <patternFill patternType="solid">
        <fgColor rgb="FFFEF9E7"/>
        <bgColor rgb="FFFEF9E7"/>
      </patternFill>
    </fill>
    <fill>
      <patternFill patternType="solid">
        <fgColor rgb="FFE8F6F3"/>
        <bgColor rgb="FFE8F6F3"/>
      </patternFill>
    </fill>
    <fill>
      <patternFill patternType="solid">
        <fgColor rgb="FFEBF5FB"/>
        <bgColor rgb="FFEBF5FB"/>
      </patternFill>
    </fill>
    <fill>
      <patternFill patternType="solid">
        <fgColor rgb="FFF8F9FA"/>
        <bgColor rgb="FFF8F9FA"/>
      </patternFill>
    </fill>
    <fill>
      <patternFill patternType="solid">
        <fgColor rgb="FFD4EFDF"/>
        <bgColor rgb="FFD4EFDF"/>
      </patternFill>
    </fill>
    <fill>
      <patternFill patternType="solid">
        <fgColor rgb="FFF4F6F6"/>
        <bgColor rgb="FFF4F6F6"/>
      </patternFill>
    </fill>
    <fill>
      <patternFill patternType="solid">
        <fgColor rgb="FFE8F8F5"/>
        <bgColor rgb="FFE8F8F5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8" borderId="0" xfId="0" applyFill="1"/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 indent="1"/>
    </xf>
    <xf numFmtId="0" fontId="11" fillId="8" borderId="1" xfId="0" applyFont="1" applyFill="1" applyBorder="1" applyAlignment="1">
      <alignment horizontal="left" vertical="center" wrapText="1" indent="1"/>
    </xf>
    <xf numFmtId="0" fontId="12" fillId="1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 indent="1"/>
    </xf>
    <xf numFmtId="0" fontId="14" fillId="18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left" vertical="center" wrapText="1" indent="1"/>
    </xf>
    <xf numFmtId="0" fontId="15" fillId="19" borderId="1" xfId="0" applyFont="1" applyFill="1" applyBorder="1" applyAlignment="1">
      <alignment horizontal="left" vertical="center" wrapText="1" indent="1"/>
    </xf>
    <xf numFmtId="0" fontId="16" fillId="20" borderId="1" xfId="0" applyFont="1" applyFill="1" applyBorder="1" applyAlignment="1">
      <alignment horizontal="left" vertical="center" wrapText="1" indent="1"/>
    </xf>
    <xf numFmtId="0" fontId="17" fillId="4" borderId="1" xfId="0" applyFont="1" applyFill="1" applyBorder="1" applyAlignment="1">
      <alignment horizontal="left" vertical="center" wrapText="1" indent="1"/>
    </xf>
    <xf numFmtId="0" fontId="18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 indent="1"/>
    </xf>
    <xf numFmtId="0" fontId="9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left" vertical="center" wrapText="1" indent="1"/>
    </xf>
    <xf numFmtId="0" fontId="11" fillId="21" borderId="1" xfId="0" applyFont="1" applyFill="1" applyBorder="1" applyAlignment="1">
      <alignment horizontal="left" vertical="center" wrapText="1" indent="1"/>
    </xf>
    <xf numFmtId="0" fontId="20" fillId="22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left" vertical="center" wrapText="1" indent="1"/>
    </xf>
    <xf numFmtId="0" fontId="14" fillId="23" borderId="1" xfId="0" applyFont="1" applyFill="1" applyBorder="1" applyAlignment="1">
      <alignment horizontal="left" vertical="center" wrapText="1" indent="1"/>
    </xf>
    <xf numFmtId="0" fontId="14" fillId="21" borderId="1" xfId="0" applyFont="1" applyFill="1" applyBorder="1" applyAlignment="1">
      <alignment horizontal="left" vertical="center" wrapText="1" indent="1"/>
    </xf>
    <xf numFmtId="0" fontId="18" fillId="21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left" vertical="center" wrapText="1" indent="1"/>
    </xf>
    <xf numFmtId="0" fontId="21" fillId="6" borderId="1" xfId="0" applyFont="1" applyFill="1" applyBorder="1" applyAlignment="1">
      <alignment horizontal="left" vertical="center" wrapText="1" indent="1"/>
    </xf>
    <xf numFmtId="0" fontId="22" fillId="24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left" vertical="center" wrapText="1" indent="1"/>
    </xf>
    <xf numFmtId="0" fontId="14" fillId="24" borderId="1" xfId="0" applyFont="1" applyFill="1" applyBorder="1" applyAlignment="1">
      <alignment horizontal="left" vertical="center" wrapText="1" indent="1"/>
    </xf>
    <xf numFmtId="0" fontId="24" fillId="8" borderId="1" xfId="0" applyFont="1" applyFill="1" applyBorder="1" applyAlignment="1">
      <alignment horizontal="left" vertical="center" wrapText="1" indent="1"/>
    </xf>
    <xf numFmtId="0" fontId="5" fillId="20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left" vertical="center" wrapText="1" indent="1"/>
    </xf>
    <xf numFmtId="0" fontId="27" fillId="8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left" vertical="center" wrapText="1" indent="1"/>
    </xf>
    <xf numFmtId="0" fontId="27" fillId="2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0" fillId="0" borderId="1" xfId="0" applyBorder="1"/>
    <xf numFmtId="0" fontId="8" fillId="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1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workbookViewId="0">
      <pane xSplit="3" ySplit="5" topLeftCell="D6" activePane="bottomRight" state="frozen"/>
      <selection pane="topRight"/>
      <selection pane="bottomLeft"/>
      <selection pane="bottomRight" sqref="A1:AF1"/>
    </sheetView>
  </sheetViews>
  <sheetFormatPr defaultRowHeight="14.4" outlineLevelCol="1" x14ac:dyDescent="0.25"/>
  <cols>
    <col min="1" max="1" width="12" customWidth="1"/>
    <col min="2" max="3" width="28" customWidth="1"/>
    <col min="4" max="4" width="21" customWidth="1"/>
    <col min="5" max="5" width="24" customWidth="1"/>
    <col min="6" max="12" width="38" customWidth="1" outlineLevel="1"/>
    <col min="13" max="13" width="28" customWidth="1"/>
    <col min="14" max="20" width="38" hidden="1" customWidth="1" outlineLevel="1"/>
    <col min="21" max="21" width="28" customWidth="1"/>
    <col min="22" max="28" width="38" hidden="1" customWidth="1" outlineLevel="1"/>
    <col min="29" max="29" width="28" customWidth="1"/>
    <col min="30" max="30" width="22" customWidth="1"/>
    <col min="31" max="31" width="28" customWidth="1"/>
    <col min="32" max="32" width="30" customWidth="1"/>
  </cols>
  <sheetData>
    <row r="1" spans="1:32" ht="37.950000000000003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</row>
    <row r="2" spans="1:32" ht="28.05" customHeight="1" x14ac:dyDescent="0.25">
      <c r="A2" s="53" t="s">
        <v>1</v>
      </c>
      <c r="B2" s="40"/>
      <c r="C2" s="40"/>
      <c r="D2" s="45" t="str">
        <f>"攻坚任务: " &amp; COUNTA(B6:B17) &amp; "项 (P0:" &amp; COUNTIF(B6:B17,"*P0*") &amp; " | P1:" &amp; COUNTIF(B6:B17,"*P1*") &amp; " | P2:" &amp; COUNTIF(B6:B17,"*P2*") &amp; ")"</f>
        <v>攻坚任务: 12项 (P0:3 | P1:6 | P2:3)</v>
      </c>
      <c r="E2" s="40"/>
      <c r="F2" s="50" t="str">
        <f>"P0基线门禁达标: " &amp; COUNTIFS(B6:B17,"*P0*",D6:D17,"*已达标*") &amp; " / " &amp; COUNTIF(B6:B17,"*P0*")</f>
        <v>P0基线门禁达标: 0 / 3</v>
      </c>
      <c r="G2" s="40"/>
      <c r="H2" s="40"/>
      <c r="I2" s="43" t="str">
        <f>"P1核心主径达标: " &amp; COUNTIFS(B6:B17,"*P1*",D6:D17,"*已达标*") &amp; " / " &amp; COUNTIF(B6:B17,"*P1*")</f>
        <v>P1核心主径达标: 1 / 6</v>
      </c>
      <c r="J2" s="40"/>
      <c r="K2" s="40"/>
      <c r="L2" s="52" t="str">
        <f>"⚠️ 活跃卡点: " &amp; COUNTIFS(E6:E17,"&lt;&gt;无",E6:E17,"&lt;&gt;-") &amp; " 项待协同 (样例)"</f>
        <v>⚠️ 活跃卡点: 5 项待协同 (样例)</v>
      </c>
      <c r="M2" s="40"/>
      <c r="N2" s="40"/>
      <c r="O2" s="46" t="s">
        <v>2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 ht="4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5.95" customHeight="1" x14ac:dyDescent="0.25">
      <c r="A4" s="41" t="s">
        <v>3</v>
      </c>
      <c r="B4" s="40"/>
      <c r="C4" s="40"/>
      <c r="D4" s="51" t="s">
        <v>4</v>
      </c>
      <c r="E4" s="40"/>
      <c r="F4" s="39" t="s">
        <v>5</v>
      </c>
      <c r="G4" s="40"/>
      <c r="H4" s="40"/>
      <c r="I4" s="40"/>
      <c r="J4" s="40"/>
      <c r="K4" s="40"/>
      <c r="L4" s="40"/>
      <c r="M4" s="40"/>
      <c r="N4" s="44" t="s">
        <v>6</v>
      </c>
      <c r="O4" s="40"/>
      <c r="P4" s="40"/>
      <c r="Q4" s="40"/>
      <c r="R4" s="40"/>
      <c r="S4" s="40"/>
      <c r="T4" s="40"/>
      <c r="U4" s="40"/>
      <c r="V4" s="42" t="s">
        <v>7</v>
      </c>
      <c r="W4" s="40"/>
      <c r="X4" s="40"/>
      <c r="Y4" s="40"/>
      <c r="Z4" s="40"/>
      <c r="AA4" s="40"/>
      <c r="AB4" s="40"/>
      <c r="AC4" s="40"/>
      <c r="AD4" s="49" t="s">
        <v>8</v>
      </c>
      <c r="AE4" s="40"/>
      <c r="AF4" s="40"/>
    </row>
    <row r="5" spans="1:32" ht="30" customHeight="1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3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3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  <c r="AC5" s="3" t="s">
        <v>37</v>
      </c>
      <c r="AD5" s="2" t="s">
        <v>38</v>
      </c>
      <c r="AE5" s="2" t="s">
        <v>39</v>
      </c>
      <c r="AF5" s="2" t="s">
        <v>40</v>
      </c>
    </row>
    <row r="6" spans="1:32" ht="54" customHeight="1" x14ac:dyDescent="0.25">
      <c r="A6" s="4" t="s">
        <v>41</v>
      </c>
      <c r="B6" s="5" t="s">
        <v>42</v>
      </c>
      <c r="C6" s="6" t="s">
        <v>43</v>
      </c>
      <c r="D6" s="7" t="s">
        <v>44</v>
      </c>
      <c r="E6" s="8" t="s">
        <v>45</v>
      </c>
      <c r="F6" s="9" t="s">
        <v>46</v>
      </c>
      <c r="G6" s="10"/>
      <c r="H6" s="10"/>
      <c r="I6" s="10"/>
      <c r="J6" s="10"/>
      <c r="K6" s="10"/>
      <c r="L6" s="10"/>
      <c r="M6" s="11" t="s">
        <v>47</v>
      </c>
      <c r="N6" s="10"/>
      <c r="O6" s="10"/>
      <c r="P6" s="10"/>
      <c r="Q6" s="10"/>
      <c r="R6" s="10"/>
      <c r="S6" s="10"/>
      <c r="T6" s="10"/>
      <c r="U6" s="12" t="s">
        <v>48</v>
      </c>
      <c r="V6" s="10"/>
      <c r="W6" s="10"/>
      <c r="X6" s="10"/>
      <c r="Y6" s="10"/>
      <c r="Z6" s="10"/>
      <c r="AA6" s="10"/>
      <c r="AB6" s="10"/>
      <c r="AC6" s="13" t="s">
        <v>49</v>
      </c>
      <c r="AD6" s="14" t="s">
        <v>50</v>
      </c>
      <c r="AE6" s="6" t="s">
        <v>51</v>
      </c>
      <c r="AF6" s="15" t="s">
        <v>52</v>
      </c>
    </row>
    <row r="7" spans="1:32" ht="54" customHeight="1" x14ac:dyDescent="0.25">
      <c r="A7" s="16" t="s">
        <v>53</v>
      </c>
      <c r="B7" s="17" t="s">
        <v>54</v>
      </c>
      <c r="C7" s="18" t="s">
        <v>55</v>
      </c>
      <c r="D7" s="19" t="s">
        <v>56</v>
      </c>
      <c r="E7" s="20" t="s">
        <v>45</v>
      </c>
      <c r="F7" s="21" t="s">
        <v>57</v>
      </c>
      <c r="G7" s="22"/>
      <c r="H7" s="22"/>
      <c r="I7" s="22"/>
      <c r="J7" s="22"/>
      <c r="K7" s="22"/>
      <c r="L7" s="22"/>
      <c r="M7" s="11" t="s">
        <v>58</v>
      </c>
      <c r="N7" s="22"/>
      <c r="O7" s="22"/>
      <c r="P7" s="22"/>
      <c r="Q7" s="22"/>
      <c r="R7" s="22"/>
      <c r="S7" s="22"/>
      <c r="T7" s="22"/>
      <c r="U7" s="12" t="s">
        <v>59</v>
      </c>
      <c r="V7" s="22"/>
      <c r="W7" s="22"/>
      <c r="X7" s="22"/>
      <c r="Y7" s="22"/>
      <c r="Z7" s="22"/>
      <c r="AA7" s="22"/>
      <c r="AB7" s="22"/>
      <c r="AC7" s="13" t="s">
        <v>60</v>
      </c>
      <c r="AD7" s="23" t="s">
        <v>61</v>
      </c>
      <c r="AE7" s="18" t="s">
        <v>62</v>
      </c>
      <c r="AF7" s="24" t="s">
        <v>63</v>
      </c>
    </row>
    <row r="8" spans="1:32" ht="54" customHeight="1" x14ac:dyDescent="0.25">
      <c r="A8" s="4" t="s">
        <v>64</v>
      </c>
      <c r="B8" s="5" t="s">
        <v>65</v>
      </c>
      <c r="C8" s="6" t="s">
        <v>66</v>
      </c>
      <c r="D8" s="7" t="s">
        <v>67</v>
      </c>
      <c r="E8" s="25" t="s">
        <v>68</v>
      </c>
      <c r="F8" s="21" t="s">
        <v>69</v>
      </c>
      <c r="G8" s="10"/>
      <c r="H8" s="10"/>
      <c r="I8" s="10"/>
      <c r="J8" s="10"/>
      <c r="K8" s="10"/>
      <c r="L8" s="10"/>
      <c r="M8" s="11" t="s">
        <v>70</v>
      </c>
      <c r="N8" s="10"/>
      <c r="O8" s="10"/>
      <c r="P8" s="10"/>
      <c r="Q8" s="10"/>
      <c r="R8" s="10"/>
      <c r="S8" s="10"/>
      <c r="T8" s="10"/>
      <c r="U8" s="12" t="s">
        <v>71</v>
      </c>
      <c r="V8" s="10"/>
      <c r="W8" s="10"/>
      <c r="X8" s="10"/>
      <c r="Y8" s="10"/>
      <c r="Z8" s="10"/>
      <c r="AA8" s="10"/>
      <c r="AB8" s="10"/>
      <c r="AC8" s="13" t="s">
        <v>72</v>
      </c>
      <c r="AD8" s="14" t="s">
        <v>73</v>
      </c>
      <c r="AE8" s="6" t="s">
        <v>74</v>
      </c>
      <c r="AF8" s="15" t="s">
        <v>75</v>
      </c>
    </row>
    <row r="9" spans="1:32" ht="54" customHeight="1" x14ac:dyDescent="0.25">
      <c r="A9" s="16" t="s">
        <v>76</v>
      </c>
      <c r="B9" s="17" t="s">
        <v>77</v>
      </c>
      <c r="C9" s="18" t="s">
        <v>78</v>
      </c>
      <c r="D9" s="26" t="s">
        <v>79</v>
      </c>
      <c r="E9" s="25" t="s">
        <v>80</v>
      </c>
      <c r="F9" s="21" t="s">
        <v>81</v>
      </c>
      <c r="G9" s="22"/>
      <c r="H9" s="22"/>
      <c r="I9" s="22"/>
      <c r="J9" s="22"/>
      <c r="K9" s="22"/>
      <c r="L9" s="22"/>
      <c r="M9" s="11" t="s">
        <v>82</v>
      </c>
      <c r="N9" s="22"/>
      <c r="O9" s="22"/>
      <c r="P9" s="22"/>
      <c r="Q9" s="22"/>
      <c r="R9" s="22"/>
      <c r="S9" s="22"/>
      <c r="T9" s="22"/>
      <c r="U9" s="12" t="s">
        <v>83</v>
      </c>
      <c r="V9" s="22"/>
      <c r="W9" s="22"/>
      <c r="X9" s="22"/>
      <c r="Y9" s="22"/>
      <c r="Z9" s="22"/>
      <c r="AA9" s="22"/>
      <c r="AB9" s="22"/>
      <c r="AC9" s="13" t="s">
        <v>84</v>
      </c>
      <c r="AD9" s="23" t="s">
        <v>85</v>
      </c>
      <c r="AE9" s="18" t="s">
        <v>86</v>
      </c>
      <c r="AF9" s="24" t="s">
        <v>87</v>
      </c>
    </row>
    <row r="10" spans="1:32" ht="54" customHeight="1" x14ac:dyDescent="0.25">
      <c r="A10" s="4" t="s">
        <v>88</v>
      </c>
      <c r="B10" s="5" t="s">
        <v>89</v>
      </c>
      <c r="C10" s="6" t="s">
        <v>90</v>
      </c>
      <c r="D10" s="26" t="s">
        <v>91</v>
      </c>
      <c r="E10" s="25" t="s">
        <v>92</v>
      </c>
      <c r="F10" s="21" t="s">
        <v>93</v>
      </c>
      <c r="G10" s="10"/>
      <c r="H10" s="10"/>
      <c r="I10" s="10"/>
      <c r="J10" s="10"/>
      <c r="K10" s="10"/>
      <c r="L10" s="10"/>
      <c r="M10" s="11" t="s">
        <v>94</v>
      </c>
      <c r="N10" s="10"/>
      <c r="O10" s="10"/>
      <c r="P10" s="10"/>
      <c r="Q10" s="10"/>
      <c r="R10" s="10"/>
      <c r="S10" s="10"/>
      <c r="T10" s="10"/>
      <c r="U10" s="12" t="s">
        <v>95</v>
      </c>
      <c r="V10" s="10"/>
      <c r="W10" s="10"/>
      <c r="X10" s="10"/>
      <c r="Y10" s="10"/>
      <c r="Z10" s="10"/>
      <c r="AA10" s="10"/>
      <c r="AB10" s="10"/>
      <c r="AC10" s="13" t="s">
        <v>96</v>
      </c>
      <c r="AD10" s="14" t="s">
        <v>97</v>
      </c>
      <c r="AE10" s="6" t="s">
        <v>98</v>
      </c>
      <c r="AF10" s="15" t="s">
        <v>99</v>
      </c>
    </row>
    <row r="11" spans="1:32" ht="54" customHeight="1" x14ac:dyDescent="0.25">
      <c r="A11" s="16" t="s">
        <v>41</v>
      </c>
      <c r="B11" s="17" t="s">
        <v>100</v>
      </c>
      <c r="C11" s="18" t="s">
        <v>101</v>
      </c>
      <c r="D11" s="27" t="s">
        <v>102</v>
      </c>
      <c r="E11" s="25" t="s">
        <v>103</v>
      </c>
      <c r="F11" s="21" t="s">
        <v>104</v>
      </c>
      <c r="G11" s="22"/>
      <c r="H11" s="22"/>
      <c r="I11" s="22"/>
      <c r="J11" s="22"/>
      <c r="K11" s="22"/>
      <c r="L11" s="22"/>
      <c r="M11" s="11" t="s">
        <v>105</v>
      </c>
      <c r="N11" s="22"/>
      <c r="O11" s="22"/>
      <c r="P11" s="22"/>
      <c r="Q11" s="22"/>
      <c r="R11" s="22"/>
      <c r="S11" s="22"/>
      <c r="T11" s="22"/>
      <c r="U11" s="12" t="s">
        <v>106</v>
      </c>
      <c r="V11" s="22"/>
      <c r="W11" s="22"/>
      <c r="X11" s="22"/>
      <c r="Y11" s="22"/>
      <c r="Z11" s="22"/>
      <c r="AA11" s="22"/>
      <c r="AB11" s="22"/>
      <c r="AC11" s="13" t="s">
        <v>107</v>
      </c>
      <c r="AD11" s="23" t="s">
        <v>108</v>
      </c>
      <c r="AE11" s="18" t="s">
        <v>109</v>
      </c>
      <c r="AF11" s="24" t="s">
        <v>110</v>
      </c>
    </row>
    <row r="12" spans="1:32" ht="54" customHeight="1" x14ac:dyDescent="0.25">
      <c r="A12" s="4" t="s">
        <v>111</v>
      </c>
      <c r="B12" s="5" t="s">
        <v>112</v>
      </c>
      <c r="C12" s="6" t="s">
        <v>113</v>
      </c>
      <c r="D12" s="27" t="s">
        <v>114</v>
      </c>
      <c r="E12" s="25" t="s">
        <v>115</v>
      </c>
      <c r="F12" s="21" t="s">
        <v>116</v>
      </c>
      <c r="G12" s="10"/>
      <c r="H12" s="10"/>
      <c r="I12" s="10"/>
      <c r="J12" s="10"/>
      <c r="K12" s="10"/>
      <c r="L12" s="10"/>
      <c r="M12" s="11" t="s">
        <v>117</v>
      </c>
      <c r="N12" s="10"/>
      <c r="O12" s="10"/>
      <c r="P12" s="10"/>
      <c r="Q12" s="10"/>
      <c r="R12" s="10"/>
      <c r="S12" s="10"/>
      <c r="T12" s="10"/>
      <c r="U12" s="12" t="s">
        <v>118</v>
      </c>
      <c r="V12" s="10"/>
      <c r="W12" s="10"/>
      <c r="X12" s="10"/>
      <c r="Y12" s="10"/>
      <c r="Z12" s="10"/>
      <c r="AA12" s="10"/>
      <c r="AB12" s="10"/>
      <c r="AC12" s="13" t="s">
        <v>119</v>
      </c>
      <c r="AD12" s="14" t="s">
        <v>120</v>
      </c>
      <c r="AE12" s="6" t="s">
        <v>121</v>
      </c>
      <c r="AF12" s="15" t="s">
        <v>122</v>
      </c>
    </row>
    <row r="13" spans="1:32" ht="54" customHeight="1" x14ac:dyDescent="0.25">
      <c r="A13" s="16" t="s">
        <v>41</v>
      </c>
      <c r="B13" s="17" t="s">
        <v>123</v>
      </c>
      <c r="C13" s="18" t="s">
        <v>124</v>
      </c>
      <c r="D13" s="27" t="s">
        <v>125</v>
      </c>
      <c r="E13" s="28" t="s">
        <v>126</v>
      </c>
      <c r="F13" s="29" t="s">
        <v>127</v>
      </c>
      <c r="G13" s="22"/>
      <c r="H13" s="22"/>
      <c r="I13" s="22"/>
      <c r="J13" s="22"/>
      <c r="K13" s="22"/>
      <c r="L13" s="22"/>
      <c r="M13" s="11" t="s">
        <v>128</v>
      </c>
      <c r="N13" s="22"/>
      <c r="O13" s="22"/>
      <c r="P13" s="22"/>
      <c r="Q13" s="22"/>
      <c r="R13" s="22"/>
      <c r="S13" s="22"/>
      <c r="T13" s="22"/>
      <c r="U13" s="12" t="s">
        <v>129</v>
      </c>
      <c r="V13" s="22"/>
      <c r="W13" s="22"/>
      <c r="X13" s="22"/>
      <c r="Y13" s="22"/>
      <c r="Z13" s="22"/>
      <c r="AA13" s="22"/>
      <c r="AB13" s="22"/>
      <c r="AC13" s="13" t="s">
        <v>130</v>
      </c>
      <c r="AD13" s="23" t="s">
        <v>131</v>
      </c>
      <c r="AE13" s="18" t="s">
        <v>132</v>
      </c>
      <c r="AF13" s="24" t="s">
        <v>133</v>
      </c>
    </row>
    <row r="14" spans="1:32" ht="54" customHeight="1" x14ac:dyDescent="0.25">
      <c r="A14" s="4" t="s">
        <v>41</v>
      </c>
      <c r="B14" s="5" t="s">
        <v>134</v>
      </c>
      <c r="C14" s="6" t="s">
        <v>135</v>
      </c>
      <c r="D14" s="27" t="s">
        <v>136</v>
      </c>
      <c r="E14" s="30" t="s">
        <v>126</v>
      </c>
      <c r="F14" s="21" t="s">
        <v>137</v>
      </c>
      <c r="G14" s="10"/>
      <c r="H14" s="10"/>
      <c r="I14" s="10"/>
      <c r="J14" s="10"/>
      <c r="K14" s="10"/>
      <c r="L14" s="10"/>
      <c r="M14" s="11" t="s">
        <v>138</v>
      </c>
      <c r="N14" s="10"/>
      <c r="O14" s="10"/>
      <c r="P14" s="10"/>
      <c r="Q14" s="10"/>
      <c r="R14" s="10"/>
      <c r="S14" s="10"/>
      <c r="T14" s="10"/>
      <c r="U14" s="12" t="s">
        <v>139</v>
      </c>
      <c r="V14" s="10"/>
      <c r="W14" s="10"/>
      <c r="X14" s="10"/>
      <c r="Y14" s="10"/>
      <c r="Z14" s="10"/>
      <c r="AA14" s="10"/>
      <c r="AB14" s="10"/>
      <c r="AC14" s="13" t="s">
        <v>140</v>
      </c>
      <c r="AD14" s="14" t="s">
        <v>141</v>
      </c>
      <c r="AE14" s="6" t="s">
        <v>142</v>
      </c>
      <c r="AF14" s="15" t="s">
        <v>143</v>
      </c>
    </row>
    <row r="15" spans="1:32" ht="54" customHeight="1" x14ac:dyDescent="0.25">
      <c r="A15" s="16" t="s">
        <v>64</v>
      </c>
      <c r="B15" s="17" t="s">
        <v>144</v>
      </c>
      <c r="C15" s="18" t="s">
        <v>145</v>
      </c>
      <c r="D15" s="27" t="s">
        <v>136</v>
      </c>
      <c r="E15" s="28" t="s">
        <v>126</v>
      </c>
      <c r="F15" s="21" t="s">
        <v>146</v>
      </c>
      <c r="G15" s="22"/>
      <c r="H15" s="22"/>
      <c r="I15" s="22"/>
      <c r="J15" s="22"/>
      <c r="K15" s="22"/>
      <c r="L15" s="22"/>
      <c r="M15" s="11" t="s">
        <v>147</v>
      </c>
      <c r="N15" s="22"/>
      <c r="O15" s="22"/>
      <c r="P15" s="22"/>
      <c r="Q15" s="22"/>
      <c r="R15" s="22"/>
      <c r="S15" s="22"/>
      <c r="T15" s="22"/>
      <c r="U15" s="12" t="s">
        <v>148</v>
      </c>
      <c r="V15" s="22"/>
      <c r="W15" s="22"/>
      <c r="X15" s="22"/>
      <c r="Y15" s="22"/>
      <c r="Z15" s="22"/>
      <c r="AA15" s="22"/>
      <c r="AB15" s="22"/>
      <c r="AC15" s="13" t="s">
        <v>149</v>
      </c>
      <c r="AD15" s="23" t="s">
        <v>73</v>
      </c>
      <c r="AE15" s="18" t="s">
        <v>150</v>
      </c>
      <c r="AF15" s="24" t="s">
        <v>151</v>
      </c>
    </row>
    <row r="16" spans="1:32" ht="54" customHeight="1" x14ac:dyDescent="0.25">
      <c r="A16" s="4" t="s">
        <v>152</v>
      </c>
      <c r="B16" s="5" t="s">
        <v>153</v>
      </c>
      <c r="C16" s="6" t="s">
        <v>154</v>
      </c>
      <c r="D16" s="27" t="s">
        <v>136</v>
      </c>
      <c r="E16" s="30" t="s">
        <v>126</v>
      </c>
      <c r="F16" s="21" t="s">
        <v>155</v>
      </c>
      <c r="G16" s="10"/>
      <c r="H16" s="10"/>
      <c r="I16" s="10"/>
      <c r="J16" s="10"/>
      <c r="K16" s="10"/>
      <c r="L16" s="10"/>
      <c r="M16" s="11" t="s">
        <v>156</v>
      </c>
      <c r="N16" s="10"/>
      <c r="O16" s="10"/>
      <c r="P16" s="10"/>
      <c r="Q16" s="10"/>
      <c r="R16" s="10"/>
      <c r="S16" s="10"/>
      <c r="T16" s="10"/>
      <c r="U16" s="12" t="s">
        <v>157</v>
      </c>
      <c r="V16" s="10"/>
      <c r="W16" s="10"/>
      <c r="X16" s="10"/>
      <c r="Y16" s="10"/>
      <c r="Z16" s="10"/>
      <c r="AA16" s="10"/>
      <c r="AB16" s="10"/>
      <c r="AC16" s="13" t="s">
        <v>158</v>
      </c>
      <c r="AD16" s="14" t="s">
        <v>159</v>
      </c>
      <c r="AE16" s="6" t="s">
        <v>160</v>
      </c>
      <c r="AF16" s="15" t="s">
        <v>161</v>
      </c>
    </row>
    <row r="17" spans="1:32" ht="54" customHeight="1" x14ac:dyDescent="0.25">
      <c r="A17" s="16" t="s">
        <v>162</v>
      </c>
      <c r="B17" s="17" t="s">
        <v>163</v>
      </c>
      <c r="C17" s="18" t="s">
        <v>164</v>
      </c>
      <c r="D17" s="31" t="s">
        <v>165</v>
      </c>
      <c r="E17" s="20" t="s">
        <v>45</v>
      </c>
      <c r="F17" s="21" t="s">
        <v>166</v>
      </c>
      <c r="G17" s="22"/>
      <c r="H17" s="22"/>
      <c r="I17" s="22"/>
      <c r="J17" s="22"/>
      <c r="K17" s="22"/>
      <c r="L17" s="22"/>
      <c r="M17" s="11" t="s">
        <v>167</v>
      </c>
      <c r="N17" s="22"/>
      <c r="O17" s="22"/>
      <c r="P17" s="22"/>
      <c r="Q17" s="22"/>
      <c r="R17" s="22"/>
      <c r="S17" s="22"/>
      <c r="T17" s="22"/>
      <c r="U17" s="12" t="s">
        <v>168</v>
      </c>
      <c r="V17" s="22"/>
      <c r="W17" s="22"/>
      <c r="X17" s="22"/>
      <c r="Y17" s="22"/>
      <c r="Z17" s="22"/>
      <c r="AA17" s="22"/>
      <c r="AB17" s="22"/>
      <c r="AC17" s="13" t="s">
        <v>169</v>
      </c>
      <c r="AD17" s="23" t="s">
        <v>170</v>
      </c>
      <c r="AE17" s="18" t="s">
        <v>171</v>
      </c>
      <c r="AF17" s="24" t="s">
        <v>172</v>
      </c>
    </row>
  </sheetData>
  <mergeCells count="13">
    <mergeCell ref="A1:AF1"/>
    <mergeCell ref="AD4:AF4"/>
    <mergeCell ref="F2:H2"/>
    <mergeCell ref="D4:E4"/>
    <mergeCell ref="L2:N2"/>
    <mergeCell ref="A2:C2"/>
    <mergeCell ref="F4:M4"/>
    <mergeCell ref="A4:C4"/>
    <mergeCell ref="V4:AC4"/>
    <mergeCell ref="I2:K2"/>
    <mergeCell ref="N4:U4"/>
    <mergeCell ref="D2:E2"/>
    <mergeCell ref="O2:AF2"/>
  </mergeCells>
  <phoneticPr fontId="2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4.4" x14ac:dyDescent="0.25"/>
  <cols>
    <col min="1" max="1" width="15" customWidth="1"/>
    <col min="2" max="2" width="12" customWidth="1"/>
    <col min="3" max="3" width="18" customWidth="1"/>
    <col min="4" max="4" width="28" customWidth="1"/>
    <col min="5" max="5" width="18" customWidth="1"/>
    <col min="6" max="6" width="38" customWidth="1"/>
    <col min="7" max="7" width="28" customWidth="1"/>
  </cols>
  <sheetData>
    <row r="1" spans="1:7" ht="36" customHeight="1" x14ac:dyDescent="0.25">
      <c r="A1" s="54" t="s">
        <v>173</v>
      </c>
      <c r="B1" s="48"/>
      <c r="C1" s="48"/>
      <c r="D1" s="48"/>
      <c r="E1" s="48"/>
      <c r="F1" s="48"/>
      <c r="G1" s="48"/>
    </row>
    <row r="2" spans="1:7" ht="25.95" customHeight="1" x14ac:dyDescent="0.25">
      <c r="A2" s="32" t="s">
        <v>174</v>
      </c>
      <c r="B2" s="32" t="s">
        <v>175</v>
      </c>
      <c r="C2" s="32" t="s">
        <v>176</v>
      </c>
      <c r="D2" s="32" t="s">
        <v>177</v>
      </c>
      <c r="E2" s="32" t="s">
        <v>178</v>
      </c>
      <c r="F2" s="32" t="s">
        <v>179</v>
      </c>
      <c r="G2" s="32" t="s">
        <v>180</v>
      </c>
    </row>
    <row r="3" spans="1:7" ht="48" customHeight="1" x14ac:dyDescent="0.25">
      <c r="A3" s="33" t="s">
        <v>181</v>
      </c>
      <c r="B3" s="33" t="s">
        <v>182</v>
      </c>
      <c r="C3" s="34" t="s">
        <v>183</v>
      </c>
      <c r="D3" s="34" t="s">
        <v>184</v>
      </c>
      <c r="E3" s="34" t="s">
        <v>185</v>
      </c>
      <c r="F3" s="34" t="s">
        <v>186</v>
      </c>
      <c r="G3" s="35" t="s">
        <v>187</v>
      </c>
    </row>
    <row r="4" spans="1:7" ht="48" customHeight="1" x14ac:dyDescent="0.25">
      <c r="A4" s="36" t="s">
        <v>188</v>
      </c>
      <c r="B4" s="36" t="s">
        <v>182</v>
      </c>
      <c r="C4" s="37" t="s">
        <v>189</v>
      </c>
      <c r="D4" s="37" t="s">
        <v>190</v>
      </c>
      <c r="E4" s="37" t="s">
        <v>191</v>
      </c>
      <c r="F4" s="37" t="s">
        <v>192</v>
      </c>
      <c r="G4" s="38" t="s">
        <v>193</v>
      </c>
    </row>
    <row r="5" spans="1:7" ht="48" customHeight="1" x14ac:dyDescent="0.25">
      <c r="A5" s="33" t="s">
        <v>194</v>
      </c>
      <c r="B5" s="33" t="s">
        <v>182</v>
      </c>
      <c r="C5" s="34" t="s">
        <v>195</v>
      </c>
      <c r="D5" s="34" t="s">
        <v>196</v>
      </c>
      <c r="E5" s="34" t="s">
        <v>197</v>
      </c>
      <c r="F5" s="34" t="s">
        <v>198</v>
      </c>
      <c r="G5" s="35" t="s">
        <v>199</v>
      </c>
    </row>
    <row r="6" spans="1:7" ht="48" customHeight="1" x14ac:dyDescent="0.25">
      <c r="A6" s="36" t="s">
        <v>200</v>
      </c>
      <c r="B6" s="36" t="s">
        <v>201</v>
      </c>
      <c r="C6" s="37" t="s">
        <v>195</v>
      </c>
      <c r="D6" s="37" t="s">
        <v>202</v>
      </c>
      <c r="E6" s="37" t="s">
        <v>203</v>
      </c>
      <c r="F6" s="37" t="s">
        <v>204</v>
      </c>
      <c r="G6" s="38" t="s">
        <v>205</v>
      </c>
    </row>
    <row r="7" spans="1:7" ht="48" customHeight="1" x14ac:dyDescent="0.25">
      <c r="A7" s="33" t="s">
        <v>206</v>
      </c>
      <c r="B7" s="33" t="s">
        <v>201</v>
      </c>
      <c r="C7" s="34" t="s">
        <v>189</v>
      </c>
      <c r="D7" s="34" t="s">
        <v>207</v>
      </c>
      <c r="E7" s="34" t="s">
        <v>208</v>
      </c>
      <c r="F7" s="34" t="s">
        <v>209</v>
      </c>
      <c r="G7" s="35" t="s">
        <v>210</v>
      </c>
    </row>
    <row r="8" spans="1:7" ht="48" customHeight="1" x14ac:dyDescent="0.25">
      <c r="A8" s="36" t="s">
        <v>211</v>
      </c>
      <c r="B8" s="36" t="s">
        <v>201</v>
      </c>
      <c r="C8" s="37" t="s">
        <v>189</v>
      </c>
      <c r="D8" s="37" t="s">
        <v>212</v>
      </c>
      <c r="E8" s="37" t="s">
        <v>213</v>
      </c>
      <c r="F8" s="37" t="s">
        <v>214</v>
      </c>
      <c r="G8" s="38" t="s">
        <v>215</v>
      </c>
    </row>
    <row r="9" spans="1:7" ht="48" customHeight="1" x14ac:dyDescent="0.25">
      <c r="A9" s="33" t="s">
        <v>216</v>
      </c>
      <c r="B9" s="33" t="s">
        <v>217</v>
      </c>
      <c r="C9" s="34" t="s">
        <v>218</v>
      </c>
      <c r="D9" s="34" t="s">
        <v>219</v>
      </c>
      <c r="E9" s="34" t="s">
        <v>220</v>
      </c>
      <c r="F9" s="34" t="s">
        <v>221</v>
      </c>
      <c r="G9" s="35" t="s">
        <v>222</v>
      </c>
    </row>
  </sheetData>
  <mergeCells count="1">
    <mergeCell ref="A1:G1"/>
  </mergeCells>
  <phoneticPr fontId="2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【每日攻坚工作台】</vt:lpstr>
      <vt:lpstr>【人员负荷与职责说明】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Liu</cp:lastModifiedBy>
  <dcterms:created xsi:type="dcterms:W3CDTF">2026-10-12T12:23:32Z</dcterms:created>
  <dcterms:modified xsi:type="dcterms:W3CDTF">2026-10-12T12:23:47Z</dcterms:modified>
</cp:coreProperties>
</file>