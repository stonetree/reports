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des\reports\kvcache\unified_kv_memory\相关背景内容\"/>
    </mc:Choice>
  </mc:AlternateContent>
  <bookViews>
    <workbookView xWindow="0" yWindow="0" windowWidth="23040" windowHeight="11220" activeTab="3"/>
  </bookViews>
  <sheets>
    <sheet name="PCIe代际与通道带宽" sheetId="1" r:id="rId1"/>
    <sheet name="NVLink代际与端口带宽" sheetId="2" r:id="rId2"/>
    <sheet name="ConnectX网卡端口带宽" sheetId="3" r:id="rId3"/>
    <sheet name="AI算力互联全景对比总览" sheetId="4" r:id="rId4"/>
  </sheets>
  <calcPr calcId="162913"/>
</workbook>
</file>

<file path=xl/calcChain.xml><?xml version="1.0" encoding="utf-8"?>
<calcChain xmlns="http://schemas.openxmlformats.org/spreadsheetml/2006/main">
  <c r="F13" i="3" l="1"/>
  <c r="G13" i="3" s="1"/>
  <c r="F12" i="3"/>
  <c r="G12" i="3" s="1"/>
  <c r="F11" i="3"/>
  <c r="G11" i="3" s="1"/>
  <c r="F10" i="3"/>
  <c r="G10" i="3" s="1"/>
  <c r="F9" i="3"/>
  <c r="G9" i="3" s="1"/>
  <c r="F8" i="3"/>
  <c r="G8" i="3" s="1"/>
  <c r="F7" i="3"/>
  <c r="G7" i="3" s="1"/>
  <c r="I12" i="2"/>
  <c r="F12" i="2"/>
  <c r="J12" i="2" s="1"/>
  <c r="I11" i="2"/>
  <c r="F11" i="2"/>
  <c r="G11" i="2" s="1"/>
  <c r="I10" i="2"/>
  <c r="F10" i="2"/>
  <c r="G10" i="2" s="1"/>
  <c r="I9" i="2"/>
  <c r="F9" i="2"/>
  <c r="J9" i="2" s="1"/>
  <c r="I8" i="2"/>
  <c r="F8" i="2"/>
  <c r="G8" i="2" s="1"/>
  <c r="I7" i="2"/>
  <c r="F7" i="2"/>
  <c r="G7" i="2" s="1"/>
  <c r="J22" i="1"/>
  <c r="I22" i="1"/>
  <c r="N22" i="1" s="1"/>
  <c r="H22" i="1"/>
  <c r="M22" i="1" s="1"/>
  <c r="G22" i="1"/>
  <c r="L22" i="1" s="1"/>
  <c r="F22" i="1"/>
  <c r="K22" i="1" s="1"/>
  <c r="L21" i="1"/>
  <c r="J21" i="1"/>
  <c r="I21" i="1"/>
  <c r="N21" i="1" s="1"/>
  <c r="H21" i="1"/>
  <c r="M21" i="1" s="1"/>
  <c r="G21" i="1"/>
  <c r="F21" i="1"/>
  <c r="K21" i="1" s="1"/>
  <c r="J20" i="1"/>
  <c r="I20" i="1"/>
  <c r="N20" i="1" s="1"/>
  <c r="H20" i="1"/>
  <c r="M20" i="1" s="1"/>
  <c r="G20" i="1"/>
  <c r="L20" i="1" s="1"/>
  <c r="F20" i="1"/>
  <c r="K20" i="1" s="1"/>
  <c r="N19" i="1"/>
  <c r="J19" i="1"/>
  <c r="I19" i="1"/>
  <c r="H19" i="1"/>
  <c r="M19" i="1" s="1"/>
  <c r="G19" i="1"/>
  <c r="L19" i="1" s="1"/>
  <c r="F19" i="1"/>
  <c r="K19" i="1" s="1"/>
  <c r="L18" i="1"/>
  <c r="K18" i="1"/>
  <c r="J18" i="1"/>
  <c r="I18" i="1"/>
  <c r="N18" i="1" s="1"/>
  <c r="H18" i="1"/>
  <c r="M18" i="1" s="1"/>
  <c r="G18" i="1"/>
  <c r="F18" i="1"/>
  <c r="K13" i="1"/>
  <c r="J12" i="4" s="1"/>
  <c r="J13" i="1"/>
  <c r="O13" i="1" s="1"/>
  <c r="G12" i="4" s="1"/>
  <c r="I13" i="1"/>
  <c r="N13" i="1" s="1"/>
  <c r="H13" i="1"/>
  <c r="M13" i="1" s="1"/>
  <c r="G13" i="1"/>
  <c r="L13" i="1" s="1"/>
  <c r="N12" i="1"/>
  <c r="M12" i="1"/>
  <c r="L12" i="1"/>
  <c r="K12" i="1"/>
  <c r="J11" i="4" s="1"/>
  <c r="J12" i="1"/>
  <c r="O12" i="1" s="1"/>
  <c r="I12" i="1"/>
  <c r="H12" i="1"/>
  <c r="G12" i="1"/>
  <c r="K11" i="1"/>
  <c r="J10" i="4" s="1"/>
  <c r="J11" i="1"/>
  <c r="O11" i="1" s="1"/>
  <c r="E10" i="4" s="1"/>
  <c r="I11" i="1"/>
  <c r="N11" i="1" s="1"/>
  <c r="H11" i="1"/>
  <c r="M11" i="1" s="1"/>
  <c r="G11" i="1"/>
  <c r="L11" i="1" s="1"/>
  <c r="K10" i="1"/>
  <c r="J9" i="4" s="1"/>
  <c r="J10" i="1"/>
  <c r="O10" i="1" s="1"/>
  <c r="I10" i="1"/>
  <c r="N10" i="1" s="1"/>
  <c r="H10" i="1"/>
  <c r="M10" i="1" s="1"/>
  <c r="G10" i="1"/>
  <c r="L10" i="1" s="1"/>
  <c r="M9" i="1"/>
  <c r="K9" i="1"/>
  <c r="J8" i="4" s="1"/>
  <c r="J9" i="1"/>
  <c r="O9" i="1" s="1"/>
  <c r="E8" i="4" s="1"/>
  <c r="I9" i="1"/>
  <c r="N9" i="1" s="1"/>
  <c r="H9" i="1"/>
  <c r="G9" i="1"/>
  <c r="L9" i="1" s="1"/>
  <c r="K8" i="1"/>
  <c r="J8" i="1"/>
  <c r="O8" i="1" s="1"/>
  <c r="I8" i="1"/>
  <c r="N8" i="1" s="1"/>
  <c r="H8" i="1"/>
  <c r="M8" i="1" s="1"/>
  <c r="G8" i="1"/>
  <c r="L8" i="1" s="1"/>
  <c r="O7" i="1"/>
  <c r="K7" i="1"/>
  <c r="J7" i="1"/>
  <c r="I7" i="1"/>
  <c r="N7" i="1" s="1"/>
  <c r="H7" i="1"/>
  <c r="M7" i="1" s="1"/>
  <c r="G7" i="1"/>
  <c r="L7" i="1" s="1"/>
  <c r="J7" i="2" l="1"/>
  <c r="M7" i="2" s="1"/>
  <c r="J10" i="2"/>
  <c r="M10" i="2" s="1"/>
  <c r="J7" i="4"/>
  <c r="I7" i="4"/>
  <c r="F7" i="4"/>
  <c r="M9" i="2"/>
  <c r="K9" i="2"/>
  <c r="G9" i="4"/>
  <c r="E9" i="4"/>
  <c r="M12" i="2"/>
  <c r="K12" i="2"/>
  <c r="F8" i="4"/>
  <c r="I8" i="4"/>
  <c r="F11" i="4"/>
  <c r="I11" i="4"/>
  <c r="I10" i="4"/>
  <c r="F10" i="4"/>
  <c r="G11" i="4"/>
  <c r="E11" i="4"/>
  <c r="F9" i="4"/>
  <c r="I9" i="4"/>
  <c r="I12" i="4"/>
  <c r="M12" i="4" s="1"/>
  <c r="F12" i="4"/>
  <c r="E7" i="4"/>
  <c r="K7" i="2"/>
  <c r="K10" i="2"/>
  <c r="G8" i="4"/>
  <c r="G9" i="2"/>
  <c r="G12" i="2"/>
  <c r="G7" i="4"/>
  <c r="M7" i="4" s="1"/>
  <c r="E12" i="4"/>
  <c r="J8" i="2"/>
  <c r="J11" i="2"/>
  <c r="G10" i="4"/>
  <c r="M10" i="4" s="1"/>
  <c r="H10" i="4" l="1"/>
  <c r="N10" i="2"/>
  <c r="M11" i="2"/>
  <c r="K11" i="2"/>
  <c r="H7" i="4"/>
  <c r="N7" i="2"/>
  <c r="N12" i="2"/>
  <c r="H12" i="4"/>
  <c r="M8" i="2"/>
  <c r="K8" i="2"/>
  <c r="M9" i="4"/>
  <c r="M11" i="4"/>
  <c r="N9" i="2"/>
  <c r="H9" i="4"/>
  <c r="M8" i="4"/>
  <c r="H8" i="4" l="1"/>
  <c r="N8" i="2"/>
  <c r="O12" i="2"/>
  <c r="D12" i="4"/>
  <c r="O7" i="2"/>
  <c r="D7" i="4"/>
  <c r="H11" i="4"/>
  <c r="N11" i="2"/>
  <c r="D10" i="4"/>
  <c r="O10" i="2"/>
  <c r="D9" i="4"/>
  <c r="O9" i="2"/>
  <c r="L7" i="4" l="1"/>
  <c r="K7" i="4"/>
  <c r="L9" i="4"/>
  <c r="K9" i="4"/>
  <c r="L10" i="4"/>
  <c r="K10" i="4"/>
  <c r="D11" i="4"/>
  <c r="O11" i="2"/>
  <c r="L12" i="4"/>
  <c r="K12" i="4"/>
  <c r="D8" i="4"/>
  <c r="O8" i="2"/>
  <c r="L8" i="4" l="1"/>
  <c r="K8" i="4"/>
  <c r="K11" i="4"/>
  <c r="L11" i="4"/>
</calcChain>
</file>

<file path=xl/sharedStrings.xml><?xml version="1.0" encoding="utf-8"?>
<sst xmlns="http://schemas.openxmlformats.org/spreadsheetml/2006/main" count="284" uniqueCount="229">
  <si>
    <t>PCIe 3.0 ~ 7.0 代际传输速率与各通道配置带宽对照表 (PCI Express Bandwidth Matrix)</t>
  </si>
  <si>
    <t>涵盖 x1 / x2 / x4 / x8 / x16 通道配置下的单向与双向传输带宽，提供标称理论速率与编码后理论净负载速率</t>
  </si>
  <si>
    <t>【表 1.1】PCIe 各代际标称理论传输速率矩阵 (Nominal Bandwidth, GB/s)</t>
  </si>
  <si>
    <t>PCIe 版本</t>
  </si>
  <si>
    <t>发布年份</t>
  </si>
  <si>
    <t>对应AI算力时代</t>
  </si>
  <si>
    <t>物理传输速率
(GT/s)</t>
  </si>
  <si>
    <t>信号调制与编码</t>
  </si>
  <si>
    <t>单向标称传输带宽 (GB/s)</t>
  </si>
  <si>
    <t>双向标称传输带宽 (Duplex, GB/s)</t>
  </si>
  <si>
    <t>典型硬件与AI互联应用场景说明</t>
  </si>
  <si>
    <t>x1</t>
  </si>
  <si>
    <t>x2</t>
  </si>
  <si>
    <t>x4</t>
  </si>
  <si>
    <t>x8</t>
  </si>
  <si>
    <t>x16</t>
  </si>
  <si>
    <t>PCIe 1.0*</t>
  </si>
  <si>
    <t>2003</t>
  </si>
  <si>
    <t>早期历史参考</t>
  </si>
  <si>
    <t>8b/10b NRZ</t>
  </si>
  <si>
    <t>早期外设接口；现已被完全淘汰 (历史参考行)</t>
  </si>
  <si>
    <t>PCIe 2.0*</t>
  </si>
  <si>
    <t>2007</t>
  </si>
  <si>
    <t>早期千兆/万兆网卡与主板芯片组互联 (历史参考行)</t>
  </si>
  <si>
    <t>PCIe 3.0</t>
  </si>
  <si>
    <t>2010</t>
  </si>
  <si>
    <t>Pascal / Volta (2016-2018)</t>
  </si>
  <si>
    <t>128b/130b NRZ</t>
  </si>
  <si>
    <t>Tesla P100/V100 主机总线；CX-4/CX-5 100G 网卡主机接口；Gen3 NVMe SSD</t>
  </si>
  <si>
    <t>PCIe 4.0</t>
  </si>
  <si>
    <t>2017</t>
  </si>
  <si>
    <t>Ampere (2020)</t>
  </si>
  <si>
    <t>A100 主机总线；CX-6 200G 网卡主机接口；Gen4 NVMe SSD (7GB/s 读取)</t>
  </si>
  <si>
    <t>PCIe 5.0</t>
  </si>
  <si>
    <t>2019</t>
  </si>
  <si>
    <t>Hopper (2022)</t>
  </si>
  <si>
    <t>H100/H800 主机总线；CX-7 400G 网卡主机接口；Gen5 NVMe SSD (14GB/s 读取)</t>
  </si>
  <si>
    <t>PCIe 6.0</t>
  </si>
  <si>
    <t>2022</t>
  </si>
  <si>
    <t>Blackwell (2024)</t>
  </si>
  <si>
    <t>PAM4 FLIT (256B)</t>
  </si>
  <si>
    <t>B200/GB200 主机总线；CX-8 800G 网卡主机接口；CXL 3.0/3.1 内存池化总线</t>
  </si>
  <si>
    <t>PCIe 7.0</t>
  </si>
  <si>
    <t>2025</t>
  </si>
  <si>
    <t>Rubin (2026+)</t>
  </si>
  <si>
    <t>Rubin R100 主机总线；CX-9 1.6T 网卡主机接口；超高吞吐 AI 加速芯片互联</t>
  </si>
  <si>
    <t>【表 1.2】PCIe 各版本理论有效载荷净速率对照表 (Effective Payload Bandwidth Matrix, GB/s)</t>
  </si>
  <si>
    <t>物理速率
(GT/s)</t>
  </si>
  <si>
    <t>编码协议与物理开销</t>
  </si>
  <si>
    <t>理论物理
编码效率</t>
  </si>
  <si>
    <t>单向理论有效载荷净速率 (GB/s)</t>
  </si>
  <si>
    <t>双向理论有效载荷净速率 (Duplex, GB/s)</t>
  </si>
  <si>
    <t>计算依据与底层协议开销说明</t>
  </si>
  <si>
    <t>128b/130b 块编码</t>
  </si>
  <si>
    <t>128b/130b 消除 20% 8b/10b 惩罚；x1 净速率 8*128/130/8 = 0.9846 GB/s；x16 双向 31.51 GB/s</t>
  </si>
  <si>
    <t>时钟翻倍；x1 净速率 16*128/130/8 = 1.9692 GB/s；x16 双向 63.02 GB/s</t>
  </si>
  <si>
    <t>时钟再次翻倍；x1 净速率 32*128/130/8 = 3.9385 GB/s；x16 双向 126.03 GB/s</t>
  </si>
  <si>
    <t>PAM4 + 256B FLIT (242B 净荷/8B CRC/6B FEC)</t>
  </si>
  <si>
    <t>引入 PAM4 与固定 256B FLIT，净载荷 242/256 = 94.53%；x1 净速率 64*242/256/8 = 7.5625 GB/s；x16 双向 242.0 GB/s</t>
  </si>
  <si>
    <t>Baud 速率提升至 64 Gbaud (128 GT/s)；x1 净速率 128*242/256/8 = 15.125 GB/s；x16 双向 484.0 GB/s</t>
  </si>
  <si>
    <t>★ 工程对照注记：在系统顶层架构图与产业界工程交流中（包括参考全景图），通常直接采用【表 1.1】的标称理论数值（如 PCIe 3.0 x16 双向标称为 32 GB/s，PCIe 4.0 x16 标称为 64 GB/s，PCIe 5.0 x16 标称为 128 GB/s，PCIe 6.0 x16 标称为 256 GB/s，PCIe 7.0 x16 标称为 512 GB/s）。而在微架构硬件仿真、底层 DMA 吞吐极限核算中，应参照【表 1.2】中扣除物理层编码开销后的理论有效载荷净速率。</t>
  </si>
  <si>
    <t>NVIDIA NVLink 代际物理层、端口与单卡聚合带宽速查表 (NVLink Interconnect Matrix)</t>
  </si>
  <si>
    <t>涵盖 NVLink 1.0 ~ 6.0 单 Lane 差分对、单端口/单链路与单卡聚合的单向/双向带宽演进及 NVSwitch Scale-Up 规格</t>
  </si>
  <si>
    <t>【表 2.1】NVLink 1.0 ~ 6.0 规格演进与带宽阶梯对照表</t>
  </si>
  <si>
    <t>NVLink 代际</t>
  </si>
  <si>
    <t>对应GPU架构与旗舰芯片</t>
  </si>
  <si>
    <t>SerDes 调制与
单Lane速率</t>
  </si>
  <si>
    <t>单 Lane (差分对) 带宽</t>
  </si>
  <si>
    <t>单端口 / 单链路 (Per Link / Port) 结构与带宽</t>
  </si>
  <si>
    <t>单卡 (Per GPU) 聚合带宽</t>
  </si>
  <si>
    <t>Scale-Up 组网扩展与配套芯片</t>
  </si>
  <si>
    <t>物理速率
(Gbps)</t>
  </si>
  <si>
    <t>单向带宽
(GB/s)</t>
  </si>
  <si>
    <t>双向带宽
(Duplex, GB/s)</t>
  </si>
  <si>
    <t>总差分对
(Tx+Rx)</t>
  </si>
  <si>
    <t>集成链路
(Links)</t>
  </si>
  <si>
    <t>单向聚合
(GB/s)</t>
  </si>
  <si>
    <t>双向聚合
(Duplex, GB/s)</t>
  </si>
  <si>
    <t>聚合标称
(TB/s)</t>
  </si>
  <si>
    <t>配套 NVSwitch 芯片 / 组网拓扑</t>
  </si>
  <si>
    <t>单交换芯片
容量 (TB/s)</t>
  </si>
  <si>
    <t>最大单域全互联
GPU 规模</t>
  </si>
  <si>
    <t>NVLink 1.0</t>
  </si>
  <si>
    <t>2016</t>
  </si>
  <si>
    <t>Pascal (Tesla P100 SXM2)</t>
  </si>
  <si>
    <t>20 Gbps NRZ</t>
  </si>
  <si>
    <t>无 NVSwitch / P2P Mesh 混合拓扑</t>
  </si>
  <si>
    <t>-</t>
  </si>
  <si>
    <t>8 GPUs (Cube Mesh)</t>
  </si>
  <si>
    <t>NVLink 2.0</t>
  </si>
  <si>
    <t>Volta (Tesla V100 SXM2/3)</t>
  </si>
  <si>
    <t>25.78 Gbps NRZ (~25G)</t>
  </si>
  <si>
    <t>NVSwitch 1 (18 Ports, DGX-2 节点)</t>
  </si>
  <si>
    <t>16 GPUs (全无收敛 Crossbar)</t>
  </si>
  <si>
    <t>NVLink 3.0</t>
  </si>
  <si>
    <t>2020</t>
  </si>
  <si>
    <t>Ampere (A100 SXM4)</t>
  </si>
  <si>
    <t>50 Gbps PAM4 (25 Gbaud)</t>
  </si>
  <si>
    <t>NVSwitch 2 (36 Ports, DGX A100 节点)</t>
  </si>
  <si>
    <t>16 GPUs (单节点/双节点扩展)</t>
  </si>
  <si>
    <t>NVLink 4.0</t>
  </si>
  <si>
    <t>Hopper (H100 SXM5 / H200)</t>
  </si>
  <si>
    <t>100 Gbps PAM4 (50 Gbaud)</t>
  </si>
  <si>
    <t>NVSwitch 3 (64 Ports, DGX H100 节点)</t>
  </si>
  <si>
    <t>256 GPUs (NVLink Network 跨节点)</t>
  </si>
  <si>
    <t>NVLink 5.0</t>
  </si>
  <si>
    <t>2024</t>
  </si>
  <si>
    <t>Blackwell (B200 / GB200)</t>
  </si>
  <si>
    <t>200 Gbps PAM4 (100 Gbaud)</t>
  </si>
  <si>
    <t>NVSwitch 4 (72 Ports, NVL72 机架级)</t>
  </si>
  <si>
    <t>72 GPUs (NVL72) / 576 GPUs</t>
  </si>
  <si>
    <t>NVLink 6.0</t>
  </si>
  <si>
    <t>2026+</t>
  </si>
  <si>
    <t>Rubin (R100 / GR200)</t>
  </si>
  <si>
    <t>400 Gbps PAM4 (SerDes 400G)</t>
  </si>
  <si>
    <t>Next-gen NVSwitch 5 (NVL576 机架级)</t>
  </si>
  <si>
    <t>576 GPUs (全铜缆/光电混合互联)</t>
  </si>
  <si>
    <t>★ 架构演进洞察：NVLink 每一代的演进策略呈现出极其鲜明的底层物理规律：随着 SerDes 单通道速率从 20 Gbps (NRZ) 大幅跃升至 400 Gbps (PAM4)（提升 20 倍），单链路所需的物理差分对数从 8 对大幅缩减至 2 对。这极大地节约了 GPU 芯片引脚与 PCB 走线布线空间，使得单 GPU 集成的 NVLink 链路数得以从 4 根激增至 18 根！在保持单链路双向带宽适度增长（40GB/s -&gt; 50GB/s -&gt; 100GB/s -&gt; 200GB/s）的同时，通过多链路堆叠与 NVSwitch 硬件网络化，实现了单卡双向聚合带宽从 160 GB/s 到 3,600 GB/s (3.6 TB/s) 的超高几何级飞跃。</t>
  </si>
  <si>
    <t>NVIDIA / Mellanox ConnectX 网卡单端口最大带宽与硬件规格表 (ConnectX NIC Matrix)</t>
  </si>
  <si>
    <t>涵盖 ConnectX-3 ~ ConnectX-9 各代际单端口最大单向/双向传输带宽、主机接口匹配度与 Scale-Out 网络规格</t>
  </si>
  <si>
    <t>【表 3.1】ConnectX 各代际单端口最大带宽与网络规格对照表</t>
  </si>
  <si>
    <t>网卡产品代际</t>
  </si>
  <si>
    <t>对应AI算力代际</t>
  </si>
  <si>
    <t>支持网络协议与
标称代际</t>
  </si>
  <si>
    <t>单端口最大传输带宽</t>
  </si>
  <si>
    <t>主机总线匹配规格 (Host PCIe Interface)</t>
  </si>
  <si>
    <t>物理层与 Scale-Out 硬件技术</t>
  </si>
  <si>
    <t>标称速率
(Gbps)</t>
  </si>
  <si>
    <t>SerDes 通道
物理配置</t>
  </si>
  <si>
    <t>Scale-Out 关键硬件特性与网络技术</t>
  </si>
  <si>
    <t>ConnectX-3 / 3 Pro*</t>
  </si>
  <si>
    <t>2011/2014</t>
  </si>
  <si>
    <t>FDR InfiniBand (56G) / 40GbE</t>
  </si>
  <si>
    <t>PCIe 3.0 x8</t>
  </si>
  <si>
    <t>充分匹配 (无瓶颈)</t>
  </si>
  <si>
    <t>QSFP+</t>
  </si>
  <si>
    <t>4x14G NRZ</t>
  </si>
  <si>
    <t>RDMA / RoCEv1/v2, 硬件无损传输, 早期超算/分布式存储常用</t>
  </si>
  <si>
    <t>ConnectX-4 / 4 Lx</t>
  </si>
  <si>
    <t>2014/2015</t>
  </si>
  <si>
    <t>Pascal (2016)</t>
  </si>
  <si>
    <t>EDR InfiniBand (100G) / 100GbE</t>
  </si>
  <si>
    <t>PCIe 3.0 x16</t>
  </si>
  <si>
    <t>QSFP28</t>
  </si>
  <si>
    <t>4x25G NRZ</t>
  </si>
  <si>
    <t>EDR 100G, GPUDirect RDMA, RoCEv2 拥塞控制, 硬件重传</t>
  </si>
  <si>
    <t>ConnectX-5 / 5 Ex</t>
  </si>
  <si>
    <t>2016/2017</t>
  </si>
  <si>
    <t>Volta (2017-2018)</t>
  </si>
  <si>
    <t>EDR / HDR100 IB / 100GbE</t>
  </si>
  <si>
    <t>PCIe 3.0/4.0 x16</t>
  </si>
  <si>
    <t>增强型 RoCE, 硬件包重排序, SHARP v1 在网计算加速</t>
  </si>
  <si>
    <t>ConnectX-6 / 6 Dx</t>
  </si>
  <si>
    <t>2018/2020</t>
  </si>
  <si>
    <t>HDR InfiniBand (200G) / 200GbE</t>
  </si>
  <si>
    <t>PCIe 4.0 x16</t>
  </si>
  <si>
    <t>QSFP56</t>
  </si>
  <si>
    <t>4x50G PAM4</t>
  </si>
  <si>
    <t>HDR 200G, SHARP v2 在网计算, TLS/IPsec 硬件线速加解密卸载</t>
  </si>
  <si>
    <t>ConnectX-7</t>
  </si>
  <si>
    <t>2021/2022</t>
  </si>
  <si>
    <t>NDR InfiniBand (400G) / 400GbE</t>
  </si>
  <si>
    <t>PCIe 5.0 x16</t>
  </si>
  <si>
    <t>OSFP / QSFP-DD</t>
  </si>
  <si>
    <t>4x100G PAM4</t>
  </si>
  <si>
    <t>NDR 400G, 自适应路由 (Adaptive Routing), 动态拥塞控制, 生成式AI专用网络</t>
  </si>
  <si>
    <t>ConnectX-8 (SuperNIC)</t>
  </si>
  <si>
    <t>XDR InfiniBand (800G) / 800GbE</t>
  </si>
  <si>
    <t>PCIe 6.0 x16</t>
  </si>
  <si>
    <t>OSFP 800G</t>
  </si>
  <si>
    <t>8x100G / 4x200G PAM4</t>
  </si>
  <si>
    <t>XDR 800G, 生成式 AI 专用 SuperNIC, 纳秒级遥测流控, RoCE 自适应重传优化</t>
  </si>
  <si>
    <t>ConnectX-9 (SuperNIC)</t>
  </si>
  <si>
    <t>UDR InfiniBand (1.6T) / 1.6TbE</t>
  </si>
  <si>
    <t>PCIe 7.0 x16</t>
  </si>
  <si>
    <t>OSFP 1.6T</t>
  </si>
  <si>
    <t>8x200G PAM4</t>
  </si>
  <si>
    <t>1.6T 超高吞吐, 纳秒级在网聚合, 超大规模分布式集群 Scale-Out 无阻塞拓扑</t>
  </si>
  <si>
    <t>★ 单端口 vs 整机网卡网络注入说明：本表列出的是 ConnectX 单端口最大传输带宽（如 CX7 单口双向 100 GB/s，对应 400 Gbps；CX8 单口双向 200 GB/s，对应 800 Gbps）。在现代典型 8 卡 AI 训练与推理服务器（如 DGX H100 / DGX B200）中，通常配置 8 块单端口或 4 块双端口 ConnectX 网卡（与 8 颗 GPU 形成 1:1 Rail-Optimized 独立轨拓扑），整机外部注入带宽为单端口带宽的 8 倍（如 8×CX7 NDR 400G 带来 800 GB/s 双向聚合节点外注入吞吐）。</t>
  </si>
  <si>
    <t>六大 AI 算力时代三层互联带宽阶梯全景对比表 (Interconnect Generational Evolution &amp; Bandwidth Ladder)</t>
  </si>
  <si>
    <t>严格对应《AI 算力互联代际演进与带宽阶梯全景图》—— GPU Scale-Up vs Host Bus vs Scale-Out 网络</t>
  </si>
  <si>
    <t>【表 4.1】AI 算力互联三层网络带宽阶梯与倍数对比总览 (Interconnect Evolution Matrix)</t>
  </si>
  <si>
    <t>算力代际</t>
  </si>
  <si>
    <t>时代年份</t>
  </si>
  <si>
    <t>核心旗舰 GPU 芯片</t>
  </si>
  <si>
    <t>系统瓶颈与互联拓扑演进特征</t>
  </si>
  <si>
    <t>PCIe/CX
(Host/Port)</t>
  </si>
  <si>
    <t>Pascal 时代</t>
  </si>
  <si>
    <t>Tesla P100 (SXM2)</t>
  </si>
  <si>
    <t>NVLink 1 首度商用 (4根Link/160GB/s)；主机总线为 PCIe 3.0 x16 (32GB/s)；网络注入为 CX4 100G (25GB/s)</t>
  </si>
  <si>
    <t>Volta 时代</t>
  </si>
  <si>
    <t>2017-2018</t>
  </si>
  <si>
    <t>Tesla V100 (SXM2/3)</t>
  </si>
  <si>
    <t>NVLink 2 扩展至 6 根 Link (300GB/s)，首度引入 NVSwitch 实现 DGX-2 16卡全互联；PCIe 3.0 保持不变成为显著瓶颈</t>
  </si>
  <si>
    <t>Ampere 时代</t>
  </si>
  <si>
    <t>A100 (SXM4)</t>
  </si>
  <si>
    <t>NVLink 3 翻倍至 12 根 Link (600GB/s)；PCIe 4.0 升级至 64GB/s；CX6 200G 网卡带来 50GB/s 注入；Scale-Up优势持续扩大</t>
  </si>
  <si>
    <t>Hopper 时代</t>
  </si>
  <si>
    <t>H100 (SXM5) / H200</t>
  </si>
  <si>
    <t>NVLink 4 跃升至 18 根 Link (900GB/s) 并支持跨节点网络；PCIe 5.0 (128GB/s) 与 CX7 400G (100GB/s) 全面对齐进入 100G+ 阶梯</t>
  </si>
  <si>
    <t>Blackwell 时代</t>
  </si>
  <si>
    <t>B200 (SXM6) / GB200</t>
  </si>
  <si>
    <t>NVLink 5 翻倍至 1,800GB/s (1.8TB/s)，NVL72 机架级铜缆互联；PCIe 6.0 (256GB/s)；CX8 800G (200GB/s)；单机Scale-Up进入TB时代</t>
  </si>
  <si>
    <t>Rubin 时代</t>
  </si>
  <si>
    <t>Rubin R100 (SXM7)</t>
  </si>
  <si>
    <t>NVLink 6 冲击 3,600GB/s (3.6TB/s) 超高吞吐；PCIe 7.0 (512GB/s)；CX9 1.6T (400GB/s) 超高速注入；NVL576 超级机架集群</t>
  </si>
  <si>
    <t>★ 核心架构洞察与工程解析 (Architectural Insights &amp; Engineering Notes)</t>
  </si>
  <si>
    <t>1. 单链路维度 vs 单卡聚合维度的本质差异：PCIe x16 是完整的单物理链路（由 16 个 Lane 物理聚合而成）。在单物理链路维度，PCIe x16 带宽始终领先于 NVLink 单链路（如 PCIe 5.0 x16 达 128 GB/s，而 NVLink 4 单链路为 50 GB/s）。然而在单卡聚合维度，NVLink 凭借多链路堆叠（Hopper/Blackwell 均达到 18 根 Link）与 NVSwitch 硬件交换机网络化，单卡双向聚合带宽全面超越 PCIe 总线达 5~9 倍（Hopper 时代 NVLink 900 GB/s vs PCIe 128 GB/s，达 7.0x；Blackwell 时代 NVLink 1,800 GB/s vs PCIe 256 GB/s，达 7.0x），构建起超大规模 GPU 统一内存池与 Scale-Up 互联壁垒。</t>
  </si>
  <si>
    <t>2. Host CPU 成为物理瓶颈与「Host CPU 零数据拷贝」铁律：从 Hopper 时代起，GPU Scale-Up 域带宽（900~1,800 GB/s）与宿主机总线（128~256 GB/s）存在一个数量级的悬殊差距。如果 KVCache 换出或调度经过宿主机 CPU 内存（Host DDR）中转，将产生极大的总线拥塞与 CPU 拷贝时延。因此，高性能大模型推理架构必须实现「Host CPU 零数据拷贝（CPU 仅负责下发控制指令，正文数据通过 NVLink Direct-View 或 RDMA/URMA 跨设备直读，严格绕过 Host DDR）」。</t>
  </si>
  <si>
    <t>3. Scale-Out 网络协同与跨节点分层中继防 Incast：ConnectX 系列网卡单端口带宽从 CX4 (25 GB/s, 100G) 稳步提升至 CX8 (200 GB/s, 800G) 与 CX9 (400 GB/s, 1.6T)，与当期宿主机 PCIe 总线保持了高度契合的带宽饱和度。然而，节点内 NVLink 带宽始终是单网卡注入带宽的 9~18 倍。跨节点分布式推理调度如果采用无语义切片多网卡并发发送，极易触发网络 Incast 拥塞导致尾延迟抖动；必须依托张量并行 (TP) 组内拓扑感知，采用软件分层中继转发 (Staging Fanout) 接力广播热点前缀数据。</t>
  </si>
  <si>
    <t>NVLink/CX
(Scale-Up/Out)</t>
    <phoneticPr fontId="29" type="noConversion"/>
  </si>
  <si>
    <t>ConnectX
(单端口)</t>
    <phoneticPr fontId="29" type="noConversion"/>
  </si>
  <si>
    <t>PCIe x1
(单通道)</t>
    <phoneticPr fontId="29" type="noConversion"/>
  </si>
  <si>
    <t>NVLink/PCIe
(Scale-Up/Host)</t>
    <phoneticPr fontId="29" type="noConversion"/>
  </si>
  <si>
    <t>匹配主机
PCIe 规格</t>
    <phoneticPr fontId="29" type="noConversion"/>
  </si>
  <si>
    <t>主机单向理论
带宽 (GB/s)</t>
    <phoneticPr fontId="29" type="noConversion"/>
  </si>
  <si>
    <t>主机总线带宽
匹配状态</t>
    <phoneticPr fontId="29" type="noConversion"/>
  </si>
  <si>
    <t>物理接口形态
(Form Factor)</t>
    <phoneticPr fontId="29" type="noConversion"/>
  </si>
  <si>
    <t>单向差分
(Lanes)</t>
    <phoneticPr fontId="29" type="noConversion"/>
  </si>
  <si>
    <t>双向带宽
(Duplex, GB/s)</t>
    <phoneticPr fontId="29" type="noConversion"/>
  </si>
  <si>
    <t>单向带宽
(GB/s)</t>
    <phoneticPr fontId="29" type="noConversion"/>
  </si>
  <si>
    <t>NVLink
(Scale-Up)</t>
    <phoneticPr fontId="29" type="noConversion"/>
  </si>
  <si>
    <t>PCIe x16
(Host Bus)</t>
    <phoneticPr fontId="29" type="noConversion"/>
  </si>
  <si>
    <t>ConnectX
(Scale-Out)</t>
    <phoneticPr fontId="29" type="noConversion"/>
  </si>
  <si>
    <t>PCIe x16
(整链路)</t>
    <phoneticPr fontId="29" type="noConversion"/>
  </si>
  <si>
    <t>NVLink
(单链路)</t>
    <phoneticPr fontId="29" type="noConversion"/>
  </si>
  <si>
    <t>【板块一】单卡双向聚合带宽 
(Aggregate Duplex, GB/s)</t>
    <phoneticPr fontId="29" type="noConversion"/>
  </si>
  <si>
    <t>【板块二】单链路 / 通道 / 端口双向带宽 
(Duplex, GB/s)</t>
    <phoneticPr fontId="29" type="noConversion"/>
  </si>
  <si>
    <t>互联带宽阶梯倍率
 (Multipliers)</t>
    <phoneticPr fontId="2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</si>
</sst>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"/>
    <numFmt numFmtId="177" formatCode="#,##0.000"/>
    <numFmt numFmtId="178" formatCode="#,##0.0"/>
    <numFmt numFmtId="179" formatCode="0.0&quot;x&quot;"/>
  </numFmts>
  <fonts count="30">
    <font>
      <sz val="11"/>
      <color theme="1"/>
      <name val="宋体"/>
      <family val="2"/>
      <scheme val="minor"/>
    </font>
    <font>
      <b/>
      <sz val="13"/>
      <color rgb="FFFFFFFF"/>
      <name val="微软雅黑"/>
    </font>
    <font>
      <i/>
      <sz val="9.5"/>
      <color rgb="FFF8FAFC"/>
      <name val="微软雅黑"/>
    </font>
    <font>
      <b/>
      <sz val="10.5"/>
      <color rgb="FF92400E"/>
      <name val="微软雅黑"/>
    </font>
    <font>
      <b/>
      <sz val="9.5"/>
      <color rgb="FFFFFFFF"/>
      <name val="微软雅黑"/>
    </font>
    <font>
      <b/>
      <sz val="9.5"/>
      <name val="微软雅黑"/>
    </font>
    <font>
      <sz val="9.5"/>
      <name val="微软雅黑"/>
    </font>
    <font>
      <b/>
      <sz val="9.5"/>
      <color rgb="FF9A3412"/>
      <name val="微软雅黑"/>
    </font>
    <font>
      <sz val="9"/>
      <color rgb="FF334155"/>
      <name val="微软雅黑"/>
    </font>
    <font>
      <sz val="8.8000000000000007"/>
      <color rgb="FF334155"/>
      <name val="微软雅黑"/>
    </font>
    <font>
      <i/>
      <sz val="9"/>
      <color rgb="FF475569"/>
      <name val="微软雅黑"/>
    </font>
    <font>
      <b/>
      <sz val="10.5"/>
      <color rgb="FF065F46"/>
      <name val="微软雅黑"/>
    </font>
    <font>
      <b/>
      <sz val="9.5"/>
      <color rgb="FF065F46"/>
      <name val="微软雅黑"/>
    </font>
    <font>
      <b/>
      <sz val="10"/>
      <color rgb="FF065F46"/>
      <name val="微软雅黑"/>
    </font>
    <font>
      <sz val="9"/>
      <name val="微软雅黑"/>
    </font>
    <font>
      <i/>
      <sz val="9"/>
      <color rgb="FF334155"/>
      <name val="微软雅黑"/>
    </font>
    <font>
      <b/>
      <sz val="10.5"/>
      <color rgb="FF0369A1"/>
      <name val="微软雅黑"/>
    </font>
    <font>
      <b/>
      <sz val="10"/>
      <color rgb="FF0369A1"/>
      <name val="微软雅黑"/>
    </font>
    <font>
      <sz val="9"/>
      <color rgb="FF047857"/>
      <name val="微软雅黑"/>
    </font>
    <font>
      <b/>
      <sz val="10.5"/>
      <color rgb="FF0F172A"/>
      <name val="微软雅黑"/>
    </font>
    <font>
      <b/>
      <sz val="10"/>
      <name val="微软雅黑"/>
    </font>
    <font>
      <b/>
      <sz val="10"/>
      <color rgb="FF047857"/>
      <name val="微软雅黑"/>
    </font>
    <font>
      <b/>
      <sz val="10"/>
      <color rgb="FFB45309"/>
      <name val="微软雅黑"/>
    </font>
    <font>
      <b/>
      <sz val="10"/>
      <color rgb="FF0284C7"/>
      <name val="微软雅黑"/>
    </font>
    <font>
      <b/>
      <sz val="9.5"/>
      <color rgb="FFB45309"/>
      <name val="微软雅黑"/>
    </font>
    <font>
      <b/>
      <sz val="9.5"/>
      <color rgb="FF047857"/>
      <name val="微软雅黑"/>
    </font>
    <font>
      <b/>
      <sz val="9.5"/>
      <color rgb="FF0284C7"/>
      <name val="微软雅黑"/>
    </font>
    <font>
      <b/>
      <sz val="11"/>
      <color rgb="FFFFFFFF"/>
      <name val="微软雅黑"/>
    </font>
    <font>
      <sz val="9"/>
      <color rgb="FF1E293B"/>
      <name val="微软雅黑"/>
    </font>
    <font>
      <sz val="9"/>
      <name val="宋体"/>
      <family val="3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B45309"/>
        <bgColor rgb="FFB45309"/>
      </patternFill>
    </fill>
    <fill>
      <patternFill patternType="solid">
        <fgColor rgb="FFFEF3C7"/>
        <bgColor rgb="FFFEF3C7"/>
      </patternFill>
    </fill>
    <fill>
      <patternFill patternType="solid">
        <fgColor rgb="FF92400E"/>
        <bgColor rgb="FF92400E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  <fill>
      <patternFill patternType="solid">
        <fgColor rgb="FFFFFBEB"/>
        <bgColor rgb="FFFFFBEB"/>
      </patternFill>
    </fill>
    <fill>
      <patternFill patternType="solid">
        <fgColor rgb="FF047857"/>
        <bgColor rgb="FF047857"/>
      </patternFill>
    </fill>
    <fill>
      <patternFill patternType="solid">
        <fgColor rgb="FFD1FAE5"/>
        <bgColor rgb="FFD1FAE5"/>
      </patternFill>
    </fill>
    <fill>
      <patternFill patternType="solid">
        <fgColor rgb="FF065F46"/>
        <bgColor rgb="FF065F46"/>
      </patternFill>
    </fill>
    <fill>
      <patternFill patternType="solid">
        <fgColor rgb="FFF0FDF4"/>
        <bgColor rgb="FFF0FDF4"/>
      </patternFill>
    </fill>
    <fill>
      <patternFill patternType="solid">
        <fgColor rgb="FF0284C7"/>
        <bgColor rgb="FF0284C7"/>
      </patternFill>
    </fill>
    <fill>
      <patternFill patternType="solid">
        <fgColor rgb="FFE0F2FE"/>
        <bgColor rgb="FFE0F2FE"/>
      </patternFill>
    </fill>
    <fill>
      <patternFill patternType="solid">
        <fgColor rgb="FF0369A1"/>
        <bgColor rgb="FF0369A1"/>
      </patternFill>
    </fill>
    <fill>
      <patternFill patternType="solid">
        <fgColor rgb="FFF0F9FF"/>
        <bgColor rgb="FFF0F9FF"/>
      </patternFill>
    </fill>
    <fill>
      <patternFill patternType="solid">
        <fgColor rgb="FF1E293B"/>
        <bgColor rgb="FF1E293B"/>
      </patternFill>
    </fill>
    <fill>
      <patternFill patternType="solid">
        <fgColor rgb="FFE2E8F0"/>
        <bgColor rgb="FFE2E8F0"/>
      </patternFill>
    </fill>
    <fill>
      <patternFill patternType="solid">
        <fgColor rgb="FF0F172A"/>
        <bgColor rgb="FF0F172A"/>
      </patternFill>
    </fill>
  </fills>
  <borders count="4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medium">
        <color rgb="FF94A3B8"/>
      </top>
      <bottom style="medium">
        <color rgb="FF94A3B8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334155"/>
      </left>
      <right style="thin">
        <color rgb="FF64748B"/>
      </right>
      <top style="thin">
        <color rgb="FF64748B"/>
      </top>
      <bottom style="thin">
        <color rgb="FF64748B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49" fontId="6" fillId="5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176" fontId="6" fillId="5" borderId="2" xfId="0" applyNumberFormat="1" applyFont="1" applyFill="1" applyBorder="1" applyAlignment="1">
      <alignment horizontal="center" vertical="center"/>
    </xf>
    <xf numFmtId="4" fontId="5" fillId="5" borderId="2" xfId="0" applyNumberFormat="1" applyFont="1" applyFill="1" applyBorder="1" applyAlignment="1">
      <alignment horizontal="right" vertical="center"/>
    </xf>
    <xf numFmtId="4" fontId="6" fillId="5" borderId="2" xfId="0" applyNumberFormat="1" applyFont="1" applyFill="1" applyBorder="1" applyAlignment="1">
      <alignment horizontal="right" vertical="center"/>
    </xf>
    <xf numFmtId="4" fontId="7" fillId="5" borderId="2" xfId="0" applyNumberFormat="1" applyFont="1" applyFill="1" applyBorder="1" applyAlignment="1">
      <alignment horizontal="right" vertical="center"/>
    </xf>
    <xf numFmtId="0" fontId="8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/>
    </xf>
    <xf numFmtId="49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176" fontId="6" fillId="6" borderId="2" xfId="0" applyNumberFormat="1" applyFont="1" applyFill="1" applyBorder="1" applyAlignment="1">
      <alignment horizontal="center" vertical="center"/>
    </xf>
    <xf numFmtId="4" fontId="5" fillId="6" borderId="2" xfId="0" applyNumberFormat="1" applyFont="1" applyFill="1" applyBorder="1" applyAlignment="1">
      <alignment horizontal="right" vertical="center"/>
    </xf>
    <xf numFmtId="4" fontId="6" fillId="6" borderId="2" xfId="0" applyNumberFormat="1" applyFont="1" applyFill="1" applyBorder="1" applyAlignment="1">
      <alignment horizontal="right" vertical="center"/>
    </xf>
    <xf numFmtId="4" fontId="7" fillId="6" borderId="2" xfId="0" applyNumberFormat="1" applyFont="1" applyFill="1" applyBorder="1" applyAlignment="1">
      <alignment horizontal="right" vertical="center"/>
    </xf>
    <xf numFmtId="0" fontId="8" fillId="6" borderId="2" xfId="0" applyFont="1" applyFill="1" applyBorder="1" applyAlignment="1">
      <alignment horizontal="left" vertical="center" wrapText="1"/>
    </xf>
    <xf numFmtId="10" fontId="6" fillId="5" borderId="2" xfId="0" applyNumberFormat="1" applyFont="1" applyFill="1" applyBorder="1" applyAlignment="1">
      <alignment horizontal="center" vertical="center"/>
    </xf>
    <xf numFmtId="177" fontId="5" fillId="5" borderId="2" xfId="0" applyNumberFormat="1" applyFont="1" applyFill="1" applyBorder="1" applyAlignment="1">
      <alignment horizontal="right" vertical="center"/>
    </xf>
    <xf numFmtId="177" fontId="6" fillId="5" borderId="2" xfId="0" applyNumberFormat="1" applyFont="1" applyFill="1" applyBorder="1" applyAlignment="1">
      <alignment horizontal="right" vertical="center"/>
    </xf>
    <xf numFmtId="177" fontId="7" fillId="5" borderId="2" xfId="0" applyNumberFormat="1" applyFont="1" applyFill="1" applyBorder="1" applyAlignment="1">
      <alignment horizontal="right" vertical="center"/>
    </xf>
    <xf numFmtId="0" fontId="9" fillId="5" borderId="2" xfId="0" applyFont="1" applyFill="1" applyBorder="1" applyAlignment="1">
      <alignment horizontal="left" vertical="center" wrapText="1"/>
    </xf>
    <xf numFmtId="10" fontId="6" fillId="6" borderId="2" xfId="0" applyNumberFormat="1" applyFont="1" applyFill="1" applyBorder="1" applyAlignment="1">
      <alignment horizontal="center" vertical="center"/>
    </xf>
    <xf numFmtId="177" fontId="5" fillId="6" borderId="2" xfId="0" applyNumberFormat="1" applyFont="1" applyFill="1" applyBorder="1" applyAlignment="1">
      <alignment horizontal="right" vertical="center"/>
    </xf>
    <xf numFmtId="177" fontId="6" fillId="6" borderId="2" xfId="0" applyNumberFormat="1" applyFont="1" applyFill="1" applyBorder="1" applyAlignment="1">
      <alignment horizontal="right" vertical="center"/>
    </xf>
    <xf numFmtId="177" fontId="7" fillId="6" borderId="2" xfId="0" applyNumberFormat="1" applyFont="1" applyFill="1" applyBorder="1" applyAlignment="1">
      <alignment horizontal="right" vertical="center"/>
    </xf>
    <xf numFmtId="0" fontId="9" fillId="6" borderId="2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178" fontId="6" fillId="5" borderId="2" xfId="0" applyNumberFormat="1" applyFont="1" applyFill="1" applyBorder="1" applyAlignment="1">
      <alignment horizontal="right" vertical="center"/>
    </xf>
    <xf numFmtId="178" fontId="12" fillId="5" borderId="2" xfId="0" applyNumberFormat="1" applyFont="1" applyFill="1" applyBorder="1" applyAlignment="1">
      <alignment horizontal="right" vertical="center"/>
    </xf>
    <xf numFmtId="178" fontId="13" fillId="5" borderId="2" xfId="0" applyNumberFormat="1" applyFont="1" applyFill="1" applyBorder="1" applyAlignment="1">
      <alignment horizontal="right" vertical="center"/>
    </xf>
    <xf numFmtId="0" fontId="14" fillId="5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 wrapText="1"/>
    </xf>
    <xf numFmtId="178" fontId="6" fillId="6" borderId="2" xfId="0" applyNumberFormat="1" applyFont="1" applyFill="1" applyBorder="1" applyAlignment="1">
      <alignment horizontal="right" vertical="center"/>
    </xf>
    <xf numFmtId="178" fontId="12" fillId="6" borderId="2" xfId="0" applyNumberFormat="1" applyFont="1" applyFill="1" applyBorder="1" applyAlignment="1">
      <alignment horizontal="right" vertical="center"/>
    </xf>
    <xf numFmtId="178" fontId="13" fillId="6" borderId="2" xfId="0" applyNumberFormat="1" applyFont="1" applyFill="1" applyBorder="1" applyAlignment="1">
      <alignment horizontal="right" vertical="center"/>
    </xf>
    <xf numFmtId="0" fontId="14" fillId="6" borderId="2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center" vertical="center" wrapText="1"/>
    </xf>
    <xf numFmtId="4" fontId="17" fillId="5" borderId="2" xfId="0" applyNumberFormat="1" applyFont="1" applyFill="1" applyBorder="1" applyAlignment="1">
      <alignment horizontal="right" vertical="center"/>
    </xf>
    <xf numFmtId="0" fontId="18" fillId="5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4" fontId="17" fillId="6" borderId="2" xfId="0" applyNumberFormat="1" applyFont="1" applyFill="1" applyBorder="1" applyAlignment="1">
      <alignment horizontal="right" vertical="center"/>
    </xf>
    <xf numFmtId="0" fontId="18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/>
    </xf>
    <xf numFmtId="178" fontId="21" fillId="5" borderId="2" xfId="0" applyNumberFormat="1" applyFont="1" applyFill="1" applyBorder="1" applyAlignment="1">
      <alignment horizontal="right" vertical="center"/>
    </xf>
    <xf numFmtId="178" fontId="22" fillId="5" borderId="2" xfId="0" applyNumberFormat="1" applyFont="1" applyFill="1" applyBorder="1" applyAlignment="1">
      <alignment horizontal="right" vertical="center"/>
    </xf>
    <xf numFmtId="178" fontId="23" fillId="5" borderId="2" xfId="0" applyNumberFormat="1" applyFont="1" applyFill="1" applyBorder="1" applyAlignment="1">
      <alignment horizontal="right" vertical="center"/>
    </xf>
    <xf numFmtId="178" fontId="24" fillId="5" borderId="2" xfId="0" applyNumberFormat="1" applyFont="1" applyFill="1" applyBorder="1" applyAlignment="1">
      <alignment horizontal="right" vertical="center"/>
    </xf>
    <xf numFmtId="178" fontId="25" fillId="5" borderId="2" xfId="0" applyNumberFormat="1" applyFont="1" applyFill="1" applyBorder="1" applyAlignment="1">
      <alignment horizontal="right" vertical="center"/>
    </xf>
    <xf numFmtId="178" fontId="26" fillId="5" borderId="2" xfId="0" applyNumberFormat="1" applyFont="1" applyFill="1" applyBorder="1" applyAlignment="1">
      <alignment horizontal="right" vertical="center"/>
    </xf>
    <xf numFmtId="179" fontId="5" fillId="5" borderId="2" xfId="0" applyNumberFormat="1" applyFont="1" applyFill="1" applyBorder="1" applyAlignment="1">
      <alignment horizontal="right" vertical="center"/>
    </xf>
    <xf numFmtId="179" fontId="6" fillId="5" borderId="2" xfId="0" applyNumberFormat="1" applyFont="1" applyFill="1" applyBorder="1" applyAlignment="1">
      <alignment horizontal="right" vertical="center"/>
    </xf>
    <xf numFmtId="0" fontId="20" fillId="6" borderId="2" xfId="0" applyFont="1" applyFill="1" applyBorder="1" applyAlignment="1">
      <alignment horizontal="center" vertical="center"/>
    </xf>
    <xf numFmtId="178" fontId="21" fillId="6" borderId="2" xfId="0" applyNumberFormat="1" applyFont="1" applyFill="1" applyBorder="1" applyAlignment="1">
      <alignment horizontal="right" vertical="center"/>
    </xf>
    <xf numFmtId="178" fontId="22" fillId="6" borderId="2" xfId="0" applyNumberFormat="1" applyFont="1" applyFill="1" applyBorder="1" applyAlignment="1">
      <alignment horizontal="right" vertical="center"/>
    </xf>
    <xf numFmtId="178" fontId="23" fillId="6" borderId="2" xfId="0" applyNumberFormat="1" applyFont="1" applyFill="1" applyBorder="1" applyAlignment="1">
      <alignment horizontal="right" vertical="center"/>
    </xf>
    <xf numFmtId="178" fontId="24" fillId="6" borderId="2" xfId="0" applyNumberFormat="1" applyFont="1" applyFill="1" applyBorder="1" applyAlignment="1">
      <alignment horizontal="right" vertical="center"/>
    </xf>
    <xf numFmtId="178" fontId="25" fillId="6" borderId="2" xfId="0" applyNumberFormat="1" applyFont="1" applyFill="1" applyBorder="1" applyAlignment="1">
      <alignment horizontal="right" vertical="center"/>
    </xf>
    <xf numFmtId="178" fontId="26" fillId="6" borderId="2" xfId="0" applyNumberFormat="1" applyFont="1" applyFill="1" applyBorder="1" applyAlignment="1">
      <alignment horizontal="right" vertical="center"/>
    </xf>
    <xf numFmtId="179" fontId="5" fillId="6" borderId="2" xfId="0" applyNumberFormat="1" applyFont="1" applyFill="1" applyBorder="1" applyAlignment="1">
      <alignment horizontal="right" vertical="center"/>
    </xf>
    <xf numFmtId="179" fontId="6" fillId="6" borderId="2" xfId="0" applyNumberFormat="1" applyFont="1" applyFill="1" applyBorder="1" applyAlignment="1">
      <alignment horizontal="right" vertical="center"/>
    </xf>
    <xf numFmtId="0" fontId="10" fillId="7" borderId="3" xfId="0" applyFont="1" applyFill="1" applyBorder="1" applyAlignment="1">
      <alignment horizontal="left" vertical="center" wrapText="1"/>
    </xf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left" vertical="center" wrapText="1"/>
    </xf>
    <xf numFmtId="0" fontId="0" fillId="6" borderId="2" xfId="0" applyFill="1" applyBorder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9" fillId="5" borderId="2" xfId="0" applyFont="1" applyFill="1" applyBorder="1" applyAlignment="1">
      <alignment horizontal="left" vertical="center" wrapText="1"/>
    </xf>
    <xf numFmtId="0" fontId="0" fillId="5" borderId="2" xfId="0" applyFill="1" applyBorder="1"/>
    <xf numFmtId="0" fontId="3" fillId="3" borderId="0" xfId="0" applyFont="1" applyFill="1" applyAlignment="1">
      <alignment horizontal="left" vertical="center" indent="1"/>
    </xf>
    <xf numFmtId="0" fontId="1" fillId="8" borderId="0" xfId="0" applyFont="1" applyFill="1" applyAlignment="1">
      <alignment horizontal="center" vertical="center"/>
    </xf>
    <xf numFmtId="0" fontId="15" fillId="11" borderId="3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11" fillId="9" borderId="0" xfId="0" applyFont="1" applyFill="1" applyAlignment="1">
      <alignment horizontal="left" vertical="center" indent="1"/>
    </xf>
    <xf numFmtId="0" fontId="2" fillId="8" borderId="0" xfId="0" applyFont="1" applyFill="1" applyAlignment="1">
      <alignment horizontal="center" vertical="center"/>
    </xf>
    <xf numFmtId="0" fontId="15" fillId="15" borderId="3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2" fillId="12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6" fillId="13" borderId="0" xfId="0" applyFont="1" applyFill="1" applyAlignment="1">
      <alignment horizontal="left" vertical="center" indent="1"/>
    </xf>
    <xf numFmtId="0" fontId="1" fillId="16" borderId="0" xfId="0" applyFont="1" applyFill="1" applyAlignment="1">
      <alignment horizontal="center" vertical="center"/>
    </xf>
    <xf numFmtId="0" fontId="19" fillId="17" borderId="0" xfId="0" applyFont="1" applyFill="1" applyAlignment="1">
      <alignment horizontal="left" vertical="center" indent="1"/>
    </xf>
    <xf numFmtId="0" fontId="4" fillId="18" borderId="1" xfId="0" applyFont="1" applyFill="1" applyBorder="1" applyAlignment="1">
      <alignment horizontal="center" vertical="center" wrapText="1"/>
    </xf>
    <xf numFmtId="0" fontId="2" fillId="16" borderId="0" xfId="0" applyFont="1" applyFill="1" applyAlignment="1">
      <alignment horizontal="center" vertical="center"/>
    </xf>
    <xf numFmtId="0" fontId="28" fillId="6" borderId="2" xfId="0" applyFont="1" applyFill="1" applyBorder="1" applyAlignment="1">
      <alignment horizontal="left" vertical="center" wrapText="1"/>
    </xf>
    <xf numFmtId="0" fontId="27" fillId="16" borderId="0" xfId="0" applyFont="1" applyFill="1" applyAlignment="1">
      <alignment horizontal="left" vertical="center" inden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4"/>
  <sheetViews>
    <sheetView workbookViewId="0">
      <pane xSplit="5" ySplit="6" topLeftCell="F7" activePane="bottomRight" state="frozen"/>
      <selection pane="topRight"/>
      <selection pane="bottomLeft"/>
      <selection pane="bottomRight" activeCell="A12" sqref="A12:XFD12"/>
    </sheetView>
  </sheetViews>
  <sheetFormatPr defaultRowHeight="14.4"/>
  <cols>
    <col min="1" max="1" width="12" customWidth="1"/>
    <col min="2" max="2" width="9.44140625" customWidth="1"/>
    <col min="3" max="3" width="25" customWidth="1"/>
    <col min="4" max="4" width="12.44140625" customWidth="1"/>
    <col min="5" max="5" width="16.44140625" customWidth="1"/>
    <col min="6" max="9" width="8.44140625" customWidth="1"/>
    <col min="10" max="10" width="9.44140625" customWidth="1"/>
    <col min="11" max="14" width="8.44140625" customWidth="1"/>
    <col min="15" max="15" width="10.44140625" customWidth="1"/>
    <col min="16" max="16" width="62" customWidth="1"/>
  </cols>
  <sheetData>
    <row r="1" spans="1:16" ht="34.049999999999997" customHeight="1">
      <c r="A1" s="70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</row>
    <row r="2" spans="1:16" ht="19.95" customHeight="1">
      <c r="A2" s="71" t="s">
        <v>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</row>
    <row r="3" spans="1:16" ht="10.050000000000001" customHeight="1"/>
    <row r="4" spans="1:16" ht="25.95" customHeight="1">
      <c r="A4" s="74" t="s">
        <v>2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1:16" ht="24" customHeight="1">
      <c r="A5" s="67" t="s">
        <v>3</v>
      </c>
      <c r="B5" s="67" t="s">
        <v>4</v>
      </c>
      <c r="C5" s="67" t="s">
        <v>5</v>
      </c>
      <c r="D5" s="67" t="s">
        <v>6</v>
      </c>
      <c r="E5" s="67" t="s">
        <v>7</v>
      </c>
      <c r="F5" s="67" t="s">
        <v>8</v>
      </c>
      <c r="G5" s="67"/>
      <c r="H5" s="67"/>
      <c r="I5" s="67"/>
      <c r="J5" s="67"/>
      <c r="K5" s="67" t="s">
        <v>9</v>
      </c>
      <c r="L5" s="67"/>
      <c r="M5" s="67"/>
      <c r="N5" s="67"/>
      <c r="O5" s="67"/>
      <c r="P5" s="67" t="s">
        <v>10</v>
      </c>
    </row>
    <row r="6" spans="1:16" ht="24" customHeight="1">
      <c r="A6" s="67"/>
      <c r="B6" s="67"/>
      <c r="C6" s="67"/>
      <c r="D6" s="67"/>
      <c r="E6" s="67"/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  <c r="K6" s="1" t="s">
        <v>11</v>
      </c>
      <c r="L6" s="1" t="s">
        <v>12</v>
      </c>
      <c r="M6" s="1" t="s">
        <v>13</v>
      </c>
      <c r="N6" s="1" t="s">
        <v>14</v>
      </c>
      <c r="O6" s="1" t="s">
        <v>15</v>
      </c>
      <c r="P6" s="67"/>
    </row>
    <row r="7" spans="1:16" ht="25.95" customHeight="1">
      <c r="A7" s="2" t="s">
        <v>16</v>
      </c>
      <c r="B7" s="3" t="s">
        <v>17</v>
      </c>
      <c r="C7" s="4" t="s">
        <v>18</v>
      </c>
      <c r="D7" s="5">
        <v>2.5</v>
      </c>
      <c r="E7" s="4" t="s">
        <v>19</v>
      </c>
      <c r="F7" s="6">
        <v>0.25</v>
      </c>
      <c r="G7" s="7">
        <f t="shared" ref="G7:G13" si="0">F7*2</f>
        <v>0.5</v>
      </c>
      <c r="H7" s="7">
        <f t="shared" ref="H7:H13" si="1">F7*4</f>
        <v>1</v>
      </c>
      <c r="I7" s="7">
        <f t="shared" ref="I7:I13" si="2">F7*8</f>
        <v>2</v>
      </c>
      <c r="J7" s="6">
        <f t="shared" ref="J7:J13" si="3">F7*16</f>
        <v>4</v>
      </c>
      <c r="K7" s="6">
        <f t="shared" ref="K7:O13" si="4">F7*2</f>
        <v>0.5</v>
      </c>
      <c r="L7" s="7">
        <f t="shared" si="4"/>
        <v>1</v>
      </c>
      <c r="M7" s="7">
        <f t="shared" si="4"/>
        <v>2</v>
      </c>
      <c r="N7" s="7">
        <f t="shared" si="4"/>
        <v>4</v>
      </c>
      <c r="O7" s="8">
        <f t="shared" si="4"/>
        <v>8</v>
      </c>
      <c r="P7" s="9" t="s">
        <v>20</v>
      </c>
    </row>
    <row r="8" spans="1:16" ht="25.95" customHeight="1">
      <c r="A8" s="10" t="s">
        <v>21</v>
      </c>
      <c r="B8" s="11" t="s">
        <v>22</v>
      </c>
      <c r="C8" s="12" t="s">
        <v>18</v>
      </c>
      <c r="D8" s="13">
        <v>5</v>
      </c>
      <c r="E8" s="12" t="s">
        <v>19</v>
      </c>
      <c r="F8" s="14">
        <v>0.5</v>
      </c>
      <c r="G8" s="15">
        <f t="shared" si="0"/>
        <v>1</v>
      </c>
      <c r="H8" s="15">
        <f t="shared" si="1"/>
        <v>2</v>
      </c>
      <c r="I8" s="15">
        <f t="shared" si="2"/>
        <v>4</v>
      </c>
      <c r="J8" s="14">
        <f t="shared" si="3"/>
        <v>8</v>
      </c>
      <c r="K8" s="14">
        <f t="shared" si="4"/>
        <v>1</v>
      </c>
      <c r="L8" s="15">
        <f t="shared" si="4"/>
        <v>2</v>
      </c>
      <c r="M8" s="15">
        <f t="shared" si="4"/>
        <v>4</v>
      </c>
      <c r="N8" s="15">
        <f t="shared" si="4"/>
        <v>8</v>
      </c>
      <c r="O8" s="16">
        <f t="shared" si="4"/>
        <v>16</v>
      </c>
      <c r="P8" s="17" t="s">
        <v>23</v>
      </c>
    </row>
    <row r="9" spans="1:16" ht="40.049999999999997" customHeight="1">
      <c r="A9" s="2" t="s">
        <v>24</v>
      </c>
      <c r="B9" s="3" t="s">
        <v>25</v>
      </c>
      <c r="C9" s="4" t="s">
        <v>26</v>
      </c>
      <c r="D9" s="5">
        <v>8</v>
      </c>
      <c r="E9" s="4" t="s">
        <v>27</v>
      </c>
      <c r="F9" s="6">
        <v>1</v>
      </c>
      <c r="G9" s="7">
        <f t="shared" si="0"/>
        <v>2</v>
      </c>
      <c r="H9" s="7">
        <f t="shared" si="1"/>
        <v>4</v>
      </c>
      <c r="I9" s="7">
        <f t="shared" si="2"/>
        <v>8</v>
      </c>
      <c r="J9" s="6">
        <f t="shared" si="3"/>
        <v>16</v>
      </c>
      <c r="K9" s="6">
        <f t="shared" si="4"/>
        <v>2</v>
      </c>
      <c r="L9" s="7">
        <f t="shared" si="4"/>
        <v>4</v>
      </c>
      <c r="M9" s="7">
        <f t="shared" si="4"/>
        <v>8</v>
      </c>
      <c r="N9" s="7">
        <f t="shared" si="4"/>
        <v>16</v>
      </c>
      <c r="O9" s="8">
        <f t="shared" si="4"/>
        <v>32</v>
      </c>
      <c r="P9" s="9" t="s">
        <v>28</v>
      </c>
    </row>
    <row r="10" spans="1:16" ht="40.049999999999997" customHeight="1">
      <c r="A10" s="10" t="s">
        <v>29</v>
      </c>
      <c r="B10" s="11" t="s">
        <v>30</v>
      </c>
      <c r="C10" s="12" t="s">
        <v>31</v>
      </c>
      <c r="D10" s="13">
        <v>16</v>
      </c>
      <c r="E10" s="12" t="s">
        <v>27</v>
      </c>
      <c r="F10" s="14">
        <v>2</v>
      </c>
      <c r="G10" s="15">
        <f t="shared" si="0"/>
        <v>4</v>
      </c>
      <c r="H10" s="15">
        <f t="shared" si="1"/>
        <v>8</v>
      </c>
      <c r="I10" s="15">
        <f t="shared" si="2"/>
        <v>16</v>
      </c>
      <c r="J10" s="14">
        <f t="shared" si="3"/>
        <v>32</v>
      </c>
      <c r="K10" s="14">
        <f t="shared" si="4"/>
        <v>4</v>
      </c>
      <c r="L10" s="15">
        <f t="shared" si="4"/>
        <v>8</v>
      </c>
      <c r="M10" s="15">
        <f t="shared" si="4"/>
        <v>16</v>
      </c>
      <c r="N10" s="15">
        <f t="shared" si="4"/>
        <v>32</v>
      </c>
      <c r="O10" s="16">
        <f t="shared" si="4"/>
        <v>64</v>
      </c>
      <c r="P10" s="17" t="s">
        <v>32</v>
      </c>
    </row>
    <row r="11" spans="1:16" ht="40.049999999999997" customHeight="1">
      <c r="A11" s="2" t="s">
        <v>33</v>
      </c>
      <c r="B11" s="3" t="s">
        <v>34</v>
      </c>
      <c r="C11" s="4" t="s">
        <v>35</v>
      </c>
      <c r="D11" s="5">
        <v>32</v>
      </c>
      <c r="E11" s="4" t="s">
        <v>27</v>
      </c>
      <c r="F11" s="6">
        <v>4</v>
      </c>
      <c r="G11" s="7">
        <f t="shared" si="0"/>
        <v>8</v>
      </c>
      <c r="H11" s="7">
        <f t="shared" si="1"/>
        <v>16</v>
      </c>
      <c r="I11" s="7">
        <f t="shared" si="2"/>
        <v>32</v>
      </c>
      <c r="J11" s="6">
        <f t="shared" si="3"/>
        <v>64</v>
      </c>
      <c r="K11" s="6">
        <f t="shared" si="4"/>
        <v>8</v>
      </c>
      <c r="L11" s="7">
        <f t="shared" si="4"/>
        <v>16</v>
      </c>
      <c r="M11" s="7">
        <f t="shared" si="4"/>
        <v>32</v>
      </c>
      <c r="N11" s="7">
        <f t="shared" si="4"/>
        <v>64</v>
      </c>
      <c r="O11" s="8">
        <f t="shared" si="4"/>
        <v>128</v>
      </c>
      <c r="P11" s="9" t="s">
        <v>36</v>
      </c>
    </row>
    <row r="12" spans="1:16" ht="40.049999999999997" customHeight="1">
      <c r="A12" s="10" t="s">
        <v>37</v>
      </c>
      <c r="B12" s="11" t="s">
        <v>38</v>
      </c>
      <c r="C12" s="12" t="s">
        <v>39</v>
      </c>
      <c r="D12" s="13">
        <v>64</v>
      </c>
      <c r="E12" s="12" t="s">
        <v>40</v>
      </c>
      <c r="F12" s="14">
        <v>8</v>
      </c>
      <c r="G12" s="15">
        <f t="shared" si="0"/>
        <v>16</v>
      </c>
      <c r="H12" s="15">
        <f t="shared" si="1"/>
        <v>32</v>
      </c>
      <c r="I12" s="15">
        <f t="shared" si="2"/>
        <v>64</v>
      </c>
      <c r="J12" s="14">
        <f t="shared" si="3"/>
        <v>128</v>
      </c>
      <c r="K12" s="14">
        <f t="shared" si="4"/>
        <v>16</v>
      </c>
      <c r="L12" s="15">
        <f t="shared" si="4"/>
        <v>32</v>
      </c>
      <c r="M12" s="15">
        <f t="shared" si="4"/>
        <v>64</v>
      </c>
      <c r="N12" s="15">
        <f t="shared" si="4"/>
        <v>128</v>
      </c>
      <c r="O12" s="16">
        <f t="shared" si="4"/>
        <v>256</v>
      </c>
      <c r="P12" s="17" t="s">
        <v>41</v>
      </c>
    </row>
    <row r="13" spans="1:16" ht="40.049999999999997" customHeight="1">
      <c r="A13" s="2" t="s">
        <v>42</v>
      </c>
      <c r="B13" s="3" t="s">
        <v>43</v>
      </c>
      <c r="C13" s="4" t="s">
        <v>44</v>
      </c>
      <c r="D13" s="5">
        <v>128</v>
      </c>
      <c r="E13" s="4" t="s">
        <v>40</v>
      </c>
      <c r="F13" s="6">
        <v>16</v>
      </c>
      <c r="G13" s="7">
        <f t="shared" si="0"/>
        <v>32</v>
      </c>
      <c r="H13" s="7">
        <f t="shared" si="1"/>
        <v>64</v>
      </c>
      <c r="I13" s="7">
        <f t="shared" si="2"/>
        <v>128</v>
      </c>
      <c r="J13" s="6">
        <f t="shared" si="3"/>
        <v>256</v>
      </c>
      <c r="K13" s="6">
        <f t="shared" si="4"/>
        <v>32</v>
      </c>
      <c r="L13" s="7">
        <f t="shared" si="4"/>
        <v>64</v>
      </c>
      <c r="M13" s="7">
        <f t="shared" si="4"/>
        <v>128</v>
      </c>
      <c r="N13" s="7">
        <f t="shared" si="4"/>
        <v>256</v>
      </c>
      <c r="O13" s="8">
        <f t="shared" si="4"/>
        <v>512</v>
      </c>
      <c r="P13" s="9" t="s">
        <v>45</v>
      </c>
    </row>
    <row r="14" spans="1:16" ht="12" customHeight="1"/>
    <row r="15" spans="1:16" ht="25.95" customHeight="1">
      <c r="A15" s="74" t="s">
        <v>46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</row>
    <row r="16" spans="1:16" ht="24" customHeight="1">
      <c r="A16" s="67" t="s">
        <v>3</v>
      </c>
      <c r="B16" s="67" t="s">
        <v>47</v>
      </c>
      <c r="C16" s="67" t="s">
        <v>48</v>
      </c>
      <c r="D16" s="67" t="s">
        <v>49</v>
      </c>
      <c r="E16" s="67" t="s">
        <v>50</v>
      </c>
      <c r="F16" s="67"/>
      <c r="G16" s="67"/>
      <c r="H16" s="67"/>
      <c r="I16" s="67"/>
      <c r="J16" s="67" t="s">
        <v>51</v>
      </c>
      <c r="K16" s="67"/>
      <c r="L16" s="67"/>
      <c r="M16" s="67"/>
      <c r="N16" s="67"/>
      <c r="O16" s="67" t="s">
        <v>52</v>
      </c>
      <c r="P16" s="67"/>
    </row>
    <row r="17" spans="1:16" ht="24" customHeight="1">
      <c r="A17" s="67"/>
      <c r="B17" s="67"/>
      <c r="C17" s="67"/>
      <c r="D17" s="67"/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11</v>
      </c>
      <c r="K17" s="1" t="s">
        <v>12</v>
      </c>
      <c r="L17" s="1" t="s">
        <v>13</v>
      </c>
      <c r="M17" s="1" t="s">
        <v>14</v>
      </c>
      <c r="N17" s="1" t="s">
        <v>15</v>
      </c>
      <c r="O17" s="67"/>
      <c r="P17" s="67"/>
    </row>
    <row r="18" spans="1:16" ht="36" customHeight="1">
      <c r="A18" s="2" t="s">
        <v>24</v>
      </c>
      <c r="B18" s="5">
        <v>8</v>
      </c>
      <c r="C18" s="4" t="s">
        <v>53</v>
      </c>
      <c r="D18" s="18">
        <v>0.98460000000000003</v>
      </c>
      <c r="E18" s="19">
        <v>0.98460000000000003</v>
      </c>
      <c r="F18" s="20">
        <f>E18*2</f>
        <v>1.9692000000000001</v>
      </c>
      <c r="G18" s="20">
        <f>E18*4</f>
        <v>3.9384000000000001</v>
      </c>
      <c r="H18" s="20">
        <f>E18*8</f>
        <v>7.8768000000000002</v>
      </c>
      <c r="I18" s="19">
        <f>E18*16</f>
        <v>15.7536</v>
      </c>
      <c r="J18" s="19">
        <f t="shared" ref="J18:N22" si="5">E18*2</f>
        <v>1.9692000000000001</v>
      </c>
      <c r="K18" s="20">
        <f t="shared" si="5"/>
        <v>3.9384000000000001</v>
      </c>
      <c r="L18" s="20">
        <f t="shared" si="5"/>
        <v>7.8768000000000002</v>
      </c>
      <c r="M18" s="20">
        <f t="shared" si="5"/>
        <v>15.7536</v>
      </c>
      <c r="N18" s="21">
        <f t="shared" si="5"/>
        <v>31.507200000000001</v>
      </c>
      <c r="O18" s="72" t="s">
        <v>54</v>
      </c>
      <c r="P18" s="73"/>
    </row>
    <row r="19" spans="1:16" ht="36" customHeight="1">
      <c r="A19" s="10" t="s">
        <v>29</v>
      </c>
      <c r="B19" s="13">
        <v>16</v>
      </c>
      <c r="C19" s="12" t="s">
        <v>53</v>
      </c>
      <c r="D19" s="23">
        <v>0.98460000000000003</v>
      </c>
      <c r="E19" s="24">
        <v>1.9692000000000001</v>
      </c>
      <c r="F19" s="25">
        <f>E19*2</f>
        <v>3.9384000000000001</v>
      </c>
      <c r="G19" s="25">
        <f>E19*4</f>
        <v>7.8768000000000002</v>
      </c>
      <c r="H19" s="25">
        <f>E19*8</f>
        <v>15.7536</v>
      </c>
      <c r="I19" s="24">
        <f>E19*16</f>
        <v>31.507200000000001</v>
      </c>
      <c r="J19" s="24">
        <f t="shared" si="5"/>
        <v>3.9384000000000001</v>
      </c>
      <c r="K19" s="25">
        <f t="shared" si="5"/>
        <v>7.8768000000000002</v>
      </c>
      <c r="L19" s="25">
        <f t="shared" si="5"/>
        <v>15.7536</v>
      </c>
      <c r="M19" s="25">
        <f t="shared" si="5"/>
        <v>31.507200000000001</v>
      </c>
      <c r="N19" s="26">
        <f t="shared" si="5"/>
        <v>63.014400000000002</v>
      </c>
      <c r="O19" s="68" t="s">
        <v>55</v>
      </c>
      <c r="P19" s="69"/>
    </row>
    <row r="20" spans="1:16" ht="36" customHeight="1">
      <c r="A20" s="2" t="s">
        <v>33</v>
      </c>
      <c r="B20" s="5">
        <v>32</v>
      </c>
      <c r="C20" s="4" t="s">
        <v>53</v>
      </c>
      <c r="D20" s="18">
        <v>0.98460000000000003</v>
      </c>
      <c r="E20" s="19">
        <v>3.9384999999999999</v>
      </c>
      <c r="F20" s="20">
        <f>E20*2</f>
        <v>7.8769999999999998</v>
      </c>
      <c r="G20" s="20">
        <f>E20*4</f>
        <v>15.754</v>
      </c>
      <c r="H20" s="20">
        <f>E20*8</f>
        <v>31.507999999999999</v>
      </c>
      <c r="I20" s="19">
        <f>E20*16</f>
        <v>63.015999999999998</v>
      </c>
      <c r="J20" s="19">
        <f t="shared" si="5"/>
        <v>7.8769999999999998</v>
      </c>
      <c r="K20" s="20">
        <f t="shared" si="5"/>
        <v>15.754</v>
      </c>
      <c r="L20" s="20">
        <f t="shared" si="5"/>
        <v>31.507999999999999</v>
      </c>
      <c r="M20" s="20">
        <f t="shared" si="5"/>
        <v>63.015999999999998</v>
      </c>
      <c r="N20" s="21">
        <f t="shared" si="5"/>
        <v>126.032</v>
      </c>
      <c r="O20" s="72" t="s">
        <v>56</v>
      </c>
      <c r="P20" s="73"/>
    </row>
    <row r="21" spans="1:16" ht="36" customHeight="1">
      <c r="A21" s="10" t="s">
        <v>37</v>
      </c>
      <c r="B21" s="13">
        <v>64</v>
      </c>
      <c r="C21" s="12" t="s">
        <v>57</v>
      </c>
      <c r="D21" s="23">
        <v>0.94530000000000003</v>
      </c>
      <c r="E21" s="24">
        <v>7.5625</v>
      </c>
      <c r="F21" s="25">
        <f>E21*2</f>
        <v>15.125</v>
      </c>
      <c r="G21" s="25">
        <f>E21*4</f>
        <v>30.25</v>
      </c>
      <c r="H21" s="25">
        <f>E21*8</f>
        <v>60.5</v>
      </c>
      <c r="I21" s="24">
        <f>E21*16</f>
        <v>121</v>
      </c>
      <c r="J21" s="24">
        <f t="shared" si="5"/>
        <v>15.125</v>
      </c>
      <c r="K21" s="25">
        <f t="shared" si="5"/>
        <v>30.25</v>
      </c>
      <c r="L21" s="25">
        <f t="shared" si="5"/>
        <v>60.5</v>
      </c>
      <c r="M21" s="25">
        <f t="shared" si="5"/>
        <v>121</v>
      </c>
      <c r="N21" s="26">
        <f t="shared" si="5"/>
        <v>242</v>
      </c>
      <c r="O21" s="68" t="s">
        <v>58</v>
      </c>
      <c r="P21" s="69"/>
    </row>
    <row r="22" spans="1:16" ht="36" customHeight="1">
      <c r="A22" s="2" t="s">
        <v>42</v>
      </c>
      <c r="B22" s="5">
        <v>128</v>
      </c>
      <c r="C22" s="4" t="s">
        <v>57</v>
      </c>
      <c r="D22" s="18">
        <v>0.94530000000000003</v>
      </c>
      <c r="E22" s="19">
        <v>15.125</v>
      </c>
      <c r="F22" s="20">
        <f>E22*2</f>
        <v>30.25</v>
      </c>
      <c r="G22" s="20">
        <f>E22*4</f>
        <v>60.5</v>
      </c>
      <c r="H22" s="20">
        <f>E22*8</f>
        <v>121</v>
      </c>
      <c r="I22" s="19">
        <f>E22*16</f>
        <v>242</v>
      </c>
      <c r="J22" s="19">
        <f t="shared" si="5"/>
        <v>30.25</v>
      </c>
      <c r="K22" s="20">
        <f t="shared" si="5"/>
        <v>60.5</v>
      </c>
      <c r="L22" s="20">
        <f t="shared" si="5"/>
        <v>121</v>
      </c>
      <c r="M22" s="20">
        <f t="shared" si="5"/>
        <v>242</v>
      </c>
      <c r="N22" s="21">
        <f t="shared" si="5"/>
        <v>484</v>
      </c>
      <c r="O22" s="72" t="s">
        <v>59</v>
      </c>
      <c r="P22" s="73"/>
    </row>
    <row r="24" spans="1:16" ht="36" customHeight="1">
      <c r="A24" s="65" t="s">
        <v>60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</row>
  </sheetData>
  <mergeCells count="25">
    <mergeCell ref="A4:P4"/>
    <mergeCell ref="A16:A17"/>
    <mergeCell ref="K5:O5"/>
    <mergeCell ref="C16:C17"/>
    <mergeCell ref="A15:P15"/>
    <mergeCell ref="O22:P22"/>
    <mergeCell ref="E5:E6"/>
    <mergeCell ref="O19:P19"/>
    <mergeCell ref="O18:P18"/>
    <mergeCell ref="A24:P24"/>
    <mergeCell ref="A5:A6"/>
    <mergeCell ref="O21:P21"/>
    <mergeCell ref="A1:P1"/>
    <mergeCell ref="A2:P2"/>
    <mergeCell ref="J16:N16"/>
    <mergeCell ref="B5:B6"/>
    <mergeCell ref="D5:D6"/>
    <mergeCell ref="P5:P6"/>
    <mergeCell ref="E16:I16"/>
    <mergeCell ref="O16:P17"/>
    <mergeCell ref="B16:B17"/>
    <mergeCell ref="C5:C6"/>
    <mergeCell ref="O20:P20"/>
    <mergeCell ref="F5:J5"/>
    <mergeCell ref="D16:D17"/>
  </mergeCells>
  <phoneticPr fontId="29" type="noConversion"/>
  <pageMargins left="0.75" right="0.75" top="1" bottom="1" header="0.5" footer="0.5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5"/>
  <sheetViews>
    <sheetView workbookViewId="0">
      <pane xSplit="4" ySplit="6" topLeftCell="E7" activePane="bottomRight" state="frozen"/>
      <selection pane="topRight"/>
      <selection pane="bottomLeft"/>
      <selection pane="bottomRight" activeCell="P3" sqref="P1:P1048576"/>
    </sheetView>
  </sheetViews>
  <sheetFormatPr defaultRowHeight="14.4"/>
  <cols>
    <col min="1" max="1" width="12" customWidth="1"/>
    <col min="2" max="2" width="9.44140625" customWidth="1"/>
    <col min="3" max="3" width="26" customWidth="1"/>
    <col min="4" max="4" width="32" customWidth="1"/>
    <col min="5" max="5" width="10.44140625" customWidth="1"/>
    <col min="6" max="6" width="10" customWidth="1"/>
    <col min="7" max="7" width="10.44140625" customWidth="1"/>
    <col min="8" max="9" width="10" customWidth="1"/>
    <col min="10" max="10" width="10.44140625" customWidth="1"/>
    <col min="11" max="11" width="13.88671875" customWidth="1"/>
    <col min="12" max="12" width="10" customWidth="1"/>
    <col min="13" max="13" width="11.44140625" customWidth="1"/>
    <col min="14" max="14" width="15" customWidth="1"/>
    <col min="15" max="15" width="10.44140625" customWidth="1"/>
    <col min="16" max="16" width="28.109375" customWidth="1"/>
    <col min="17" max="17" width="11.44140625" customWidth="1"/>
    <col min="18" max="18" width="32" customWidth="1"/>
  </cols>
  <sheetData>
    <row r="1" spans="1:18" ht="34.049999999999997" customHeight="1">
      <c r="A1" s="75" t="s">
        <v>61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</row>
    <row r="2" spans="1:18" ht="19.95" customHeight="1">
      <c r="A2" s="79" t="s">
        <v>62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</row>
    <row r="3" spans="1:18" ht="10.050000000000001" customHeight="1"/>
    <row r="4" spans="1:18" ht="25.95" customHeight="1">
      <c r="A4" s="78" t="s">
        <v>63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</row>
    <row r="5" spans="1:18" ht="27.6" customHeight="1">
      <c r="A5" s="77" t="s">
        <v>64</v>
      </c>
      <c r="B5" s="77" t="s">
        <v>4</v>
      </c>
      <c r="C5" s="77" t="s">
        <v>65</v>
      </c>
      <c r="D5" s="77" t="s">
        <v>66</v>
      </c>
      <c r="E5" s="77" t="s">
        <v>67</v>
      </c>
      <c r="F5" s="77"/>
      <c r="G5" s="77"/>
      <c r="H5" s="77" t="s">
        <v>68</v>
      </c>
      <c r="I5" s="77"/>
      <c r="J5" s="77"/>
      <c r="K5" s="77"/>
      <c r="L5" s="77" t="s">
        <v>69</v>
      </c>
      <c r="M5" s="77"/>
      <c r="N5" s="77"/>
      <c r="O5" s="77"/>
      <c r="P5" s="77" t="s">
        <v>70</v>
      </c>
      <c r="Q5" s="77"/>
      <c r="R5" s="77"/>
    </row>
    <row r="6" spans="1:18" ht="27.6" customHeight="1">
      <c r="A6" s="77"/>
      <c r="B6" s="77"/>
      <c r="C6" s="77"/>
      <c r="D6" s="77"/>
      <c r="E6" s="28" t="s">
        <v>71</v>
      </c>
      <c r="F6" s="28" t="s">
        <v>72</v>
      </c>
      <c r="G6" s="28" t="s">
        <v>73</v>
      </c>
      <c r="H6" s="28" t="s">
        <v>218</v>
      </c>
      <c r="I6" s="28" t="s">
        <v>74</v>
      </c>
      <c r="J6" s="28" t="s">
        <v>220</v>
      </c>
      <c r="K6" s="28" t="s">
        <v>219</v>
      </c>
      <c r="L6" s="28" t="s">
        <v>75</v>
      </c>
      <c r="M6" s="28" t="s">
        <v>76</v>
      </c>
      <c r="N6" s="28" t="s">
        <v>77</v>
      </c>
      <c r="O6" s="28" t="s">
        <v>78</v>
      </c>
      <c r="P6" s="28" t="s">
        <v>79</v>
      </c>
      <c r="Q6" s="28" t="s">
        <v>80</v>
      </c>
      <c r="R6" s="28" t="s">
        <v>81</v>
      </c>
    </row>
    <row r="7" spans="1:18" ht="34.049999999999997" customHeight="1">
      <c r="A7" s="2" t="s">
        <v>82</v>
      </c>
      <c r="B7" s="3" t="s">
        <v>83</v>
      </c>
      <c r="C7" s="4" t="s">
        <v>84</v>
      </c>
      <c r="D7" s="29" t="s">
        <v>85</v>
      </c>
      <c r="E7" s="30">
        <v>20</v>
      </c>
      <c r="F7" s="7">
        <f t="shared" ref="F7:F12" si="0">E7/8</f>
        <v>2.5</v>
      </c>
      <c r="G7" s="6">
        <f t="shared" ref="G7:G12" si="1">F7*2</f>
        <v>5</v>
      </c>
      <c r="H7" s="4">
        <v>8</v>
      </c>
      <c r="I7" s="4">
        <f t="shared" ref="I7:I12" si="2">H7*2</f>
        <v>16</v>
      </c>
      <c r="J7" s="30">
        <f t="shared" ref="J7:J12" si="3">F7*H7</f>
        <v>20</v>
      </c>
      <c r="K7" s="31">
        <f t="shared" ref="K7:K12" si="4">J7*2</f>
        <v>40</v>
      </c>
      <c r="L7" s="2">
        <v>4</v>
      </c>
      <c r="M7" s="30">
        <f t="shared" ref="M7:M12" si="5">J7*L7</f>
        <v>80</v>
      </c>
      <c r="N7" s="32">
        <f t="shared" ref="N7:N12" si="6">K7*L7</f>
        <v>160</v>
      </c>
      <c r="O7" s="6">
        <f t="shared" ref="O7:O12" si="7">N7/1000</f>
        <v>0.16</v>
      </c>
      <c r="P7" s="33" t="s">
        <v>86</v>
      </c>
      <c r="Q7" s="4" t="s">
        <v>87</v>
      </c>
      <c r="R7" s="33" t="s">
        <v>88</v>
      </c>
    </row>
    <row r="8" spans="1:18" ht="34.049999999999997" customHeight="1">
      <c r="A8" s="10" t="s">
        <v>89</v>
      </c>
      <c r="B8" s="11" t="s">
        <v>30</v>
      </c>
      <c r="C8" s="12" t="s">
        <v>90</v>
      </c>
      <c r="D8" s="34" t="s">
        <v>91</v>
      </c>
      <c r="E8" s="35">
        <v>25</v>
      </c>
      <c r="F8" s="15">
        <f t="shared" si="0"/>
        <v>3.125</v>
      </c>
      <c r="G8" s="14">
        <f t="shared" si="1"/>
        <v>6.25</v>
      </c>
      <c r="H8" s="12">
        <v>8</v>
      </c>
      <c r="I8" s="12">
        <f t="shared" si="2"/>
        <v>16</v>
      </c>
      <c r="J8" s="35">
        <f t="shared" si="3"/>
        <v>25</v>
      </c>
      <c r="K8" s="36">
        <f t="shared" si="4"/>
        <v>50</v>
      </c>
      <c r="L8" s="10">
        <v>6</v>
      </c>
      <c r="M8" s="35">
        <f t="shared" si="5"/>
        <v>150</v>
      </c>
      <c r="N8" s="37">
        <f t="shared" si="6"/>
        <v>300</v>
      </c>
      <c r="O8" s="14">
        <f t="shared" si="7"/>
        <v>0.3</v>
      </c>
      <c r="P8" s="38" t="s">
        <v>92</v>
      </c>
      <c r="Q8" s="12">
        <v>0.9</v>
      </c>
      <c r="R8" s="38" t="s">
        <v>93</v>
      </c>
    </row>
    <row r="9" spans="1:18" ht="34.049999999999997" customHeight="1">
      <c r="A9" s="2" t="s">
        <v>94</v>
      </c>
      <c r="B9" s="3" t="s">
        <v>95</v>
      </c>
      <c r="C9" s="4" t="s">
        <v>96</v>
      </c>
      <c r="D9" s="29" t="s">
        <v>97</v>
      </c>
      <c r="E9" s="30">
        <v>50</v>
      </c>
      <c r="F9" s="7">
        <f t="shared" si="0"/>
        <v>6.25</v>
      </c>
      <c r="G9" s="6">
        <f t="shared" si="1"/>
        <v>12.5</v>
      </c>
      <c r="H9" s="4">
        <v>4</v>
      </c>
      <c r="I9" s="4">
        <f t="shared" si="2"/>
        <v>8</v>
      </c>
      <c r="J9" s="30">
        <f t="shared" si="3"/>
        <v>25</v>
      </c>
      <c r="K9" s="31">
        <f t="shared" si="4"/>
        <v>50</v>
      </c>
      <c r="L9" s="2">
        <v>12</v>
      </c>
      <c r="M9" s="30">
        <f t="shared" si="5"/>
        <v>300</v>
      </c>
      <c r="N9" s="32">
        <f t="shared" si="6"/>
        <v>600</v>
      </c>
      <c r="O9" s="6">
        <f t="shared" si="7"/>
        <v>0.6</v>
      </c>
      <c r="P9" s="33" t="s">
        <v>98</v>
      </c>
      <c r="Q9" s="4">
        <v>1.8</v>
      </c>
      <c r="R9" s="33" t="s">
        <v>99</v>
      </c>
    </row>
    <row r="10" spans="1:18" ht="34.049999999999997" customHeight="1">
      <c r="A10" s="10" t="s">
        <v>100</v>
      </c>
      <c r="B10" s="11" t="s">
        <v>38</v>
      </c>
      <c r="C10" s="12" t="s">
        <v>101</v>
      </c>
      <c r="D10" s="34" t="s">
        <v>102</v>
      </c>
      <c r="E10" s="35">
        <v>100</v>
      </c>
      <c r="F10" s="15">
        <f t="shared" si="0"/>
        <v>12.5</v>
      </c>
      <c r="G10" s="14">
        <f t="shared" si="1"/>
        <v>25</v>
      </c>
      <c r="H10" s="12">
        <v>2</v>
      </c>
      <c r="I10" s="12">
        <f t="shared" si="2"/>
        <v>4</v>
      </c>
      <c r="J10" s="35">
        <f t="shared" si="3"/>
        <v>25</v>
      </c>
      <c r="K10" s="36">
        <f t="shared" si="4"/>
        <v>50</v>
      </c>
      <c r="L10" s="10">
        <v>18</v>
      </c>
      <c r="M10" s="35">
        <f t="shared" si="5"/>
        <v>450</v>
      </c>
      <c r="N10" s="37">
        <f t="shared" si="6"/>
        <v>900</v>
      </c>
      <c r="O10" s="14">
        <f t="shared" si="7"/>
        <v>0.9</v>
      </c>
      <c r="P10" s="38" t="s">
        <v>103</v>
      </c>
      <c r="Q10" s="12">
        <v>3.2</v>
      </c>
      <c r="R10" s="38" t="s">
        <v>104</v>
      </c>
    </row>
    <row r="11" spans="1:18" ht="34.049999999999997" customHeight="1">
      <c r="A11" s="2" t="s">
        <v>105</v>
      </c>
      <c r="B11" s="3" t="s">
        <v>106</v>
      </c>
      <c r="C11" s="4" t="s">
        <v>107</v>
      </c>
      <c r="D11" s="29" t="s">
        <v>108</v>
      </c>
      <c r="E11" s="30">
        <v>200</v>
      </c>
      <c r="F11" s="7">
        <f t="shared" si="0"/>
        <v>25</v>
      </c>
      <c r="G11" s="6">
        <f t="shared" si="1"/>
        <v>50</v>
      </c>
      <c r="H11" s="4">
        <v>2</v>
      </c>
      <c r="I11" s="4">
        <f t="shared" si="2"/>
        <v>4</v>
      </c>
      <c r="J11" s="30">
        <f t="shared" si="3"/>
        <v>50</v>
      </c>
      <c r="K11" s="31">
        <f t="shared" si="4"/>
        <v>100</v>
      </c>
      <c r="L11" s="2">
        <v>18</v>
      </c>
      <c r="M11" s="30">
        <f t="shared" si="5"/>
        <v>900</v>
      </c>
      <c r="N11" s="32">
        <f t="shared" si="6"/>
        <v>1800</v>
      </c>
      <c r="O11" s="6">
        <f t="shared" si="7"/>
        <v>1.8</v>
      </c>
      <c r="P11" s="33" t="s">
        <v>109</v>
      </c>
      <c r="Q11" s="4">
        <v>7.2</v>
      </c>
      <c r="R11" s="33" t="s">
        <v>110</v>
      </c>
    </row>
    <row r="12" spans="1:18" ht="34.049999999999997" customHeight="1">
      <c r="A12" s="10" t="s">
        <v>111</v>
      </c>
      <c r="B12" s="11" t="s">
        <v>112</v>
      </c>
      <c r="C12" s="12" t="s">
        <v>113</v>
      </c>
      <c r="D12" s="34" t="s">
        <v>114</v>
      </c>
      <c r="E12" s="35">
        <v>400</v>
      </c>
      <c r="F12" s="15">
        <f t="shared" si="0"/>
        <v>50</v>
      </c>
      <c r="G12" s="14">
        <f t="shared" si="1"/>
        <v>100</v>
      </c>
      <c r="H12" s="12">
        <v>2</v>
      </c>
      <c r="I12" s="12">
        <f t="shared" si="2"/>
        <v>4</v>
      </c>
      <c r="J12" s="35">
        <f t="shared" si="3"/>
        <v>100</v>
      </c>
      <c r="K12" s="36">
        <f t="shared" si="4"/>
        <v>200</v>
      </c>
      <c r="L12" s="10">
        <v>18</v>
      </c>
      <c r="M12" s="35">
        <f t="shared" si="5"/>
        <v>1800</v>
      </c>
      <c r="N12" s="37">
        <f t="shared" si="6"/>
        <v>3600</v>
      </c>
      <c r="O12" s="14">
        <f t="shared" si="7"/>
        <v>3.6</v>
      </c>
      <c r="P12" s="38" t="s">
        <v>115</v>
      </c>
      <c r="Q12" s="12">
        <v>14.4</v>
      </c>
      <c r="R12" s="38" t="s">
        <v>116</v>
      </c>
    </row>
    <row r="14" spans="1:18" ht="25.05" customHeight="1">
      <c r="A14" s="76" t="s">
        <v>117</v>
      </c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</row>
    <row r="15" spans="1:18" ht="25.05" customHeight="1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</row>
  </sheetData>
  <mergeCells count="12">
    <mergeCell ref="A1:R1"/>
    <mergeCell ref="A14:R15"/>
    <mergeCell ref="D5:D6"/>
    <mergeCell ref="B5:B6"/>
    <mergeCell ref="H5:K5"/>
    <mergeCell ref="A4:R4"/>
    <mergeCell ref="A5:A6"/>
    <mergeCell ref="L5:O5"/>
    <mergeCell ref="P5:R5"/>
    <mergeCell ref="A2:R2"/>
    <mergeCell ref="E5:G5"/>
    <mergeCell ref="C5:C6"/>
  </mergeCells>
  <phoneticPr fontId="29" type="noConversion"/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6"/>
  <sheetViews>
    <sheetView workbookViewId="0">
      <pane xSplit="4" ySplit="6" topLeftCell="E7" activePane="bottomRight" state="frozen"/>
      <selection pane="topRight"/>
      <selection pane="bottomLeft"/>
      <selection pane="bottomRight" activeCell="N5" sqref="A5:XFD6"/>
    </sheetView>
  </sheetViews>
  <sheetFormatPr defaultRowHeight="14.4"/>
  <cols>
    <col min="1" max="1" width="22" customWidth="1"/>
    <col min="2" max="2" width="9.44140625" customWidth="1"/>
    <col min="3" max="3" width="15" customWidth="1"/>
    <col min="4" max="4" width="35" customWidth="1"/>
    <col min="5" max="6" width="11" customWidth="1"/>
    <col min="7" max="7" width="12" customWidth="1"/>
    <col min="8" max="8" width="15" customWidth="1"/>
    <col min="9" max="12" width="17.6640625" customWidth="1"/>
    <col min="13" max="13" width="62" customWidth="1"/>
  </cols>
  <sheetData>
    <row r="1" spans="1:13" ht="34.049999999999997" customHeight="1">
      <c r="A1" s="83" t="s">
        <v>118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</row>
    <row r="2" spans="1:13" ht="19.95" customHeight="1">
      <c r="A2" s="82" t="s">
        <v>119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</row>
    <row r="3" spans="1:13" ht="10.050000000000001" customHeight="1"/>
    <row r="4" spans="1:13" ht="25.95" customHeight="1">
      <c r="A4" s="84" t="s">
        <v>120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</row>
    <row r="5" spans="1:13" ht="27.6" customHeight="1">
      <c r="A5" s="81" t="s">
        <v>121</v>
      </c>
      <c r="B5" s="81" t="s">
        <v>4</v>
      </c>
      <c r="C5" s="81" t="s">
        <v>122</v>
      </c>
      <c r="D5" s="81" t="s">
        <v>123</v>
      </c>
      <c r="E5" s="81" t="s">
        <v>124</v>
      </c>
      <c r="F5" s="81"/>
      <c r="G5" s="81"/>
      <c r="H5" s="81" t="s">
        <v>125</v>
      </c>
      <c r="I5" s="81"/>
      <c r="J5" s="81"/>
      <c r="K5" s="81" t="s">
        <v>126</v>
      </c>
      <c r="L5" s="81"/>
      <c r="M5" s="81"/>
    </row>
    <row r="6" spans="1:13" ht="27.6" customHeight="1">
      <c r="A6" s="81"/>
      <c r="B6" s="81"/>
      <c r="C6" s="81"/>
      <c r="D6" s="81"/>
      <c r="E6" s="39" t="s">
        <v>127</v>
      </c>
      <c r="F6" s="39" t="s">
        <v>72</v>
      </c>
      <c r="G6" s="39" t="s">
        <v>73</v>
      </c>
      <c r="H6" s="39" t="s">
        <v>214</v>
      </c>
      <c r="I6" s="39" t="s">
        <v>215</v>
      </c>
      <c r="J6" s="39" t="s">
        <v>216</v>
      </c>
      <c r="K6" s="39" t="s">
        <v>217</v>
      </c>
      <c r="L6" s="39" t="s">
        <v>128</v>
      </c>
      <c r="M6" s="39" t="s">
        <v>129</v>
      </c>
    </row>
    <row r="7" spans="1:13" ht="42" customHeight="1">
      <c r="A7" s="2" t="s">
        <v>130</v>
      </c>
      <c r="B7" s="3" t="s">
        <v>131</v>
      </c>
      <c r="C7" s="4" t="s">
        <v>18</v>
      </c>
      <c r="D7" s="29" t="s">
        <v>132</v>
      </c>
      <c r="E7" s="30">
        <v>56</v>
      </c>
      <c r="F7" s="6">
        <f t="shared" ref="F7:F13" si="0">E7/8</f>
        <v>7</v>
      </c>
      <c r="G7" s="40">
        <f t="shared" ref="G7:G13" si="1">F7*2</f>
        <v>14</v>
      </c>
      <c r="H7" s="4" t="s">
        <v>133</v>
      </c>
      <c r="I7" s="30">
        <v>8</v>
      </c>
      <c r="J7" s="41" t="s">
        <v>134</v>
      </c>
      <c r="K7" s="4" t="s">
        <v>135</v>
      </c>
      <c r="L7" s="42" t="s">
        <v>136</v>
      </c>
      <c r="M7" s="22" t="s">
        <v>137</v>
      </c>
    </row>
    <row r="8" spans="1:13" ht="42" customHeight="1">
      <c r="A8" s="10" t="s">
        <v>138</v>
      </c>
      <c r="B8" s="11" t="s">
        <v>139</v>
      </c>
      <c r="C8" s="12" t="s">
        <v>140</v>
      </c>
      <c r="D8" s="34" t="s">
        <v>141</v>
      </c>
      <c r="E8" s="35">
        <v>100</v>
      </c>
      <c r="F8" s="14">
        <f t="shared" si="0"/>
        <v>12.5</v>
      </c>
      <c r="G8" s="43">
        <f t="shared" si="1"/>
        <v>25</v>
      </c>
      <c r="H8" s="12" t="s">
        <v>142</v>
      </c>
      <c r="I8" s="35">
        <v>16</v>
      </c>
      <c r="J8" s="44" t="s">
        <v>134</v>
      </c>
      <c r="K8" s="12" t="s">
        <v>143</v>
      </c>
      <c r="L8" s="45" t="s">
        <v>144</v>
      </c>
      <c r="M8" s="27" t="s">
        <v>145</v>
      </c>
    </row>
    <row r="9" spans="1:13" ht="42" customHeight="1">
      <c r="A9" s="2" t="s">
        <v>146</v>
      </c>
      <c r="B9" s="3" t="s">
        <v>147</v>
      </c>
      <c r="C9" s="4" t="s">
        <v>148</v>
      </c>
      <c r="D9" s="29" t="s">
        <v>149</v>
      </c>
      <c r="E9" s="30">
        <v>100</v>
      </c>
      <c r="F9" s="6">
        <f t="shared" si="0"/>
        <v>12.5</v>
      </c>
      <c r="G9" s="40">
        <f t="shared" si="1"/>
        <v>25</v>
      </c>
      <c r="H9" s="4" t="s">
        <v>150</v>
      </c>
      <c r="I9" s="30">
        <v>16</v>
      </c>
      <c r="J9" s="41" t="s">
        <v>134</v>
      </c>
      <c r="K9" s="4" t="s">
        <v>143</v>
      </c>
      <c r="L9" s="42" t="s">
        <v>144</v>
      </c>
      <c r="M9" s="22" t="s">
        <v>151</v>
      </c>
    </row>
    <row r="10" spans="1:13" ht="42" customHeight="1">
      <c r="A10" s="10" t="s">
        <v>152</v>
      </c>
      <c r="B10" s="11" t="s">
        <v>153</v>
      </c>
      <c r="C10" s="12" t="s">
        <v>31</v>
      </c>
      <c r="D10" s="34" t="s">
        <v>154</v>
      </c>
      <c r="E10" s="35">
        <v>200</v>
      </c>
      <c r="F10" s="14">
        <f t="shared" si="0"/>
        <v>25</v>
      </c>
      <c r="G10" s="43">
        <f t="shared" si="1"/>
        <v>50</v>
      </c>
      <c r="H10" s="12" t="s">
        <v>155</v>
      </c>
      <c r="I10" s="35">
        <v>32</v>
      </c>
      <c r="J10" s="44" t="s">
        <v>134</v>
      </c>
      <c r="K10" s="12" t="s">
        <v>156</v>
      </c>
      <c r="L10" s="45" t="s">
        <v>157</v>
      </c>
      <c r="M10" s="27" t="s">
        <v>158</v>
      </c>
    </row>
    <row r="11" spans="1:13" ht="42" customHeight="1">
      <c r="A11" s="2" t="s">
        <v>159</v>
      </c>
      <c r="B11" s="3" t="s">
        <v>160</v>
      </c>
      <c r="C11" s="4" t="s">
        <v>35</v>
      </c>
      <c r="D11" s="29" t="s">
        <v>161</v>
      </c>
      <c r="E11" s="30">
        <v>400</v>
      </c>
      <c r="F11" s="6">
        <f t="shared" si="0"/>
        <v>50</v>
      </c>
      <c r="G11" s="40">
        <f t="shared" si="1"/>
        <v>100</v>
      </c>
      <c r="H11" s="4" t="s">
        <v>162</v>
      </c>
      <c r="I11" s="30">
        <v>64</v>
      </c>
      <c r="J11" s="41" t="s">
        <v>134</v>
      </c>
      <c r="K11" s="4" t="s">
        <v>163</v>
      </c>
      <c r="L11" s="42" t="s">
        <v>164</v>
      </c>
      <c r="M11" s="22" t="s">
        <v>165</v>
      </c>
    </row>
    <row r="12" spans="1:13" ht="42" customHeight="1">
      <c r="A12" s="10" t="s">
        <v>166</v>
      </c>
      <c r="B12" s="11" t="s">
        <v>106</v>
      </c>
      <c r="C12" s="12" t="s">
        <v>39</v>
      </c>
      <c r="D12" s="34" t="s">
        <v>167</v>
      </c>
      <c r="E12" s="35">
        <v>800</v>
      </c>
      <c r="F12" s="14">
        <f t="shared" si="0"/>
        <v>100</v>
      </c>
      <c r="G12" s="43">
        <f t="shared" si="1"/>
        <v>200</v>
      </c>
      <c r="H12" s="12" t="s">
        <v>168</v>
      </c>
      <c r="I12" s="35">
        <v>128</v>
      </c>
      <c r="J12" s="44" t="s">
        <v>134</v>
      </c>
      <c r="K12" s="12" t="s">
        <v>169</v>
      </c>
      <c r="L12" s="45" t="s">
        <v>170</v>
      </c>
      <c r="M12" s="27" t="s">
        <v>171</v>
      </c>
    </row>
    <row r="13" spans="1:13" ht="42" customHeight="1">
      <c r="A13" s="2" t="s">
        <v>172</v>
      </c>
      <c r="B13" s="3" t="s">
        <v>112</v>
      </c>
      <c r="C13" s="4" t="s">
        <v>44</v>
      </c>
      <c r="D13" s="29" t="s">
        <v>173</v>
      </c>
      <c r="E13" s="30">
        <v>1600</v>
      </c>
      <c r="F13" s="6">
        <f t="shared" si="0"/>
        <v>200</v>
      </c>
      <c r="G13" s="40">
        <f t="shared" si="1"/>
        <v>400</v>
      </c>
      <c r="H13" s="4" t="s">
        <v>174</v>
      </c>
      <c r="I13" s="30">
        <v>256</v>
      </c>
      <c r="J13" s="41" t="s">
        <v>134</v>
      </c>
      <c r="K13" s="4" t="s">
        <v>175</v>
      </c>
      <c r="L13" s="42" t="s">
        <v>176</v>
      </c>
      <c r="M13" s="22" t="s">
        <v>177</v>
      </c>
    </row>
    <row r="15" spans="1:13" ht="24" customHeight="1">
      <c r="A15" s="80" t="s">
        <v>178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</row>
    <row r="16" spans="1:13" ht="24" customHeight="1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</row>
  </sheetData>
  <mergeCells count="11">
    <mergeCell ref="A1:M1"/>
    <mergeCell ref="E5:G5"/>
    <mergeCell ref="K5:M5"/>
    <mergeCell ref="H5:J5"/>
    <mergeCell ref="A4:M4"/>
    <mergeCell ref="A15:M16"/>
    <mergeCell ref="D5:D6"/>
    <mergeCell ref="A2:M2"/>
    <mergeCell ref="B5:B6"/>
    <mergeCell ref="C5:C6"/>
    <mergeCell ref="A5:A6"/>
  </mergeCells>
  <phoneticPr fontId="29" type="noConversion"/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7"/>
  <sheetViews>
    <sheetView tabSelected="1" workbookViewId="0">
      <pane xSplit="3" ySplit="6" topLeftCell="D7" activePane="bottomRight" state="frozen"/>
      <selection pane="topRight"/>
      <selection pane="bottomLeft"/>
      <selection pane="bottomRight" activeCell="J8" sqref="J8"/>
    </sheetView>
  </sheetViews>
  <sheetFormatPr defaultRowHeight="14.4"/>
  <cols>
    <col min="1" max="1" width="14.33203125" customWidth="1"/>
    <col min="2" max="2" width="10" customWidth="1"/>
    <col min="3" max="3" width="20" customWidth="1"/>
    <col min="4" max="4" width="12" customWidth="1"/>
    <col min="5" max="6" width="11.44140625" customWidth="1"/>
    <col min="7" max="7" width="12.44140625" customWidth="1"/>
    <col min="8" max="10" width="11" customWidth="1"/>
    <col min="11" max="13" width="16.6640625" customWidth="1"/>
    <col min="14" max="14" width="62" customWidth="1"/>
  </cols>
  <sheetData>
    <row r="1" spans="1:14" ht="34.049999999999997" customHeight="1">
      <c r="A1" s="85" t="s">
        <v>179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19.95" customHeight="1">
      <c r="A2" s="88" t="s">
        <v>180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</row>
    <row r="3" spans="1:14" ht="10.050000000000001" customHeight="1"/>
    <row r="4" spans="1:14" ht="25.95" customHeight="1">
      <c r="A4" s="86" t="s">
        <v>181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</row>
    <row r="5" spans="1:14" ht="31.8" customHeight="1">
      <c r="A5" s="87" t="s">
        <v>182</v>
      </c>
      <c r="B5" s="87" t="s">
        <v>183</v>
      </c>
      <c r="C5" s="87" t="s">
        <v>184</v>
      </c>
      <c r="D5" s="87" t="s">
        <v>226</v>
      </c>
      <c r="E5" s="87"/>
      <c r="F5" s="87"/>
      <c r="G5" s="87" t="s">
        <v>227</v>
      </c>
      <c r="H5" s="87"/>
      <c r="I5" s="87"/>
      <c r="J5" s="87"/>
      <c r="K5" s="87" t="s">
        <v>228</v>
      </c>
      <c r="L5" s="87"/>
      <c r="M5" s="87"/>
      <c r="N5" s="87" t="s">
        <v>185</v>
      </c>
    </row>
    <row r="6" spans="1:14" ht="31.8" customHeight="1">
      <c r="A6" s="87"/>
      <c r="B6" s="87"/>
      <c r="C6" s="87"/>
      <c r="D6" s="46" t="s">
        <v>221</v>
      </c>
      <c r="E6" s="46" t="s">
        <v>222</v>
      </c>
      <c r="F6" s="46" t="s">
        <v>223</v>
      </c>
      <c r="G6" s="46" t="s">
        <v>224</v>
      </c>
      <c r="H6" s="46" t="s">
        <v>225</v>
      </c>
      <c r="I6" s="46" t="s">
        <v>211</v>
      </c>
      <c r="J6" s="46" t="s">
        <v>212</v>
      </c>
      <c r="K6" s="46" t="s">
        <v>213</v>
      </c>
      <c r="L6" s="46" t="s">
        <v>210</v>
      </c>
      <c r="M6" s="46" t="s">
        <v>186</v>
      </c>
      <c r="N6" s="87"/>
    </row>
    <row r="7" spans="1:14" ht="49.95" customHeight="1">
      <c r="A7" s="47" t="s">
        <v>187</v>
      </c>
      <c r="B7" s="3" t="s">
        <v>83</v>
      </c>
      <c r="C7" s="4" t="s">
        <v>188</v>
      </c>
      <c r="D7" s="48">
        <f>NVLink代际与端口带宽!N7</f>
        <v>160</v>
      </c>
      <c r="E7" s="49">
        <f>PCIe代际与通道带宽!O9</f>
        <v>32</v>
      </c>
      <c r="F7" s="50">
        <f>ConnectX网卡端口带宽!G8</f>
        <v>25</v>
      </c>
      <c r="G7" s="51">
        <f>PCIe代际与通道带宽!O9</f>
        <v>32</v>
      </c>
      <c r="H7" s="52">
        <f>NVLink代际与端口带宽!K7</f>
        <v>40</v>
      </c>
      <c r="I7" s="53">
        <f>ConnectX网卡端口带宽!G8</f>
        <v>25</v>
      </c>
      <c r="J7" s="51">
        <f>PCIe代际与通道带宽!K9</f>
        <v>2</v>
      </c>
      <c r="K7" s="54">
        <f t="shared" ref="K7:K12" si="0">D7/E7</f>
        <v>5</v>
      </c>
      <c r="L7" s="54">
        <f t="shared" ref="L7:L12" si="1">D7/F7</f>
        <v>6.4</v>
      </c>
      <c r="M7" s="55">
        <f t="shared" ref="M7:M12" si="2">G7/I7</f>
        <v>1.28</v>
      </c>
      <c r="N7" s="22" t="s">
        <v>189</v>
      </c>
    </row>
    <row r="8" spans="1:14" ht="49.95" customHeight="1">
      <c r="A8" s="56" t="s">
        <v>190</v>
      </c>
      <c r="B8" s="11" t="s">
        <v>191</v>
      </c>
      <c r="C8" s="12" t="s">
        <v>192</v>
      </c>
      <c r="D8" s="57">
        <f>NVLink代际与端口带宽!N8</f>
        <v>300</v>
      </c>
      <c r="E8" s="58">
        <f>PCIe代际与通道带宽!O9</f>
        <v>32</v>
      </c>
      <c r="F8" s="59">
        <f>ConnectX网卡端口带宽!G9</f>
        <v>25</v>
      </c>
      <c r="G8" s="60">
        <f>PCIe代际与通道带宽!O9</f>
        <v>32</v>
      </c>
      <c r="H8" s="61">
        <f>NVLink代际与端口带宽!K8</f>
        <v>50</v>
      </c>
      <c r="I8" s="62">
        <f>ConnectX网卡端口带宽!G9</f>
        <v>25</v>
      </c>
      <c r="J8" s="60">
        <f>PCIe代际与通道带宽!K9</f>
        <v>2</v>
      </c>
      <c r="K8" s="63">
        <f t="shared" si="0"/>
        <v>9.375</v>
      </c>
      <c r="L8" s="63">
        <f t="shared" si="1"/>
        <v>12</v>
      </c>
      <c r="M8" s="64">
        <f t="shared" si="2"/>
        <v>1.28</v>
      </c>
      <c r="N8" s="27" t="s">
        <v>193</v>
      </c>
    </row>
    <row r="9" spans="1:14" ht="49.95" customHeight="1">
      <c r="A9" s="47" t="s">
        <v>194</v>
      </c>
      <c r="B9" s="3" t="s">
        <v>95</v>
      </c>
      <c r="C9" s="4" t="s">
        <v>195</v>
      </c>
      <c r="D9" s="48">
        <f>NVLink代际与端口带宽!N9</f>
        <v>600</v>
      </c>
      <c r="E9" s="49">
        <f>PCIe代际与通道带宽!O10</f>
        <v>64</v>
      </c>
      <c r="F9" s="50">
        <f>ConnectX网卡端口带宽!G10</f>
        <v>50</v>
      </c>
      <c r="G9" s="51">
        <f>PCIe代际与通道带宽!O10</f>
        <v>64</v>
      </c>
      <c r="H9" s="52">
        <f>NVLink代际与端口带宽!K9</f>
        <v>50</v>
      </c>
      <c r="I9" s="53">
        <f>ConnectX网卡端口带宽!G10</f>
        <v>50</v>
      </c>
      <c r="J9" s="51">
        <f>PCIe代际与通道带宽!K10</f>
        <v>4</v>
      </c>
      <c r="K9" s="54">
        <f t="shared" si="0"/>
        <v>9.375</v>
      </c>
      <c r="L9" s="54">
        <f t="shared" si="1"/>
        <v>12</v>
      </c>
      <c r="M9" s="55">
        <f t="shared" si="2"/>
        <v>1.28</v>
      </c>
      <c r="N9" s="22" t="s">
        <v>196</v>
      </c>
    </row>
    <row r="10" spans="1:14" ht="49.95" customHeight="1">
      <c r="A10" s="56" t="s">
        <v>197</v>
      </c>
      <c r="B10" s="11" t="s">
        <v>38</v>
      </c>
      <c r="C10" s="12" t="s">
        <v>198</v>
      </c>
      <c r="D10" s="57">
        <f>NVLink代际与端口带宽!N10</f>
        <v>900</v>
      </c>
      <c r="E10" s="58">
        <f>PCIe代际与通道带宽!O11</f>
        <v>128</v>
      </c>
      <c r="F10" s="59">
        <f>ConnectX网卡端口带宽!G11</f>
        <v>100</v>
      </c>
      <c r="G10" s="60">
        <f>PCIe代际与通道带宽!O11</f>
        <v>128</v>
      </c>
      <c r="H10" s="61">
        <f>NVLink代际与端口带宽!K10</f>
        <v>50</v>
      </c>
      <c r="I10" s="62">
        <f>ConnectX网卡端口带宽!G11</f>
        <v>100</v>
      </c>
      <c r="J10" s="60">
        <f>PCIe代际与通道带宽!K11</f>
        <v>8</v>
      </c>
      <c r="K10" s="63">
        <f t="shared" si="0"/>
        <v>7.03125</v>
      </c>
      <c r="L10" s="63">
        <f t="shared" si="1"/>
        <v>9</v>
      </c>
      <c r="M10" s="64">
        <f t="shared" si="2"/>
        <v>1.28</v>
      </c>
      <c r="N10" s="27" t="s">
        <v>199</v>
      </c>
    </row>
    <row r="11" spans="1:14" ht="49.95" customHeight="1">
      <c r="A11" s="47" t="s">
        <v>200</v>
      </c>
      <c r="B11" s="3" t="s">
        <v>106</v>
      </c>
      <c r="C11" s="4" t="s">
        <v>201</v>
      </c>
      <c r="D11" s="48">
        <f>NVLink代际与端口带宽!N11</f>
        <v>1800</v>
      </c>
      <c r="E11" s="49">
        <f>PCIe代际与通道带宽!O12</f>
        <v>256</v>
      </c>
      <c r="F11" s="50">
        <f>ConnectX网卡端口带宽!G12</f>
        <v>200</v>
      </c>
      <c r="G11" s="51">
        <f>PCIe代际与通道带宽!O12</f>
        <v>256</v>
      </c>
      <c r="H11" s="52">
        <f>NVLink代际与端口带宽!K11</f>
        <v>100</v>
      </c>
      <c r="I11" s="53">
        <f>ConnectX网卡端口带宽!G12</f>
        <v>200</v>
      </c>
      <c r="J11" s="51">
        <f>PCIe代际与通道带宽!K12</f>
        <v>16</v>
      </c>
      <c r="K11" s="54">
        <f t="shared" si="0"/>
        <v>7.03125</v>
      </c>
      <c r="L11" s="54">
        <f t="shared" si="1"/>
        <v>9</v>
      </c>
      <c r="M11" s="55">
        <f t="shared" si="2"/>
        <v>1.28</v>
      </c>
      <c r="N11" s="22" t="s">
        <v>202</v>
      </c>
    </row>
    <row r="12" spans="1:14" ht="49.95" customHeight="1">
      <c r="A12" s="56" t="s">
        <v>203</v>
      </c>
      <c r="B12" s="11" t="s">
        <v>112</v>
      </c>
      <c r="C12" s="12" t="s">
        <v>204</v>
      </c>
      <c r="D12" s="57">
        <f>NVLink代际与端口带宽!N12</f>
        <v>3600</v>
      </c>
      <c r="E12" s="58">
        <f>PCIe代际与通道带宽!O13</f>
        <v>512</v>
      </c>
      <c r="F12" s="59">
        <f>ConnectX网卡端口带宽!G13</f>
        <v>400</v>
      </c>
      <c r="G12" s="60">
        <f>PCIe代际与通道带宽!O13</f>
        <v>512</v>
      </c>
      <c r="H12" s="61">
        <f>NVLink代际与端口带宽!K12</f>
        <v>200</v>
      </c>
      <c r="I12" s="62">
        <f>ConnectX网卡端口带宽!G13</f>
        <v>400</v>
      </c>
      <c r="J12" s="60">
        <f>PCIe代际与通道带宽!K13</f>
        <v>32</v>
      </c>
      <c r="K12" s="63">
        <f t="shared" si="0"/>
        <v>7.03125</v>
      </c>
      <c r="L12" s="63">
        <f t="shared" si="1"/>
        <v>9</v>
      </c>
      <c r="M12" s="64">
        <f t="shared" si="2"/>
        <v>1.28</v>
      </c>
      <c r="N12" s="27" t="s">
        <v>205</v>
      </c>
    </row>
    <row r="14" spans="1:14" ht="25.95" customHeight="1">
      <c r="A14" s="90" t="s">
        <v>206</v>
      </c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</row>
    <row r="15" spans="1:14" ht="42" customHeight="1">
      <c r="A15" s="89" t="s">
        <v>207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</row>
    <row r="16" spans="1:14" ht="42" customHeight="1">
      <c r="A16" s="89" t="s">
        <v>208</v>
      </c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</row>
    <row r="17" spans="1:14" ht="42" customHeight="1">
      <c r="A17" s="89" t="s">
        <v>209</v>
      </c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</row>
  </sheetData>
  <mergeCells count="14">
    <mergeCell ref="A17:N17"/>
    <mergeCell ref="N5:N6"/>
    <mergeCell ref="A14:N14"/>
    <mergeCell ref="D5:F5"/>
    <mergeCell ref="A1:N1"/>
    <mergeCell ref="A4:N4"/>
    <mergeCell ref="K5:M5"/>
    <mergeCell ref="A2:N2"/>
    <mergeCell ref="A16:N16"/>
    <mergeCell ref="A15:N15"/>
    <mergeCell ref="C5:C6"/>
    <mergeCell ref="G5:J5"/>
    <mergeCell ref="B5:B6"/>
    <mergeCell ref="A5:A6"/>
  </mergeCells>
  <phoneticPr fontId="29" type="noConversion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PCIe代际与通道带宽</vt:lpstr>
      <vt:lpstr>NVLink代际与端口带宽</vt:lpstr>
      <vt:lpstr>ConnectX网卡端口带宽</vt:lpstr>
      <vt:lpstr>AI算力互联全景对比总览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Liu</cp:lastModifiedBy>
  <dcterms:created xsi:type="dcterms:W3CDTF">2026-10-11T02:31:03Z</dcterms:created>
  <dcterms:modified xsi:type="dcterms:W3CDTF">2026-10-11T02:36:47Z</dcterms:modified>
</cp:coreProperties>
</file>