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总览" sheetId="1" state="visible" r:id="rId1"/>
    <sheet xmlns:r="http://schemas.openxmlformats.org/officeDocument/2006/relationships" name="SF-IR骨架" sheetId="2" state="visible" r:id="rId2"/>
    <sheet xmlns:r="http://schemas.openxmlformats.org/officeDocument/2006/relationships" name="SR系统设计" sheetId="3" state="visible" r:id="rId3"/>
    <sheet xmlns:r="http://schemas.openxmlformats.org/officeDocument/2006/relationships" name="AR开发认领" sheetId="4" state="visible" r:id="rId4"/>
    <sheet xmlns:r="http://schemas.openxmlformats.org/officeDocument/2006/relationships" name="追溯与覆盖" sheetId="5" state="visible" r:id="rId5"/>
    <sheet xmlns:r="http://schemas.openxmlformats.org/officeDocument/2006/relationships" name="SR依赖矩阵" sheetId="6" state="visible" r:id="rId6"/>
    <sheet xmlns:r="http://schemas.openxmlformats.org/officeDocument/2006/relationships" name="KPI验收矩阵" sheetId="7" state="visible" r:id="rId7"/>
    <sheet xmlns:r="http://schemas.openxmlformats.org/officeDocument/2006/relationships" name="全量层级树" sheetId="8" state="visible" r:id="rId8"/>
    <sheet xmlns:r="http://schemas.openxmlformats.org/officeDocument/2006/relationships" name="V2.3整改说明" sheetId="9" state="visible" r:id="rId9"/>
    <sheet xmlns:r="http://schemas.openxmlformats.org/officeDocument/2006/relationships" name="质量门禁" sheetId="10" state="visible" r:id="rId10"/>
    <sheet xmlns:r="http://schemas.openxmlformats.org/officeDocument/2006/relationships" name="术语与使用说明" sheetId="11" state="visible" r:id="rId11"/>
  </sheets>
  <definedNames/>
</workbook>
</file>

<file path=xl/styles.xml><?xml version="1.0" encoding="utf-8"?>
<styleSheet xmlns="http://schemas.openxmlformats.org/spreadsheetml/2006/main">
  <numFmts count="0"/>
  <fonts count="17">
    <font>
      <name val="Carlito"/>
      <sz val="11"/>
    </font>
    <font>
      <name val="Carlito"/>
      <b val="1"/>
      <color rgb="FFFFFFFF"/>
      <sz val="18"/>
    </font>
    <font>
      <name val="Carlito"/>
      <i val="1"/>
      <color rgb="FF1F2937"/>
      <sz val="10"/>
    </font>
    <font>
      <name val="Carlito"/>
      <b val="1"/>
      <color rgb="FF1F2937"/>
      <sz val="11"/>
    </font>
    <font>
      <name val="Carlito"/>
      <b val="1"/>
      <color rgb="FFFFFFFF"/>
      <sz val="11"/>
    </font>
    <font>
      <name val="Carlito"/>
      <b val="1"/>
      <color rgb="FF17365D"/>
      <sz val="24"/>
    </font>
    <font>
      <name val="Carlito"/>
      <b val="1"/>
      <color rgb="FF2F5597"/>
      <sz val="24"/>
    </font>
    <font>
      <name val="Carlito"/>
      <b val="1"/>
      <color rgb="FF0F766E"/>
      <sz val="24"/>
    </font>
    <font>
      <name val="Carlito"/>
      <b val="1"/>
      <color rgb="FFED7D31"/>
      <sz val="24"/>
    </font>
    <font>
      <name val="Carlito"/>
      <b val="1"/>
      <color rgb="FFFFFFFF"/>
      <sz val="12"/>
    </font>
    <font>
      <name val="Carlito"/>
      <color rgb="FF1F2937"/>
      <sz val="10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color rgb="FF1F2937"/>
      <sz val="9"/>
    </font>
    <font>
      <name val="Carlito"/>
      <sz val="11"/>
    </font>
    <font>
      <name val="宋体"/>
      <sz val="9"/>
    </font>
    <font>
      <name val="Microsoft YaHei"/>
      <b val="1"/>
      <color rgb="FFFFFFFF"/>
      <sz val="10"/>
    </font>
  </fonts>
  <fills count="12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2F5597"/>
      </patternFill>
    </fill>
    <fill>
      <patternFill patternType="solid">
        <fgColor rgb="FF0F766E"/>
      </patternFill>
    </fill>
    <fill>
      <patternFill patternType="solid">
        <fgColor rgb="FFED7D31"/>
      </patternFill>
    </fill>
    <fill>
      <patternFill patternType="solid">
        <fgColor rgb="FFF3F6F8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0F766E"/>
      </patternFill>
    </fill>
  </fills>
  <borders count="10">
    <border/>
    <border>
      <left style="medium">
        <color rgb="FFD6A84B"/>
      </left>
      <top style="medium">
        <color rgb="FFD6A84B"/>
      </top>
      <bottom style="medium">
        <color rgb="FFD6A84B"/>
      </bottom>
    </border>
    <border>
      <top style="medium">
        <color rgb="FFD6A84B"/>
      </top>
      <bottom style="medium">
        <color rgb="FFD6A84B"/>
      </bottom>
    </border>
    <border>
      <right style="medium">
        <color rgb="FFD6A84B"/>
      </right>
      <top style="medium">
        <color rgb="FFD6A84B"/>
      </top>
      <bottom style="medium">
        <color rgb="FFD6A84B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theme="0" tint="-0.34999"/>
      </left>
      <right style="thin">
        <color theme="0" tint="-0.34999"/>
      </right>
      <top style="thin">
        <color theme="0" tint="-0.34999"/>
      </top>
      <bottom style="thin">
        <color theme="0" tint="-0.34999"/>
      </bottom>
    </border>
    <border>
      <left style="medium">
        <color rgb="FFD6A84B"/>
      </left>
      <right style="medium">
        <color rgb="FFD6A84B"/>
      </right>
      <top style="medium">
        <color rgb="FFD6A84B"/>
      </top>
      <bottom style="medium">
        <color rgb="FFD6A84B"/>
      </bottom>
    </border>
    <border>
      <top style="medium">
        <color rgb="FFD6A84B"/>
      </top>
    </border>
    <border>
      <right style="medium">
        <color rgb="FFD6A84B"/>
      </right>
      <top style="medium">
        <color rgb="FFD6A84B"/>
      </top>
    </border>
  </borders>
  <cellStyleXfs count="2">
    <xf numFmtId="0" fontId="14" fillId="0" borderId="0"/>
    <xf numFmtId="0" fontId="14" fillId="0" borderId="0"/>
  </cellStyleXfs>
  <cellXfs count="40">
    <xf numFmtId="0" fontId="0" fillId="0" borderId="0" pivotButton="0" quotePrefix="0" xfId="0"/>
    <xf numFmtId="0" fontId="0" fillId="0" borderId="0" applyAlignment="1" pivotButton="0" quotePrefix="0" xfId="1">
      <alignment vertical="center"/>
    </xf>
    <xf numFmtId="0" fontId="4" fillId="2" borderId="0" applyAlignment="1" pivotButton="0" quotePrefix="0" xfId="1">
      <alignment horizontal="center" vertical="center"/>
    </xf>
    <xf numFmtId="0" fontId="4" fillId="5" borderId="0" applyAlignment="1" pivotButton="0" quotePrefix="0" xfId="1">
      <alignment horizontal="center" vertical="center"/>
    </xf>
    <xf numFmtId="0" fontId="4" fillId="6" borderId="0" applyAlignment="1" pivotButton="0" quotePrefix="0" xfId="1">
      <alignment horizontal="center" vertical="center"/>
    </xf>
    <xf numFmtId="0" fontId="4" fillId="7" borderId="0" applyAlignment="1" pivotButton="0" quotePrefix="0" xfId="1">
      <alignment horizontal="center" vertical="center"/>
    </xf>
    <xf numFmtId="0" fontId="5" fillId="8" borderId="0" applyAlignment="1" pivotButton="0" quotePrefix="0" xfId="1">
      <alignment horizontal="center" vertical="center"/>
    </xf>
    <xf numFmtId="0" fontId="6" fillId="8" borderId="0" applyAlignment="1" pivotButton="0" quotePrefix="0" xfId="1">
      <alignment horizontal="center" vertical="center"/>
    </xf>
    <xf numFmtId="0" fontId="7" fillId="8" borderId="0" applyAlignment="1" pivotButton="0" quotePrefix="0" xfId="1">
      <alignment horizontal="center" vertical="center"/>
    </xf>
    <xf numFmtId="0" fontId="8" fillId="8" borderId="0" applyAlignment="1" pivotButton="0" quotePrefix="0" xfId="1">
      <alignment horizontal="center" vertical="center"/>
    </xf>
    <xf numFmtId="0" fontId="12" fillId="5" borderId="4" applyAlignment="1" pivotButton="0" quotePrefix="0" xfId="1">
      <alignment horizontal="center" vertical="center" wrapText="1"/>
    </xf>
    <xf numFmtId="0" fontId="13" fillId="0" borderId="0" applyAlignment="1" pivotButton="0" quotePrefix="0" xfId="1">
      <alignment vertical="top" wrapText="1"/>
    </xf>
    <xf numFmtId="0" fontId="12" fillId="6" borderId="4" applyAlignment="1" pivotButton="0" quotePrefix="0" xfId="1">
      <alignment horizontal="center" vertical="center" wrapText="1"/>
    </xf>
    <xf numFmtId="0" fontId="12" fillId="7" borderId="4" applyAlignment="1" pivotButton="0" quotePrefix="0" xfId="1">
      <alignment horizontal="center" vertical="center" wrapText="1"/>
    </xf>
    <xf numFmtId="0" fontId="12" fillId="2" borderId="4" applyAlignment="1" pivotButton="0" quotePrefix="0" xfId="1">
      <alignment horizontal="center" vertical="center" wrapText="1"/>
    </xf>
    <xf numFmtId="0" fontId="0" fillId="0" borderId="0" pivotButton="0" quotePrefix="0" xfId="1"/>
    <xf numFmtId="0" fontId="1" fillId="2" borderId="0" applyAlignment="1" pivotButton="0" quotePrefix="0" xfId="1">
      <alignment vertical="center"/>
    </xf>
    <xf numFmtId="0" fontId="2" fillId="3" borderId="0" applyAlignment="1" pivotButton="0" quotePrefix="0" xfId="1">
      <alignment vertical="center" wrapText="1"/>
    </xf>
    <xf numFmtId="0" fontId="3" fillId="4" borderId="1" applyAlignment="1" pivotButton="0" quotePrefix="0" xfId="1">
      <alignment vertical="center" wrapText="1"/>
    </xf>
    <xf numFmtId="0" fontId="3" fillId="4" borderId="2" applyAlignment="1" pivotButton="0" quotePrefix="0" xfId="1">
      <alignment vertical="center" wrapText="1"/>
    </xf>
    <xf numFmtId="0" fontId="3" fillId="4" borderId="3" applyAlignment="1" pivotButton="0" quotePrefix="0" xfId="1">
      <alignment vertical="center" wrapText="1"/>
    </xf>
    <xf numFmtId="0" fontId="9" fillId="2" borderId="0" applyAlignment="1" pivotButton="0" quotePrefix="0" xfId="1">
      <alignment horizontal="center" vertical="center"/>
    </xf>
    <xf numFmtId="0" fontId="9" fillId="6" borderId="0" applyAlignment="1" pivotButton="0" quotePrefix="0" xfId="1">
      <alignment horizontal="center" vertical="center"/>
    </xf>
    <xf numFmtId="0" fontId="10" fillId="9" borderId="0" applyAlignment="1" pivotButton="0" quotePrefix="0" xfId="1">
      <alignment vertical="center" wrapText="1"/>
    </xf>
    <xf numFmtId="0" fontId="10" fillId="10" borderId="0" applyAlignment="1" pivotButton="0" quotePrefix="0" xfId="1">
      <alignment vertical="center" wrapText="1"/>
    </xf>
    <xf numFmtId="0" fontId="4" fillId="2" borderId="0" applyAlignment="1" pivotButton="0" quotePrefix="0" xfId="1">
      <alignment vertical="center"/>
    </xf>
    <xf numFmtId="0" fontId="11" fillId="2" borderId="0" applyAlignment="1" pivotButton="0" quotePrefix="0" xfId="1">
      <alignment vertical="center"/>
    </xf>
    <xf numFmtId="0" fontId="12" fillId="6" borderId="5" applyAlignment="1" pivotButton="0" quotePrefix="0" xfId="1">
      <alignment horizontal="center" vertical="center" wrapText="1"/>
    </xf>
    <xf numFmtId="0" fontId="13" fillId="0" borderId="6" applyAlignment="1" pivotButton="0" quotePrefix="0" xfId="1">
      <alignment vertical="top" wrapText="1"/>
    </xf>
    <xf numFmtId="0" fontId="0" fillId="0" borderId="0" applyAlignment="1" pivotButton="0" quotePrefix="0" xfId="0">
      <alignment wrapText="1"/>
    </xf>
    <xf numFmtId="0" fontId="0" fillId="11" borderId="0" pivotButton="0" quotePrefix="0" xfId="0"/>
    <xf numFmtId="0" fontId="16" fillId="11" borderId="0" pivotButton="0" quotePrefix="0" xfId="0"/>
    <xf numFmtId="0" fontId="16" fillId="11" borderId="0" applyAlignment="1" pivotButton="0" quotePrefix="0" xfId="0">
      <alignment wrapText="1"/>
    </xf>
    <xf numFmtId="0" fontId="16" fillId="11" borderId="0" applyAlignment="1" pivotButton="0" quotePrefix="0" xfId="0">
      <alignment horizontal="center" wrapText="1"/>
    </xf>
    <xf numFmtId="0" fontId="16" fillId="11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vertical="center" wrapText="1"/>
    </xf>
    <xf numFmtId="0" fontId="3" fillId="4" borderId="7" applyAlignment="1" pivotButton="0" quotePrefix="0" xfId="1">
      <alignment vertical="center" wrapText="1"/>
    </xf>
    <xf numFmtId="0" fontId="0" fillId="0" borderId="2" pivotButton="0" quotePrefix="0" xfId="0"/>
    <xf numFmtId="0" fontId="0" fillId="0" borderId="3" pivotButton="0" quotePrefix="0" xfId="0"/>
  </cellXfs>
  <cellStyles count="2">
    <cellStyle name="常规" xfId="0"/>
    <cellStyle name="Normal" xfId="1"/>
  </cellStyles>
  <dxfs count="28"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border>
        <left style="thin">
          <color theme="0" tint="-0.34999"/>
        </left>
        <right style="thin">
          <color theme="0" tint="-0.34999"/>
        </right>
        <top style="thin">
          <color theme="0" tint="-0.34999"/>
        </top>
        <bottom style="thin">
          <color theme="0" tint="-0.34999"/>
        </bottom>
      </border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0B4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C6E0B4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IRFrameworkTable" displayName="IRFrameworkTable" ref="A4:M28" headerRowCount="1" totalsRowCount="0" totalsRowShown="0">
  <autoFilter ref="A4:M28"/>
  <tableColumns count="13">
    <tableColumn id="1" name="IR ID"/>
    <tableColumn id="2" name="SF ID"/>
    <tableColumn id="3" name="SF 技术特性"/>
    <tableColumn id="4" name="IR 技术域（功能化描述）"/>
    <tableColumn id="5" name="具体依赖库/核心组件/底层机制"/>
    <tableColumn id="6" name="IR 功能/性能实现预期"/>
    <tableColumn id="7" name="确定性 KPI / 建议门槛"/>
    <tableColumn id="8" name="主技术模块"/>
    <tableColumn id="9" name="关键输入"/>
    <tableColumn id="10" name="关键输出"/>
    <tableColumn id="11" name="失败/降级语义"/>
    <tableColumn id="12" name="冻结状态"/>
    <tableColumn id="13" name="V2.3.1 SR 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RDeliveryClosureTable" displayName="SRDeliveryClosureTable" ref="A4:Y42" headerRowCount="1" totalsRowCount="0" totalsRowShown="0">
  <tableColumns count="25">
    <tableColumn id="1" name="SR ID"/>
    <tableColumn id="2" name="父 IR"/>
    <tableColumn id="3" name="SF ID"/>
    <tableColumn id="4" name="SR 名称"/>
    <tableColumn id="5" name="功能实体类型"/>
    <tableColumn id="6" name="独立交付物/版本"/>
    <tableColumn id="7" name="直接消费者"/>
    <tableColumn id="8" name="范围内"/>
    <tableColumn id="9" name="范围外"/>
    <tableColumn id="10" name="公开接口/输出契约"/>
    <tableColumn id="11" name="主流程闭包"/>
    <tableColumn id="12" name="失败/降级/回滚"/>
    <tableColumn id="13" name="独立验收环境"/>
    <tableColumn id="14" name="SR 专属 KPI"/>
    <tableColumn id="15" name="最小兼容基线/桩件"/>
    <tableColumn id="16" name="前置 SR"/>
    <tableColumn id="17" name="阻断独立交付"/>
    <tableColumn id="18" name="优先级"/>
    <tableColumn id="19" name="阶段"/>
    <tableColumn id="20" name="责任角色"/>
    <tableColumn id="21" name="来源需求数"/>
    <tableColumn id="22" name="来源需求 ID"/>
    <tableColumn id="23" name="AR 数"/>
    <tableColumn id="24" name="SR 门禁"/>
    <tableColumn id="25" name="对项目的贡献定位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ARWorkPackageTable" displayName="ARWorkPackageTable" ref="A4:T207" headerRowCount="1" totalsRowShown="0">
  <autoFilter ref="A4:T207"/>
  <tableColumns count="20">
    <tableColumn id="1" name="AR ID"/>
    <tableColumn id="2" name="父 SR"/>
    <tableColumn id="3" name="任务类型"/>
    <tableColumn id="4" name="任务名称"/>
    <tableColumn id="5" name="建议责任角色"/>
    <tableColumn id="6" name="代码/配置对象"/>
    <tableColumn id="7" name="原子实施任务"/>
    <tableColumn id="8" name="输出物"/>
    <tableColumn id="9" name="Definition of Done"/>
    <tableColumn id="10" name="验证命令/用例"/>
    <tableColumn id="11" name="验收 KPI"/>
    <tableColumn id="12" name="依赖 AR"/>
    <tableColumn id="13" name="依赖 SR"/>
    <tableColumn id="14" name="优先级"/>
    <tableColumn id="15" name="阶段"/>
    <tableColumn id="16" name="状态"/>
    <tableColumn id="17" name="实际 Owner"/>
    <tableColumn id="18" name="PR/Commit"/>
    <tableColumn id="19" name="ID 唯一性检查"/>
    <tableColumn id="20" name="父节点检查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SourceTraceTable" displayName="SourceTraceTable" ref="A4:P153" headerRowCount="1" totalsRowCount="0" totalsRowShown="0">
  <autoFilter ref="A4:P153"/>
  <tableColumns count="16">
    <tableColumn id="1" name="来源需求 ID"/>
    <tableColumn id="2" name="旧 SR ID"/>
    <tableColumn id="3" name="来源类型"/>
    <tableColumn id="4" name="分配层级"/>
    <tableColumn id="5" name="核心模块"/>
    <tableColumn id="6" name="优先级"/>
    <tableColumn id="7" name="原阶段"/>
    <tableColumn id="8" name="来源名称/场景"/>
    <tableColumn id="9" name="来源直接 KPI"/>
    <tableColumn id="10" name="V2.3.1 SR ID"/>
    <tableColumn id="11" name="V2.3.1 SR 名称"/>
    <tableColumn id="12" name="父 IR"/>
    <tableColumn id="13" name="映射理由"/>
    <tableColumn id="14" name="来源唯一性"/>
    <tableColumn id="15" name="SR 存在性"/>
    <tableColumn id="16" name="语义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RDependencyTable" displayName="SRDependencyTable" ref="A4:I42" headerRowCount="1" totalsRowShown="0">
  <autoFilter ref="A4:I42"/>
  <tableColumns count="9">
    <tableColumn id="1" name="SR ID"/>
    <tableColumn id="2" name="SR 名称"/>
    <tableColumn id="3" name="前置/集成 SR"/>
    <tableColumn id="4" name="依赖性质"/>
    <tableColumn id="5" name="最小独立验收基线/桩件"/>
    <tableColumn id="6" name="是否阻断独立交付"/>
    <tableColumn id="7" name="独立交付方式"/>
    <tableColumn id="8" name="发布/回滚边界"/>
    <tableColumn id="9" name="依赖检查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SRAcceptanceTable" displayName="SRAcceptanceTable" ref="A4:J42" headerRowCount="1" totalsRowShown="0">
  <autoFilter ref="A4:J42"/>
  <tableColumns count="10">
    <tableColumn id="1" name="SR ID"/>
    <tableColumn id="2" name="SR 名称"/>
    <tableColumn id="3" name="功能实体类型"/>
    <tableColumn id="4" name="SR 专属 KPI"/>
    <tableColumn id="5" name="独立验收环境"/>
    <tableColumn id="6" name="对照基线/桩件"/>
    <tableColumn id="7" name="必须覆盖的异常"/>
    <tableColumn id="8" name="证据包"/>
    <tableColumn id="9" name="阶段"/>
    <tableColumn id="10" name="验收责任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FullHierarchyTable" displayName="FullHierarchyTable" ref="A4:L271" headerRowCount="1" totalsRowShown="0">
  <autoFilter ref="A4:L271"/>
  <tableColumns count="12">
    <tableColumn id="1" name="排序路径"/>
    <tableColumn id="2" name="深度"/>
    <tableColumn id="3" name="节点类型"/>
    <tableColumn id="4" name="节点 ID"/>
    <tableColumn id="5" name="父节点 ID"/>
    <tableColumn id="6" name="树形显示"/>
    <tableColumn id="7" name="名称/任务类型"/>
    <tableColumn id="8" name="需求/交付/原子任务"/>
    <tableColumn id="9" name="验收/DoD"/>
    <tableColumn id="10" name="交付物/代码对象"/>
    <tableColumn id="11" name="责任角色"/>
    <tableColumn id="12" name="来源/依赖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V23ChangeTable" displayName="V23ChangeTable" ref="A4:E14" headerRowCount="1" totalsRowCount="0" totalsRowShown="0">
  <autoFilter ref="A4:E14"/>
  <tableColumns count="5">
    <tableColumn id="1" name="审查问题"/>
    <tableColumn id="2" name="V2.2 表现"/>
    <tableColumn id="3" name="V2.3.1 刷新"/>
    <tableColumn id="4" name="工程收益"/>
    <tableColumn id="5" name="结果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QualityGateTable" displayName="QualityGateTable" ref="A4:F16" headerRowCount="1" totalsRowShown="0">
  <autoFilter ref="A4:F16"/>
  <tableColumns count="6">
    <tableColumn id="1" name="检查项"/>
    <tableColumn id="2" name="期望值"/>
    <tableColumn id="3" name="公式结果"/>
    <tableColumn id="4" name="状态"/>
    <tableColumn id="5" name="说明"/>
    <tableColumn id="6" name="修复动作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ermsTable" displayName="TermsTable" ref="A4:C17" headerRowCount="1" totalsRowCount="0" totalsRowShown="0">
  <autoFilter ref="A4:C17"/>
  <tableColumns count="3">
    <tableColumn id="1" name="术语/主题"/>
    <tableColumn id="2" name="英文/定位"/>
    <tableColumn id="3" name="V2.3.1 定义与规则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3.80000019073486"/>
  <cols>
    <col width="14" customWidth="1" min="1" max="11"/>
  </cols>
  <sheetData>
    <row r="1" ht="30" customHeight="1">
      <c r="A1" s="16" t="inlineStr">
        <is>
          <t>统一异构 KVCache 存储池｜全量需求树 V2.3.1（SR 独立交付重构评审版）</t>
        </is>
      </c>
    </row>
    <row r="2" ht="28.04999923706055" customHeight="1">
      <c r="A2" s="17" t="inlineStr">
        <is>
          <t>SF → IR → SR → AR｜38 个可独立交付 SR 功能闭包｜149 条来源需求全量追溯｜2026-07-24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43.95000076293945" customHeight="1">
      <c r="A4" s="37" t="inlineStr">
        <is>
          <t>重构结论：IR 保持 24 条；SR 不再与来源需求逐行一一对应，而按组件/插件/服务/工具等独立交付功能闭包聚合；AR 按真实复杂度拆为 3～6 个工作包。</t>
        </is>
      </c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9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2" t="inlineStr">
        <is>
          <t>SF</t>
        </is>
      </c>
      <c r="B6" s="2" t="n"/>
      <c r="C6" s="1" t="n"/>
      <c r="D6" s="3" t="inlineStr">
        <is>
          <t>IR</t>
        </is>
      </c>
      <c r="E6" s="3" t="n"/>
      <c r="F6" s="1" t="n"/>
      <c r="G6" s="4" t="inlineStr">
        <is>
          <t>SR 功能闭包</t>
        </is>
      </c>
      <c r="H6" s="4" t="n"/>
      <c r="I6" s="1" t="n"/>
      <c r="J6" s="5" t="inlineStr">
        <is>
          <t>AR 工作包</t>
        </is>
      </c>
      <c r="K6" s="5" t="n"/>
    </row>
    <row r="7" ht="30" customHeight="1">
      <c r="A7" s="6" t="n">
        <v>2</v>
      </c>
      <c r="B7" s="1" t="n"/>
      <c r="C7" s="1" t="n"/>
      <c r="D7" s="7" t="n">
        <v>24</v>
      </c>
      <c r="E7" s="1" t="n"/>
      <c r="F7" s="1" t="n"/>
      <c r="G7" s="8" t="n">
        <v>38</v>
      </c>
      <c r="H7" s="1" t="n"/>
      <c r="I7" s="1" t="n"/>
      <c r="J7" s="9" t="n">
        <v>203</v>
      </c>
      <c r="K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 ht="15.60000038146973" customHeight="1">
      <c r="A10" s="21" t="inlineStr">
        <is>
          <t>SF-01｜统一池与语义化传输底座</t>
        </is>
      </c>
      <c r="G10" s="22" t="inlineStr">
        <is>
          <t>SF-02｜集群复用与推理 SLO 闭环</t>
        </is>
      </c>
    </row>
    <row r="11" ht="28.04999923706055" customHeight="1">
      <c r="A11" s="23" t="inlineStr">
        <is>
          <t>以 KV对象（KVObject）、存储区段清单（ExtentManifest）、放置位置（Placement）、能力矩阵（CapabilityMatrix） 与 查询计划（QueryPlan） 为统一抽象，交付可组合的异构存储池、传输后端、状态一致性与安全数据面。
验收：五类介质可纳管；至少一条 HBM↔SSD 容量主路径闭环；错误/过期 KV 消费为 0；主路径 主机有效载荷访问（Host Payload touch）=0。</t>
        </is>
      </c>
      <c r="G11" s="24" t="inlineStr">
        <is>
          <t>面向 vLLM/SGLang 交付可消费命中、加载决策、目录、调度、预取、观测与工程化能力，把存储和传输收益兑现为 TTFT、TPOT、容量及 NPU 利用率。
验收：目标工作负载 p99 TTFT 降低≥20%；TPOT p99 回退&lt;3%；可用命中率（Usable Hit Rate） 提升≥20%；HBM 有效容量提升≥30%。</t>
        </is>
      </c>
    </row>
    <row r="12" ht="28.04999923706055" customHeight="1"/>
    <row r="13" ht="28.04999923706055" customHeight="1"/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25" t="inlineStr">
        <is>
          <t>评审入口</t>
        </is>
      </c>
    </row>
    <row r="17">
      <c r="A17" s="23" t="inlineStr">
        <is>
          <t>SF-IR骨架｜24条初始需求/技术锚点</t>
        </is>
      </c>
      <c r="G17" s="24" t="inlineStr">
        <is>
          <t>SR系统设计｜38个独立交付功能闭包</t>
        </is>
      </c>
    </row>
    <row r="18">
      <c r="A18" s="23" t="inlineStr">
        <is>
          <t>全量层级树｜浏览 SF→IR→SR→AR</t>
        </is>
      </c>
      <c r="G18" s="24" t="inlineStr">
        <is>
          <t>AR开发认领｜3～6个真实工作包/SR</t>
        </is>
      </c>
    </row>
    <row r="19">
      <c r="A19" s="23" t="inlineStr">
        <is>
          <t>追溯与覆盖｜149条来源多对一映射</t>
        </is>
      </c>
      <c r="G19" s="24" t="inlineStr">
        <is>
          <t>SR依赖矩阵｜依赖、桩件和独立交付判定</t>
        </is>
      </c>
    </row>
    <row r="20">
      <c r="A20" s="23" t="inlineStr">
        <is>
          <t>质量门禁｜独立交付与全量追溯公式检查</t>
        </is>
      </c>
      <c r="G20" s="24" t="inlineStr">
        <is>
          <t>V2.3.1整改说明｜本轮语义与结构变化</t>
        </is>
      </c>
    </row>
  </sheetData>
  <mergeCells count="16">
    <mergeCell ref="A11:F13"/>
    <mergeCell ref="G17:K17"/>
    <mergeCell ref="A10:F10"/>
    <mergeCell ref="A4:K4"/>
    <mergeCell ref="G20:K20"/>
    <mergeCell ref="A19:F19"/>
    <mergeCell ref="G11:K13"/>
    <mergeCell ref="A16:K16"/>
    <mergeCell ref="A2:K2"/>
    <mergeCell ref="G10:K10"/>
    <mergeCell ref="G19:K19"/>
    <mergeCell ref="A18:F18"/>
    <mergeCell ref="A17:F17"/>
    <mergeCell ref="A20:F20"/>
    <mergeCell ref="A1:K1"/>
    <mergeCell ref="G18:K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selection activeCell="A1" sqref="A1"/>
    </sheetView>
  </sheetViews>
  <sheetFormatPr baseColWidth="8" defaultRowHeight="13.80000019073486"/>
  <cols>
    <col width="14" customWidth="1" min="1" max="1"/>
    <col width="12" customWidth="1" min="2" max="2"/>
    <col width="22" customWidth="1" min="3" max="3"/>
    <col width="36" customWidth="1" min="4" max="5"/>
    <col width="48" customWidth="1" min="6" max="6"/>
    <col width="32" customWidth="1" min="7" max="7"/>
    <col width="14" customWidth="1" min="8" max="8"/>
    <col width="28" customWidth="1" min="9" max="10"/>
    <col width="36" customWidth="1" min="11" max="11"/>
    <col width="22" customWidth="1" min="12" max="12"/>
    <col width="12" customWidth="1" min="13" max="13"/>
  </cols>
  <sheetData>
    <row r="1" ht="28.04999923706055" customHeight="1">
      <c r="A1" s="26" t="inlineStr">
        <is>
          <t>SF—IR 技术骨架（V2.3.1 SR 独立交付重构）</t>
        </is>
      </c>
    </row>
    <row r="2" ht="42" customHeight="1">
      <c r="A2" s="17" t="inlineStr">
        <is>
          <t>24 条 IR 保持 V2.2 语义与 KPI；最后一列改为统计新的 SR 功能闭包数量。</t>
        </is>
      </c>
    </row>
    <row r="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</row>
    <row r="4" ht="34.04999923706055" customHeight="1">
      <c r="A4" s="10" t="inlineStr">
        <is>
          <t>IR ID</t>
        </is>
      </c>
      <c r="B4" s="10" t="inlineStr">
        <is>
          <t>SF ID</t>
        </is>
      </c>
      <c r="C4" s="10" t="inlineStr">
        <is>
          <t>SF 技术特性</t>
        </is>
      </c>
      <c r="D4" s="10" t="inlineStr">
        <is>
          <t>IR 技术域（功能化描述）</t>
        </is>
      </c>
      <c r="E4" s="10" t="inlineStr">
        <is>
          <t>具体依赖库/核心组件/底层机制</t>
        </is>
      </c>
      <c r="F4" s="10" t="inlineStr">
        <is>
          <t>IR 功能/性能实现预期</t>
        </is>
      </c>
      <c r="G4" s="10" t="inlineStr">
        <is>
          <t>确定性 KPI / 建议门槛</t>
        </is>
      </c>
      <c r="H4" s="10" t="inlineStr">
        <is>
          <t>主技术模块</t>
        </is>
      </c>
      <c r="I4" s="10" t="inlineStr">
        <is>
          <t>关键输入</t>
        </is>
      </c>
      <c r="J4" s="10" t="inlineStr">
        <is>
          <t>关键输出</t>
        </is>
      </c>
      <c r="K4" s="10" t="inlineStr">
        <is>
          <t>失败/降级语义</t>
        </is>
      </c>
      <c r="L4" s="10" t="inlineStr">
        <is>
          <t>冻结状态</t>
        </is>
      </c>
      <c r="M4" s="10" t="inlineStr">
        <is>
          <t>V2.3.1 SR 数</t>
        </is>
      </c>
    </row>
    <row r="5" ht="76.05000305175781" customHeight="1">
      <c r="A5" s="11" t="inlineStr">
        <is>
          <t>IR-01-01</t>
        </is>
      </c>
      <c r="B5" s="11" t="inlineStr">
        <is>
          <t>SF-01</t>
        </is>
      </c>
      <c r="C5" s="11" t="inlineStr">
        <is>
          <t>提供可编程、可寻址、可执行的统一异构 KVCache 存储池</t>
        </is>
      </c>
      <c r="D5" s="11" t="inlineStr">
        <is>
          <t>支持HBM、DDR、SSD及远端介质统一纳管，并以HBM↔SSD构建容量主路径</t>
        </is>
      </c>
      <c r="E5" s="11" t="inlineStr">
        <is>
          <t>KV对象（KVObject）/存储区段清单（ExtentManifest） + 页/存储区段分配器（Page/Extent Allocator） + HBM↔SSD Capacity Path + DDR 角色策略（RolePolicy）</t>
        </is>
      </c>
      <c r="F5" s="11" t="inlineStr">
        <is>
          <t>系统应以统一 KV对象（KVObject） 接口纳管 HBM、本地/远端 DDR、本地/远端 SSD/object 中的 KVCache，并把 HBM↔SSD 直达或低 Host 参与通路作为扩展容量的默认主路径。DDR不是必须经过的中间层，只能在 温数据层（warm）、预取/突发（prefetch/burst）、远端共享或 注册内存池（registered-pool） 等经实测有净收益的角色中启用；系统应依据水位、访问时限、复用收益和路径能力完成放置、迁移、淘汰与空间整理。</t>
        </is>
      </c>
      <c r="G5" s="11" t="inlineStr">
        <is>
          <t>碎片率&lt;5%；HBM有效容量提升≥30%；OOM/抢占（preemption）降低≥50%；HBM↔SSD容量路径有效带宽≥设备峰值80%；DDR角色必须至少一项持续正收益，否则退出有效载荷（Payload）主路径。</t>
        </is>
      </c>
      <c r="H5" s="11" t="inlineStr">
        <is>
          <t>TM3</t>
        </is>
      </c>
      <c r="I5" s="11" t="inlineStr">
        <is>
          <t>KV访问意图（KVAccessIntent） + KV块规格（KVBlockSpec） + 存储层级（tier）/path 遥测数据（telemetry）</t>
        </is>
      </c>
      <c r="J5" s="11" t="inlineStr">
        <is>
          <t>KVObjectHandle + 放置位置（Placement） + 状态转换（state transition） + DDR 角色决策（role decision）</t>
        </is>
      </c>
      <c r="K5" s="11" t="inlineStr">
        <is>
          <t>OOM/碎片/路径不可用时拒绝、直接下沉SSD或重算；DDR无正收益时仅保留元数据/控制（metadata/control）/必要registered pool</t>
        </is>
      </c>
      <c r="L5" s="11" t="inlineStr">
        <is>
          <t>沿用V2.2；SR闭包重构后复核</t>
        </is>
      </c>
      <c r="M5" s="11">
        <f>COUNTIF('SR系统设计'!$B$5:$B$42,A5)</f>
        <v/>
      </c>
    </row>
    <row r="6" ht="76.05000305175781" customHeight="1">
      <c r="A6" s="11" t="inlineStr">
        <is>
          <t>IR-01-02</t>
        </is>
      </c>
      <c r="B6" s="11" t="inlineStr">
        <is>
          <t>SF-01</t>
        </is>
      </c>
      <c r="C6" s="11" t="inlineStr">
        <is>
          <t>提供可编程、可寻址、可执行的统一异构 KVCache 存储池</t>
        </is>
      </c>
      <c r="D6" s="11" t="inlineStr">
        <is>
          <t>支持vLLM/SGLang KV块跨介质批量传输的布局适配与描述生成</t>
        </is>
      </c>
      <c r="E6" s="11" t="inlineStr">
        <is>
          <t>存储区段清单（ExtentManifest） + 分散/聚集描述符编译器（Scatter/Gather Descriptor Compiler） + FlatBuffers/Protobuf ABI</t>
        </is>
      </c>
      <c r="F6" s="11" t="inlineStr">
        <is>
          <t>系统应接收 vLLM 块（block）、SGLang 页/基数树区间（page/radix span） 等不同框架产生的逻辑 KV 片段，自动适配目标 HBM、DDR、SSD、RDMA 或 UBMEM 路径的内存布局和传输约束，生成可由底层一次或少量批次执行的统一传输任务。其目的不是暴露 SG、对齐或 fence 细节，而是消除逐块拷贝、重复后端适配和小 I/O 风暴，让同一份 KVCache 能在不同介质与传输后端之间高效流转。</t>
        </is>
      </c>
      <c r="G6" s="11" t="inlineStr">
        <is>
          <t>描述符（descriptor） 数降低≥50%；effective BW提升≥30%；CPU提交时延（CPU submit time）降低≥40%；布局协商错误=0。</t>
        </is>
      </c>
      <c r="H6" s="11" t="inlineStr">
        <is>
          <t>TM4</t>
        </is>
      </c>
      <c r="I6" s="11" t="inlineStr">
        <is>
          <t>KV 布局（layout） + logical spans + 目标能力（target capability）</t>
        </is>
      </c>
      <c r="J6" s="11" t="inlineStr">
        <is>
          <t>批量描述符（BulkDescriptor） + 布局转换计划（LayoutTransformPlan）</t>
        </is>
      </c>
      <c r="K6" s="11" t="inlineStr">
        <is>
          <t>布局不兼容时换副本、执行显式 转换（transform） 或重算；禁止隐式错误 附加（attach）</t>
        </is>
      </c>
      <c r="L6" s="11" t="inlineStr">
        <is>
          <t>沿用V2.2；SR闭包重构后复核</t>
        </is>
      </c>
      <c r="M6" s="11">
        <f>COUNTIF('SR系统设计'!$B$5:$B$42,A6)</f>
        <v/>
      </c>
    </row>
    <row r="7" ht="76.05000305175781" customHeight="1">
      <c r="A7" s="11" t="inlineStr">
        <is>
          <t>IR-01-03</t>
        </is>
      </c>
      <c r="B7" s="11" t="inlineStr">
        <is>
          <t>SF-01</t>
        </is>
      </c>
      <c r="C7" s="11" t="inlineStr">
        <is>
          <t>提供可编程、可寻址、可执行的统一异构 KVCache 存储池</t>
        </is>
      </c>
      <c r="D7" s="11" t="inlineStr">
        <is>
          <t>面向TTFT收益与资源成本的KV访问决策和查询计划（QueryPlan）生成</t>
        </is>
      </c>
      <c r="E7" s="11" t="inlineStr">
        <is>
          <t>查询计划（QueryPlan） + 放置解析器（PlacementResolver） + EWMA成本模型（EWMA CostModel） + 策略引擎（PolicyEngine）</t>
        </is>
      </c>
      <c r="F7" s="11" t="inlineStr">
        <is>
          <t>系统应在发现多个 KV 副本或访问路径后，综合请求 TTFT 截止时限（deadline）、预计重算时间、加载/附加成本、HBM 水位、路径拥塞和 TPOT 干扰，明确选择本地复用、远端加载、直接访问、回填 HBM、部分重算或完全重算，并输出包含候选位置、预估成本、执行动作和回退顺序的 查询计划（QueryPlan），确保只消费收益为正且可安全使用的 KVCache。</t>
        </is>
      </c>
      <c r="G7" s="11" t="inlineStr">
        <is>
          <t>可用命中率（Usable Hit Rate）提升≥20%；路径成本预测误差&lt;20%；单次策略调用&lt;5 μs；负收益命中强制放弃。</t>
        </is>
      </c>
      <c r="H7" s="11" t="inlineStr">
        <is>
          <t>TM1/TM3/TM4</t>
        </is>
      </c>
      <c r="I7" s="11" t="inlineStr">
        <is>
          <t>候选放置位置（candidate placements） + 截止时限（deadline） + 遥测数据（telemetry）</t>
        </is>
      </c>
      <c r="J7" s="11" t="inlineStr">
        <is>
          <t>排序后的查询计划（ranked QueryPlan） + 回退链（fallback chain） + 决策原因（decision reason）</t>
        </is>
      </c>
      <c r="K7" s="11" t="inlineStr">
        <is>
          <t>估计不可信、超预算或路径退化时回到本地 cache/备用副本/部分重算（partial recompute）/重算（recompute）</t>
        </is>
      </c>
      <c r="L7" s="11" t="inlineStr">
        <is>
          <t>沿用V2.2；SR闭包重构后复核</t>
        </is>
      </c>
      <c r="M7" s="11">
        <f>COUNTIF('SR系统设计'!$B$5:$B$42,A7)</f>
        <v/>
      </c>
    </row>
    <row r="8" ht="76.05000305175781" customHeight="1">
      <c r="A8" s="11" t="inlineStr">
        <is>
          <t>IR-01-04</t>
        </is>
      </c>
      <c r="B8" s="11" t="inlineStr">
        <is>
          <t>SF-01</t>
        </is>
      </c>
      <c r="C8" s="11" t="inlineStr">
        <is>
          <t>提供可编程、可寻址、可执行的统一异构 KVCache 存储池</t>
        </is>
      </c>
      <c r="D8" s="11" t="inlineStr">
        <is>
          <t>支持P/D分离、流水加载及一对多共享的异步KV传输编排</t>
        </is>
      </c>
      <c r="E8" s="11" t="inlineStr">
        <is>
          <t>URMA/RDMA/NIXL/Mooncake 异步有向无环图（Async DAG） + Rendezvous + Multicast</t>
        </is>
      </c>
      <c r="F8" s="11" t="inlineStr">
        <is>
          <t>系统应把 P→D 推送、D→P 拉取、目录会合、Layer/Page 流水加载和公共前缀一对多分发统一组织为异步传输流程，能够管理任务依赖、并发额度、提交顺序、完成通知、目标级结果和取消。其目的在于让 KV 数据移动与推理计算重叠，避免单目标或单阶段串行等待放大 TTFT，并允许部分目标失败时局部重试或回退。</t>
        </is>
      </c>
      <c r="G8" s="11" t="inlineStr">
        <is>
          <t>预填充/解码交接（P/D handoff） p99降低≥20%；热点分发p99降低≥40%；广播完成率≥99.99%；计算/传输重叠≥60%。</t>
        </is>
      </c>
      <c r="H8" s="11" t="inlineStr">
        <is>
          <t>TM4</t>
        </is>
      </c>
      <c r="I8" s="11" t="inlineStr">
        <is>
          <t>查询计划（QueryPlan） + 批量描述符（BulkDescriptor） + 流量类别（traffic class）</t>
        </is>
      </c>
      <c r="J8" s="11" t="inlineStr">
        <is>
          <t>传输票据（TransferTicket） + 完成/栅栏（completion/fence） + 每目标结果（per-target result）</t>
        </is>
      </c>
      <c r="K8" s="11" t="inlineStr">
        <is>
          <t>部分目标失败时隔离重试；截止时限（deadline）到期取消未提交任务并按目标粒度回退</t>
        </is>
      </c>
      <c r="L8" s="11" t="inlineStr">
        <is>
          <t>沿用V2.2；SR闭包重构后复核</t>
        </is>
      </c>
      <c r="M8" s="11">
        <f>COUNTIF('SR系统设计'!$B$5:$B$42,A8)</f>
        <v/>
      </c>
    </row>
    <row r="9" ht="76.05000305175781" customHeight="1">
      <c r="A9" s="11" t="inlineStr">
        <is>
          <t>IR-01-05</t>
        </is>
      </c>
      <c r="B9" s="11" t="inlineStr">
        <is>
          <t>SF-01</t>
        </is>
      </c>
      <c r="C9" s="11" t="inlineStr">
        <is>
          <t>提供可编程、可寻址、可执行的统一异构 KVCache 存储池</t>
        </is>
      </c>
      <c r="D9" s="11" t="inlineStr">
        <is>
          <t>面向异构介质与集群拓扑的传输能力探测和动态路径选择</t>
        </is>
      </c>
      <c r="E9" s="11" t="inlineStr">
        <is>
          <t>能力矩阵（CapabilityMatrix） + hwloc/libnuma + 路径质量监视器（PathQualityMonitor）</t>
        </is>
      </c>
      <c r="F9" s="11" t="inlineStr">
        <is>
          <t>系统应持续识别节点、NPU、NUMA、网卡、SSD及交换网络之间可用的 KV 访问路径，回答每条路径支持什么介质、布局、数据规模和传输语义，以及当前带宽、时延、队列深度和健康状态。调度和存储策略应据此动态选择代价最低且满足 截止时限（deadline） 的路径，并在拥塞或故障时及时降权、切换或禁止使用，避免静态路由造成尾时延放大。</t>
        </is>
      </c>
      <c r="G9" s="11" t="inlineStr">
        <is>
          <t>路径选择准确率≥90%；同机架 本地可用命中（Local Usable Hit）提升≥30%；故障切换&lt;200ms；探测开销&lt;0.5% BW。</t>
        </is>
      </c>
      <c r="H9" s="11" t="inlineStr">
        <is>
          <t>TM1/TM4</t>
        </is>
      </c>
      <c r="I9" s="11" t="inlineStr">
        <is>
          <t>拓扑（topology） + 设备能力（device capability） + 队列遥测数据（queue telemetry）</t>
        </is>
      </c>
      <c r="J9" s="11" t="inlineStr">
        <is>
          <t>ranked path set + health state + cost</t>
        </is>
      </c>
      <c r="K9" s="11" t="inlineStr">
        <is>
          <t>连续3次探测失败降权/摘除；无合格路径时返回明确不可达而非隐式慢路径</t>
        </is>
      </c>
      <c r="L9" s="11" t="inlineStr">
        <is>
          <t>沿用V2.2；SR闭包重构后复核</t>
        </is>
      </c>
      <c r="M9" s="11">
        <f>COUNTIF('SR系统设计'!$B$5:$B$42,A9)</f>
        <v/>
      </c>
    </row>
    <row r="10" ht="76.05000305175781" customHeight="1">
      <c r="A10" s="11" t="inlineStr">
        <is>
          <t>IR-01-06</t>
        </is>
      </c>
      <c r="B10" s="11" t="inlineStr">
        <is>
          <t>SF-01</t>
        </is>
      </c>
      <c r="C10" s="11" t="inlineStr">
        <is>
          <t>提供可编程、可寻址、可执行的统一异构 KVCache 存储池</t>
        </is>
      </c>
      <c r="D10" s="11" t="inlineStr">
        <is>
          <t>支持跨节点HBM/DDR零拷贝的RDMA高速KV传输</t>
        </is>
      </c>
      <c r="E10" s="11" t="inlineStr">
        <is>
          <t>rdma-core/libibverbs + 注册内存池（RegisteredPool） + GPUDirect/NPU Direct RDMA</t>
        </is>
      </c>
      <c r="F10" s="11" t="inlineStr">
        <is>
          <t>系统应在硬件支持时提供跨节点 HBM↔HBM、HBM↔DDR 和 DDR↔DDR 的 RDMA 零拷贝传输能力，使 KV 有效载荷（Payload） 直接在注册内存区域之间移动，不经过 CPU 缓存或额外 主机暂存（Host staging）；同时提供注册区域生命周期、远端句柄、批量提交、流控、完成和错误结果，降低跨节点加载时延与 CPU 占用。</t>
        </is>
      </c>
      <c r="G10" s="11" t="inlineStr">
        <is>
          <t>端到端传输时延降低≥40%；有效带宽≥链路线速80%；CPU有效载荷复制（CPU payload copy）=0；CPU提交开销&lt;50 μs。</t>
        </is>
      </c>
      <c r="H10" s="11" t="inlineStr">
        <is>
          <t>TM4</t>
        </is>
      </c>
      <c r="I10" s="11" t="inlineStr">
        <is>
          <t>已注册存储区段（registered extent） + 远端句柄（remote handle） + 描述符（descriptor）</t>
        </is>
      </c>
      <c r="J10" s="11" t="inlineStr">
        <is>
          <t>RDMA ticket + CQ completion + hardware error</t>
        </is>
      </c>
      <c r="K10" s="11" t="inlineStr">
        <is>
          <t>注册失败、CQ超时或链路错误按策略切备用副本/URMA/TCP冷路径/重算</t>
        </is>
      </c>
      <c r="L10" s="11" t="inlineStr">
        <is>
          <t>沿用V2.2；SR闭包重构后复核</t>
        </is>
      </c>
      <c r="M10" s="11">
        <f>COUNTIF('SR系统设计'!$B$5:$B$42,A10)</f>
        <v/>
      </c>
    </row>
    <row r="11" ht="76.05000305175781" customHeight="1">
      <c r="A11" s="11" t="inlineStr">
        <is>
          <t>IR-01-07</t>
        </is>
      </c>
      <c r="B11" s="11" t="inlineStr">
        <is>
          <t>SF-01</t>
        </is>
      </c>
      <c r="C11" s="11" t="inlineStr">
        <is>
          <t>提供可编程、可寻址、可执行的统一异构 KVCache 存储池</t>
        </is>
      </c>
      <c r="D11" s="11" t="inlineStr">
        <is>
          <t>支持UBMEM/C2C内存语义的KV直接访问、回填与View保护</t>
        </is>
      </c>
      <c r="E11" s="11" t="inlineStr">
        <is>
          <t>UBMEM/URMA + C2C Unified VA + mmap/madvise + DirectViewGuard</t>
        </is>
      </c>
      <c r="F11" s="11" t="inlineStr">
        <is>
          <t>系统应在 UBMEM、URMA 或 C2C 具备合格能力的平台上，让热元数据和满足条件的 KV区间（KV span） 通过统一地址或 内存视图（memory view） 被直接访问，并能根据访问跨度、复用次数和 解码停顿（Decode stall） 风险在 直接视图（direct view） 与 复制到 HBM（copy-to-HBM） 之间选择。任何 视图（view） 都必须具备租约、可见性、撤销和回填语义，确保扩展有效容量时不以 TPOT 退化或悬空访问为代价。</t>
        </is>
      </c>
      <c r="G11" s="11" t="inlineStr">
        <is>
          <t>直接视图（direct-view） TPOT p99回退&lt;3%；主机有效载荷访问（Host Payload touch）=0；陈旧视图故障（stale view fault）=0；HBM+C2C有效容量提升≥20%。</t>
        </is>
      </c>
      <c r="H11" s="11" t="inlineStr">
        <is>
          <t>TM3/TM4</t>
        </is>
      </c>
      <c r="I11" s="11" t="inlineStr">
        <is>
          <t>memory region + 访问模式（access mode） hint + 租约（lease）</t>
        </is>
      </c>
      <c r="J11" s="11" t="inlineStr">
        <is>
          <t>ViewHandle/CopyPlan + visibility evidence</t>
        </is>
      </c>
      <c r="K11" s="11" t="inlineStr">
        <is>
          <t>能力不满足、租约失效或远端 停顿（stall） 超阈值时撤销 视图（view） 并 复制到 HBM（copy-to-HBM）/重算（recompute）</t>
        </is>
      </c>
      <c r="L11" s="11" t="inlineStr">
        <is>
          <t>沿用V2.2；SR闭包重构后复核</t>
        </is>
      </c>
      <c r="M11" s="11">
        <f>COUNTIF('SR系统设计'!$B$5:$B$42,A11)</f>
        <v/>
      </c>
    </row>
    <row r="12" ht="76.05000305175781" customHeight="1">
      <c r="A12" s="11" t="inlineStr">
        <is>
          <t>IR-01-08</t>
        </is>
      </c>
      <c r="B12" s="11" t="inlineStr">
        <is>
          <t>SF-01</t>
        </is>
      </c>
      <c r="C12" s="11" t="inlineStr">
        <is>
          <t>提供可编程、可寻址、可执行的统一异构 KVCache 存储池</t>
        </is>
      </c>
      <c r="D12" s="11" t="inlineStr">
        <is>
          <t>支持HBM↔SSD直达容量I/O及条件化DPU/硬件编解码器（Codec）卸载</t>
        </is>
      </c>
      <c r="E12" s="11" t="inlineStr">
        <is>
          <t>SPDK + io_uring + GPUDirect Storage/NPU Direct Storage + conditional DPU/hardware 编解码器（codec）</t>
        </is>
      </c>
      <c r="F12" s="11" t="inlineStr">
        <is>
          <t>系统应把本地/远端 SSD 和 object storage 纳入 KVCache 主容量层，优先形成 HBM↔SSD 直达或低 Host 参与的大段异步 I/O；CPU仅参与控制面提交和异常诊断，不得在默认主路径承担 有效载荷（Payload） 压缩、解压或全量 CRC。DPU、硬件 编解码器（Codec） 与硬件校验仅在能力探测通过且端到端净收益为正时启用，并必须可旁路回 原始/直接（raw/direct） 路径。</t>
        </is>
      </c>
      <c r="G12" s="11" t="inlineStr">
        <is>
          <t>SSD restore TTFT降低≥30%；NPU 停顿（stall）降低≥50%；主路径主机有效载荷访问（Host Payload touch）=0；顺序带宽达到设备峰值≥80%；条件卸载必须相对原始/直接（raw/direct）路径产生正收益。</t>
        </is>
      </c>
      <c r="H12" s="11" t="inlineStr">
        <is>
          <t>TM4</t>
        </is>
      </c>
      <c r="I12" s="11" t="inlineStr">
        <is>
          <t>持久存储区段（persistent extent） + 对象键（object key） + 松弛预算（slack budget） + 硬件能力（hardware capability）</t>
        </is>
      </c>
      <c r="J12" s="11" t="inlineStr">
        <is>
          <t>I/O ticket + durability/path-integrity evidence</t>
        </is>
      </c>
      <c r="K12" s="11" t="inlineStr">
        <is>
          <t>Direct能力不可用时显式 分阶段暂存路径（staged path）并受CPU预算约束；无硬件编解码器（codec）/DPU时保持原始/直接（raw/direct）主路径，不以CPU 编解码器（codec）兜底</t>
        </is>
      </c>
      <c r="L12" s="11" t="inlineStr">
        <is>
          <t>沿用V2.2；SR闭包重构后复核</t>
        </is>
      </c>
      <c r="M12" s="11">
        <f>COUNTIF('SR系统设计'!$B$5:$B$42,A12)</f>
        <v/>
      </c>
    </row>
    <row r="13" ht="76.05000305175781" customHeight="1">
      <c r="A13" s="11" t="inlineStr">
        <is>
          <t>IR-01-09</t>
        </is>
      </c>
      <c r="B13" s="11" t="inlineStr">
        <is>
          <t>SF-01</t>
        </is>
      </c>
      <c r="C13" s="11" t="inlineStr">
        <is>
          <t>提供可编程、可寻址、可执行的统一异构 KVCache 存储池</t>
        </is>
      </c>
      <c r="D13" s="11" t="inlineStr">
        <is>
          <t>统一抽象UB、URMA、RDMA、C2C和SSD传输能力并按需路由</t>
        </is>
      </c>
      <c r="E13" s="11" t="inlineStr">
        <is>
          <t>UB/URMA/RDMA/C2C/SSD 能力提供器（Capability Provider） + 后端注册表（Backend Registry） + 互联路由器（FabricRouter）</t>
        </is>
      </c>
      <c r="F13" s="11" t="inlineStr">
        <is>
          <t>系统应以统一 能力（Capability） 模型描述 UB、URMA、RDMA、C2C、SSD/DPU 等物理能力及其软件后端，明确 HBM↔SSD 是否直达、地址可达性、注册要求、支持布局、主机有效载荷访问（Host Payload touch）、完成/错误语义和可观测字段。上层只依据标准能力选择路径，不得因实现便利静默退化为 HBM→DDR→SSD 三级串行搬运。</t>
        </is>
      </c>
      <c r="G13" s="11" t="inlineStr">
        <is>
          <t>能力表覆盖率=100%；错误路由=0；查询计划（QueryPlan）策略决策&lt;5 μs；互联网络路由器（Fabric Router）路由决策&lt;3 μs；任何 分阶段暂存（staged） 例外可见且可禁用。</t>
        </is>
      </c>
      <c r="H13" s="11" t="inlineStr">
        <is>
          <t>TM4</t>
        </is>
      </c>
      <c r="I13" s="11" t="inlineStr">
        <is>
          <t>设备清单（device inventory） + 后端探测（backend probe） + 布局约束（layout constraint）</t>
        </is>
      </c>
      <c r="J13" s="11" t="inlineStr">
        <is>
          <t>路径能力（PathCapability） + 功能开关（feature flags） + 遥测模式（telemetry schema）</t>
        </is>
      </c>
      <c r="K13" s="11" t="inlineStr">
        <is>
          <t>能力缺失即关闭对应 功能开关（feature flag）；不得静默退化为HBM→DDR→SSD三级路径或不可审计CPU数据路径</t>
        </is>
      </c>
      <c r="L13" s="11" t="inlineStr">
        <is>
          <t>沿用V2.2；SR闭包重构后复核</t>
        </is>
      </c>
      <c r="M13" s="11">
        <f>COUNTIF('SR系统设计'!$B$5:$B$42,A13)</f>
        <v/>
      </c>
    </row>
    <row r="14" ht="76.05000305175781" customHeight="1">
      <c r="A14" s="11" t="inlineStr">
        <is>
          <t>IR-01-10</t>
        </is>
      </c>
      <c r="B14" s="11" t="inlineStr">
        <is>
          <t>SF-01</t>
        </is>
      </c>
      <c r="C14" s="11" t="inlineStr">
        <is>
          <t>提供可编程、可寻址、可执行的统一异构 KVCache 存储池</t>
        </is>
      </c>
      <c r="D14" s="11" t="inlineStr">
        <is>
          <t>支持多消费者共享、租约引用管理及故障快速回退</t>
        </is>
      </c>
      <c r="E14" s="11" t="inlineStr">
        <is>
          <t>租约/引用计数（Lease/RefCount） + RCU + 附加句柄（AttachHandle） + 回退契约（FallbackContract）</t>
        </is>
      </c>
      <c r="F14" s="11" t="inlineStr">
        <is>
          <t>系统应允许多个请求、实例或并行 并行秩（rank） 安全共享同一 KV 对象，通过 附加句柄（AttachHandle）、租约（lease）、引用计数（refcount） 和消费资格控制对象何时可读、何时可迁移或释放，并合并重复远端拉取。发生超时、对象状态冲突或路径失败时，应在有界时间内切换备用副本、本地缓存或重算，既保证共享收益，又避免 陈旧视图（stale view）、资源泄漏和无限等待。</t>
        </is>
      </c>
      <c r="G14" s="11" t="inlineStr">
        <is>
          <t>陈旧视图故障（stale view fault）=0；重复远端拉取降低≥50%；回退（fallback）成功率=100%；回退（fallback）触发到恢复&lt;500ms。</t>
        </is>
      </c>
      <c r="H14" s="11" t="inlineStr">
        <is>
          <t>TM5/TM6</t>
        </is>
      </c>
      <c r="I14" s="11" t="inlineStr">
        <is>
          <t>附加句柄（AttachHandle） + object version + 消费者（consumer） set</t>
        </is>
      </c>
      <c r="J14" s="11" t="inlineStr">
        <is>
          <t>租约（lease）/引用计数（refcount） transition + 回退（fallback） result</t>
        </is>
      </c>
      <c r="K14" s="11" t="inlineStr">
        <is>
          <t>租约冲突或状态异常时阻断消费、隔离（quarantine） 并按原因码执行备用副本或重算</t>
        </is>
      </c>
      <c r="L14" s="11" t="inlineStr">
        <is>
          <t>沿用V2.2；SR闭包重构后复核</t>
        </is>
      </c>
      <c r="M14" s="11">
        <f>COUNTIF('SR系统设计'!$B$5:$B$42,A14)</f>
        <v/>
      </c>
    </row>
    <row r="15" ht="76.05000305175781" customHeight="1">
      <c r="A15" s="11" t="inlineStr">
        <is>
          <t>IR-01-11</t>
        </is>
      </c>
      <c r="B15" s="11" t="inlineStr">
        <is>
          <t>SF-01</t>
        </is>
      </c>
      <c r="C15" s="11" t="inlineStr">
        <is>
          <t>提供可编程、可寻址、可执行的统一异构 KVCache 存储池</t>
        </is>
      </c>
      <c r="D15" s="11" t="inlineStr">
        <is>
          <t>支持KV发布迁移一致性、多租户隔离和前后台传输QoS</t>
        </is>
      </c>
      <c r="E15" s="11" t="inlineStr">
        <is>
          <t>MVCC/RCU + ReadyBitmap + TokenBucket/WFQ + TrafficClass</t>
        </is>
      </c>
      <c r="F15" s="11" t="inlineStr">
        <is>
          <t>系统应建立 KV 对象发布、就绪状态（ready）、版本、租约、引用、迁移和回收之间的并发一致性规则，并对 TTFT 加载、解码阶段（Decode） 关键传输、预取、写回和冷回源设置独立流量等级、带宽预算和抢占关系；同时按 tenant/security domain 隔离容量、队列和访问权限，确保后台治理和其他租户不会破坏前台 TPOT、数据正确性或服务公平性。</t>
        </is>
      </c>
      <c r="G15" s="11" t="inlineStr">
        <is>
          <t>data corruption=0；后台干扰降低≥50%；TPOT p99回退&lt;3%；租户间干扰&lt;5%；越权访问=0。</t>
        </is>
      </c>
      <c r="H15" s="11" t="inlineStr">
        <is>
          <t>TM5</t>
        </is>
      </c>
      <c r="I15" s="11" t="inlineStr">
        <is>
          <t>object state + 流量类别（traffic class） + tenant quota</t>
        </is>
      </c>
      <c r="J15" s="11" t="inlineStr">
        <is>
          <t>atomic visibility + scheduled transfer budget</t>
        </is>
      </c>
      <c r="K15" s="11" t="inlineStr">
        <is>
          <t>冲突对象进入等待/隔离；后台队列可暂停、排空（drain） 或限速；前台超预算直接重算</t>
        </is>
      </c>
      <c r="L15" s="11" t="inlineStr">
        <is>
          <t>沿用V2.2；SR闭包重构后复核</t>
        </is>
      </c>
      <c r="M15" s="11">
        <f>COUNTIF('SR系统设计'!$B$5:$B$42,A15)</f>
        <v/>
      </c>
    </row>
    <row r="16" ht="76.05000305175781" customHeight="1">
      <c r="A16" s="11" t="inlineStr">
        <is>
          <t>IR-01-12</t>
        </is>
      </c>
      <c r="B16" s="11" t="inlineStr">
        <is>
          <t>SF-01</t>
        </is>
      </c>
      <c r="C16" s="11" t="inlineStr">
        <is>
          <t>提供可编程、可寻址、可执行的统一异构 KVCache 存储池</t>
        </is>
      </c>
      <c r="D16" s="11" t="inlineStr">
        <is>
          <t>支持按路径提供KV完整性证据、访问保护及硬件故障恢复</t>
        </is>
      </c>
      <c r="E16" s="11" t="inlineStr">
        <is>
          <t>IOMMU/MR Protection + ECC/RAS + DMA 完成/栅栏（completion/fence） + backend/hardware checksum + IntegrityPolicy</t>
        </is>
      </c>
      <c r="F16" s="11" t="inlineStr">
        <is>
          <t>系统应在 KV 对象进入 就绪状态（ready） 或被 附加（attach） 前，根据介质和路径能力验证版本、长度、布局、DMA 完成/栅栏（completion/fence）、ECC/RAS、后端 checksum 或硬件端到端校验证据，并通过 IOMMU、MR 和安全域限制访问范围。CPU CRC不得成为所有Direct路径的统一提交前置条件；只有在受预算、可观测、可禁用的异常回退或诊断路径中允许使用。</t>
        </is>
      </c>
      <c r="G16" s="11" t="inlineStr">
        <is>
          <t>错误/过期 KV 被消费=0；越权访问=0；主路径CPU全量CRC=0；视图（view） revocation p99&lt;1ms；故障注入覆盖率=100%。</t>
        </is>
      </c>
      <c r="H16" s="11" t="inlineStr">
        <is>
          <t>TM5/TM6</t>
        </is>
      </c>
      <c r="I16" s="11" t="inlineStr">
        <is>
          <t>path evidence + security domain + object version</t>
        </is>
      </c>
      <c r="J16" s="11" t="inlineStr">
        <is>
          <t>就绪状态（ready）/隔离（quarantine） decision + error map</t>
        </is>
      </c>
      <c r="K16" s="11" t="inlineStr">
        <is>
          <t>证据不足不得 就绪状态（ready）；无硬件校验时采用路径已有证据或显式回退，禁止静默CPU全量扫描</t>
        </is>
      </c>
      <c r="L16" s="11" t="inlineStr">
        <is>
          <t>沿用V2.2；SR闭包重构后复核</t>
        </is>
      </c>
      <c r="M16" s="11">
        <f>COUNTIF('SR系统设计'!$B$5:$B$42,A16)</f>
        <v/>
      </c>
    </row>
    <row r="17" ht="76.05000305175781" customHeight="1">
      <c r="A17" s="11" t="inlineStr">
        <is>
          <t>IR-02-01</t>
        </is>
      </c>
      <c r="B17" s="11" t="inlineStr">
        <is>
          <t>SF-02</t>
        </is>
      </c>
      <c r="C17" s="11" t="inlineStr">
        <is>
          <t>提供集群级语义复用与推理 SLO 闭环的在线加速能力</t>
        </is>
      </c>
      <c r="D17" s="11" t="inlineStr">
        <is>
          <t>面向vLLM/SGLang的统一KVCache访问接口和后端插件规范</t>
        </is>
      </c>
      <c r="E17" s="11" t="inlineStr">
        <is>
          <t>C++ API + Python 协议（Protocol） + gRPC/Protobuf：KVAccessIntent/QueryPlan/AttachHandle</t>
        </is>
      </c>
      <c r="F17" s="11" t="inlineStr">
        <is>
          <t>系统应向 vLLM、SGLang 及 KV 传输/存储后端提供版本化的统一访问协议，覆盖 发布（publish）、查询（lookup）、加载（load）、预取（prefetch）、附加（attach）、淘汰（evict）、status、指标（metrics） 和 回退（fallback），使框架只表达 KV 语义身份、访问意图、时限和消费目标，不绑定具体介质或后端。新框架或新后端应通过同一兼容性测试接入，避免为每种组合重复开发。</t>
        </is>
      </c>
      <c r="G17" s="11" t="inlineStr">
        <is>
          <t>符合性（conformance）通过率=100%；接口调用&lt;5 μs；元数据编解码&lt;200 ns/次；新后端接入工期降低≥50%。</t>
        </is>
      </c>
      <c r="H17" s="11" t="inlineStr">
        <is>
          <t>TM1</t>
        </is>
      </c>
      <c r="I17" s="11" t="inlineStr">
        <is>
          <t>framework intent + semantic identity + budget</t>
        </is>
      </c>
      <c r="J17" s="11" t="inlineStr">
        <is>
          <t>版本化请求/响应（versioned request/response） + typed error/回退（fallback）</t>
        </is>
      </c>
      <c r="K17" s="11" t="inlineStr">
        <is>
          <t>版本不兼容拒绝消费；功能开关（feature flag）关闭时恢复原生框架路径</t>
        </is>
      </c>
      <c r="L17" s="11" t="inlineStr">
        <is>
          <t>沿用V2.2；SR闭包重构后复核</t>
        </is>
      </c>
      <c r="M17" s="11">
        <f>COUNTIF('SR系统设计'!$B$5:$B$42,A17)</f>
        <v/>
      </c>
    </row>
    <row r="18" ht="76.05000305175781" customHeight="1">
      <c r="A18" s="11" t="inlineStr">
        <is>
          <t>IR-02-02</t>
        </is>
      </c>
      <c r="B18" s="11" t="inlineStr">
        <is>
          <t>SF-02</t>
        </is>
      </c>
      <c r="C18" s="11" t="inlineStr">
        <is>
          <t>提供集群级语义复用与推理 SLO 闭环的在线加速能力</t>
        </is>
      </c>
      <c r="D18" s="11" t="inlineStr">
        <is>
          <t>基于缓存位置、加载收益和水位预算的推理调度与准入</t>
        </is>
      </c>
      <c r="E18" s="11" t="inlineStr">
        <is>
          <t>vLLM 调度器（Scheduler）/BlockSpaceManager + SGLang 调度器（Scheduler） + Load-vs-Recompute 准入控制（Admission）</t>
        </is>
      </c>
      <c r="F18" s="11" t="inlineStr">
        <is>
          <t>系统应在请求进入执行实例和 前缀命中（Prefix Hit） 被消费之前，根据前缀判断预算、KV 所在位置、加载/附加/同步成本、重算可节省时间、HBM 水位和实例负载完成路由与准入。只有预计在 TTFT 截止时限（deadline） 内获得正收益的 KV 才允许加载，否则立即选择局部命中、部分重算、完全重算或平滑拒绝，避免命中反而拖慢业务。</t>
        </is>
      </c>
      <c r="G18" s="11" t="inlineStr">
        <is>
          <t>p99 TTFT降低≥20%；废弃远端加载（abandoned remote load）降低≥50%；跨节点每请求字节数（bytes/request）降低≥30%；QPS提升≥10%。</t>
        </is>
      </c>
      <c r="H18" s="11" t="inlineStr">
        <is>
          <t>TM1</t>
        </is>
      </c>
      <c r="I18" s="11" t="inlineStr">
        <is>
          <t>前缀预算（PrefixBudget） + 放置位置（placement） summary + 重算（recompute） estimate</t>
        </is>
      </c>
      <c r="J18" s="11" t="inlineStr">
        <is>
          <t>准入（admission）/routing decision + 查询计划（QueryPlan） id</t>
        </is>
      </c>
      <c r="K18" s="11" t="inlineStr">
        <is>
          <t>超预算立即 部分命中（partial hit）/重算（recompute）；水位高时平滑拒绝，不得 OOM 崩溃</t>
        </is>
      </c>
      <c r="L18" s="11" t="inlineStr">
        <is>
          <t>沿用V2.2；SR闭包重构后复核</t>
        </is>
      </c>
      <c r="M18" s="11">
        <f>COUNTIF('SR系统设计'!$B$5:$B$42,A18)</f>
        <v/>
      </c>
    </row>
    <row r="19" ht="76.05000305175781" customHeight="1">
      <c r="A19" s="11" t="inlineStr">
        <is>
          <t>IR-02-03</t>
        </is>
      </c>
      <c r="B19" s="11" t="inlineStr">
        <is>
          <t>SF-02</t>
        </is>
      </c>
      <c r="C19" s="11" t="inlineStr">
        <is>
          <t>提供集群级语义复用与推理 SLO 闭环的在线加速能力</t>
        </is>
      </c>
      <c r="D19" s="11" t="inlineStr">
        <is>
          <t>支持vLLM哈希和SGLang RadixTree的低时延前缀匹配</t>
        </is>
      </c>
      <c r="E19" s="11" t="inlineStr">
        <is>
          <t>SGLang RadixTree + vLLM 块（block） hash + C++/Cython RCU + AVX2/NEON + xxHash</t>
        </is>
      </c>
      <c r="F19" s="11" t="inlineStr">
        <is>
          <t>系统应对 vLLM token-block hash 和 SGLang RadixTree 最长前缀匹配提供统一的低时延查询能力，支持会话增量哈希、并发读、长前缀匹配和路径压缩，使前缀判断不再受 Python GIL、重复 token/hash 计算或深树遍历限制。输出应是可继续进行语义与消费资格校验的候选 前缀区间（prefix span），而不是仅返回简单 命中/未命中（hit/miss）。</t>
        </is>
      </c>
      <c r="G19" s="11" t="inlineStr">
        <is>
          <t>前缀（Prefix） 查询（lookup） p99&lt;200 μs；100并发吞吐提升≥8x；可用命中率（Usable Hit Rate）提升≥15%；GIL持有时间降低≥90%。</t>
        </is>
      </c>
      <c r="H19" s="11" t="inlineStr">
        <is>
          <t>TM1/TM2</t>
        </is>
      </c>
      <c r="I19" s="11" t="inlineStr">
        <is>
          <t>tokens + 语义盐值（semantic salt） + 会话滚动状态（session rolling state）</t>
        </is>
      </c>
      <c r="J19" s="11" t="inlineStr">
        <is>
          <t>前缀区间（prefix spans） + 本地（local） 候选项（candidate） ids</t>
        </is>
      </c>
      <c r="K19" s="11" t="inlineStr">
        <is>
          <t>索引超时或版本不一致按 miss 处理；不得阻塞 调度器（Scheduler）</t>
        </is>
      </c>
      <c r="L19" s="11" t="inlineStr">
        <is>
          <t>沿用V2.2；SR闭包重构后复核</t>
        </is>
      </c>
      <c r="M19" s="11">
        <f>COUNTIF('SR系统设计'!$B$5:$B$42,A19)</f>
        <v/>
      </c>
    </row>
    <row r="20" ht="76.05000305175781" customHeight="1">
      <c r="A20" s="11" t="inlineStr">
        <is>
          <t>IR-02-04</t>
        </is>
      </c>
      <c r="B20" s="11" t="inlineStr">
        <is>
          <t>SF-02</t>
        </is>
      </c>
      <c r="C20" s="11" t="inlineStr">
        <is>
          <t>提供集群级语义复用与推理 SLO 闭环的在线加速能力</t>
        </is>
      </c>
      <c r="D20" s="11" t="inlineStr">
        <is>
          <t>支持本地元数据缓存、负缓存（Negative Cache）及批量查询的命中快判</t>
        </is>
      </c>
      <c r="E20" s="11" t="inlineStr">
        <is>
          <t>absl::flat_hash_map/Folly F14 + Bloom/Cuckoo Filter + 批量/范围查询（Batch/Range Lookup）</t>
        </is>
      </c>
      <c r="F20" s="11" t="inlineStr">
        <is>
          <t>系统应在推理节点本地维护热前缀元数据、目录镜像、负缓存（Negative Cache） 和快速过滤结构，并提供 批量/范围查询（Batch/Range Lookup），使确定 miss 和高频命中无需每次访问远端目录。所有本地结果必须携带版本或新鲜度证据，在 TTL 过期、收到 invalidation 或一致性不确定时自动绕过本地结果，兼顾 TTFT 快判和命中正确性。</t>
        </is>
      </c>
      <c r="G20" s="11" t="inlineStr">
        <is>
          <t>本地命中查询&lt;10 μs；确定miss p99&lt;5 μs；remote 查询（lookup） QPS降低≥50%；Bloom FPR&lt;0.1%。</t>
        </is>
      </c>
      <c r="H20" s="11" t="inlineStr">
        <is>
          <t>TM2</t>
        </is>
      </c>
      <c r="I20" s="11" t="inlineStr">
        <is>
          <t>semantic key + 前缀范围（prefix range） + 版本水位（version watermark）</t>
        </is>
      </c>
      <c r="J20" s="11" t="inlineStr">
        <is>
          <t>候选/否定结果（candidate/negative result） + 新鲜度证据（freshness evidence）</t>
        </is>
      </c>
      <c r="K20" s="11" t="inlineStr">
        <is>
          <t>TTL/版本失效立即绕过本地缓存；陈旧数据防护（stale guard）失败返回不可消费</t>
        </is>
      </c>
      <c r="L20" s="11" t="inlineStr">
        <is>
          <t>沿用V2.2；SR闭包重构后复核</t>
        </is>
      </c>
      <c r="M20" s="11">
        <f>COUNTIF('SR系统设计'!$B$5:$B$42,A20)</f>
        <v/>
      </c>
    </row>
    <row r="21" ht="76.05000305175781" customHeight="1">
      <c r="A21" s="11" t="inlineStr">
        <is>
          <t>IR-02-05</t>
        </is>
      </c>
      <c r="B21" s="11" t="inlineStr">
        <is>
          <t>SF-02</t>
        </is>
      </c>
      <c r="C21" s="11" t="inlineStr">
        <is>
          <t>提供集群级语义复用与推理 SLO 闭环的在线加速能力</t>
        </is>
      </c>
      <c r="D21" s="11" t="inlineStr">
        <is>
          <t>支持集群级前缀目录、KV位置索引及副本可用性查询</t>
        </is>
      </c>
      <c r="E21" s="11" t="inlineStr">
        <is>
          <t>Compressed Radix/Hash Index + Consistent Hash + RocksDB/braft + 目录（Directory） Mirror</t>
        </is>
      </c>
      <c r="F21" s="11" t="inlineStr">
        <is>
          <t>系统应提供集群级 前缀目录（PrefixDirectory） 和 KV 元数据服务，统一记录语义身份、对象 ID、存储区段（extent）、放置位置（placement）、副本、布局、版本、就绪状态（ready）、租约（lease）、健康状态和 墓碑标记（tombstone），回答前缀是否存在、是否可安全消费、有哪些副本以及从哪个位置获取最有利。目录应支持分片、副本、镜像、失效传播和故障恢复，避免同步远端查询成为 TTFT 单点瓶颈。</t>
        </is>
      </c>
      <c r="G21" s="11" t="inlineStr">
        <is>
          <t>远端目录（remote directory） RTT降低≥50%；查询（lookup） p99降低≥30%；目录可用性≥99.99%；陈旧命中（stale hit）=0。</t>
        </is>
      </c>
      <c r="H21" s="11" t="inlineStr">
        <is>
          <t>TM2</t>
        </is>
      </c>
      <c r="I21" s="11" t="inlineStr">
        <is>
          <t>发布（publish）/invalidations + prefix query + 拓扑（topology）</t>
        </is>
      </c>
      <c r="J21" s="11" t="inlineStr">
        <is>
          <t>前缀目录记录（PrefixDirectoryRecord） + 副本候选项（replica candidates） + 消费资格（consume eligibility）</t>
        </is>
      </c>
      <c r="K21" s="11" t="inlineStr">
        <is>
          <t>主分片故障切副本；镜像过期强制精确查询；未就绪状态（ready）/已墓碑标记（tombstone）对象不可返回</t>
        </is>
      </c>
      <c r="L21" s="11" t="inlineStr">
        <is>
          <t>沿用V2.2；SR闭包重构后复核</t>
        </is>
      </c>
      <c r="M21" s="11">
        <f>COUNTIF('SR系统设计'!$B$5:$B$42,A21)</f>
        <v/>
      </c>
    </row>
    <row r="22" ht="76.05000305175781" customHeight="1">
      <c r="A22" s="11" t="inlineStr">
        <is>
          <t>IR-02-06</t>
        </is>
      </c>
      <c r="B22" s="11" t="inlineStr">
        <is>
          <t>SF-02</t>
        </is>
      </c>
      <c r="C22" s="11" t="inlineStr">
        <is>
          <t>提供集群级语义复用与推理 SLO 闭环的在线加速能力</t>
        </is>
      </c>
      <c r="D22" s="11" t="inlineStr">
        <is>
          <t>支持KV卸载加载、分层回源及计算—传输流水并行</t>
        </is>
      </c>
      <c r="E22" s="11" t="inlineStr">
        <is>
          <t>vLLM KV连接器（KVConnector） + SGLang HiCache + CUDA/NPU Stream/Event + 异步流水线（async pipeline）</t>
        </is>
      </c>
      <c r="F22" s="11" t="inlineStr">
        <is>
          <t>系统应把 KV swap、offload、加载（load）、SSD/远端回源和 Layer/Page 级加载从同步等待改造成可批量、可取消、可与 Prefill/解码阶段（Decode） 重叠的异步流水；当部分层或页面就绪时，框架能够在满足依赖的前提下提前开始计算，而无需等待整个 KV 对象完成加载，从而隐藏数据传输时延并减少 NPU 空闲。</t>
        </is>
      </c>
      <c r="G22" s="11" t="inlineStr">
        <is>
          <t>计算/传输重叠≥60%；换入（swap-in） TTFT降低≥25%；批量传输时延降低≥50%；额外内存≤15%。</t>
        </is>
      </c>
      <c r="H22" s="11" t="inlineStr">
        <is>
          <t>TM1/TM4</t>
        </is>
      </c>
      <c r="I22" s="11" t="inlineStr">
        <is>
          <t>schedule lookahead + 块（block）/page spans + stream budget</t>
        </is>
      </c>
      <c r="J22" s="11" t="inlineStr">
        <is>
          <t>预取（prefetch）/加载（load） ticket + per-layer 就绪状态（ready）</t>
        </is>
      </c>
      <c r="K22" s="11" t="inlineStr">
        <is>
          <t>超时转同步安全路径或重算；取消请求必须释放预取 buffer</t>
        </is>
      </c>
      <c r="L22" s="11" t="inlineStr">
        <is>
          <t>沿用V2.2；SR闭包重构后复核</t>
        </is>
      </c>
      <c r="M22" s="11">
        <f>COUNTIF('SR系统设计'!$B$5:$B$42,A22)</f>
        <v/>
      </c>
    </row>
    <row r="23" ht="76.05000305175781" customHeight="1">
      <c r="A23" s="11" t="inlineStr">
        <is>
          <t>IR-02-07</t>
        </is>
      </c>
      <c r="B23" s="11" t="inlineStr">
        <is>
          <t>SF-02</t>
        </is>
      </c>
      <c r="C23" s="11" t="inlineStr">
        <is>
          <t>提供集群级语义复用与推理 SLO 闭环的在线加速能力</t>
        </is>
      </c>
      <c r="D23" s="11" t="inlineStr">
        <is>
          <t>基于请求趋势和复用概率的KV投机预取及效果反馈</t>
        </is>
      </c>
      <c r="E23" s="11" t="inlineStr">
        <is>
          <t>PrefetchEngine + EMA/Markov Reuse Predictor + 准入（admission） 反馈（feedback）</t>
        </is>
      </c>
      <c r="F23" s="11" t="inlineStr">
        <is>
          <t>系统应依据调度 lookahead、同前缀请求聚集、session 连续性、历史复用概率、可用 HBM 块（block） 和路径时延，在请求真正需要 KV 之前生成有界预取计划；同时记录命中、等待节省、误预取、取消和内存占用，自动调整预取窗口和预算，使预取带来可证明的 TTFT 收益而不是额外占用与带宽浪费。</t>
        </is>
      </c>
      <c r="G23" s="11" t="inlineStr">
        <is>
          <t>预取命中率≥70%；命中时等待时延降低≥60%；误预取率&lt;20%；额外HBM≤10%。</t>
        </is>
      </c>
      <c r="H23" s="11" t="inlineStr">
        <is>
          <t>TM1/TM4</t>
        </is>
      </c>
      <c r="I23" s="11" t="inlineStr">
        <is>
          <t>lookahead + 复用评分（reuse score） + free blocks + 截止时限（deadline）</t>
        </is>
      </c>
      <c r="J23" s="11" t="inlineStr">
        <is>
          <t>bounded 预取（prefetch） plan + hit/waste 反馈（feedback）</t>
        </is>
      </c>
      <c r="K23" s="11" t="inlineStr">
        <is>
          <t>预算不足或预测置信低时不预取；取消/过期即时回收</t>
        </is>
      </c>
      <c r="L23" s="11" t="inlineStr">
        <is>
          <t>沿用V2.2；SR闭包重构后复核</t>
        </is>
      </c>
      <c r="M23" s="11">
        <f>COUNTIF('SR系统设计'!$B$5:$B$42,A23)</f>
        <v/>
      </c>
    </row>
    <row r="24" ht="76.05000305175781" customHeight="1">
      <c r="A24" s="11" t="inlineStr">
        <is>
          <t>IR-02-08</t>
        </is>
      </c>
      <c r="B24" s="11" t="inlineStr">
        <is>
          <t>SF-02</t>
        </is>
      </c>
      <c r="C24" s="11" t="inlineStr">
        <is>
          <t>提供集群级语义复用与推理 SLO 闭环的在线加速能力</t>
        </is>
      </c>
      <c r="D24" s="11" t="inlineStr">
        <is>
          <t>支持模型级KV容量估算、水位准入及全生命周期状态管理</t>
        </is>
      </c>
      <c r="E24" s="11" t="inlineStr">
        <is>
          <t>KV块规格（KVBlockSpec） + 模型配置画像（ModelProfile） + 水位准入（WatermarkAdmission） + KV对象状态机（KVObjectStateMachine）</t>
        </is>
      </c>
      <c r="F24" s="11" t="inlineStr">
        <is>
          <t>系统应根据模型层数、KV head、head_dim、dtype、并行切分、块（block）/page 大小、上下文长度和并发量计算每请求及全池 KV 容量需求，并结合各 存储层级（tier） 水位执行准入、预留和回收。每个 KV 对象从创建、写入、发布、附加、迁移、淘汰到释放都必须有明确状态和合法转换，防止 OOM、过量预留和悬空引用。</t>
        </is>
      </c>
      <c r="G24" s="11" t="inlineStr">
        <is>
          <t>估算误差&lt;5%；OOM/抢占（preemption）降低≥50%；碎片率&lt;5%；节点变化只失效一致性哈希对应比例。</t>
        </is>
      </c>
      <c r="H24" s="11" t="inlineStr">
        <is>
          <t>TM1/TM3</t>
        </is>
      </c>
      <c r="I24" s="11" t="inlineStr">
        <is>
          <t>model config + 工作负载（workload） + pool watermarks</t>
        </is>
      </c>
      <c r="J24" s="11" t="inlineStr">
        <is>
          <t>capacity budget + lifecycle event + 准入（admission）</t>
        </is>
      </c>
      <c r="K24" s="11" t="inlineStr">
        <is>
          <t>容量不足平滑拒绝；状态转换失败保留旧副本或重算，不产生悬空引用</t>
        </is>
      </c>
      <c r="L24" s="11" t="inlineStr">
        <is>
          <t>沿用V2.2；SR闭包重构后复核</t>
        </is>
      </c>
      <c r="M24" s="11">
        <f>COUNTIF('SR系统设计'!$B$5:$B$42,A24)</f>
        <v/>
      </c>
    </row>
    <row r="25" ht="76.05000305175781" customHeight="1">
      <c r="A25" s="11" t="inlineStr">
        <is>
          <t>IR-02-09</t>
        </is>
      </c>
      <c r="B25" s="11" t="inlineStr">
        <is>
          <t>SF-02</t>
        </is>
      </c>
      <c r="C25" s="11" t="inlineStr">
        <is>
          <t>提供集群级语义复用与推理 SLO 闭环的在线加速能力</t>
        </is>
      </c>
      <c r="D25" s="11" t="inlineStr">
        <is>
          <t>面向解码阶段（Decode）活跃KV、热前缀和冷KV的分层驻留与淘汰</t>
        </is>
      </c>
      <c r="E25" s="11" t="inlineStr">
        <is>
          <t>DECODE_ACTIVE/WARM_PREFIX Classifier + 视图与复制对比（View-vs-Copy） Planner + CAVE/TinyLFU</t>
        </is>
      </c>
      <c r="F25" s="11" t="inlineStr">
        <is>
          <t>系统应区分正在参与 解码阶段（Decode） 的活跃 KV、近期可能复用的热前缀和可低成本回源的冷 KV，根据复用价值、重算代价、对象大小、访问模式和介质成本决定保留 HBM、驻留 DDR/C2C、直接 视图（view）、回填 HBM、下沉 SSD 或淘汰。策略必须优先保护 解码阶段（Decode） 活跃数据，在扩大有效容量的同时控制 TPOT 干扰。</t>
        </is>
      </c>
      <c r="G25" s="11" t="inlineStr">
        <is>
          <t>HBM有效容量提升≥20%；TPOT p99回退&lt;3%；prefill FLOPs/request降低≥15%；每GB 节省的令牌（saved tokens）提升≥25%。</t>
        </is>
      </c>
      <c r="H25" s="11" t="inlineStr">
        <is>
          <t>TM1/TM3</t>
        </is>
      </c>
      <c r="I25" s="11" t="inlineStr">
        <is>
          <t>复用评分（reuse score） + 访问模式（access mode） + 层级成本（tier cost）</t>
        </is>
      </c>
      <c r="J25" s="11" t="inlineStr">
        <is>
          <t>residency class + 放置位置（placement） action</t>
        </is>
      </c>
      <c r="K25" s="11" t="inlineStr">
        <is>
          <t>活跃状态（active）对象受保护；直接访问预计拖慢decode时强制复制到 HBM（copy-to-HBM）</t>
        </is>
      </c>
      <c r="L25" s="11" t="inlineStr">
        <is>
          <t>沿用V2.2；SR闭包重构后复核</t>
        </is>
      </c>
      <c r="M25" s="11">
        <f>COUNTIF('SR系统设计'!$B$5:$B$42,A25)</f>
        <v/>
      </c>
    </row>
    <row r="26" ht="76.05000305175781" customHeight="1">
      <c r="A26" s="11" t="inlineStr">
        <is>
          <t>IR-02-10</t>
        </is>
      </c>
      <c r="B26" s="11" t="inlineStr">
        <is>
          <t>SF-02</t>
        </is>
      </c>
      <c r="C26" s="11" t="inlineStr">
        <is>
          <t>提供集群级语义复用与推理 SLO 闭环的在线加速能力</t>
        </is>
      </c>
      <c r="D26" s="11" t="inlineStr">
        <is>
          <t>支持张量/流水并行多卡KV一致消费及指标治理</t>
        </is>
      </c>
      <c r="E26" s="11" t="inlineStr">
        <is>
          <t>HCCL/NCCL/torch.distributed 并行秩（Rank） Consensus + KV Observability SDK</t>
        </is>
      </c>
      <c r="F26" s="11" t="inlineStr">
        <is>
          <t>系统应在 tensor parallel、流水线（pipeline） parallel 等多卡推理场景中，让各 并行秩（rank） 对命中长度、对象版本、就绪状态（ready）、附加（attach） 和错误状态形成一致结论；只有全部必需 并行秩（rank） 均可消费时才进入共享 KV 路径，否则按组执行统一回退。同时输出 raw/usable/abandoned hit、并行秩等待（rank wait） 和收益指标，支持多卡正确性验证与调度优化。</t>
        </is>
      </c>
      <c r="G26" s="11" t="inlineStr">
        <is>
          <t>正确性故障（correctness fault）=0；并行秩等待（rank wait） p99&lt;100 μs；指标字段覆盖率=100%；观测开销&lt;1%。</t>
        </is>
      </c>
      <c r="H26" s="11" t="inlineStr">
        <is>
          <t>TM1/TM5/TM6</t>
        </is>
      </c>
      <c r="I26" s="11" t="inlineStr">
        <is>
          <t>per-rank hit/ready/error + request context</t>
        </is>
      </c>
      <c r="J26" s="11" t="inlineStr">
        <is>
          <t>共识结果（consensus result） + semantic 指标（metrics）</t>
        </is>
      </c>
      <c r="K26" s="11" t="inlineStr">
        <is>
          <t>任一并行秩（rank）不满足消费条件则全组按约定降级，禁止部分并行秩（rank）误消费</t>
        </is>
      </c>
      <c r="L26" s="11" t="inlineStr">
        <is>
          <t>沿用V2.2；SR闭包重构后复核</t>
        </is>
      </c>
      <c r="M26" s="11">
        <f>COUNTIF('SR系统设计'!$B$5:$B$42,A26)</f>
        <v/>
      </c>
    </row>
    <row r="27" ht="76.05000305175781" customHeight="1">
      <c r="A27" s="11" t="inlineStr">
        <is>
          <t>IR-02-11</t>
        </is>
      </c>
      <c r="B27" s="11" t="inlineStr">
        <is>
          <t>SF-02</t>
        </is>
      </c>
      <c r="C27" s="11" t="inlineStr">
        <is>
          <t>提供集群级语义复用与推理 SLO 闭环的在线加速能力</t>
        </is>
      </c>
      <c r="D27" s="11" t="inlineStr">
        <is>
          <t>支持请求—计划—对象—路径的全链路观测及故障定位</t>
        </is>
      </c>
      <c r="E27" s="11" t="inlineStr">
        <is>
          <t>OpenTelemetry + Prometheus/Grafana + eBPF/perf + KV检视工具（KVInspect） API</t>
        </is>
      </c>
      <c r="F27" s="11" t="inlineStr">
        <is>
          <t>系统应使用统一标识把一次请求从 prefix 查询（lookup）、查询计划（QueryPlan） 决策、对象/副本选择、路径执行、状态迁移、回退（fallback） 到最终 TTFT/TPOT 结果串联起来，提供按请求、对象、存储层级（tier）、路径和原因查询的 指标（metrics）、追踪（trace）、检视（inspect） 与告警。其目标是证明命中是否产生真实收益、解释为何变慢或降级，并把故障定位时间缩短到分钟级。</t>
        </is>
      </c>
      <c r="G27" s="11" t="inlineStr">
        <is>
          <t>cost预测误差&lt;20%；常态探针开销&lt;1%；回退（fallback） 原因（reason）覆盖率=100%；MTTR降至分钟级。</t>
        </is>
      </c>
      <c r="H27" s="11" t="inlineStr">
        <is>
          <t>TM6</t>
        </is>
      </c>
      <c r="I27" s="11" t="inlineStr">
        <is>
          <t>cross-layer events + 硬件计数器（hardware counters） + SLO result</t>
        </is>
      </c>
      <c r="J27" s="11" t="inlineStr">
        <is>
          <t>trace/metrics/inspect response + alert</t>
        </is>
      </c>
      <c r="K27" s="11" t="inlineStr">
        <is>
          <t>采集失败不得阻塞数据面；高基数标签必须限额并可采样</t>
        </is>
      </c>
      <c r="L27" s="11" t="inlineStr">
        <is>
          <t>沿用V2.2；SR闭包重构后复核</t>
        </is>
      </c>
      <c r="M27" s="11">
        <f>COUNTIF('SR系统设计'!$B$5:$B$42,A27)</f>
        <v/>
      </c>
    </row>
    <row r="28" ht="76.05000305175781" customHeight="1">
      <c r="A28" s="11" t="inlineStr">
        <is>
          <t>IR-02-12</t>
        </is>
      </c>
      <c r="B28" s="11" t="inlineStr">
        <is>
          <t>SF-02</t>
        </is>
      </c>
      <c r="C28" s="11" t="inlineStr">
        <is>
          <t>提供集群级语义复用与推理 SLO 闭环的在线加速能力</t>
        </is>
      </c>
      <c r="D28" s="11" t="inlineStr">
        <is>
          <t>支持跨平台构建、自动化测试、性能基线及灰度发布的工程交付体系</t>
        </is>
      </c>
      <c r="E28" s="11" t="inlineStr">
        <is>
          <t>CMake/ccache + clang-tidy + ASAN/TSAN/LSAN + Chaos Mesh + GitLab CI + Benchmark</t>
        </is>
      </c>
      <c r="F28" s="11" t="inlineStr">
        <is>
          <t>系统应提供覆盖 CPU/NPU、vLLM/SGLang 和不同传输后端的标准构建、静态检查、单元/集成/性能/故障注入/长稳测试、制品发布、灰度放量和自动回滚流程；每次变更必须能够与冻结 基线（baseline） 做可复现对比，并以覆盖率、性能退化、泄漏、错误率和 SLO 门槛自动决定是否允许合并或发布。</t>
        </is>
      </c>
      <c r="G28" s="11" t="inlineStr">
        <is>
          <t>核心覆盖率&gt;85%；MR反馈&lt;15min；72h长稳零泄漏；故障回退（fallback）&lt;500ms且0错误；回滚&lt;1min。</t>
        </is>
      </c>
      <c r="H28" s="11" t="inlineStr">
        <is>
          <t>TM6</t>
        </is>
      </c>
      <c r="I28" s="11" t="inlineStr">
        <is>
          <t>源代码与测试矩阵（source + test matrix） + 部署清单（deployment manifest）</t>
        </is>
      </c>
      <c r="J28" s="11" t="inlineStr">
        <is>
          <t>质量报告（quality report） + 基准测试基线（benchmark baseline） + 发布制品（release artifact）</t>
        </is>
      </c>
      <c r="K28" s="11" t="inlineStr">
        <is>
          <t>任一P0门禁失败阻断合并；灰度SLO异常自动回滚</t>
        </is>
      </c>
      <c r="L28" s="11" t="inlineStr">
        <is>
          <t>沿用V2.2；SR闭包重构后复核</t>
        </is>
      </c>
      <c r="M28" s="11">
        <f>COUNTIF('SR系统设计'!$B$5:$B$42,A28)</f>
        <v/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selection activeCell="A1" sqref="A1"/>
    </sheetView>
  </sheetViews>
  <sheetFormatPr baseColWidth="8" defaultRowHeight="13.80000019073486"/>
  <cols>
    <col width="18" customWidth="1" min="1" max="1"/>
    <col width="12" customWidth="1" min="2" max="2"/>
    <col width="10" customWidth="1" min="3" max="3"/>
    <col width="28" customWidth="1" min="4" max="4"/>
    <col width="14" customWidth="1" min="5" max="5"/>
    <col width="34" customWidth="1" min="6" max="6"/>
    <col width="28" customWidth="1" min="7" max="7"/>
    <col width="36" customWidth="1" min="8" max="8"/>
    <col width="30" customWidth="1" min="9" max="9"/>
    <col width="38" customWidth="1" min="10" max="10"/>
    <col width="36" customWidth="1" min="11" max="11"/>
    <col width="38" customWidth="1" min="12" max="12"/>
    <col width="34" customWidth="1" min="13" max="13"/>
    <col width="32" customWidth="1" min="14" max="14"/>
    <col width="34" customWidth="1" min="15" max="15"/>
    <col width="28" customWidth="1" min="16" max="16"/>
    <col width="14" customWidth="1" min="17" max="17"/>
    <col width="10" customWidth="1" min="18" max="18"/>
    <col width="16" customWidth="1" min="19" max="19"/>
    <col width="20" customWidth="1" min="20" max="20"/>
    <col width="12" customWidth="1" min="21" max="21"/>
    <col width="46" customWidth="1" min="22" max="22"/>
    <col width="10" customWidth="1" min="23" max="23"/>
    <col width="12" customWidth="1" min="24" max="24"/>
    <col width="52" customWidth="1" min="25" max="25"/>
  </cols>
  <sheetData>
    <row r="1" ht="28.04999923706055" customHeight="1">
      <c r="A1" s="26" t="inlineStr">
        <is>
          <t>SR 系统设计（独立交付功能闭包与项目贡献定位）</t>
        </is>
      </c>
    </row>
    <row r="2" ht="42" customHeight="1">
      <c r="A2" s="17" t="inlineStr">
        <is>
          <t>每条 SR 必须可独立构建、发布和验收；允许依赖其他 SR，但必须提供最小兼容基线或桩件。新增“对项目的贡献定位”列，统一说明该 SR 主要完成模块功能、优化模块性能，或同时形成两类贡献。</t>
        </is>
      </c>
    </row>
    <row r="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34.04999923706055" customHeight="1">
      <c r="A4" s="27" t="inlineStr">
        <is>
          <t>SR ID</t>
        </is>
      </c>
      <c r="B4" s="27" t="inlineStr">
        <is>
          <t>父 IR</t>
        </is>
      </c>
      <c r="C4" s="27" t="inlineStr">
        <is>
          <t>SF ID</t>
        </is>
      </c>
      <c r="D4" s="27" t="inlineStr">
        <is>
          <t>SR 名称</t>
        </is>
      </c>
      <c r="E4" s="27" t="inlineStr">
        <is>
          <t>功能实体类型</t>
        </is>
      </c>
      <c r="F4" s="27" t="inlineStr">
        <is>
          <t>独立交付物/版本</t>
        </is>
      </c>
      <c r="G4" s="27" t="inlineStr">
        <is>
          <t>直接消费者</t>
        </is>
      </c>
      <c r="H4" s="27" t="inlineStr">
        <is>
          <t>范围内</t>
        </is>
      </c>
      <c r="I4" s="27" t="inlineStr">
        <is>
          <t>范围外</t>
        </is>
      </c>
      <c r="J4" s="27" t="inlineStr">
        <is>
          <t>公开接口/输出契约</t>
        </is>
      </c>
      <c r="K4" s="27" t="inlineStr">
        <is>
          <t>主流程闭包</t>
        </is>
      </c>
      <c r="L4" s="27" t="inlineStr">
        <is>
          <t>失败/降级/回滚</t>
        </is>
      </c>
      <c r="M4" s="27" t="inlineStr">
        <is>
          <t>独立验收环境</t>
        </is>
      </c>
      <c r="N4" s="27" t="inlineStr">
        <is>
          <t>SR 专属 KPI</t>
        </is>
      </c>
      <c r="O4" s="27" t="inlineStr">
        <is>
          <t>最小兼容基线/桩件</t>
        </is>
      </c>
      <c r="P4" s="27" t="inlineStr">
        <is>
          <t>前置 SR</t>
        </is>
      </c>
      <c r="Q4" s="27" t="inlineStr">
        <is>
          <t>阻断独立交付</t>
        </is>
      </c>
      <c r="R4" s="27" t="inlineStr">
        <is>
          <t>优先级</t>
        </is>
      </c>
      <c r="S4" s="27" t="inlineStr">
        <is>
          <t>阶段</t>
        </is>
      </c>
      <c r="T4" s="27" t="inlineStr">
        <is>
          <t>责任角色</t>
        </is>
      </c>
      <c r="U4" s="27" t="inlineStr">
        <is>
          <t>来源需求数</t>
        </is>
      </c>
      <c r="V4" s="27" t="inlineStr">
        <is>
          <t>来源需求 ID</t>
        </is>
      </c>
      <c r="W4" s="27" t="inlineStr">
        <is>
          <t>AR 数</t>
        </is>
      </c>
      <c r="X4" s="27" t="inlineStr">
        <is>
          <t>SR 门禁</t>
        </is>
      </c>
      <c r="Y4" s="34" t="inlineStr">
        <is>
          <t>对项目的贡献定位</t>
        </is>
      </c>
    </row>
    <row r="5" ht="54" customHeight="1">
      <c r="A5" s="28" t="inlineStr">
        <is>
          <t>SR23-01-01-01</t>
        </is>
      </c>
      <c r="B5" s="28" t="inlineStr">
        <is>
          <t>IR-01-01</t>
        </is>
      </c>
      <c r="C5" s="28" t="inlineStr">
        <is>
          <t>SF-01</t>
        </is>
      </c>
      <c r="D5" s="28" t="inlineStr">
        <is>
          <t>统一 KV 对象池核心组件</t>
        </is>
      </c>
      <c r="E5" s="28" t="inlineStr">
        <is>
          <t>组件库</t>
        </is>
      </c>
      <c r="F5" s="28" t="inlineStr">
        <is>
          <t>kv-pool-core 静态/动态库、KV对象（KVObject）/存储区段清单（ExtentManifest） 数据模型及版本化 API 包</t>
        </is>
      </c>
      <c r="G5" s="28" t="inlineStr">
        <is>
          <t>层级管理器（TierManager）、连接器（Connector）、传输管理器（Transfer Manager） 与测试桩</t>
        </is>
      </c>
      <c r="H5" s="28" t="inlineStr">
        <is>
          <t>跨 HBM/DDR/SSD/远端介质的对象标识、存储区段（extent） 映射、分配、状态查询和基础生命周期</t>
        </is>
      </c>
      <c r="I5" s="28" t="inlineStr">
        <is>
          <t>冷热策略、后台迁移策略、具体硬件数据搬运</t>
        </is>
      </c>
      <c r="J5" s="28" t="inlineStr">
        <is>
          <t>KV对象存储（KVObjectStore）、存储区段清单（ExtentManifest）、放置位置（Placement）、allocate/open/close/query 接口；错误码和对象版本兼容规则</t>
        </is>
      </c>
      <c r="K5" s="28" t="inlineStr">
        <is>
          <t>创建 KV对象（KVObject）→分配 存储区段（extent）→发布 放置位置（Placement）→按版本查询与释放</t>
        </is>
      </c>
      <c r="L5" s="28" t="inlineStr">
        <is>
          <t>后端能力缺失时使用 模拟后端（MockBackend）/主机内存后端（HostMemoryBackend）；分配失败显式返回 OOM/UNSUPPORTED，不隐式跨层搬运</t>
        </is>
      </c>
      <c r="M5" s="28" t="inlineStr">
        <is>
          <t>单进程 模拟后端（MockBackend） + 文件型 SSD 仿真即可完成全套功能验收，不依赖真实集群</t>
        </is>
      </c>
      <c r="N5" s="28" t="inlineStr">
        <is>
          <t>对象/存储区段（extent） 一致性错误=0；碎片率&lt;5%；10万对象查询 p99&lt;50μs；格式兼容测试通过率=100%</t>
        </is>
      </c>
      <c r="O5" s="28" t="inlineStr">
        <is>
          <t>能力提供器（Capability Provider） v1 契约或 模拟后端（MockBackend）；不要求真实 RDMA/SSD</t>
        </is>
      </c>
      <c r="P5" s="28" t="inlineStr">
        <is>
          <t>SR23-01-09-01</t>
        </is>
      </c>
      <c r="Q5" s="28" t="inlineStr">
        <is>
          <t>否</t>
        </is>
      </c>
      <c r="R5" s="28" t="inlineStr">
        <is>
          <t>P0</t>
        </is>
      </c>
      <c r="S5" s="28" t="inlineStr">
        <is>
          <t>P0</t>
        </is>
      </c>
      <c r="T5" s="28" t="inlineStr">
        <is>
          <t>统一存储池组件组</t>
        </is>
      </c>
      <c r="U5" s="28">
        <f>COUNTIF('追溯与覆盖'!$J$5:$J$153,A5)</f>
        <v/>
      </c>
      <c r="V5" s="28" t="inlineStr">
        <is>
          <t>L3-MC-ExtentManifest-076、L3-MC-KVBlockStorageSchema-075、L3-MC-POOL-GLOBAL-001、L3-MS-KVObjectStateMachine-058、L3-MC-PageExtentAllocator-077、L3-MC-UBAllocator-049</t>
        </is>
      </c>
      <c r="W5" s="28">
        <f>COUNTIF('AR开发认领'!$B$5:$B$207,A5)</f>
        <v/>
      </c>
      <c r="X5" s="28">
        <f>IF(AND(F5&lt;&gt;"",G5&lt;&gt;"",J5&lt;&gt;"",L5&lt;&gt;"",M5&lt;&gt;"",N5&lt;&gt;"",O5&lt;&gt;"",U5&gt;0,W5&gt;=3,Q5="否"),"PASS","REVIEW")</f>
        <v/>
      </c>
      <c r="Y5" s="36" t="inlineStr">
        <is>
          <t>功能与性能协同｜完成统一 KV 对象、存储区段（extent）分配与版本查询的核心闭包；统一分层、迁移和共享的对象语义，并以低碎片、低查询时延形成全系统基座。</t>
        </is>
      </c>
    </row>
    <row r="6" ht="54" customHeight="1">
      <c r="A6" s="28" t="inlineStr">
        <is>
          <t>SR23-01-01-02</t>
        </is>
      </c>
      <c r="B6" s="28" t="inlineStr">
        <is>
          <t>IR-01-01</t>
        </is>
      </c>
      <c r="C6" s="28" t="inlineStr">
        <is>
          <t>SF-01</t>
        </is>
      </c>
      <c r="D6" s="28" t="inlineStr">
        <is>
          <t>HBM↔SSD 分层容量与 DDR 角色插件</t>
        </is>
      </c>
      <c r="E6" s="28" t="inlineStr">
        <is>
          <t>策略插件</t>
        </is>
      </c>
      <c r="F6" s="28" t="inlineStr">
        <is>
          <t>tier-capacity-policy 插件、双水位配置、DDR 角色策略（RolePolicy） 和容量收益报告</t>
        </is>
      </c>
      <c r="G6" s="28" t="inlineStr">
        <is>
          <t>统一对象池、推理调度器、运维容量规划</t>
        </is>
      </c>
      <c r="H6" s="28" t="inlineStr">
        <is>
          <t>HBM↔SSD 容量主路径、DDR warm/remote/prefetch/registered-pool 条件角色、阈值与旁路策略</t>
        </is>
      </c>
      <c r="I6" s="28" t="inlineStr">
        <is>
          <t>通用在线学习、硬编码三级 HBM→DDR→SSD 串行路径</t>
        </is>
      </c>
      <c r="J6" s="28" t="inlineStr">
        <is>
          <t>层级决策（TierDecision）、DDR角色决策（DDRRoleDecision）、水位快照（WatermarkSnapshot）、容量/回退原因（capacity/fallback reason）</t>
        </is>
      </c>
      <c r="K6" s="28" t="inlineStr">
        <is>
          <t>读取对象热度与水位→选择 HBM/SSD 或有正收益的 DDR 角色→生成可执行分层决策</t>
        </is>
      </c>
      <c r="L6" s="28" t="inlineStr">
        <is>
          <t>DDR 无持续正收益时退出 有效载荷（Payload） 主路径；复杂策略不优于基线时回退双水位+hysteresis</t>
        </is>
      </c>
      <c r="M6" s="28" t="inlineStr">
        <is>
          <t>存储池核心（Pool Core） + SSD后端桩（SSDBackendStub） + 工作负载回放（workload replay） 即可独立验收</t>
        </is>
      </c>
      <c r="N6" s="28" t="inlineStr">
        <is>
          <t>HBM有效容量提升≥30%；OOM/抢占（preemption）降低≥50%；DDR角色必须证明净收益；策略额外开销&lt;2%</t>
        </is>
      </c>
      <c r="O6" s="28" t="inlineStr">
        <is>
          <t>POOL_CORE 与 SSD_BACKEND 的接口桩；固定模型容量画像</t>
        </is>
      </c>
      <c r="P6" s="28" t="inlineStr">
        <is>
          <t>SR23-01-01-01、SR23-01-08-01</t>
        </is>
      </c>
      <c r="Q6" s="28" t="inlineStr">
        <is>
          <t>否</t>
        </is>
      </c>
      <c r="R6" s="28" t="inlineStr">
        <is>
          <t>P0</t>
        </is>
      </c>
      <c r="S6" s="28" t="inlineStr">
        <is>
          <t>P0</t>
        </is>
      </c>
      <c r="T6" s="28" t="inlineStr">
        <is>
          <t>分层容量策略组</t>
        </is>
      </c>
      <c r="U6" s="28">
        <f>COUNTIF('追溯与覆盖'!$J$5:$J$153,A6)</f>
        <v/>
      </c>
      <c r="V6" s="28" t="inlineStr">
        <is>
          <t>L3-MS-Tiering-038、L3-MC-HIER-STORE-002、L3-MS-DDRRolePolicy-092</t>
        </is>
      </c>
      <c r="W6" s="28">
        <f>COUNTIF('AR开发认领'!$B$5:$B$207,A6)</f>
        <v/>
      </c>
      <c r="X6" s="28">
        <f>IF(AND(F6&lt;&gt;"",G6&lt;&gt;"",J6&lt;&gt;"",L6&lt;&gt;"",M6&lt;&gt;"",N6&lt;&gt;"",O6&lt;&gt;"",U6&gt;0,W6&gt;=3,Q6="否"),"PASS","REVIEW")</f>
        <v/>
      </c>
      <c r="Y6" s="36" t="inlineStr">
        <is>
          <t>功能与性能协同｜完成 HBM↔SSD 容量策略与 DDR 条件角色模块；把“可寻址字节”转化为满足 SLO 的可服务容量，直接贡献 HBM 有效容量与单位成本竞争力。</t>
        </is>
      </c>
    </row>
    <row r="7" ht="54" customHeight="1">
      <c r="A7" s="28" t="inlineStr">
        <is>
          <t>SR23-01-01-03</t>
        </is>
      </c>
      <c r="B7" s="28" t="inlineStr">
        <is>
          <t>IR-01-01</t>
        </is>
      </c>
      <c r="C7" s="28" t="inlineStr">
        <is>
          <t>SF-01</t>
        </is>
      </c>
      <c r="D7" s="28" t="inlineStr">
        <is>
          <t>KV 生命周期、迁移与空间治理控制器</t>
        </is>
      </c>
      <c r="E7" s="28" t="inlineStr">
        <is>
          <t>组件服务</t>
        </is>
      </c>
      <c r="F7" s="28" t="inlineStr">
        <is>
          <t>lifecycle-controller 库、迁移/压紧/淘汰状态机、管理 CLI 与回滚日志</t>
        </is>
      </c>
      <c r="G7" s="28" t="inlineStr">
        <is>
          <t>统一对象池、QoS 控制器和运维工具</t>
        </is>
      </c>
      <c r="H7" s="28" t="inlineStr">
        <is>
          <t>迁移互锁、state-aware eviction、压紧、智能搬移、成本淘汰、NUMA 亲和</t>
        </is>
      </c>
      <c r="I7" s="28" t="inlineStr">
        <is>
          <t>硬件原子 重映射（remap） 的强依赖、上层请求调度</t>
        </is>
      </c>
      <c r="J7" s="28" t="inlineStr">
        <is>
          <t>LifecycleEvent、MigrationTicket、EvictionDecision、CompactionPlan 与 回滚接口（rollback API）</t>
        </is>
      </c>
      <c r="K7" s="28" t="inlineStr">
        <is>
          <t>触发治理→冻结对象可见性→迁移/压紧→校验→原子发布→释放旧 存储区段（extent）</t>
        </is>
      </c>
      <c r="L7" s="28" t="inlineStr">
        <is>
          <t>迁移失败回滚旧 放置位置（Placement）；高负载时暂停后台治理；硬件 重映射（remap） 不可用时使用 RCU/copy-on-migrate</t>
        </is>
      </c>
      <c r="M7" s="28" t="inlineStr">
        <is>
          <t>存储池核心（Pool Core） + MockMover + 并发 reader/writer 测试即可独立验收</t>
        </is>
      </c>
      <c r="N7" s="28" t="inlineStr">
        <is>
          <t>错误释放/活跃对象误淘汰=0；迁移 TPOT 抖动&lt;5%；压紧可回滚；治理后碎片率&lt;5%</t>
        </is>
      </c>
      <c r="O7" s="28" t="inlineStr">
        <is>
          <t>POOL_CORE、CONSISTENCY_SERVICE 与 MockMover</t>
        </is>
      </c>
      <c r="P7" s="28" t="inlineStr">
        <is>
          <t>SR23-01-01-01、SR23-01-11-01</t>
        </is>
      </c>
      <c r="Q7" s="28" t="inlineStr">
        <is>
          <t>否</t>
        </is>
      </c>
      <c r="R7" s="28" t="inlineStr">
        <is>
          <t>P0</t>
        </is>
      </c>
      <c r="S7" s="28" t="inlineStr">
        <is>
          <t>P0</t>
        </is>
      </c>
      <c r="T7" s="28" t="inlineStr">
        <is>
          <t>生命周期与空间治理组</t>
        </is>
      </c>
      <c r="U7" s="28">
        <f>COUNTIF('追溯与覆盖'!$J$5:$J$153,A7)</f>
        <v/>
      </c>
      <c r="V7" s="28" t="inlineStr">
        <is>
          <t>L3-MS-MigrationInterlock-062、L3-MS-StateAwareEviction-082、L3-MC-CompactionEngine-056、L3-MC-IntelligentMigration-057、L3-MS-CostEviction-039、L3-MC-POOL-ALLOC-005</t>
        </is>
      </c>
      <c r="W7" s="28">
        <f>COUNTIF('AR开发认领'!$B$5:$B$207,A7)</f>
        <v/>
      </c>
      <c r="X7" s="28">
        <f>IF(AND(F7&lt;&gt;"",G7&lt;&gt;"",J7&lt;&gt;"",L7&lt;&gt;"",M7&lt;&gt;"",N7&lt;&gt;"",O7&lt;&gt;"",U7&gt;0,W7&gt;=3,Q7="否"),"PASS","REVIEW")</f>
        <v/>
      </c>
      <c r="Y7" s="36" t="inlineStr">
        <is>
          <t>功能与性能协同｜完成对象状态、迁移、回收与空间治理闭包；通过有界迁移和碎片治理降低 OOM、抢占（preemption）及长稳风险。</t>
        </is>
      </c>
    </row>
    <row r="8" ht="54" customHeight="1">
      <c r="A8" s="28" t="inlineStr">
        <is>
          <t>SR23-01-02-01</t>
        </is>
      </c>
      <c r="B8" s="28" t="inlineStr">
        <is>
          <t>IR-01-02</t>
        </is>
      </c>
      <c r="C8" s="28" t="inlineStr">
        <is>
          <t>SF-01</t>
        </is>
      </c>
      <c r="D8" s="28" t="inlineStr">
        <is>
          <t>跨框架布局与批量传输描述编译器</t>
        </is>
      </c>
      <c r="E8" s="28" t="inlineStr">
        <is>
          <t>组件库</t>
        </is>
      </c>
      <c r="F8" s="28" t="inlineStr">
        <is>
          <t>descriptor-compiler 库、vLLM/SGLang 布局（layout） 适配器（adapter）、黄金布局用例（golden layout cases）</t>
        </is>
      </c>
      <c r="G8" s="28" t="inlineStr">
        <is>
          <t>异步传输 有向无环图（DAG）、RDMA/SSD/UBMEM 提供器（Provider）</t>
        </is>
      </c>
      <c r="H8" s="28" t="inlineStr">
        <is>
          <t>存储区段清单（ExtentManifest）→SG/segment 描述符（descriptor）、布局协商、显式 转换（transform）、部分前缀（partial prefix）</t>
        </is>
      </c>
      <c r="I8" s="28" t="inlineStr">
        <is>
          <t>实际硬件传输执行、完整推理调度</t>
        </is>
      </c>
      <c r="J8" s="28" t="inlineStr">
        <is>
          <t>compile(manifest, targetCapability)→批量描述符（BulkDescriptor）/布局转换计划（LayoutTransformPlan）</t>
        </is>
      </c>
      <c r="K8" s="28" t="inlineStr">
        <is>
          <t>解析逻辑 块（block）/page→匹配目标 能力（capability）→合并片段→输出批量描述符</t>
        </is>
      </c>
      <c r="L8" s="28" t="inlineStr">
        <is>
          <t>布局不兼容时返回显式 转换（transform） 或 RECOMPUTE；禁止隐式错误 附加（attach）</t>
        </is>
      </c>
      <c r="M8" s="28" t="inlineStr">
        <is>
          <t>两种框架 布局测试夹具（layout fixture） + 模拟提供器（MockProvider） 即可独立验收</t>
        </is>
      </c>
      <c r="N8" s="28" t="inlineStr">
        <is>
          <t>描述符（descriptor） 数下降≥50%；CPU提交时延（CPU submit time）下降≥40%；布局协商错误=0；黄金用例（golden case） 100%通过</t>
        </is>
      </c>
      <c r="O8" s="28" t="inlineStr">
        <is>
          <t>POOL_CORE、CAP_ROUTER 契约或 测试夹具（fixture）</t>
        </is>
      </c>
      <c r="P8" s="28" t="inlineStr">
        <is>
          <t>SR23-01-01-01、SR23-01-09-01</t>
        </is>
      </c>
      <c r="Q8" s="28" t="inlineStr">
        <is>
          <t>否</t>
        </is>
      </c>
      <c r="R8" s="28" t="inlineStr">
        <is>
          <t>P0</t>
        </is>
      </c>
      <c r="S8" s="28" t="inlineStr">
        <is>
          <t>P0</t>
        </is>
      </c>
      <c r="T8" s="28" t="inlineStr">
        <is>
          <t>布局与描述编译组</t>
        </is>
      </c>
      <c r="U8" s="28">
        <f>COUNTIF('追溯与覆盖'!$J$5:$J$153,A8)</f>
        <v/>
      </c>
      <c r="V8" s="28" t="inlineStr">
        <is>
          <t>L3-SE-DescriptorFromManifest-079、L2-KV-PartialAttachPlan-038、L2-OL-BulkDescriptor-025、L2-OL-LayoutNegotiation-024、L3-MC-LayoutTransformPlan-078</t>
        </is>
      </c>
      <c r="W8" s="28">
        <f>COUNTIF('AR开发认领'!$B$5:$B$207,A8)</f>
        <v/>
      </c>
      <c r="X8" s="28">
        <f>IF(AND(F8&lt;&gt;"",G8&lt;&gt;"",J8&lt;&gt;"",L8&lt;&gt;"",M8&lt;&gt;"",N8&lt;&gt;"",O8&lt;&gt;"",U8&gt;0,W8&gt;=3,Q8="否"),"PASS","REVIEW")</f>
        <v/>
      </c>
      <c r="Y8" s="36" t="inlineStr">
        <is>
          <t>功能与性能协同｜完成 vLLM/SGLang 布局到批量传输描述符的编译闭包；减少逐块提交、小 I/O 放大和 CPU 提交开销，使跨框架数据路径可复用。</t>
        </is>
      </c>
    </row>
    <row r="9" ht="54" customHeight="1">
      <c r="A9" s="28" t="inlineStr">
        <is>
          <t>SR23-01-03-01</t>
        </is>
      </c>
      <c r="B9" s="28" t="inlineStr">
        <is>
          <t>IR-01-03</t>
        </is>
      </c>
      <c r="C9" s="28" t="inlineStr">
        <is>
          <t>SF-01</t>
        </is>
      </c>
      <c r="D9" s="28" t="inlineStr">
        <is>
          <t>查询计划（QueryPlan） 与多副本成本决策引擎</t>
        </is>
      </c>
      <c r="E9" s="28" t="inlineStr">
        <is>
          <t>组件服务</t>
        </is>
      </c>
      <c r="F9" s="28" t="inlineStr">
        <is>
          <t>queryplan-engine 库、策略引擎（PolicyEngine）/放置解析器（PlacementResolver）、影子/标准判定（shadow/oracle） 对账工具</t>
        </is>
      </c>
      <c r="G9" s="28" t="inlineStr">
        <is>
          <t>推理 准入控制（Admission）、缓存感知路由器（Cache-aware Router）、预取与回填策略</t>
        </is>
      </c>
      <c r="H9" s="28" t="inlineStr">
        <is>
          <t>加载与重算（load-vs-recompute）、候选副本排序、视图与复制对比（View-vs-Copy）、层级旁路（Tier bypass） 与 回退链（fallback chain）</t>
        </is>
      </c>
      <c r="I9" s="28" t="inlineStr">
        <is>
          <t>目录存储实现、底层 描述符（descriptor） 执行</t>
        </is>
      </c>
      <c r="J9" s="28" t="inlineStr">
        <is>
          <t>plan(KV访问意图（KVAccessIntent）, candidates, 遥测数据（telemetry）)→排序后的查询计划（ranked QueryPlan） + 决策原因（decision reason）</t>
        </is>
      </c>
      <c r="K9" s="28" t="inlineStr">
        <is>
          <t>读取请求 截止时限（deadline）/重算收益/路径成本→排序候选→选择消费动作和回退链</t>
        </is>
      </c>
      <c r="L9" s="28" t="inlineStr">
        <is>
          <t>成本估计不可信或超预算时选择本地副本/部分重算（partial recompute）/重算（recompute）</t>
        </is>
      </c>
      <c r="M9" s="28" t="inlineStr">
        <is>
          <t>录制的 候选项（candidate）/遥测数据（telemetry） 测试夹具（fixture） + 离线 oracle 即可独立验收</t>
        </is>
      </c>
      <c r="N9" s="28" t="inlineStr">
        <is>
          <t>策略 p99&lt;5μs；路径选择准确率≥90%；成本预测误差&lt;20%；错误 加载（Load）&lt;1%</t>
        </is>
      </c>
      <c r="O9" s="28" t="inlineStr">
        <is>
          <t>PATH_ROUTER、DIRECTORY_FASTPATH 接口桩和固定 工作负载（workload）</t>
        </is>
      </c>
      <c r="P9" s="28" t="inlineStr">
        <is>
          <t>SR23-01-05-01、SR23-02-05-02</t>
        </is>
      </c>
      <c r="Q9" s="28" t="inlineStr">
        <is>
          <t>否</t>
        </is>
      </c>
      <c r="R9" s="28" t="inlineStr">
        <is>
          <t>P0</t>
        </is>
      </c>
      <c r="S9" s="28" t="inlineStr">
        <is>
          <t>P0</t>
        </is>
      </c>
      <c r="T9" s="28" t="inlineStr">
        <is>
          <t>语义策略与成本模型组</t>
        </is>
      </c>
      <c r="U9" s="28">
        <f>COUNTIF('追溯与覆盖'!$J$5:$J$153,A9)</f>
        <v/>
      </c>
      <c r="V9" s="28" t="inlineStr">
        <is>
          <t>L3-SE-PlacementResolver-061、L3-SE-PolicyEngine-032、L3-SE-QueryPlanFastPath-072、L3-SE-TierBypassPolicy-091、L3-SE-MultiReplicaResolver-089、L3-SE-ViewCopyCostModel-034</t>
        </is>
      </c>
      <c r="W9" s="28">
        <f>COUNTIF('AR开发认领'!$B$5:$B$207,A9)</f>
        <v/>
      </c>
      <c r="X9" s="28">
        <f>IF(AND(F9&lt;&gt;"",G9&lt;&gt;"",J9&lt;&gt;"",L9&lt;&gt;"",M9&lt;&gt;"",N9&lt;&gt;"",O9&lt;&gt;"",U9&gt;0,W9&gt;=3,Q9="否"),"PASS","REVIEW")</f>
        <v/>
      </c>
      <c r="Y9" s="36" t="inlineStr">
        <is>
          <t>模块性能优化｜以正价值为目标，在微秒级比较直接访问（View）、加载（Load）与重算（Recompute）；减少负收益命中和决策后悔，直接优化 TTFT、跨节点流量与单位事务成本。</t>
        </is>
      </c>
    </row>
    <row r="10" ht="54" customHeight="1">
      <c r="A10" s="28" t="inlineStr">
        <is>
          <t>SR23-01-03-02</t>
        </is>
      </c>
      <c r="B10" s="28" t="inlineStr">
        <is>
          <t>IR-01-03</t>
        </is>
      </c>
      <c r="C10" s="28" t="inlineStr">
        <is>
          <t>SF-01</t>
        </is>
      </c>
      <c r="D10" s="28" t="inlineStr">
        <is>
          <t>统一传输意图与粒度分发组件</t>
        </is>
      </c>
      <c r="E10" s="28" t="inlineStr">
        <is>
          <t>组件库</t>
        </is>
      </c>
      <c r="F10" s="28" t="inlineStr">
        <is>
          <t>transfer-intent API、统一 描述符（descriptor） 模式（schema）、metadata/有效载荷（payload） 粒度分发器</t>
        </is>
      </c>
      <c r="G10" s="28" t="inlineStr">
        <is>
          <t>查询计划（QueryPlan）、异步 有向无环图（DAG） 与所有 后端提供器（Backend Provider）</t>
        </is>
      </c>
      <c r="H10" s="28" t="inlineStr">
        <is>
          <t>跨框架传输意图归一化、统一语义引擎、元数据与 有效载荷（Payload） 分流</t>
        </is>
      </c>
      <c r="I10" s="28" t="inlineStr">
        <is>
          <t>路径成本选择、实际硬件执行</t>
        </is>
      </c>
      <c r="J10" s="28" t="inlineStr">
        <is>
          <t>TransferIntent、UnifiedDescriptor、GranularityClass、ProviderRequest</t>
        </is>
      </c>
      <c r="K10" s="28" t="inlineStr">
        <is>
          <t>接收 查询计划（QueryPlan）→规范化传输意图→按对象粒度路由到 描述符（descriptor）/provider</t>
        </is>
      </c>
      <c r="L10" s="28" t="inlineStr">
        <is>
          <t>提供器（Provider） 不支持时返回 UNSUPPORTED 并交由 查询计划（QueryPlan） 切副本或重算</t>
        </is>
      </c>
      <c r="M10" s="28" t="inlineStr">
        <is>
          <t>模式一致性（Schema conformance） + 三种 模拟提供器（MockProvider） 即可独立验收</t>
        </is>
      </c>
      <c r="N10" s="28" t="inlineStr">
        <is>
          <t>跨框架语义一致性测试100%；错误 提供器（Provider） 路由=0；单次归一化 p99&lt;3μs</t>
        </is>
      </c>
      <c r="O10" s="28" t="inlineStr">
        <is>
          <t>CONNECTOR_PROTOCOL 与 CAP_ROUTER 契约</t>
        </is>
      </c>
      <c r="P10" s="28" t="inlineStr">
        <is>
          <t>SR23-02-01-01、SR23-01-09-01</t>
        </is>
      </c>
      <c r="Q10" s="28" t="inlineStr">
        <is>
          <t>否</t>
        </is>
      </c>
      <c r="R10" s="28" t="inlineStr">
        <is>
          <t>P0</t>
        </is>
      </c>
      <c r="S10" s="28" t="inlineStr">
        <is>
          <t>P0</t>
        </is>
      </c>
      <c r="T10" s="28" t="inlineStr">
        <is>
          <t>统一传输语义组</t>
        </is>
      </c>
      <c r="U10" s="28">
        <f>COUNTIF('追溯与覆盖'!$J$5:$J$153,A10)</f>
        <v/>
      </c>
      <c r="V10" s="28" t="inlineStr">
        <is>
          <t>L3-SE-UnifiedDescriptor-018、L3-TRANS-SEM-ENGINE-001、L3-SE-GranularityDispatch-033</t>
        </is>
      </c>
      <c r="W10" s="28">
        <f>COUNTIF('AR开发认领'!$B$5:$B$207,A10)</f>
        <v/>
      </c>
      <c r="X10" s="28">
        <f>IF(AND(F10&lt;&gt;"",G10&lt;&gt;"",J10&lt;&gt;"",L10&lt;&gt;"",M10&lt;&gt;"",N10&lt;&gt;"",O10&lt;&gt;"",U10&gt;0,W10&gt;=3,Q10="否"),"PASS","REVIEW")</f>
        <v/>
      </c>
      <c r="Y10" s="36" t="inlineStr">
        <is>
          <t>模块功能闭包｜统一框架层传输意图、对象粒度和批量粒度的分发契约；隔离上层语义与具体后端，为多 Provider 兼容、替换和独立交付提供稳定接口。</t>
        </is>
      </c>
    </row>
    <row r="11" ht="54" customHeight="1">
      <c r="A11" s="28" t="inlineStr">
        <is>
          <t>SR23-01-04-01</t>
        </is>
      </c>
      <c r="B11" s="28" t="inlineStr">
        <is>
          <t>IR-01-04</t>
        </is>
      </c>
      <c r="C11" s="28" t="inlineStr">
        <is>
          <t>SF-01</t>
        </is>
      </c>
      <c r="D11" s="28" t="inlineStr">
        <is>
          <t>异步传输 有向无环图（DAG） 与流水加载执行器</t>
        </is>
      </c>
      <c r="E11" s="28" t="inlineStr">
        <is>
          <t>组件服务</t>
        </is>
      </c>
      <c r="F11" s="28" t="inlineStr">
        <is>
          <t>async-transfer-dag 库、传输票据（TransferTicket）、取消/超时/部分完成控制器</t>
        </is>
      </c>
      <c r="G11" s="28" t="inlineStr">
        <is>
          <t>P/D 交接、KV 加载流水线、热点复制与 提供器（Provider）</t>
        </is>
      </c>
      <c r="H11" s="28" t="inlineStr">
        <is>
          <t>任务依赖、page/layer 流水、复制/预取、P2P 路由、并发额度和取消</t>
        </is>
      </c>
      <c r="I11" s="28" t="inlineStr">
        <is>
          <t>硬件多播专用实现、上层负载预测</t>
        </is>
      </c>
      <c r="J11" s="28" t="inlineStr">
        <is>
          <t>submit(查询计划（QueryPlan）, descriptors)→TransferTicket/completion/fence/per-target result</t>
        </is>
      </c>
      <c r="K11" s="28" t="inlineStr">
        <is>
          <t>构造 有向无环图（DAG）→按依赖与队列提交→逐 page/layer 完成→发布 就绪状态（ready）</t>
        </is>
      </c>
      <c r="L11" s="28" t="inlineStr">
        <is>
          <t>截止时限（deadline） 到期取消未提交任务；部分目标失败隔离重试；主路径失败切备用 提供器（Provider）</t>
        </is>
      </c>
      <c r="M11" s="28" t="inlineStr">
        <is>
          <t>描述符编译器（DescriptorCompiler） + 模拟提供器（MockProvider） + 模拟时钟（fake clock） 即可独立验收</t>
        </is>
      </c>
      <c r="N11" s="28" t="inlineStr">
        <is>
          <t>计算/传输重叠≥60%；取消资源泄漏=0；部分完成状态一致；预填充/解码交接（P/D handoff） p99降低≥20%</t>
        </is>
      </c>
      <c r="O11" s="28" t="inlineStr">
        <is>
          <t>DESCRIPTOR_COMPILER、TRANSFER_INTENT 及 模拟提供器（MockProvider）</t>
        </is>
      </c>
      <c r="P11" s="28" t="inlineStr">
        <is>
          <t>SR23-01-02-01、SR23-01-03-02</t>
        </is>
      </c>
      <c r="Q11" s="28" t="inlineStr">
        <is>
          <t>否</t>
        </is>
      </c>
      <c r="R11" s="28" t="inlineStr">
        <is>
          <t>P1</t>
        </is>
      </c>
      <c r="S11" s="28" t="inlineStr">
        <is>
          <t>P1</t>
        </is>
      </c>
      <c r="T11" s="28" t="inlineStr">
        <is>
          <t>异步传输编排组</t>
        </is>
      </c>
      <c r="U11" s="28">
        <f>COUNTIF('追溯与覆盖'!$J$5:$J$153,A11)</f>
        <v/>
      </c>
      <c r="V11" s="28" t="inlineStr">
        <is>
          <t>L3-MS-HotReplication-040、L3-MS-StateAwarePrefetch-081、L3-C2C-POOL-SCHED-002、L3-LMC-PRFCH-ENGINE-001、L3-UB-TOPO-ROUTE-001</t>
        </is>
      </c>
      <c r="W11" s="28">
        <f>COUNTIF('AR开发认领'!$B$5:$B$207,A11)</f>
        <v/>
      </c>
      <c r="X11" s="28">
        <f>IF(AND(F11&lt;&gt;"",G11&lt;&gt;"",J11&lt;&gt;"",L11&lt;&gt;"",M11&lt;&gt;"",N11&lt;&gt;"",O11&lt;&gt;"",U11&gt;0,W11&gt;=3,Q11="否"),"PASS","REVIEW")</f>
        <v/>
      </c>
      <c r="Y11" s="36" t="inlineStr">
        <is>
          <t>功能与性能协同｜完成可取消、可回退的异步传输 DAG 与流水加载闭包；提高计算—传输重叠并抑制串行等待，使局部带宽转化为端到端 TTFT 收益。</t>
        </is>
      </c>
    </row>
    <row r="12" ht="54" customHeight="1">
      <c r="A12" s="28" t="inlineStr">
        <is>
          <t>SR23-01-04-02</t>
        </is>
      </c>
      <c r="B12" s="28" t="inlineStr">
        <is>
          <t>IR-01-04</t>
        </is>
      </c>
      <c r="C12" s="28" t="inlineStr">
        <is>
          <t>SF-01</t>
        </is>
      </c>
      <c r="D12" s="28" t="inlineStr">
        <is>
          <t>一对多共享与可选多播 提供器（Provider）</t>
        </is>
      </c>
      <c r="E12" s="28" t="inlineStr">
        <is>
          <t>可选插件</t>
        </is>
      </c>
      <c r="F12" s="28" t="inlineStr">
        <is>
          <t>fanout-provider 插件、软件 staging 基线、硬件 multicast 功能开关（feature flag）</t>
        </is>
      </c>
      <c r="G12" s="28" t="inlineStr">
        <is>
          <t>热点前缀复制、共享 附加（Attach） 与异步 有向无环图（DAG）</t>
        </is>
      </c>
      <c r="H12" s="28" t="inlineStr">
        <is>
          <t>1→N 分发、慢消费者隔离、per-target 结果和软件/硬件 扇出分发（fanout）</t>
        </is>
      </c>
      <c r="I12" s="28" t="inlineStr">
        <is>
          <t>全局热度预测、默认依赖硬件 multicast</t>
        </is>
      </c>
      <c r="J12" s="28" t="inlineStr">
        <is>
          <t>扇出请求（FanoutRequest）、目标结果（TargetResult）、多播能力（MulticastCapability）</t>
        </is>
      </c>
      <c r="K12" s="28" t="inlineStr">
        <is>
          <t>一次读取源对象→按目标能力选择 staging 或 multicast→逐目标完成</t>
        </is>
      </c>
      <c r="L12" s="28" t="inlineStr">
        <is>
          <t>硬件多播无收益或不可用时回退软件 扇出分发（fanout）；单目标失败不阻塞其他目标</t>
        </is>
      </c>
      <c r="M12" s="28" t="inlineStr">
        <is>
          <t>1源+2/4/8 模拟消费者（MockConsumer） 即可独立验收</t>
        </is>
      </c>
      <c r="N12" s="28" t="inlineStr">
        <is>
          <t>重复远端拉取下降≥50%；错误共享/租约泄漏=0；源端带宽增长显著低于 O(N)</t>
        </is>
      </c>
      <c r="O12" s="28" t="inlineStr">
        <is>
          <t>ASYNC_DAG 与 SHARED_ATTACH</t>
        </is>
      </c>
      <c r="P12" s="28" t="inlineStr">
        <is>
          <t>SR23-01-04-01、SR23-01-10-01</t>
        </is>
      </c>
      <c r="Q12" s="28" t="inlineStr">
        <is>
          <t>否</t>
        </is>
      </c>
      <c r="R12" s="28" t="inlineStr">
        <is>
          <t>P3</t>
        </is>
      </c>
      <c r="S12" s="28" t="inlineStr">
        <is>
          <t>P3</t>
        </is>
      </c>
      <c r="T12" s="28" t="inlineStr">
        <is>
          <t>共享分发插件组</t>
        </is>
      </c>
      <c r="U12" s="28">
        <f>COUNTIF('追溯与覆盖'!$J$5:$J$153,A12)</f>
        <v/>
      </c>
      <c r="V12" s="28" t="inlineStr">
        <is>
          <t>L3-TRANS-MUL-ENGINE-003、L4-RDMA-MUL-FABRIC-002</t>
        </is>
      </c>
      <c r="W12" s="28">
        <f>COUNTIF('AR开发认领'!$B$5:$B$207,A12)</f>
        <v/>
      </c>
      <c r="X12" s="28">
        <f>IF(AND(F12&lt;&gt;"",G12&lt;&gt;"",J12&lt;&gt;"",L12&lt;&gt;"",M12&lt;&gt;"",N12&lt;&gt;"",O12&lt;&gt;"",U12&gt;0,W12&gt;=3,Q12="否"),"PASS","REVIEW")</f>
        <v/>
      </c>
      <c r="Y12" s="36" t="inlineStr">
        <is>
          <t>模块性能优化｜在真实一对多复用达到交叉点时，通过软件扇出或可选多播减少重复远端字节和源端带宽；未达净收益时保持关闭，不成为主路径依赖。</t>
        </is>
      </c>
    </row>
    <row r="13" ht="54" customHeight="1">
      <c r="A13" s="28" t="inlineStr">
        <is>
          <t>SR23-01-05-01</t>
        </is>
      </c>
      <c r="B13" s="28" t="inlineStr">
        <is>
          <t>IR-01-05</t>
        </is>
      </c>
      <c r="C13" s="28" t="inlineStr">
        <is>
          <t>SF-01</t>
        </is>
      </c>
      <c r="D13" s="28" t="inlineStr">
        <is>
          <t>路径质量探测与动态路由组件</t>
        </is>
      </c>
      <c r="E13" s="28" t="inlineStr">
        <is>
          <t>组件服务</t>
        </is>
      </c>
      <c r="F13" s="28" t="inlineStr">
        <is>
          <t>path-quality-monitor、拓扑快照、动态路径评分器和故障切换控制器</t>
        </is>
      </c>
      <c r="G13" s="28" t="inlineStr">
        <is>
          <t>查询计划（QueryPlan）、连接器路由器（Connector Router）、后端注册表（Backend Registry）</t>
        </is>
      </c>
      <c r="H13" s="28" t="inlineStr">
        <is>
          <t>路径带宽/时延/水位探测、拓扑感知、动态质量评分、故障切换</t>
        </is>
      </c>
      <c r="I13" s="28" t="inlineStr">
        <is>
          <t>具体 提供器（Provider） 传输执行、在线学习</t>
        </is>
      </c>
      <c r="J13" s="28" t="inlineStr">
        <is>
          <t>路径健康快照（PathHealthSnapshot）、路由候选项（RouteCandidate）、selectPath(size,SLO)</t>
        </is>
      </c>
      <c r="K13" s="28" t="inlineStr">
        <is>
          <t>周期探测→更新路径健康快照→按大小/SLO/拥塞评分选路</t>
        </is>
      </c>
      <c r="L13" s="28" t="inlineStr">
        <is>
          <t>质量噪声过大时使用静态白名单；探测失败不阻塞数据面；故障路径立即摘除</t>
        </is>
      </c>
      <c r="M13" s="28" t="inlineStr">
        <is>
          <t>三条模拟路径与故障注入即可独立验收</t>
        </is>
      </c>
      <c r="N13" s="28" t="inlineStr">
        <is>
          <t>路径选择准确率≥90%；切换&lt;200ms；探测开销&lt;0.5%带宽；无效路径选择=0</t>
        </is>
      </c>
      <c r="O13" s="28" t="inlineStr">
        <is>
          <t>CAP_ROUTER 与 提供器（Provider） 模拟器</t>
        </is>
      </c>
      <c r="P13" s="28" t="inlineStr">
        <is>
          <t>SR23-01-09-01</t>
        </is>
      </c>
      <c r="Q13" s="28" t="inlineStr">
        <is>
          <t>否</t>
        </is>
      </c>
      <c r="R13" s="28" t="inlineStr">
        <is>
          <t>P1</t>
        </is>
      </c>
      <c r="S13" s="28" t="inlineStr">
        <is>
          <t>P1</t>
        </is>
      </c>
      <c r="T13" s="28" t="inlineStr">
        <is>
          <t>拓扑与路径质量组</t>
        </is>
      </c>
      <c r="U13" s="28">
        <f>COUNTIF('追溯与覆盖'!$J$5:$J$153,A13)</f>
        <v/>
      </c>
      <c r="V13" s="28" t="inlineStr">
        <is>
          <t>L2-CONN-TOPO-ROUTE-002、L2-CONN-WatermarkQuery-032、L3-TRANS-TOPO-SENSE-004</t>
        </is>
      </c>
      <c r="W13" s="28">
        <f>COUNTIF('AR开发认领'!$B$5:$B$207,A13)</f>
        <v/>
      </c>
      <c r="X13" s="28">
        <f>IF(AND(F13&lt;&gt;"",G13&lt;&gt;"",J13&lt;&gt;"",L13&lt;&gt;"",M13&lt;&gt;"",N13&lt;&gt;"",O13&lt;&gt;"",U13&gt;0,W13&gt;=3,Q13="否"),"PASS","REVIEW")</f>
        <v/>
      </c>
      <c r="Y13" s="36" t="inlineStr">
        <is>
          <t>功能与性能协同｜完成路径质量探测、退化识别与动态路由闭包；避免按静态能力或理论峰值选错路径，降低尾延迟、回退和故障恢复成本。</t>
        </is>
      </c>
    </row>
    <row r="14" ht="54" customHeight="1">
      <c r="A14" s="28" t="inlineStr">
        <is>
          <t>SR23-01-06-01</t>
        </is>
      </c>
      <c r="B14" s="28" t="inlineStr">
        <is>
          <t>IR-01-06</t>
        </is>
      </c>
      <c r="C14" s="28" t="inlineStr">
        <is>
          <t>SF-01</t>
        </is>
      </c>
      <c r="D14" s="28" t="inlineStr">
        <is>
          <t>跨节点 RDMA 零拷贝 提供器（Provider）</t>
        </is>
      </c>
      <c r="E14" s="28" t="inlineStr">
        <is>
          <t>后端插件</t>
        </is>
      </c>
      <c r="F14" s="28" t="inlineStr">
        <is>
          <t>rdma-provider、注册内存池（RegisteredPool）、远端存储区段句柄（RemoteExtentHandle）、硬件/软件回归包</t>
        </is>
      </c>
      <c r="G14" s="28" t="inlineStr">
        <is>
          <t>能力（Capability） 路由器（Router）、异步有向无环图（Async DAG） 与远端副本加载</t>
        </is>
      </c>
      <c r="H14" s="28" t="inlineStr">
        <is>
          <t>MR 注册池、远端句柄、安全寻址、NPU/HBM/DDR 零拷贝传输</t>
        </is>
      </c>
      <c r="I14" s="28" t="inlineStr">
        <is>
          <t>全局路径决策、CPU staging 作为默认路径</t>
        </is>
      </c>
      <c r="J14" s="28" t="inlineStr">
        <is>
          <t>ProviderCapability、register/transfer/cancel/queryCompletion</t>
        </is>
      </c>
      <c r="K14" s="28" t="inlineStr">
        <is>
          <t>复用注册区→解析远端句柄→提交 RDMA→CQ/fence→发布完成证据</t>
        </is>
      </c>
      <c r="L14" s="28" t="inlineStr">
        <is>
          <t>GPUDirect/NPU Direct 不支持时显式返回 STAGED_ONLY；由上层决定是否限流使用</t>
        </is>
      </c>
      <c r="M14" s="28" t="inlineStr">
        <is>
          <t>loopback/模拟器（simulator） 可完成接口与错误测试；真实硬件用于性能门禁</t>
        </is>
      </c>
      <c r="N14" s="28" t="inlineStr">
        <is>
          <t>有效带宽≥线速80%；CPU 有效载荷（Payload） 复制（copy）=0；提交开销&lt;50μs；越界访问=0</t>
        </is>
      </c>
      <c r="O14" s="28" t="inlineStr">
        <is>
          <t>CAP_ROUTER、INTEGRITY_EVIDENCE 和 rdma 模拟器（simulator）</t>
        </is>
      </c>
      <c r="P14" s="28" t="inlineStr">
        <is>
          <t>SR23-01-09-01、SR23-01-12-01</t>
        </is>
      </c>
      <c r="Q14" s="28" t="inlineStr">
        <is>
          <t>否</t>
        </is>
      </c>
      <c r="R14" s="28" t="inlineStr">
        <is>
          <t>P0</t>
        </is>
      </c>
      <c r="S14" s="28" t="inlineStr">
        <is>
          <t>P0</t>
        </is>
      </c>
      <c r="T14" s="28" t="inlineStr">
        <is>
          <t>RDMA 后端组</t>
        </is>
      </c>
      <c r="U14" s="28">
        <f>COUNTIF('追溯与覆盖'!$J$5:$J$153,A14)</f>
        <v/>
      </c>
      <c r="V14" s="28" t="inlineStr">
        <is>
          <t>L4-OL-RegisteredPool-053、L4-RDMA-RemoteExtentHandle-071、L4-RDMA-P2P-NPU-001</t>
        </is>
      </c>
      <c r="W14" s="28">
        <f>COUNTIF('AR开发认领'!$B$5:$B$207,A14)</f>
        <v/>
      </c>
      <c r="X14" s="28">
        <f>IF(AND(F14&lt;&gt;"",G14&lt;&gt;"",J14&lt;&gt;"",L14&lt;&gt;"",M14&lt;&gt;"",N14&lt;&gt;"",O14&lt;&gt;"",U14&gt;0,W14&gt;=3,Q14="否"),"PASS","REVIEW")</f>
        <v/>
      </c>
      <c r="Y14" s="36" t="inlineStr">
        <is>
          <t>模块性能优化｜交付跨节点 RDMA 零拷贝 Provider，在可审计 主机有效载荷触碰（Host Payload Touch） 边界下提高热路径有效带宽并降低 CPU 参与，形成目标硬件高速路径竞争力。</t>
        </is>
      </c>
    </row>
    <row r="15" ht="54" customHeight="1">
      <c r="A15" s="28" t="inlineStr">
        <is>
          <t>SR23-01-07-01</t>
        </is>
      </c>
      <c r="B15" s="28" t="inlineStr">
        <is>
          <t>IR-01-07</t>
        </is>
      </c>
      <c r="C15" s="28" t="inlineStr">
        <is>
          <t>SF-01</t>
        </is>
      </c>
      <c r="D15" s="28" t="inlineStr">
        <is>
          <t>UBMEM/C2C 直接视图（Direct View） 安全访问 提供器（Provider）</t>
        </is>
      </c>
      <c r="E15" s="28" t="inlineStr">
        <is>
          <t>后端插件</t>
        </is>
      </c>
      <c r="F15" s="28" t="inlineStr">
        <is>
          <t>direct-view-provider、DirectViewGuard、租约（lease）/撤销（revoke） 与 复制到 HBM（copy-to-HBM） 回填适配</t>
        </is>
      </c>
      <c r="G15" s="28" t="inlineStr">
        <is>
          <t>共享 附加（Attach）、视图与复制对比（View-vs-Copy） 策略与统一池</t>
        </is>
      </c>
      <c r="H15" s="28" t="inlineStr">
        <is>
          <t>合格 metadata/KV区间（KV span） 的只读 视图（view）、回填、访问保护与失效</t>
        </is>
      </c>
      <c r="I15" s="28" t="inlineStr">
        <is>
          <t>默认将 decode-active KV 远端直访、跨租户写共享</t>
        </is>
      </c>
      <c r="J15" s="28" t="inlineStr">
        <is>
          <t>ViewHandle、acquire/撤销（revoke）、AccessEvidence、copyToHBM</t>
        </is>
      </c>
      <c r="K15" s="28" t="inlineStr">
        <is>
          <t>验证对象类型/版本/租约→创建只读 视图（view）→消费→撤销（revoke）</t>
        </is>
      </c>
      <c r="L15" s="28" t="inlineStr">
        <is>
          <t>不在安全区或远端 停顿（stall） 超阈值时 复制到 HBM（copy-to-HBM）；失效后禁止继续访问</t>
        </is>
      </c>
      <c r="M15" s="28" t="inlineStr">
        <is>
          <t>UBMEM 模拟器（simulator） + page-fault/撤销（revoke） 注入即可独立验收</t>
        </is>
      </c>
      <c r="N15" s="28" t="inlineStr">
        <is>
          <t>陈旧（stale）/越界 视图（view）=0；撤销（revoke） p99&lt;1ms；安全区 TPOT p99回退&lt;3%；主机有效载荷访问（Host Payload touch）=0</t>
        </is>
      </c>
      <c r="O15" s="28" t="inlineStr">
        <is>
          <t>CAP_ROUTER、INTEGRITY_EVIDENCE、SECURE_LIFECYCLE</t>
        </is>
      </c>
      <c r="P15" s="28" t="inlineStr">
        <is>
          <t>SR23-01-09-01、SR23-01-12-01、SR23-01-12-02</t>
        </is>
      </c>
      <c r="Q15" s="28" t="inlineStr">
        <is>
          <t>否</t>
        </is>
      </c>
      <c r="R15" s="28" t="inlineStr">
        <is>
          <t>P0</t>
        </is>
      </c>
      <c r="S15" s="28" t="inlineStr">
        <is>
          <t>P0</t>
        </is>
      </c>
      <c r="T15" s="28" t="inlineStr">
        <is>
          <t>统一内存访问组</t>
        </is>
      </c>
      <c r="U15" s="28">
        <f>COUNTIF('追溯与覆盖'!$J$5:$J$153,A15)</f>
        <v/>
      </c>
      <c r="V15" s="28" t="inlineStr">
        <is>
          <t>L4-UB-DirectViewGuard-072、L3-MS-UBC2CTier-055、L4-C2C-UNIFY-POOL-001、L4-UB-C2C-UNIFY-002、L4-UB-P2P-FABRIC-003</t>
        </is>
      </c>
      <c r="W15" s="28">
        <f>COUNTIF('AR开发认领'!$B$5:$B$207,A15)</f>
        <v/>
      </c>
      <c r="X15" s="28">
        <f>IF(AND(F15&lt;&gt;"",G15&lt;&gt;"",J15&lt;&gt;"",L15&lt;&gt;"",M15&lt;&gt;"",N15&lt;&gt;"",O15&lt;&gt;"",U15&gt;0,W15&gt;=3,Q15="否"),"PASS","REVIEW")</f>
        <v/>
      </c>
      <c r="Y15" s="36" t="inlineStr">
        <is>
          <t>功能与性能协同｜完成 UBMEM/C2C 直接访问、租约保护和安全回退闭包；仅在正收益对象上减少复制，同时防止远端随机访问恶化 TPOT。</t>
        </is>
      </c>
    </row>
    <row r="16" ht="54" customHeight="1">
      <c r="A16" s="28" t="inlineStr">
        <is>
          <t>SR23-01-08-01</t>
        </is>
      </c>
      <c r="B16" s="28" t="inlineStr">
        <is>
          <t>IR-01-08</t>
        </is>
      </c>
      <c r="C16" s="28" t="inlineStr">
        <is>
          <t>SF-01</t>
        </is>
      </c>
      <c r="D16" s="28" t="inlineStr">
        <is>
          <t>HBM↔SSD/对象存储（SSD/Object） 容量后端</t>
        </is>
      </c>
      <c r="E16" s="28" t="inlineStr">
        <is>
          <t>后端插件</t>
        </is>
      </c>
      <c r="F16" s="28" t="inlineStr">
        <is>
          <t>ssd-object-provider、持久存储区段句柄（PersistentExtentHandle）、Direct/low-host I/O 能力表</t>
        </is>
      </c>
      <c r="G16" s="28" t="inlineStr">
        <is>
          <t>统一池、分层容量策略和加载流水线</t>
        </is>
      </c>
      <c r="H16" s="28" t="inlineStr">
        <is>
          <t>SSD/对象存储（SSD/Object） 存储区段（extent） 持久句柄、批量读写、Direct/low-host 路径、完成与可见性</t>
        </is>
      </c>
      <c r="I16" s="28" t="inlineStr">
        <is>
          <t>CPU 编解码器（codec）/全量 CRC 作为默认回退</t>
        </is>
      </c>
      <c r="J16" s="28" t="inlineStr">
        <is>
          <t>持久存储区段句柄（PersistentExtentHandle）、read/write/restore、存储能力（StorageCapability）</t>
        </is>
      </c>
      <c r="K16" s="28" t="inlineStr">
        <is>
          <t>解析持久 存储区段（extent）→批量提交 I/O→完成/完整性证据→就绪状态（ready）</t>
        </is>
      </c>
      <c r="L16" s="28" t="inlineStr">
        <is>
          <t>Direct Storage 不可用时返回 分阶段暂存（staged） 能力与明确 Host 预算，不伪装直达</t>
        </is>
      </c>
      <c r="M16" s="28" t="inlineStr">
        <is>
          <t>文件后端可做功能验收；NVMe/对象存储用于性能门禁</t>
        </is>
      </c>
      <c r="N16" s="28" t="inlineStr">
        <is>
          <t>顺序带宽≥设备峰值80%；错误/半写消费=0；主路径 主机有效载荷访问（Host Payload touch）=0</t>
        </is>
      </c>
      <c r="O16" s="28" t="inlineStr">
        <is>
          <t>CAP_ROUTER、INTEGRITY_EVIDENCE 与文件型 提供器（Provider） 桩</t>
        </is>
      </c>
      <c r="P16" s="28" t="inlineStr">
        <is>
          <t>SR23-01-09-01、SR23-01-12-01</t>
        </is>
      </c>
      <c r="Q16" s="28" t="inlineStr">
        <is>
          <t>否</t>
        </is>
      </c>
      <c r="R16" s="28" t="inlineStr">
        <is>
          <t>P0</t>
        </is>
      </c>
      <c r="S16" s="28" t="inlineStr">
        <is>
          <t>P0 子集 + P1 完整</t>
        </is>
      </c>
      <c r="T16" s="28" t="inlineStr">
        <is>
          <t>SSD/对象存储（SSD/Object） 后端组</t>
        </is>
      </c>
      <c r="U16" s="28">
        <f>COUNTIF('追溯与覆盖'!$J$5:$J$153,A16)</f>
        <v/>
      </c>
      <c r="V16" s="28" t="inlineStr">
        <is>
          <t>L4-MC-HIER-STORE-001、L4-MC-PersistentExtentHandle-070</t>
        </is>
      </c>
      <c r="W16" s="28">
        <f>COUNTIF('AR开发认领'!$B$5:$B$207,A16)</f>
        <v/>
      </c>
      <c r="X16" s="28">
        <f>IF(AND(F16&lt;&gt;"",G16&lt;&gt;"",J16&lt;&gt;"",L16&lt;&gt;"",M16&lt;&gt;"",N16&lt;&gt;"",O16&lt;&gt;"",U16&gt;0,W16&gt;=3,Q16="否"),"PASS","REVIEW")</f>
        <v/>
      </c>
      <c r="Y16" s="36" t="inlineStr">
        <is>
          <t>功能与性能协同｜完成 HBM↔SSD/Object 容量后端及完成/回退契约；把低成本介质纳入可认证真实路径，提升可服务容量并避免隐式 CPU/DDR 中转。</t>
        </is>
      </c>
    </row>
    <row r="17" ht="54" customHeight="1">
      <c r="A17" s="28" t="inlineStr">
        <is>
          <t>SR23-01-08-02</t>
        </is>
      </c>
      <c r="B17" s="28" t="inlineStr">
        <is>
          <t>IR-01-08</t>
        </is>
      </c>
      <c r="C17" s="28" t="inlineStr">
        <is>
          <t>SF-01</t>
        </is>
      </c>
      <c r="D17" s="28" t="inlineStr">
        <is>
          <t>DPU/硬件 编解码器（Codec） 条件卸载插件包</t>
        </is>
      </c>
      <c r="E17" s="28" t="inlineStr">
        <is>
          <t>条件插件</t>
        </is>
      </c>
      <c r="F17" s="28" t="inlineStr">
        <is>
          <t>offload-provider 插件接口、DPU/编解码器（codec） 功能开关（feature flag）、不支持（Not Supported）/Go 报告模板</t>
        </is>
      </c>
      <c r="G17" s="28" t="inlineStr">
        <is>
          <t>能力（Capability） 路由器（Router） 与 SSD/RDMA 提供器（Provider）</t>
        </is>
      </c>
      <c r="H17" s="28" t="inlineStr">
        <is>
          <t>硬件压缩、解压、CQ/route 卸载的能力声明、A/B 和无损旁路</t>
        </is>
      </c>
      <c r="I17" s="28" t="inlineStr">
        <is>
          <t>CPU 压缩/解压、CPU 全量 CRC、无硬件时占用默认人力基线</t>
        </is>
      </c>
      <c r="J17" s="28" t="inlineStr">
        <is>
          <t>OffloadCapability、encode/decode/submitCQ、bypass</t>
        </is>
      </c>
      <c r="K17" s="28" t="inlineStr">
        <is>
          <t>探测真实硬件能力→仅对正收益对象启用→上报收益和 主机访问（Host touch）</t>
        </is>
      </c>
      <c r="L17" s="28" t="inlineStr">
        <is>
          <t>硬件不可用/无净收益/故障时旁路为 原始/直接（raw/direct）；禁止切 CPU 编解码器（codec）</t>
        </is>
      </c>
      <c r="M17" s="28" t="inlineStr">
        <is>
          <t>无硬件时完成 不支持（Not Supported） 契约验收；有硬件时执行 A/B</t>
        </is>
      </c>
      <c r="N17" s="28" t="inlineStr">
        <is>
          <t>有硬件时 Host CPU下降≥30%且端到端净收益为正；故障旁路成功率100%</t>
        </is>
      </c>
      <c r="O17" s="28" t="inlineStr">
        <is>
          <t>CAP_ROUTER 与 SSD_BACKEND/RDMA_PROVIDER 接口</t>
        </is>
      </c>
      <c r="P17" s="28" t="inlineStr">
        <is>
          <t>SR23-01-09-01、SR23-01-08-01、SR23-01-06-01</t>
        </is>
      </c>
      <c r="Q17" s="28" t="inlineStr">
        <is>
          <t>否</t>
        </is>
      </c>
      <c r="R17" s="28" t="inlineStr">
        <is>
          <t>P3</t>
        </is>
      </c>
      <c r="S17" s="28" t="inlineStr">
        <is>
          <t>P3</t>
        </is>
      </c>
      <c r="T17" s="28" t="inlineStr">
        <is>
          <t>条件硬件卸载组</t>
        </is>
      </c>
      <c r="U17" s="28">
        <f>COUNTIF('追溯与覆盖'!$J$5:$J$153,A17)</f>
        <v/>
      </c>
      <c r="V17" s="28" t="inlineStr">
        <is>
          <t>L4-MC-HIER-STORE-002、L4-MC-HIER-STORE-003、L4-NET-OFFLOAD-DPU-001</t>
        </is>
      </c>
      <c r="W17" s="28">
        <f>COUNTIF('AR开发认领'!$B$5:$B$207,A17)</f>
        <v/>
      </c>
      <c r="X17" s="28">
        <f>IF(AND(F17&lt;&gt;"",G17&lt;&gt;"",J17&lt;&gt;"",L17&lt;&gt;"",M17&lt;&gt;"",N17&lt;&gt;"",O17&lt;&gt;"",U17&gt;0,W17&gt;=3,Q17="否"),"PASS","REVIEW")</f>
        <v/>
      </c>
      <c r="Y17" s="36" t="inlineStr">
        <is>
          <t>模块性能优化｜以功能开关交付 DPU/硬件编解码条件卸载；只有相对原始直达路径产生端到端净收益时启用，避免把可选硬件固化为项目成立前提。</t>
        </is>
      </c>
    </row>
    <row r="18" ht="54" customHeight="1">
      <c r="A18" s="28" t="inlineStr">
        <is>
          <t>SR23-01-09-01</t>
        </is>
      </c>
      <c r="B18" s="28" t="inlineStr">
        <is>
          <t>IR-01-09</t>
        </is>
      </c>
      <c r="C18" s="28" t="inlineStr">
        <is>
          <t>SF-01</t>
        </is>
      </c>
      <c r="D18" s="28" t="inlineStr">
        <is>
          <t>统一 能力（Capability） 注册表（Registry） 与 互联网络路由器（Fabric Router）</t>
        </is>
      </c>
      <c r="E18" s="28" t="inlineStr">
        <is>
          <t>平台组件</t>
        </is>
      </c>
      <c r="F18" s="28" t="inlineStr">
        <is>
          <t>capability-registry、后端提供器（Backend Provider） SDK、互联路由器（FabricRouter） 与能力快照</t>
        </is>
      </c>
      <c r="G18" s="28" t="inlineStr">
        <is>
          <t>Pool、查询计划（QueryPlan）、连接器（Connector）、所有传输 提供器（Provider）</t>
        </is>
      </c>
      <c r="H18" s="28" t="inlineStr">
        <is>
          <t>UB/URMA/RDMA/C2C/SSD 能力抽象、提供器（Provider） 注册、主机访问（Host touch） 真值、布局约束与选路</t>
        </is>
      </c>
      <c r="I18" s="28" t="inlineStr">
        <is>
          <t>业务负载决策、具体 提供器（Provider） 内部实现</t>
        </is>
      </c>
      <c r="J18" s="28" t="inlineStr">
        <is>
          <t>提供器（Provider） SDK、能力矩阵（CapabilityMatrix）、selectProvider、功能开关（feature flags）</t>
        </is>
      </c>
      <c r="K18" s="28" t="inlineStr">
        <is>
          <t>探测/注册 提供器（Provider）→形成版本化能力矩阵→按请求约束选择可用 提供器（Provider）</t>
        </is>
      </c>
      <c r="L18" s="28" t="inlineStr">
        <is>
          <t>能力缺失时关闭 功能开关（feature flag）；分阶段暂存（staged） 例外显式可见、可限流、可禁用</t>
        </is>
      </c>
      <c r="M18" s="28" t="inlineStr">
        <is>
          <t>三类 模拟提供器（MockProvider） 即可独立完成 SDK 和路由验收</t>
        </is>
      </c>
      <c r="N18" s="28" t="inlineStr">
        <is>
          <t>能力字段覆盖率100%；错误路由=0；互联网络路由器（Fabric Router） p99&lt;3μs；所有 分阶段暂存（staged） 路径可审计</t>
        </is>
      </c>
      <c r="O18" s="28" t="inlineStr">
        <is>
          <t>提供器（Provider） SDK 自带 模拟提供器（MockProvider），无外部前置</t>
        </is>
      </c>
      <c r="P18" s="28" t="n"/>
      <c r="Q18" s="28" t="inlineStr">
        <is>
          <t>否</t>
        </is>
      </c>
      <c r="R18" s="28" t="inlineStr">
        <is>
          <t>P0</t>
        </is>
      </c>
      <c r="S18" s="28" t="inlineStr">
        <is>
          <t>P0</t>
        </is>
      </c>
      <c r="T18" s="28" t="inlineStr">
        <is>
          <t>传输底座平台组</t>
        </is>
      </c>
      <c r="U18" s="28">
        <f>COUNTIF('追溯与覆盖'!$J$5:$J$153,A18)</f>
        <v/>
      </c>
      <c r="V18" s="28" t="inlineStr">
        <is>
          <t>L3-TRANS-CAP-API-002、L4-FABRIC-ROUTER-001、L4-HW-HostPayloadTouchBudget-076、L4-HW-SemCapTable-050、L4-HW-StorageLayoutCapability-067、L4-HW-AddrTrans-051、L4-HW-NICSpecConstraint-075</t>
        </is>
      </c>
      <c r="W18" s="28">
        <f>COUNTIF('AR开发认领'!$B$5:$B$207,A18)</f>
        <v/>
      </c>
      <c r="X18" s="28">
        <f>IF(AND(F18&lt;&gt;"",G18&lt;&gt;"",J18&lt;&gt;"",L18&lt;&gt;"",M18&lt;&gt;"",N18&lt;&gt;"",O18&lt;&gt;"",U18&gt;0,W18&gt;=3,Q18="否"),"PASS","REVIEW")</f>
        <v/>
      </c>
      <c r="Y18" s="36" t="inlineStr">
        <is>
          <t>模块功能闭包｜建立统一能力注册表（Capability Registry）与互连路由器（Fabric Router）契约；把 UB/URMA/RDMA/C2C/SSD Provider 组织为可发现、可替换、可审计的开放数据平面。</t>
        </is>
      </c>
    </row>
    <row r="19" ht="54" customHeight="1">
      <c r="A19" s="28" t="inlineStr">
        <is>
          <t>SR23-01-10-01</t>
        </is>
      </c>
      <c r="B19" s="28" t="inlineStr">
        <is>
          <t>IR-01-10</t>
        </is>
      </c>
      <c r="C19" s="28" t="inlineStr">
        <is>
          <t>SF-01</t>
        </is>
      </c>
      <c r="D19" s="28" t="inlineStr">
        <is>
          <t>共享 附加（Attach）、租约引用与快速回退组件</t>
        </is>
      </c>
      <c r="E19" s="28" t="inlineStr">
        <is>
          <t>组件库</t>
        </is>
      </c>
      <c r="F19" s="28" t="inlineStr">
        <is>
          <t>shared-attach 库、AttachHandle/Lease/RefCount、回退契约（FallbackContract） 与 故障用例（fault cases）</t>
        </is>
      </c>
      <c r="G19" s="28" t="inlineStr">
        <is>
          <t>vLLM/SGLang 连接器（Connector）、目录（Directory）、Fanout 与 直接视图（Direct View）</t>
        </is>
      </c>
      <c r="H19" s="28" t="inlineStr">
        <is>
          <t>多 消费者（consumer） 附加（attach）、租约、引用、失败原因码、defrag pause 和批量共享</t>
        </is>
      </c>
      <c r="I19" s="28" t="inlineStr">
        <is>
          <t>对象物理迁移实现、全局副本目录</t>
        </is>
      </c>
      <c r="J19" s="28" t="inlineStr">
        <is>
          <t>附加句柄（AttachHandle）、LeaseToken、获取/释放（acquire/release）、FallbackReason</t>
        </is>
      </c>
      <c r="K19" s="28" t="inlineStr">
        <is>
          <t>消费资格确认→获取租约→返回 附加句柄（AttachHandle）→释放/续租</t>
        </is>
      </c>
      <c r="L19" s="28" t="inlineStr">
        <is>
          <t>加载/状态失败切备用副本或重算；失效租约立即阻断消费</t>
        </is>
      </c>
      <c r="M19" s="28" t="inlineStr">
        <is>
          <t>连接器（Connector） 测试夹具（fixture） + MockObjectStore 即可独立验收</t>
        </is>
      </c>
      <c r="N19" s="28" t="inlineStr">
        <is>
          <t>陈旧视图故障（stale view fault）=0；回退（fallback）成功率100%；重复远端拉取下降≥50%；租约泄漏=0</t>
        </is>
      </c>
      <c r="O19" s="28" t="inlineStr">
        <is>
          <t>CONNECTOR_PROTOCOL、CONSISTENCY_SERVICE、INTEGRITY_EVIDENCE</t>
        </is>
      </c>
      <c r="P19" s="28" t="inlineStr">
        <is>
          <t>SR23-02-01-01、SR23-01-11-01、SR23-01-12-01</t>
        </is>
      </c>
      <c r="Q19" s="28" t="inlineStr">
        <is>
          <t>否</t>
        </is>
      </c>
      <c r="R19" s="28" t="inlineStr">
        <is>
          <t>P0</t>
        </is>
      </c>
      <c r="S19" s="28" t="inlineStr">
        <is>
          <t>P0</t>
        </is>
      </c>
      <c r="T19" s="28" t="inlineStr">
        <is>
          <t>共享访问与回退组</t>
        </is>
      </c>
      <c r="U19" s="28">
        <f>COUNTIF('追溯与覆盖'!$J$5:$J$153,A19)</f>
        <v/>
      </c>
      <c r="V19" s="28" t="inlineStr">
        <is>
          <t>L2-FT-FallbackContract-029、L2-KV-AttachHandle-034、L2-KV-StateErrorCode-037、L2-MM-ViewLease-028、L2-CONN-DefragPause-031、L2-MM-MultiConsumer-027</t>
        </is>
      </c>
      <c r="W19" s="28">
        <f>COUNTIF('AR开发认领'!$B$5:$B$207,A19)</f>
        <v/>
      </c>
      <c r="X19" s="28">
        <f>IF(AND(F19&lt;&gt;"",G19&lt;&gt;"",J19&lt;&gt;"",L19&lt;&gt;"",M19&lt;&gt;"",N19&lt;&gt;"",O19&lt;&gt;"",U19&gt;0,W19&gt;=3,Q19="否"),"PASS","REVIEW")</f>
        <v/>
      </c>
      <c r="Y19" s="36" t="inlineStr">
        <is>
          <t>模块功能闭包｜完成共享接入（Attach）、租约引用、撤销和快速回退闭包；使多消费者能够安全复用同一 KV，并保证失败时不消费错误或过期状态。</t>
        </is>
      </c>
    </row>
    <row r="20" ht="54" customHeight="1">
      <c r="A20" s="28" t="inlineStr">
        <is>
          <t>SR23-01-11-01</t>
        </is>
      </c>
      <c r="B20" s="28" t="inlineStr">
        <is>
          <t>IR-01-11</t>
        </is>
      </c>
      <c r="C20" s="28" t="inlineStr">
        <is>
          <t>SF-01</t>
        </is>
      </c>
      <c r="D20" s="28" t="inlineStr">
        <is>
          <t>KV 发布、可见性与迁移一致性服务</t>
        </is>
      </c>
      <c r="E20" s="28" t="inlineStr">
        <is>
          <t>组件服务</t>
        </is>
      </c>
      <c r="F20" s="28" t="inlineStr">
        <is>
          <t>consistency-service、PublishCommitLog、ReadyBitmap、RCU 租约（lease） 与 隔离（quarantine）</t>
        </is>
      </c>
      <c r="G20" s="28" t="inlineStr">
        <is>
          <t>Pool、目录（Directory）、附加（Attach）、Lifecycle Controller</t>
        </is>
      </c>
      <c r="H20" s="28" t="inlineStr">
        <is>
          <t>版本发布、就绪状态（ready） 可见性、所有权/引用回收、迁移互锁、异常副本隔离</t>
        </is>
      </c>
      <c r="I20" s="28" t="inlineStr">
        <is>
          <t>租户配额与网络流量 QoS</t>
        </is>
      </c>
      <c r="J20" s="28" t="inlineStr">
        <is>
          <t>publish/commit/abort、ReadyEvidence、OwnershipToken、隔离（quarantine）</t>
        </is>
      </c>
      <c r="K20" s="28" t="inlineStr">
        <is>
          <t>写入 存储区段（extent）→完整性/完成证据→原子发布版本→对消费者可见</t>
        </is>
      </c>
      <c r="L20" s="28" t="inlineStr">
        <is>
          <t>发布中断回滚 提交日志（commit log）；证据不足保持 NOT_READY；异常副本 隔离（quarantine）</t>
        </is>
      </c>
      <c r="M20" s="28" t="inlineStr">
        <is>
          <t>内存状态机 + 并发/故障注入即可独立验收</t>
        </is>
      </c>
      <c r="N20" s="28" t="inlineStr">
        <is>
          <t>错误/半写对象可见=0；释放后使用（use-after-free）=0；发布恢复成功率100%；迁移抖动&lt;5%</t>
        </is>
      </c>
      <c r="O20" s="28" t="inlineStr">
        <is>
          <t>POOL_CORE 与 INTEGRITY_EVIDENCE</t>
        </is>
      </c>
      <c r="P20" s="28" t="inlineStr">
        <is>
          <t>SR23-01-01-01、SR23-01-12-01</t>
        </is>
      </c>
      <c r="Q20" s="28" t="inlineStr">
        <is>
          <t>否</t>
        </is>
      </c>
      <c r="R20" s="28" t="inlineStr">
        <is>
          <t>P0</t>
        </is>
      </c>
      <c r="S20" s="28" t="inlineStr">
        <is>
          <t>P0</t>
        </is>
      </c>
      <c r="T20" s="28" t="inlineStr">
        <is>
          <t>一致性与生命周期组</t>
        </is>
      </c>
      <c r="U20" s="28">
        <f>COUNTIF('追溯与覆盖'!$J$5:$J$153,A20)</f>
        <v/>
      </c>
      <c r="V20" s="28" t="inlineStr">
        <is>
          <t>L3-CO-AttachDetachLease-063、L3-CO-KVOwnershipGC-080、L3-CO-PublishCommitLog-065、L3-CO-RefCountLifecycle-086、L3-CO-VersionPublish-043、L3-CO-VisibilityReadyBitmap-064、L3-CO-MigrationRCULock-090、L3-CO-ReplicaQuarantine-068</t>
        </is>
      </c>
      <c r="W20" s="28">
        <f>COUNTIF('AR开发认领'!$B$5:$B$207,A20)</f>
        <v/>
      </c>
      <c r="X20" s="28">
        <f>IF(AND(F20&lt;&gt;"",G20&lt;&gt;"",J20&lt;&gt;"",L20&lt;&gt;"",M20&lt;&gt;"",N20&lt;&gt;"",O20&lt;&gt;"",U20&gt;0,W20&gt;=3,Q20="否"),"PASS","REVIEW")</f>
        <v/>
      </c>
      <c r="Y20" s="36" t="inlineStr">
        <is>
          <t>模块功能闭包｜完成 KV 发布、可见性、可消费就绪（Ready）与迁移一致性状态机；以“先证据、后消费”保证错误/半写/过期 KV 消费为零。</t>
        </is>
      </c>
    </row>
    <row r="21" ht="54" customHeight="1">
      <c r="A21" s="28" t="inlineStr">
        <is>
          <t>SR23-01-11-02</t>
        </is>
      </c>
      <c r="B21" s="28" t="inlineStr">
        <is>
          <t>IR-01-11</t>
        </is>
      </c>
      <c r="C21" s="28" t="inlineStr">
        <is>
          <t>SF-01</t>
        </is>
      </c>
      <c r="D21" s="28" t="inlineStr">
        <is>
          <t>多租户隔离与前后台传输 QoS 控制器</t>
        </is>
      </c>
      <c r="E21" s="28" t="inlineStr">
        <is>
          <t>组件服务</t>
        </is>
      </c>
      <c r="F21" s="28" t="inlineStr">
        <is>
          <t>tenant-qos-controller、TrafficClass/TokenBucket/WFQ 配置和混压安全包络</t>
        </is>
      </c>
      <c r="G21" s="28" t="inlineStr">
        <is>
          <t>异步有向无环图（Async DAG）、Lifecycle Controller 与平台运维</t>
        </is>
      </c>
      <c r="H21" s="28" t="inlineStr">
        <is>
          <t>租户池隔离、前台/后台语义队列、迁移限速、硬件 TC 映射</t>
        </is>
      </c>
      <c r="I21" s="28" t="inlineStr">
        <is>
          <t>业务计费、完整集群调度</t>
        </is>
      </c>
      <c r="J21" s="28" t="inlineStr">
        <is>
          <t>TrafficClass、TransferBudget、TenantQuota、pause/排空（drain）</t>
        </is>
      </c>
      <c r="K21" s="28" t="inlineStr">
        <is>
          <t>分类请求→分配令牌/队列→执行→按 TPOT/水位反馈调节</t>
        </is>
      </c>
      <c r="L21" s="28" t="inlineStr">
        <is>
          <t>硬件 TC 不可用时使用软件队列；超预算暂停后台任务；前台超时回退重算</t>
        </is>
      </c>
      <c r="M21" s="28" t="inlineStr">
        <is>
          <t>软件队列模拟器 + 混压 工作负载（workload） 即可独立验收</t>
        </is>
      </c>
      <c r="N21" s="28" t="inlineStr">
        <is>
          <t>TPOT p99回退&lt;3%；租户间干扰&lt;5%；越权访问=0；后台干扰降低≥50%</t>
        </is>
      </c>
      <c r="O21" s="28" t="inlineStr">
        <is>
          <t>CONSISTENCY_SERVICE、CAP_ROUTER 与 MockQueue</t>
        </is>
      </c>
      <c r="P21" s="28" t="inlineStr">
        <is>
          <t>SR23-01-11-01、SR23-01-09-01</t>
        </is>
      </c>
      <c r="Q21" s="28" t="inlineStr">
        <is>
          <t>否</t>
        </is>
      </c>
      <c r="R21" s="28" t="inlineStr">
        <is>
          <t>P0</t>
        </is>
      </c>
      <c r="S21" s="28" t="inlineStr">
        <is>
          <t>P0</t>
        </is>
      </c>
      <c r="T21" s="28" t="inlineStr">
        <is>
          <t>隔离与 QoS 组</t>
        </is>
      </c>
      <c r="U21" s="28">
        <f>COUNTIF('追溯与覆盖'!$J$5:$J$153,A21)</f>
        <v/>
      </c>
      <c r="V21" s="28" t="inlineStr">
        <is>
          <t>L3-QO-SemanticQoS-045、L3-SC-PoolIsolation-048、L4-QO-MigrationQoS-064、L4-QO-StateAwareTrafficClass-068、L4-QO-TrafficClass-056</t>
        </is>
      </c>
      <c r="W21" s="28">
        <f>COUNTIF('AR开发认领'!$B$5:$B$207,A21)</f>
        <v/>
      </c>
      <c r="X21" s="28">
        <f>IF(AND(F21&lt;&gt;"",G21&lt;&gt;"",J21&lt;&gt;"",L21&lt;&gt;"",M21&lt;&gt;"",N21&lt;&gt;"",O21&lt;&gt;"",U21&gt;0,W21&gt;=3,Q21="否"),"PASS","REVIEW")</f>
        <v/>
      </c>
      <c r="Y21" s="36" t="inlineStr">
        <is>
          <t>模块性能优化｜通过多租户隔离和前后台传输 QoS 控制共享带宽与队列干扰；在提升 TTFT/容量的同时守住 TPOT 尾延迟与租户公平性。</t>
        </is>
      </c>
    </row>
    <row r="22" ht="54" customHeight="1">
      <c r="A22" s="28" t="inlineStr">
        <is>
          <t>SR23-01-12-01</t>
        </is>
      </c>
      <c r="B22" s="28" t="inlineStr">
        <is>
          <t>IR-01-12</t>
        </is>
      </c>
      <c r="C22" s="28" t="inlineStr">
        <is>
          <t>SF-01</t>
        </is>
      </c>
      <c r="D22" s="28" t="inlineStr">
        <is>
          <t>按路径完整性证据与 RAS 故障映射组件</t>
        </is>
      </c>
      <c r="E22" s="28" t="inlineStr">
        <is>
          <t>平台组件</t>
        </is>
      </c>
      <c r="F22" s="28" t="inlineStr">
        <is>
          <t>integrity-evidence SDK、完成/栅栏（Completion/Fence） 证据模型、RAS/ErrorMap 与 故障测试套件（fault suite）</t>
        </is>
      </c>
      <c r="G22" s="28" t="inlineStr">
        <is>
          <t>所有 提供器（Provider）、Consistency Service 与 附加（Attach）</t>
        </is>
      </c>
      <c r="H22" s="28" t="inlineStr">
        <is>
          <t>完成→fence→完整性→就绪状态（ready） 证据链、差异化后端校验、RAS 映射</t>
        </is>
      </c>
      <c r="I22" s="28" t="inlineStr">
        <is>
          <t>CPU 全量 CRC 作为主路径前置</t>
        </is>
      </c>
      <c r="J22" s="28" t="inlineStr">
        <is>
          <t>IntegrityEvidence、CompletionEvidence、ErrorMap、canPublishReady</t>
        </is>
      </c>
      <c r="K22" s="28" t="inlineStr">
        <is>
          <t>收集路径原生证据→验证对象版本/范围→生成可发布结论</t>
        </is>
      </c>
      <c r="L22" s="28" t="inlineStr">
        <is>
          <t>证据不足不得 就绪状态（ready）；无硬件校验时使用后端已有证据或回退重算</t>
        </is>
      </c>
      <c r="M22" s="28" t="inlineStr">
        <is>
          <t>FakeProvider + 半写/ECC/超时/乱序注入即可独立验收</t>
        </is>
      </c>
      <c r="N22" s="28" t="inlineStr">
        <is>
          <t>错误/过期 KV 被消费=0；故障注入覆盖率100%；主路径 CPU 全量 CRC=0</t>
        </is>
      </c>
      <c r="O22" s="28" t="inlineStr">
        <is>
          <t>CAP_ROUTER 提供器（Provider） SDK 与 FakeProvider</t>
        </is>
      </c>
      <c r="P22" s="28" t="inlineStr">
        <is>
          <t>SR23-01-09-01</t>
        </is>
      </c>
      <c r="Q22" s="28" t="inlineStr">
        <is>
          <t>否</t>
        </is>
      </c>
      <c r="R22" s="28" t="inlineStr">
        <is>
          <t>P0</t>
        </is>
      </c>
      <c r="S22" s="28" t="inlineStr">
        <is>
          <t>P0</t>
        </is>
      </c>
      <c r="T22" s="28" t="inlineStr">
        <is>
          <t>完整性与 RAS 组</t>
        </is>
      </c>
      <c r="U22" s="28">
        <f>COUNTIF('追溯与覆盖'!$J$5:$J$153,A22)</f>
        <v/>
      </c>
      <c r="V22" s="28" t="inlineStr">
        <is>
          <t>L4-CO-ExtentVisibilityFence-066、L4-CO-FencePrimitive-052、L4-FT-PathIntegrityPolicy-077、L4-FT-RASErrorMap-061、L4-FT-ReplicaIntegrityCheck-069</t>
        </is>
      </c>
      <c r="W22" s="28">
        <f>COUNTIF('AR开发认领'!$B$5:$B$207,A22)</f>
        <v/>
      </c>
      <c r="X22" s="28">
        <f>IF(AND(F22&lt;&gt;"",G22&lt;&gt;"",J22&lt;&gt;"",L22&lt;&gt;"",M22&lt;&gt;"",N22&lt;&gt;"",O22&lt;&gt;"",U22&gt;0,W22&gt;=3,Q22="否"),"PASS","REVIEW")</f>
        <v/>
      </c>
      <c r="Y22" s="36" t="inlineStr">
        <is>
          <t>模块功能闭包｜按实际路径形成完整性证据、RAS 故障映射和阻断规则；为原厂系统问题归因、错误消费防护和跨版本认证提供可审计依据。</t>
        </is>
      </c>
    </row>
    <row r="23" ht="54" customHeight="1">
      <c r="A23" s="28" t="inlineStr">
        <is>
          <t>SR23-01-12-02</t>
        </is>
      </c>
      <c r="B23" s="28" t="inlineStr">
        <is>
          <t>IR-01-12</t>
        </is>
      </c>
      <c r="C23" s="28" t="inlineStr">
        <is>
          <t>SF-01</t>
        </is>
      </c>
      <c r="D23" s="28" t="inlineStr">
        <is>
          <t>安全访问、资源下线与地址切换组件</t>
        </is>
      </c>
      <c r="E23" s="28" t="inlineStr">
        <is>
          <t>平台组件</t>
        </is>
      </c>
      <c r="F23" s="28" t="inlineStr">
        <is>
          <t>secure-lifecycle 库、ViewProtection、排空/静默（drain/quiesce）、secure release 与 重映射（remap） 适配器（adapter）</t>
        </is>
      </c>
      <c r="G23" s="28" t="inlineStr">
        <is>
          <t>直接视图（Direct View）、Pool、Lifecycle Controller 与租户管理</t>
        </is>
      </c>
      <c r="H23" s="28" t="inlineStr">
        <is>
          <t>访问保护、租户边界、后端下线、地址切换、安全释放、可选 page migration</t>
        </is>
      </c>
      <c r="I23" s="28" t="inlineStr">
        <is>
          <t>强制依赖硬件 atomic 重映射（remap）、跨租户共享写</t>
        </is>
      </c>
      <c r="J23" s="28" t="inlineStr">
        <is>
          <t>AccessPolicy、排空/静默（drain/quiesce）、secureRelease、重映射（remap）/rollback</t>
        </is>
      </c>
      <c r="K23" s="28" t="inlineStr">
        <is>
          <t>撤销新访问→等待/迁移存量 租约（lease）→安全清理→释放或切换地址</t>
        </is>
      </c>
      <c r="L23" s="28" t="inlineStr">
        <is>
          <t>硬件 重映射（remap） 不可用时使用 RCU+copy-on-migrate；无法安全下线时保持隔离</t>
        </is>
      </c>
      <c r="M23" s="28" t="inlineStr">
        <is>
          <t>IOMMU/MR 模拟器 + 并发 租约（lease） 测试即可独立验收</t>
        </is>
      </c>
      <c r="N23" s="28" t="inlineStr">
        <is>
          <t>越权访问=0；安全释放后残留读取=0；视图（view） 撤销（revoke） p99&lt;1ms；失败可回滚</t>
        </is>
      </c>
      <c r="O23" s="28" t="inlineStr">
        <is>
          <t>CONSISTENCY_SERVICE 与 INTEGRITY_EVIDENCE</t>
        </is>
      </c>
      <c r="P23" s="28" t="inlineStr">
        <is>
          <t>SR23-01-11-01、SR23-01-12-01</t>
        </is>
      </c>
      <c r="Q23" s="28" t="inlineStr">
        <is>
          <t>否</t>
        </is>
      </c>
      <c r="R23" s="28" t="inlineStr">
        <is>
          <t>P0</t>
        </is>
      </c>
      <c r="S23" s="28" t="inlineStr">
        <is>
          <t>P0</t>
        </is>
      </c>
      <c r="T23" s="28" t="inlineStr">
        <is>
          <t>安全访问与资源治理组</t>
        </is>
      </c>
      <c r="U23" s="28">
        <f>COUNTIF('追溯与覆盖'!$J$5:$J$153,A23)</f>
        <v/>
      </c>
      <c r="V23" s="28" t="inlineStr">
        <is>
          <t>L1-SC-TenantIsolation-017、L4-SC-ViewProtection-062、L4-CO-DrainAndQuiesce-073、L4-CO-AtomicRemapPrimitive-065、L4-SC-SecureExtentRelease-074、L4-CO-PageMigration-063</t>
        </is>
      </c>
      <c r="W23" s="28">
        <f>COUNTIF('AR开发认领'!$B$5:$B$207,A23)</f>
        <v/>
      </c>
      <c r="X23" s="28">
        <f>IF(AND(F23&lt;&gt;"",G23&lt;&gt;"",J23&lt;&gt;"",L23&lt;&gt;"",M23&lt;&gt;"",N23&lt;&gt;"",O23&lt;&gt;"",U23&gt;0,W23&gt;=3,Q23="否"),"PASS","REVIEW")</f>
        <v/>
      </c>
      <c r="Y23" s="36" t="inlineStr">
        <is>
          <t>模块功能闭包｜完成安全访问、资源下线、地址切换与回滚闭包；保证迁移、故障和升级过程中无越权、悬空引用或不可恢复状态。</t>
        </is>
      </c>
    </row>
    <row r="24" ht="54" customHeight="1">
      <c r="A24" s="28" t="inlineStr">
        <is>
          <t>SR23-02-01-01</t>
        </is>
      </c>
      <c r="B24" s="28" t="inlineStr">
        <is>
          <t>IR-02-01</t>
        </is>
      </c>
      <c r="C24" s="28" t="inlineStr">
        <is>
          <t>SF-02</t>
        </is>
      </c>
      <c r="D24" s="28" t="inlineStr">
        <is>
          <t>vLLM/SGLang 统一 KV连接器（KVConnector） 协议与插件 SDK</t>
        </is>
      </c>
      <c r="E24" s="28" t="inlineStr">
        <is>
          <t>协议与 SDK</t>
        </is>
      </c>
      <c r="F24" s="28" t="inlineStr">
        <is>
          <t>KV连接器（KVConnector） 协议（Protocol）、C++/Python SDK、gRPC/Protobuf IDL、符合性测试套件（conformance suite）</t>
        </is>
      </c>
      <c r="G24" s="28" t="inlineStr">
        <is>
          <t>vLLM、SGLang、查询计划（QueryPlan）、目录（Directory） 和 后端（Backend） 插件</t>
        </is>
      </c>
      <c r="H24" s="28" t="inlineStr">
        <is>
          <t>KVAccessIntent/QueryPlan/AttachHandle、put/get/prefetch/evict/status、buffer contract 与语义身份</t>
        </is>
      </c>
      <c r="I24" s="28" t="inlineStr">
        <is>
          <t>具体目录/存储/传输实现</t>
        </is>
      </c>
      <c r="J24" s="28" t="inlineStr">
        <is>
          <t>版本化 SDK/IDL、同步/异步语义、错误码、超时、重试与兼容规则</t>
        </is>
      </c>
      <c r="K24" s="28" t="inlineStr">
        <is>
          <t>框架生成 意图（Intent）→调用 连接器（Connector）→接收 查询计划（QueryPlan）/附加句柄（AttachHandle）→消费或回退</t>
        </is>
      </c>
      <c r="L24" s="28" t="inlineStr">
        <is>
          <t>插件缺失或版本不兼容时禁用统一池并回到框架原生 cache/重算（recompute）</t>
        </is>
      </c>
      <c r="M24" s="28" t="inlineStr">
        <is>
          <t>Reference 连接器（Connector） + 两个框架 适配器（adapter） mock 即可独立验收</t>
        </is>
      </c>
      <c r="N24" s="28" t="inlineStr">
        <is>
          <t>符合性（conformance）通过率100%；接口调用 p99&lt;5μs；新后端接入工期降低≥50%</t>
        </is>
      </c>
      <c r="O24" s="28" t="inlineStr">
        <is>
          <t>Reference 连接器（Connector） 自包含，无外部前置</t>
        </is>
      </c>
      <c r="P24" s="28" t="n"/>
      <c r="Q24" s="28" t="inlineStr">
        <is>
          <t>否</t>
        </is>
      </c>
      <c r="R24" s="28" t="inlineStr">
        <is>
          <t>P0</t>
        </is>
      </c>
      <c r="S24" s="28" t="inlineStr">
        <is>
          <t>P0</t>
        </is>
      </c>
      <c r="T24" s="28" t="inlineStr">
        <is>
          <t>连接器（Connector） 协议与框架接入组</t>
        </is>
      </c>
      <c r="U24" s="28">
        <f>COUNTIF('追溯与覆盖'!$J$5:$J$153,A24)</f>
        <v/>
      </c>
      <c r="V24" s="28" t="inlineStr">
        <is>
          <t>L2-CONN-API-STD-001、L2-CONN-BufferContract-040、L2-CONN-CostAwareReturn-039、L2-KV-PublishCommit-033、L2-KV-SemanticIdentity-036</t>
        </is>
      </c>
      <c r="W24" s="28">
        <f>COUNTIF('AR开发认领'!$B$5:$B$207,A24)</f>
        <v/>
      </c>
      <c r="X24" s="28">
        <f>IF(AND(F24&lt;&gt;"",G24&lt;&gt;"",J24&lt;&gt;"",L24&lt;&gt;"",M24&lt;&gt;"",N24&lt;&gt;"",O24&lt;&gt;"",U24&gt;0,W24&gt;=3,Q24="否"),"PASS","REVIEW")</f>
        <v/>
      </c>
      <c r="Y24" s="36" t="inlineStr">
        <is>
          <t>模块功能闭包｜交付 vLLM/SGLang 统一连接器（KVConnector）协议与插件 SDK；降低框架和后端接入成本，使开源 Provider 可兼容复用且由本项目承担一致性责任。</t>
        </is>
      </c>
    </row>
    <row r="25" ht="54" customHeight="1">
      <c r="A25" s="28" t="inlineStr">
        <is>
          <t>SR23-02-02-01</t>
        </is>
      </c>
      <c r="B25" s="28" t="inlineStr">
        <is>
          <t>IR-02-02</t>
        </is>
      </c>
      <c r="C25" s="28" t="inlineStr">
        <is>
          <t>SF-02</t>
        </is>
      </c>
      <c r="D25" s="28" t="inlineStr">
        <is>
          <t>前缀预算（Prefix Budget）、加载与重算（load-vs-recompute） 与水位准入组件</t>
        </is>
      </c>
      <c r="E25" s="28" t="inlineStr">
        <is>
          <t>框架插件</t>
        </is>
      </c>
      <c r="F25" s="28" t="inlineStr">
        <is>
          <t>admission-engine 插件、前缀预算（PrefixBudget）/水位准入（WatermarkAdmission） 与 影子决策（shadow decision） 日志</t>
        </is>
      </c>
      <c r="G25" s="28" t="inlineStr">
        <is>
          <t>vLLM/SGLang 调度器（Scheduler） 和 查询计划（QueryPlan）</t>
        </is>
      </c>
      <c r="H25" s="28" t="inlineStr">
        <is>
          <t>前缀决策预算、加载收益判断、级联水位反压与 partial/重算（recompute）</t>
        </is>
      </c>
      <c r="I25" s="28" t="inlineStr">
        <is>
          <t>实例级 cache-aware 路由、目录实现</t>
        </is>
      </c>
      <c r="J25" s="28" t="inlineStr">
        <is>
          <t>AdmissionRequest/Decision、截止时限（deadline）、原因（reason） code 与 回退（fallback） action</t>
        </is>
      </c>
      <c r="K25" s="28" t="inlineStr">
        <is>
          <t>命中候选→计算 lookup/load/attach 成本→在 截止时限（deadline） 内准入或重算</t>
        </is>
      </c>
      <c r="L25" s="28" t="inlineStr">
        <is>
          <t>预算超时、成本不可信或水位过高时 partial/重算（recompute）；不得等待远端负收益 加载（Load）</t>
        </is>
      </c>
      <c r="M25" s="28" t="inlineStr">
        <is>
          <t>调度器（Scheduler） 测试支架（harness） + 查询计划（QueryPlan）/目录（Directory） 桩（stub） 即可独立验收</t>
        </is>
      </c>
      <c r="N25" s="28" t="inlineStr">
        <is>
          <t>p99 TTFT降低≥20%；废弃远端加载（abandoned remote load）降低≥50%；错误 加载（Load）&lt;1%</t>
        </is>
      </c>
      <c r="O25" s="28" t="inlineStr">
        <is>
          <t>CONNECTOR_PROTOCOL、QUERYPLAN_ENGINE、DIRECTORY_FASTPATH 桩</t>
        </is>
      </c>
      <c r="P25" s="28" t="inlineStr">
        <is>
          <t>SR23-02-01-01、SR23-01-03-01、SR23-02-05-02</t>
        </is>
      </c>
      <c r="Q25" s="28" t="inlineStr">
        <is>
          <t>否</t>
        </is>
      </c>
      <c r="R25" s="28" t="inlineStr">
        <is>
          <t>P0</t>
        </is>
      </c>
      <c r="S25" s="28" t="inlineStr">
        <is>
          <t>P0</t>
        </is>
      </c>
      <c r="T25" s="28" t="inlineStr">
        <is>
          <t>推理准入与收益决策组</t>
        </is>
      </c>
      <c r="U25" s="28">
        <f>COUNTIF('追溯与覆盖'!$J$5:$J$153,A25)</f>
        <v/>
      </c>
      <c r="V25" s="28" t="inlineStr">
        <is>
          <t>L1-PM-PrefixBudget-001、L1-RT-Admission-007、L1-RT-WatermarkAdmission-024</t>
        </is>
      </c>
      <c r="W25" s="28">
        <f>COUNTIF('AR开发认领'!$B$5:$B$207,A25)</f>
        <v/>
      </c>
      <c r="X25" s="28">
        <f>IF(AND(F25&lt;&gt;"",G25&lt;&gt;"",J25&lt;&gt;"",L25&lt;&gt;"",M25&lt;&gt;"",N25&lt;&gt;"",O25&lt;&gt;"",U25&gt;0,W25&gt;=3,Q25="否"),"PASS","REVIEW")</f>
        <v/>
      </c>
      <c r="Y25" s="36" t="inlineStr">
        <is>
          <t>模块性能优化｜用前缀预算（Prefix Budget）、加载与重算比较和水位准入阻断负收益请求；把命中率目标升级为正价值消费与 SLO 合格业务量。</t>
        </is>
      </c>
    </row>
    <row r="26" ht="54" customHeight="1">
      <c r="A26" s="28" t="inlineStr">
        <is>
          <t>SR23-02-02-02</t>
        </is>
      </c>
      <c r="B26" s="28" t="inlineStr">
        <is>
          <t>IR-02-02</t>
        </is>
      </c>
      <c r="C26" s="28" t="inlineStr">
        <is>
          <t>SF-02</t>
        </is>
      </c>
      <c r="D26" s="28" t="inlineStr">
        <is>
          <t>缓存感知（Cache-aware） 路由与异构存储调度插件</t>
        </is>
      </c>
      <c r="E26" s="28" t="inlineStr">
        <is>
          <t>框架插件</t>
        </is>
      </c>
      <c r="F26" s="28" t="inlineStr">
        <is>
          <t>cache-aware-router、vLLM/SGLang 调度器（Scheduler） 适配器（adapter） 与分层状态视图</t>
        </is>
      </c>
      <c r="G26" s="28" t="inlineStr">
        <is>
          <t>推理网关、vLLM/SGLang 调度器（Scheduler）</t>
        </is>
      </c>
      <c r="H26" s="28" t="inlineStr">
        <is>
          <t>按 放置位置（Placement）/本地可用命中（Local Usable Hit） 路由、异构水位与容量感知调度</t>
        </is>
      </c>
      <c r="I26" s="28" t="inlineStr">
        <is>
          <t>底层对象迁移、目录存储</t>
        </is>
      </c>
      <c r="J26" s="28" t="inlineStr">
        <is>
          <t>PlacementSummary、RouteDecision、SchedulerTierView</t>
        </is>
      </c>
      <c r="K26" s="28" t="inlineStr">
        <is>
          <t>请求到达→查询候选位置/水位→选择实例与加载/重算策略</t>
        </is>
      </c>
      <c r="L26" s="28" t="inlineStr">
        <is>
          <t>目录/水位不可用时回退普通路由；系统过载时平滑拒绝</t>
        </is>
      </c>
      <c r="M26" s="28" t="inlineStr">
        <is>
          <t>多实例 调度器模拟器（scheduler simulator） + 目录 桩（stub） 即可独立验收</t>
        </is>
      </c>
      <c r="N26" s="28" t="inlineStr">
        <is>
          <t>本地可用命中（Local Usable Hit）提升≥25%；跨节点每请求字节数（bytes/request）降低≥30%；过载不崩溃</t>
        </is>
      </c>
      <c r="O26" s="28" t="inlineStr">
        <is>
          <t>ADMISSION_ENGINE、DIRECTORY_CORE、POOL_CORE 接口桩</t>
        </is>
      </c>
      <c r="P26" s="28" t="inlineStr">
        <is>
          <t>SR23-02-02-01、SR23-02-05-01、SR23-01-01-01</t>
        </is>
      </c>
      <c r="Q26" s="28" t="inlineStr">
        <is>
          <t>否</t>
        </is>
      </c>
      <c r="R26" s="28" t="inlineStr">
        <is>
          <t>P1</t>
        </is>
      </c>
      <c r="S26" s="28" t="inlineStr">
        <is>
          <t>P0 子集 + P1 完整</t>
        </is>
      </c>
      <c r="T26" s="28" t="inlineStr">
        <is>
          <t>框架调度与路由组</t>
        </is>
      </c>
      <c r="U26" s="28">
        <f>COUNTIF('追溯与覆盖'!$J$5:$J$153,A26)</f>
        <v/>
      </c>
      <c r="V26" s="28" t="inlineStr">
        <is>
          <t>L1-RT-CacheAwareRouting-006、L1-VLLM-HIER-SCHED-002</t>
        </is>
      </c>
      <c r="W26" s="28">
        <f>COUNTIF('AR开发认领'!$B$5:$B$207,A26)</f>
        <v/>
      </c>
      <c r="X26" s="28">
        <f>IF(AND(F26&lt;&gt;"",G26&lt;&gt;"",J26&lt;&gt;"",L26&lt;&gt;"",M26&lt;&gt;"",N26&lt;&gt;"",O26&lt;&gt;"",U26&gt;0,W26&gt;=3,Q26="否"),"PASS","REVIEW")</f>
        <v/>
      </c>
      <c r="Y26" s="36" t="inlineStr">
        <is>
          <t>模块性能优化｜基于缓存位置、可消费资格和异构存储成本进行请求路由与调度；减少跨节点字节、废弃加载和热点拥塞。</t>
        </is>
      </c>
    </row>
    <row r="27" ht="54" customHeight="1">
      <c r="A27" s="28" t="inlineStr">
        <is>
          <t>SR23-02-03-01</t>
        </is>
      </c>
      <c r="B27" s="28" t="inlineStr">
        <is>
          <t>IR-02-03</t>
        </is>
      </c>
      <c r="C27" s="28" t="inlineStr">
        <is>
          <t>SF-02</t>
        </is>
      </c>
      <c r="D27" s="28" t="inlineStr">
        <is>
          <t>跨框架低时延 前缀匹配引擎（Prefix Match Engine）</t>
        </is>
      </c>
      <c r="E27" s="28" t="inlineStr">
        <is>
          <t>组件库</t>
        </is>
      </c>
      <c r="F27" s="28" t="inlineStr">
        <is>
          <t>prefix-match-engine、vLLM hash/SGLang RadixTree 适配器（adapter）、并发基准</t>
        </is>
      </c>
      <c r="G27" s="28" t="inlineStr">
        <is>
          <t>本地元数据快判、目录（Directory） 与 调度器（Scheduler）</t>
        </is>
      </c>
      <c r="H27" s="28" t="inlineStr">
        <is>
          <t>统一 longest-prefix-match、RCU 并发、SIMD/hash 适配器（adapter） 与路径压缩</t>
        </is>
      </c>
      <c r="I27" s="28" t="inlineStr">
        <is>
          <t>副本位置目录、消费资格判断</t>
        </is>
      </c>
      <c r="J27" s="28" t="inlineStr">
        <is>
          <t>match(tokens, semanticIdentity)→PrefixMatchResult</t>
        </is>
      </c>
      <c r="K27" s="28" t="inlineStr">
        <is>
          <t>框架 token/hash 输入→本地索引匹配→返回安全前缀范围</t>
        </is>
      </c>
      <c r="L27" s="28" t="inlineStr">
        <is>
          <t>加速实现不可用时使用 参考匹配器（reference matcher）；不得返回未经语义校验的候选</t>
        </is>
      </c>
      <c r="M27" s="28" t="inlineStr">
        <is>
          <t>固定索引 测试夹具（fixture） + 并发查询即可独立验收</t>
        </is>
      </c>
      <c r="N27" s="28" t="inlineStr">
        <is>
          <t>查询（lookup） p99&lt;200μs；100并发吞吐提升≥8x；匹配正确率100%</t>
        </is>
      </c>
      <c r="O27" s="28" t="inlineStr">
        <is>
          <t>CONNECTOR_PROTOCOL 的 SemanticIdentity 定义</t>
        </is>
      </c>
      <c r="P27" s="28" t="inlineStr">
        <is>
          <t>SR23-02-01-01</t>
        </is>
      </c>
      <c r="Q27" s="28" t="inlineStr">
        <is>
          <t>否</t>
        </is>
      </c>
      <c r="R27" s="28" t="inlineStr">
        <is>
          <t>P1</t>
        </is>
      </c>
      <c r="S27" s="28" t="inlineStr">
        <is>
          <t>P0 子集 + P1 完整</t>
        </is>
      </c>
      <c r="T27" s="28" t="inlineStr">
        <is>
          <t>前缀算法组</t>
        </is>
      </c>
      <c r="U27" s="28">
        <f>COUNTIF('追溯与覆盖'!$J$5:$J$153,A27)</f>
        <v/>
      </c>
      <c r="V27" s="28" t="inlineStr">
        <is>
          <t>L1-SGL-PFX-IDX-003、L1-VLLM-PFX-SCHED-006、L1-VLLM-PFX-IDX-005</t>
        </is>
      </c>
      <c r="W27" s="28">
        <f>COUNTIF('AR开发认领'!$B$5:$B$207,A27)</f>
        <v/>
      </c>
      <c r="X27" s="28">
        <f>IF(AND(F27&lt;&gt;"",G27&lt;&gt;"",J27&lt;&gt;"",L27&lt;&gt;"",M27&lt;&gt;"",N27&lt;&gt;"",O27&lt;&gt;"",U27&gt;0,W27&gt;=3,Q27="否"),"PASS","REVIEW")</f>
        <v/>
      </c>
      <c r="Y27" s="36" t="inlineStr">
        <is>
          <t>模块性能优化｜提供跨 vLLM 哈希与 SGLang 前缀树的低时延匹配引擎；降低目录发现开销并提高并发查询吞吐，为可消费命中漏斗提供高效入口。</t>
        </is>
      </c>
    </row>
    <row r="28" ht="54" customHeight="1">
      <c r="A28" s="28" t="inlineStr">
        <is>
          <t>SR23-02-04-01</t>
        </is>
      </c>
      <c r="B28" s="28" t="inlineStr">
        <is>
          <t>IR-02-04</t>
        </is>
      </c>
      <c r="C28" s="28" t="inlineStr">
        <is>
          <t>SF-02</t>
        </is>
      </c>
      <c r="D28" s="28" t="inlineStr">
        <is>
          <t>本地元数据缓存与批量快判组件</t>
        </is>
      </c>
      <c r="E28" s="28" t="inlineStr">
        <is>
          <t>组件库</t>
        </is>
      </c>
      <c r="F28" s="28" t="inlineStr">
        <is>
          <t>local-metadata-cache、负缓存（Negative Cache）、批量/范围查询（Batch/Range Lookup） 和 新鲜度防护（freshness guard）</t>
        </is>
      </c>
      <c r="G28" s="28" t="inlineStr">
        <is>
          <t>准入控制（Admission）、连接器（Connector）、目录快速路径（Directory Fastpath）</t>
        </is>
      </c>
      <c r="H28" s="28" t="inlineStr">
        <is>
          <t>本地命中/确定 miss、元数据缓存、批量查询、可消费状态快判</t>
        </is>
      </c>
      <c r="I28" s="28" t="inlineStr">
        <is>
          <t>全局目录存储与副本 HA</t>
        </is>
      </c>
      <c r="J28" s="28" t="inlineStr">
        <is>
          <t>查询（lookup）/batchLookup、NegativeResult、FreshnessEvidence</t>
        </is>
      </c>
      <c r="K28" s="28" t="inlineStr">
        <is>
          <t>本地缓存/过滤器快判→必要时批量远端查询→返回 freshness 证据</t>
        </is>
      </c>
      <c r="L28" s="28" t="inlineStr">
        <is>
          <t>缓存过期或不确定时发起精确查询；禁止将 陈旧（stale） 数据作为 可用命中（usable hit）</t>
        </is>
      </c>
      <c r="M28" s="28" t="inlineStr">
        <is>
          <t>内存数据集 + fake 远端目录（remote directory） 即可独立验收</t>
        </is>
      </c>
      <c r="N28" s="28" t="inlineStr">
        <is>
          <t>本地命中&lt;10μs；确定 miss p99&lt;5μs；远端查询QPS降低≥50%；FPR&lt;0.1%</t>
        </is>
      </c>
      <c r="O28" s="28" t="inlineStr">
        <is>
          <t>PREFIX_ENGINE 与 DIRECTORY_CORE 桩（stub）</t>
        </is>
      </c>
      <c r="P28" s="28" t="inlineStr">
        <is>
          <t>SR23-02-03-01、SR23-02-05-01</t>
        </is>
      </c>
      <c r="Q28" s="28" t="inlineStr">
        <is>
          <t>否</t>
        </is>
      </c>
      <c r="R28" s="28" t="inlineStr">
        <is>
          <t>P0</t>
        </is>
      </c>
      <c r="S28" s="28" t="inlineStr">
        <is>
          <t>P0</t>
        </is>
      </c>
      <c r="T28" s="28" t="inlineStr">
        <is>
          <t>本地元数据快路径组</t>
        </is>
      </c>
      <c r="U28" s="28">
        <f>COUNTIF('追溯与覆盖'!$J$5:$J$153,A28)</f>
        <v/>
      </c>
      <c r="V28" s="28" t="inlineStr">
        <is>
          <t>L2-KV-ConsumeEligibility-035、L3-CONN-PFX-IDX-005、L2-CONN-META-CACHE-004、L2-PM-BatchLookup-021</t>
        </is>
      </c>
      <c r="W28" s="28">
        <f>COUNTIF('AR开发认领'!$B$5:$B$207,A28)</f>
        <v/>
      </c>
      <c r="X28" s="28">
        <f>IF(AND(F28&lt;&gt;"",G28&lt;&gt;"",J28&lt;&gt;"",L28&lt;&gt;"",M28&lt;&gt;"",N28&lt;&gt;"",O28&lt;&gt;"",U28&gt;0,W28&gt;=3,Q28="否"),"PASS","REVIEW")</f>
        <v/>
      </c>
      <c r="Y28" s="36" t="inlineStr">
        <is>
          <t>模块性能优化｜通过本地元数据缓存、确定无结果缓存（Negative Cache）和批量快判减少远端目录往返；直接优化命中/未命中的判定时延与控制面负载。</t>
        </is>
      </c>
    </row>
    <row r="29" ht="54" customHeight="1">
      <c r="A29" s="28" t="inlineStr">
        <is>
          <t>SR23-02-05-01</t>
        </is>
      </c>
      <c r="B29" s="28" t="inlineStr">
        <is>
          <t>IR-02-05</t>
        </is>
      </c>
      <c r="C29" s="28" t="inlineStr">
        <is>
          <t>SF-02</t>
        </is>
      </c>
      <c r="D29" s="28" t="inlineStr">
        <is>
          <t>集群 前缀目录（PrefixDirectory） 核心与高可用服务</t>
        </is>
      </c>
      <c r="E29" s="28" t="inlineStr">
        <is>
          <t>独立服务</t>
        </is>
      </c>
      <c r="F29" s="28" t="inlineStr">
        <is>
          <t>prefix-directory-service、模式（schema）、分片/复制/镜像、发布（publish）/invalidate API</t>
        </is>
      </c>
      <c r="G29" s="28" t="inlineStr">
        <is>
          <t>连接器（Connector）、本地缓存、调度器（Scheduler）、运维</t>
        </is>
      </c>
      <c r="H29" s="28" t="inlineStr">
        <is>
          <t>目录 模式（schema）、原子发布、墓碑标记（tombstone）、副本位置、分片、复制与镜像</t>
        </is>
      </c>
      <c r="I29" s="28" t="inlineStr">
        <is>
          <t>请求级收益判断、本地 快速路径（fastpath） 实现</t>
        </is>
      </c>
      <c r="J29" s="28" t="inlineStr">
        <is>
          <t>publish/invalidate/queryReplica、DirectoryRecord、version/墓碑标记（tombstone）</t>
        </is>
      </c>
      <c r="K29" s="28" t="inlineStr">
        <is>
          <t>对象发布→原子写入目录→复制/镜像→查询可用副本</t>
        </is>
      </c>
      <c r="L29" s="28" t="inlineStr">
        <is>
          <t>主分片故障切副本；镜像过期强制精确查询；未 就绪状态（ready）/墓碑标记（tombstone） 不返回</t>
        </is>
      </c>
      <c r="M29" s="28" t="inlineStr">
        <is>
          <t>3节点目录集群或内存一致性模拟器即可独立验收</t>
        </is>
      </c>
      <c r="N29" s="28" t="inlineStr">
        <is>
          <t>可用性≥99.99%；陈旧命中（stale hit）=0；发布可见性一致；故障切换不丢记录</t>
        </is>
      </c>
      <c r="O29" s="28" t="inlineStr">
        <is>
          <t>CONSISTENCY_SERVICE 的版本/就绪状态（ready） 语义</t>
        </is>
      </c>
      <c r="P29" s="28" t="inlineStr">
        <is>
          <t>SR23-01-11-01</t>
        </is>
      </c>
      <c r="Q29" s="28" t="inlineStr">
        <is>
          <t>否</t>
        </is>
      </c>
      <c r="R29" s="28" t="inlineStr">
        <is>
          <t>P0</t>
        </is>
      </c>
      <c r="S29" s="28" t="inlineStr">
        <is>
          <t>P0</t>
        </is>
      </c>
      <c r="T29" s="28" t="inlineStr">
        <is>
          <t>分布式目录服务组</t>
        </is>
      </c>
      <c r="U29" s="28">
        <f>COUNTIF('追溯与覆盖'!$J$5:$J$153,A29)</f>
        <v/>
      </c>
      <c r="V29" s="28" t="inlineStr">
        <is>
          <t>L3-MS-AtomicPublishVisibility-087、L3-MS-DirectoryMirror-036、L3-MS-InvalidationTombstone-066、L3-MS-PrefixDirectorySchema-069、L3-MS-ReplicaPlacementState-059、L3-MC-PFX-REPL-004、L3-MS-DirectoryShardPolicy-073、L3-MS-MetadataCompactLayout-074、L3-MS-MultiReplicaDirectory-037</t>
        </is>
      </c>
      <c r="W29" s="28">
        <f>COUNTIF('AR开发认领'!$B$5:$B$207,A29)</f>
        <v/>
      </c>
      <c r="X29" s="28">
        <f>IF(AND(F29&lt;&gt;"",G29&lt;&gt;"",J29&lt;&gt;"",L29&lt;&gt;"",M29&lt;&gt;"",N29&lt;&gt;"",O29&lt;&gt;"",U29&gt;0,W29&gt;=3,Q29="否"),"PASS","REVIEW")</f>
        <v/>
      </c>
      <c r="Y29" s="36" t="inlineStr">
        <is>
          <t>模块功能闭包｜交付集群前缀目录（PrefixDirectory）核心与高可用服务；完成语义前缀到对象副本的发现、失效和恢复闭包，是跨节点复用的独立服务实体。</t>
        </is>
      </c>
    </row>
    <row r="30" ht="54" customHeight="1">
      <c r="A30" s="28" t="inlineStr">
        <is>
          <t>SR23-02-05-02</t>
        </is>
      </c>
      <c r="B30" s="28" t="inlineStr">
        <is>
          <t>IR-02-05</t>
        </is>
      </c>
      <c r="C30" s="28" t="inlineStr">
        <is>
          <t>SF-02</t>
        </is>
      </c>
      <c r="D30" s="28" t="inlineStr">
        <is>
          <t>前缀目录（PrefixDirectory） 本地快路径与消费资格组件</t>
        </is>
      </c>
      <c r="E30" s="28" t="inlineStr">
        <is>
          <t>组件库</t>
        </is>
      </c>
      <c r="F30" s="28" t="inlineStr">
        <is>
          <t>directory-fastpath、hot 本地（local） index、range/batch 查询（lookup）、ConsumeEligibility</t>
        </is>
      </c>
      <c r="G30" s="28" t="inlineStr">
        <is>
          <t>准入控制（Admission）、查询计划（QueryPlan）、附加（Attach）</t>
        </is>
      </c>
      <c r="H30" s="28" t="inlineStr">
        <is>
          <t>本地热索引、紧凑布局、批量查询、陈旧数据防护（stale guard）、hit quality 和消费资格</t>
        </is>
      </c>
      <c r="I30" s="28" t="inlineStr">
        <is>
          <t>全局分片复制、实际 KV 加载</t>
        </is>
      </c>
      <c r="J30" s="28" t="inlineStr">
        <is>
          <t>lookupFast、ConsumeEligibilityResult、HitQuality、陈旧（stale） 原因（reason）</t>
        </is>
      </c>
      <c r="K30" s="28" t="inlineStr">
        <is>
          <t>候选前缀→本地/镜像快查→版本/就绪状态（ready）/租约（lease） 校验→返回 usable candidates</t>
        </is>
      </c>
      <c r="L30" s="28" t="inlineStr">
        <is>
          <t>本地证据不足时精确查询 DIRECTORY_CORE；负收益候选标记 abandoned</t>
        </is>
      </c>
      <c r="M30" s="28" t="inlineStr">
        <is>
          <t>录制目录快照 + 故障（fault） 测试夹具（fixture） 即可独立验收</t>
        </is>
      </c>
      <c r="N30" s="28" t="inlineStr">
        <is>
          <t>查询（lookup） p99降低≥30%；陈旧命中（stale hit）=0；可用命中（usable hit） 转化提升≥15%；错误候选=0</t>
        </is>
      </c>
      <c r="O30" s="28" t="inlineStr">
        <is>
          <t>DIRECTORY_CORE、LOCAL_METADATA 与 SHARED_ATTACH 契约桩</t>
        </is>
      </c>
      <c r="P30" s="28" t="inlineStr">
        <is>
          <t>SR23-02-05-01、SR23-02-04-01、SR23-01-10-01</t>
        </is>
      </c>
      <c r="Q30" s="28" t="inlineStr">
        <is>
          <t>否</t>
        </is>
      </c>
      <c r="R30" s="28" t="inlineStr">
        <is>
          <t>P0</t>
        </is>
      </c>
      <c r="S30" s="28" t="inlineStr">
        <is>
          <t>P0</t>
        </is>
      </c>
      <c r="T30" s="28" t="inlineStr">
        <is>
          <t>目录快路径与资格判定组</t>
        </is>
      </c>
      <c r="U30" s="28">
        <f>COUNTIF('追溯与覆盖'!$J$5:$J$153,A30)</f>
        <v/>
      </c>
      <c r="V30" s="28" t="inlineStr">
        <is>
          <t>L3-MS-ConsumeEligibility-060、L3-MS-HotLocalIndex-070、L3-MS-MetadataDataPlane-035、L3-MS-RangeBatchLookup-071、L3-MS-StaleHitGuard-067、L3-MC-PFX-IDX-003、L3-MS-TTFTIndexLayout-088、L3-PM-HitQuality-023</t>
        </is>
      </c>
      <c r="W30" s="28">
        <f>COUNTIF('AR开发认领'!$B$5:$B$207,A30)</f>
        <v/>
      </c>
      <c r="X30" s="28">
        <f>IF(AND(F30&lt;&gt;"",G30&lt;&gt;"",J30&lt;&gt;"",L30&lt;&gt;"",M30&lt;&gt;"",N30&lt;&gt;"",O30&lt;&gt;"",U30&gt;0,W30&gt;=3,Q30="否"),"PASS","REVIEW")</f>
        <v/>
      </c>
      <c r="Y30" s="36" t="inlineStr">
        <is>
          <t>功能与性能协同｜完成目录本地快路径与消费资格（ConsumeEligibility）检查；在降低查询尾延迟的同时阻断版本、布局、租约、Ready 或 Rank 不一致的候选。</t>
        </is>
      </c>
    </row>
    <row r="31" ht="54" customHeight="1">
      <c r="A31" s="28" t="inlineStr">
        <is>
          <t>SR23-02-06-01</t>
        </is>
      </c>
      <c r="B31" s="28" t="inlineStr">
        <is>
          <t>IR-02-06</t>
        </is>
      </c>
      <c r="C31" s="28" t="inlineStr">
        <is>
          <t>SF-02</t>
        </is>
      </c>
      <c r="D31" s="28" t="inlineStr">
        <is>
          <t>KV 卸载/加载、分层回源与流式 流水线（Pipeline）</t>
        </is>
      </c>
      <c r="E31" s="28" t="inlineStr">
        <is>
          <t>框架插件</t>
        </is>
      </c>
      <c r="F31" s="28" t="inlineStr">
        <is>
          <t>kv-load-pipeline、vLLM/SGLang 适配器（adapter）、swap/bulk/streaming 加载（load） 控制器</t>
        </is>
      </c>
      <c r="G31" s="28" t="inlineStr">
        <is>
          <t>调度器（Scheduler）、准入控制（Admission）、异步有向无环图（Async DAG） 与 附加（Attach）</t>
        </is>
      </c>
      <c r="H31" s="28" t="inlineStr">
        <is>
          <t>卸载、加载、SSD回源、page/layer 流水、批量 swap 与计算重叠</t>
        </is>
      </c>
      <c r="I31" s="28" t="inlineStr">
        <is>
          <t>预取概率预测、底层 提供器（Provider） 实现</t>
        </is>
      </c>
      <c r="J31" s="28" t="inlineStr">
        <is>
          <t>LoadPlan、LayerReady、cancel/回退（fallback）、framework 适配器（adapter）</t>
        </is>
      </c>
      <c r="K31" s="28" t="inlineStr">
        <is>
          <t>查询计划（QueryPlan）→生成 描述符（descriptor）/有向无环图（DAG）→分层加载→逐层 就绪状态（ready）→附加（Attach）</t>
        </is>
      </c>
      <c r="L31" s="28" t="inlineStr">
        <is>
          <t>超时/路径失败时 partial/重算（recompute）；额外内存超预算时退回整段加载</t>
        </is>
      </c>
      <c r="M31" s="28" t="inlineStr">
        <is>
          <t>框架 测试支架（harness） + MockAsyncDAG 即可独立验收</t>
        </is>
      </c>
      <c r="N31" s="28" t="inlineStr">
        <is>
          <t>计算/传输重叠≥60%；换入（swap-in） TTFT降低≥25%；批量时延降低≥50%；额外内存≤15%</t>
        </is>
      </c>
      <c r="O31" s="28" t="inlineStr">
        <is>
          <t>CONNECTOR_PROTOCOL、ASYNC_DAG、SSD_BACKEND</t>
        </is>
      </c>
      <c r="P31" s="28" t="inlineStr">
        <is>
          <t>SR23-02-01-01、SR23-01-04-01、SR23-01-08-01</t>
        </is>
      </c>
      <c r="Q31" s="28" t="inlineStr">
        <is>
          <t>否</t>
        </is>
      </c>
      <c r="R31" s="28" t="inlineStr">
        <is>
          <t>P2</t>
        </is>
      </c>
      <c r="S31" s="28" t="inlineStr">
        <is>
          <t>P2</t>
        </is>
      </c>
      <c r="T31" s="28" t="inlineStr">
        <is>
          <t>加载流水线与框架适配组</t>
        </is>
      </c>
      <c r="U31" s="28">
        <f>COUNTIF('追溯与覆盖'!$J$5:$J$153,A31)</f>
        <v/>
      </c>
      <c r="V31" s="28" t="inlineStr">
        <is>
          <t>L1-SGL-PRFCH-SCHED-004、L1-SGL-SWP-XFER-002、L1-VLLM-PRFCH-SCHED-004、L2-CONN-SWP-XFER-003</t>
        </is>
      </c>
      <c r="W31" s="28">
        <f>COUNTIF('AR开发认领'!$B$5:$B$207,A31)</f>
        <v/>
      </c>
      <c r="X31" s="28">
        <f>IF(AND(F31&lt;&gt;"",G31&lt;&gt;"",J31&lt;&gt;"",L31&lt;&gt;"",M31&lt;&gt;"",N31&lt;&gt;"",O31&lt;&gt;"",U31&gt;0,W31&gt;=3,Q31="否"),"PASS","REVIEW")</f>
        <v/>
      </c>
      <c r="Y31" s="36" t="inlineStr">
        <is>
          <t>功能与性能协同｜完成 KV 卸载/加载、分层回源与流式流水线闭包；把目录和策略结果落实为可取消、可回退的真实执行路径，并提高计算—传输重叠。</t>
        </is>
      </c>
    </row>
    <row r="32" ht="54" customHeight="1">
      <c r="A32" s="28" t="inlineStr">
        <is>
          <t>SR23-02-07-01</t>
        </is>
      </c>
      <c r="B32" s="28" t="inlineStr">
        <is>
          <t>IR-02-07</t>
        </is>
      </c>
      <c r="C32" s="28" t="inlineStr">
        <is>
          <t>SF-02</t>
        </is>
      </c>
      <c r="D32" s="28" t="inlineStr">
        <is>
          <t>投机预取与效果反馈组件</t>
        </is>
      </c>
      <c r="E32" s="28" t="inlineStr">
        <is>
          <t>策略插件</t>
        </is>
      </c>
      <c r="F32" s="28" t="inlineStr">
        <is>
          <t>prefetch-engine、复用预测器接口、准入（admission） 反馈（feedback） 和收益看板</t>
        </is>
      </c>
      <c r="G32" s="28" t="inlineStr">
        <is>
          <t>调度器（Scheduler）、加载（Load） 流水线（Pipeline） 与 Tier Capacity</t>
        </is>
      </c>
      <c r="H32" s="28" t="inlineStr">
        <is>
          <t>趋势/概率预测、预取准入、截止时限（deadline） 约束、收益反馈与误预取抑制</t>
        </is>
      </c>
      <c r="I32" s="28" t="inlineStr">
        <is>
          <t>项目早期复杂在线学习、底层传输执行</t>
        </is>
      </c>
      <c r="J32" s="28" t="inlineStr">
        <is>
          <t>PrefetchCandidate、PrefetchDecision、OutcomeFeedback</t>
        </is>
      </c>
      <c r="K32" s="28" t="inlineStr">
        <is>
          <t>生成候选→估算复用概率/成本→有界提交预取→反馈命中与浪费</t>
        </is>
      </c>
      <c r="L32" s="28" t="inlineStr">
        <is>
          <t>收益不稳定时只对白名单启用；高水位/前台拥塞立即暂停</t>
        </is>
      </c>
      <c r="M32" s="28" t="inlineStr">
        <is>
          <t>离线 追踪（trace） 回放（replay） + MockLoadPipeline 即可独立验收</t>
        </is>
      </c>
      <c r="N32" s="28" t="inlineStr">
        <is>
          <t>预取命中率≥70%；误预取率&lt;20%；额外HBM≤10%；命中等待降低≥60%</t>
        </is>
      </c>
      <c r="O32" s="28" t="inlineStr">
        <is>
          <t>LOAD_PIPELINE、QUERYPLAN_ENGINE 与固定 追踪（trace）</t>
        </is>
      </c>
      <c r="P32" s="28" t="inlineStr">
        <is>
          <t>SR23-02-06-01、SR23-01-03-01</t>
        </is>
      </c>
      <c r="Q32" s="28" t="inlineStr">
        <is>
          <t>否</t>
        </is>
      </c>
      <c r="R32" s="28" t="inlineStr">
        <is>
          <t>P2</t>
        </is>
      </c>
      <c r="S32" s="28" t="inlineStr">
        <is>
          <t>P2</t>
        </is>
      </c>
      <c r="T32" s="28" t="inlineStr">
        <is>
          <t>预取策略组</t>
        </is>
      </c>
      <c r="U32" s="28">
        <f>COUNTIF('追溯与覆盖'!$J$5:$J$153,A32)</f>
        <v/>
      </c>
      <c r="V32" s="28" t="inlineStr">
        <is>
          <t>L2-CONN-PRFCH-ENGINE-007</t>
        </is>
      </c>
      <c r="W32" s="28">
        <f>COUNTIF('AR开发认领'!$B$5:$B$207,A32)</f>
        <v/>
      </c>
      <c r="X32" s="28">
        <f>IF(AND(F32&lt;&gt;"",G32&lt;&gt;"",J32&lt;&gt;"",L32&lt;&gt;"",M32&lt;&gt;"",N32&lt;&gt;"",O32&lt;&gt;"",U32&gt;0,W32&gt;=3,Q32="否"),"PASS","REVIEW")</f>
        <v/>
      </c>
      <c r="Y32" s="36" t="inlineStr">
        <is>
          <t>模块性能优化｜在功能开关下进行投机预取并闭环预测—实际效果；只有命中等待收益覆盖额外 HBM、I/O 和 TPOT 干扰时启用。</t>
        </is>
      </c>
    </row>
    <row r="33" ht="54" customHeight="1">
      <c r="A33" s="28" t="inlineStr">
        <is>
          <t>SR23-02-08-01</t>
        </is>
      </c>
      <c r="B33" s="28" t="inlineStr">
        <is>
          <t>IR-02-08</t>
        </is>
      </c>
      <c r="C33" s="28" t="inlineStr">
        <is>
          <t>SF-02</t>
        </is>
      </c>
      <c r="D33" s="28" t="inlineStr">
        <is>
          <t>模型 KV 容量画像、水位与生命周期配置组件</t>
        </is>
      </c>
      <c r="E33" s="28" t="inlineStr">
        <is>
          <t>组件工具</t>
        </is>
      </c>
      <c r="F33" s="28" t="inlineStr">
        <is>
          <t>capacity-profiler、模型配置画像（ModelProfile）/KV块规格（KVBlockSpec）、水位（watermark） 配置和生命周期事件 SDK</t>
        </is>
      </c>
      <c r="G33" s="28" t="inlineStr">
        <is>
          <t>调度器（Scheduler）、Pool、Tier Capacity 与运维</t>
        </is>
      </c>
      <c r="H33" s="28" t="inlineStr">
        <is>
          <t>模型容量估算、水位预算、生命周期事件、defrag-aware 准入（admission）</t>
        </is>
      </c>
      <c r="I33" s="28" t="inlineStr">
        <is>
          <t>实际迁移/压紧执行</t>
        </is>
      </c>
      <c r="J33" s="28" t="inlineStr">
        <is>
          <t>模型配置画像（ModelProfile）、KV块规格（KVBlockSpec）、CapacityBudget、LifecycleEvent</t>
        </is>
      </c>
      <c r="K33" s="28" t="inlineStr">
        <is>
          <t>解析模型/布局（layout）→估算 KV 容量→生成水位/准入预算→持续校准</t>
        </is>
      </c>
      <c r="L33" s="28" t="inlineStr">
        <is>
          <t>画像缺失时使用保守上界；估算误差超阈值时禁止自动扩容</t>
        </is>
      </c>
      <c r="M33" s="28" t="inlineStr">
        <is>
          <t>模型配置与 合成分配（synthetic allocation） 即可独立验收</t>
        </is>
      </c>
      <c r="N33" s="28" t="inlineStr">
        <is>
          <t>容量估算误差&lt;5%；配置校验100%；OOM/抢占（preemption）降低≥50%；错误预算=0</t>
        </is>
      </c>
      <c r="O33" s="28" t="inlineStr">
        <is>
          <t>POOL_CORE 接口与模型配置 测试夹具（fixture）</t>
        </is>
      </c>
      <c r="P33" s="28" t="inlineStr">
        <is>
          <t>SR23-01-01-01</t>
        </is>
      </c>
      <c r="Q33" s="28" t="inlineStr">
        <is>
          <t>否</t>
        </is>
      </c>
      <c r="R33" s="28" t="inlineStr">
        <is>
          <t>P0</t>
        </is>
      </c>
      <c r="S33" s="28" t="inlineStr">
        <is>
          <t>P0</t>
        </is>
      </c>
      <c r="T33" s="28" t="inlineStr">
        <is>
          <t>容量画像与生命周期配置组</t>
        </is>
      </c>
      <c r="U33" s="28">
        <f>COUNTIF('追溯与覆盖'!$J$5:$J$153,A33)</f>
        <v/>
      </c>
      <c r="V33" s="28" t="inlineStr">
        <is>
          <t>L3-MM-Lifecycle-009、L1-MM-DefragAware-023、L1-MM-KVSizing-008</t>
        </is>
      </c>
      <c r="W33" s="28">
        <f>COUNTIF('AR开发认领'!$B$5:$B$207,A33)</f>
        <v/>
      </c>
      <c r="X33" s="28">
        <f>IF(AND(F33&lt;&gt;"",G33&lt;&gt;"",J33&lt;&gt;"",L33&lt;&gt;"",M33&lt;&gt;"",N33&lt;&gt;"",O33&lt;&gt;"",U33&gt;0,W33&gt;=3,Q33="否"),"PASS","REVIEW")</f>
        <v/>
      </c>
      <c r="Y33" s="36" t="inlineStr">
        <is>
          <t>模块功能闭包｜交付模型 KV 容量画像、水位和生命周期配置工具；统一容量口径、准入参数与采购规划，为分层策略提供可复现输入。</t>
        </is>
      </c>
    </row>
    <row r="34" ht="54" customHeight="1">
      <c r="A34" s="28" t="inlineStr">
        <is>
          <t>SR23-02-09-01</t>
        </is>
      </c>
      <c r="B34" s="28" t="inlineStr">
        <is>
          <t>IR-02-09</t>
        </is>
      </c>
      <c r="C34" s="28" t="inlineStr">
        <is>
          <t>SF-02</t>
        </is>
      </c>
      <c r="D34" s="28" t="inlineStr">
        <is>
          <t>活跃/热/冷 KV 分层驻留与部分复用策略</t>
        </is>
      </c>
      <c r="E34" s="28" t="inlineStr">
        <is>
          <t>策略插件</t>
        </is>
      </c>
      <c r="F34" s="28" t="inlineStr">
        <is>
          <t>residency-policy、Active/Warm/Cold classifier、部分复用边界（partial boundary） 与 视图与复制对比（View-vs-Copy） 规划器（planner）</t>
        </is>
      </c>
      <c r="G34" s="28" t="inlineStr">
        <is>
          <t>调度器（Scheduler）、Tier Capacity、查询计划（QueryPlan） 与 加载（Load） 流水线（Pipeline）</t>
        </is>
      </c>
      <c r="H34" s="28" t="inlineStr">
        <is>
          <t>解码阶段（Decode） 活跃状态（active） 保护、热前缀驻留、部分前缀复用、近端 视图（view）/回填选择</t>
        </is>
      </c>
      <c r="I34" s="28" t="inlineStr">
        <is>
          <t>物理迁移执行、目录实现</t>
        </is>
      </c>
      <c r="J34" s="28" t="inlineStr">
        <is>
          <t>ResidencyClass、PartialReusePlan、ViewCopyDecision</t>
        </is>
      </c>
      <c r="K34" s="28" t="inlineStr">
        <is>
          <t>分类对象→计算复用/干扰成本→生成驻留、部分复用或回填动作</t>
        </is>
      </c>
      <c r="L34" s="28" t="inlineStr">
        <is>
          <t>分类不可信时保护 活跃状态（active） KV 并使用保守 复制到 HBM（copy-to-HBM）；负收益则重算</t>
        </is>
      </c>
      <c r="M34" s="28" t="inlineStr">
        <is>
          <t>追踪（trace） 回放（replay） + MockTier/加载（Load） 即可独立验收</t>
        </is>
      </c>
      <c r="N34" s="28" t="inlineStr">
        <is>
          <t>HBM有效容量提升≥20%；TPOT p99回退&lt;3%；每GB 节省的令牌（saved tokens）提升≥25%</t>
        </is>
      </c>
      <c r="O34" s="28" t="inlineStr">
        <is>
          <t>CAPACITY_PROFILE、TIER_CAPACITY、LIFECYCLE_CONTROLLER</t>
        </is>
      </c>
      <c r="P34" s="28" t="inlineStr">
        <is>
          <t>SR23-02-08-01、SR23-01-01-02、SR23-01-01-03</t>
        </is>
      </c>
      <c r="Q34" s="28" t="inlineStr">
        <is>
          <t>否</t>
        </is>
      </c>
      <c r="R34" s="28" t="inlineStr">
        <is>
          <t>P1</t>
        </is>
      </c>
      <c r="S34" s="28" t="inlineStr">
        <is>
          <t>P1</t>
        </is>
      </c>
      <c r="T34" s="28" t="inlineStr">
        <is>
          <t>驻留与局部复用策略组</t>
        </is>
      </c>
      <c r="U34" s="28">
        <f>COUNTIF('追溯与覆盖'!$J$5:$J$153,A34)</f>
        <v/>
      </c>
      <c r="V34" s="28" t="inlineStr">
        <is>
          <t>L1-OL-ActiveWarmClass-010、L1-OL-PartialBoundary-012、L1-OL-ViewVsCopy-011</t>
        </is>
      </c>
      <c r="W34" s="28">
        <f>COUNTIF('AR开发认领'!$B$5:$B$207,A34)</f>
        <v/>
      </c>
      <c r="X34" s="28">
        <f>IF(AND(F34&lt;&gt;"",G34&lt;&gt;"",J34&lt;&gt;"",L34&lt;&gt;"",M34&lt;&gt;"",N34&lt;&gt;"",O34&lt;&gt;"",U34&gt;0,W34&gt;=3,Q34="否"),"PASS","REVIEW")</f>
        <v/>
      </c>
      <c r="Y34" s="36" t="inlineStr">
        <is>
          <t>模块性能优化｜按逐词生成活跃、热前缀和冷 KV 的价值进行驻留、淘汰与部分复用；提高每 GB 正价值复用和 HBM 有效容量。</t>
        </is>
      </c>
    </row>
    <row r="35" ht="54" customHeight="1">
      <c r="A35" s="28" t="inlineStr">
        <is>
          <t>SR23-02-10-01</t>
        </is>
      </c>
      <c r="B35" s="28" t="inlineStr">
        <is>
          <t>IR-02-10</t>
        </is>
      </c>
      <c r="C35" s="28" t="inlineStr">
        <is>
          <t>SF-02</t>
        </is>
      </c>
      <c r="D35" s="28" t="inlineStr">
        <is>
          <t>多 并行秩（Rank） KV 一致消费与专家控制组件</t>
        </is>
      </c>
      <c r="E35" s="28" t="inlineStr">
        <is>
          <t>框架插件</t>
        </is>
      </c>
      <c r="F35" s="28" t="inlineStr">
        <is>
          <t>multi-rank-coordinator、意图（Intent） API、并行秩（rank） consensus、ExpertOverride 与指标字段</t>
        </is>
      </c>
      <c r="G35" s="28" t="inlineStr">
        <is>
          <t>TP/PP 调度器（Scheduler）、连接器（Connector）、附加（Attach）</t>
        </is>
      </c>
      <c r="H35" s="28" t="inlineStr">
        <is>
          <t>多卡意图编排、一致消费、并行秩等待（rank wait）/失败、受控专家覆盖</t>
        </is>
      </c>
      <c r="I35" s="28" t="inlineStr">
        <is>
          <t>底层 collective 实现、全局调度</t>
        </is>
      </c>
      <c r="J35" s="28" t="inlineStr">
        <is>
          <t>RankConsensus、PerRankResult、IntentOverride、semantic 指标（metrics）</t>
        </is>
      </c>
      <c r="K35" s="28" t="inlineStr">
        <is>
          <t>广播 意图（Intent）→各 并行秩（rank） 资格检查→共识→统一 附加（Attach）/回退</t>
        </is>
      </c>
      <c r="L35" s="28" t="inlineStr">
        <is>
          <t>任一关键 并行秩（rank） 不一致时统一回退；expert override 必须审计且可关闭</t>
        </is>
      </c>
      <c r="M35" s="28" t="inlineStr">
        <is>
          <t>1/2/4 并行秩（rank） 模拟器（simulator） 即可独立验收</t>
        </is>
      </c>
      <c r="N35" s="28" t="inlineStr">
        <is>
          <t>正确性故障（correctness fault）=0；并行秩等待（rank wait） p99&lt;100μs；字段覆盖100%；回退一致</t>
        </is>
      </c>
      <c r="O35" s="28" t="inlineStr">
        <is>
          <t>CONNECTOR_PROTOCOL、SHARED_ATTACH、CONSISTENCY_SERVICE</t>
        </is>
      </c>
      <c r="P35" s="28" t="inlineStr">
        <is>
          <t>SR23-02-01-01、SR23-01-10-01、SR23-01-11-01</t>
        </is>
      </c>
      <c r="Q35" s="28" t="inlineStr">
        <is>
          <t>否</t>
        </is>
      </c>
      <c r="R35" s="28" t="inlineStr">
        <is>
          <t>P0</t>
        </is>
      </c>
      <c r="S35" s="28" t="inlineStr">
        <is>
          <t>P0</t>
        </is>
      </c>
      <c r="T35" s="28" t="inlineStr">
        <is>
          <t>多卡协同组</t>
        </is>
      </c>
      <c r="U35" s="28">
        <f>COUNTIF('追溯与覆盖'!$J$5:$J$153,A35)</f>
        <v/>
      </c>
      <c r="V35" s="28" t="inlineStr">
        <is>
          <t>L1-SE-IntentAPI-014、L1-PD-RankConsensus-013、L1-SE-ExpertOverride-015</t>
        </is>
      </c>
      <c r="W35" s="28">
        <f>COUNTIF('AR开发认领'!$B$5:$B$207,A35)</f>
        <v/>
      </c>
      <c r="X35" s="28">
        <f>IF(AND(F35&lt;&gt;"",G35&lt;&gt;"",J35&lt;&gt;"",L35&lt;&gt;"",M35&lt;&gt;"",N35&lt;&gt;"",O35&lt;&gt;"",U35&gt;0,W35&gt;=3,Q35="否"),"PASS","REVIEW")</f>
        <v/>
      </c>
      <c r="Y35" s="36" t="inlineStr">
        <is>
          <t>模块功能闭包｜完成多 Rank 的消费一致性、等待和故障控制；保证张量/流水并行场景不会因局部命中或局部 Ready 产生死锁或隐蔽错误。</t>
        </is>
      </c>
    </row>
    <row r="36" ht="54" customHeight="1">
      <c r="A36" s="28" t="inlineStr">
        <is>
          <t>SR23-02-11-01</t>
        </is>
      </c>
      <c r="B36" s="28" t="inlineStr">
        <is>
          <t>IR-02-11</t>
        </is>
      </c>
      <c r="C36" s="28" t="inlineStr">
        <is>
          <t>SF-02</t>
        </is>
      </c>
      <c r="D36" s="28" t="inlineStr">
        <is>
          <t>KV 全路径 遥测数据（Telemetry） 与语义指标 SDK</t>
        </is>
      </c>
      <c r="E36" s="28" t="inlineStr">
        <is>
          <t>平台 SDK</t>
        </is>
      </c>
      <c r="F36" s="28" t="inlineStr">
        <is>
          <t>telemetry-sdk、统一字段字典、低开销 计数器/追踪（counters/traces） 和硬件 counter 适配器（adapter）</t>
        </is>
      </c>
      <c r="G36" s="28" t="inlineStr">
        <is>
          <t>所有 L1-L4 组件、监控平台、性能基线</t>
        </is>
      </c>
      <c r="H36" s="28" t="inlineStr">
        <is>
          <t>request/plan/object/path 关联、raw/usable/abandoned hit、主机访问（Host touch）、NPU 停顿（stall）</t>
        </is>
      </c>
      <c r="I36" s="28" t="inlineStr">
        <is>
          <t>具体 Grafana 大盘、故障分析 UI</t>
        </is>
      </c>
      <c r="J36" s="28" t="inlineStr">
        <is>
          <t>TelemetryEvent、MetricDictionary、sampling/cardinality policy</t>
        </is>
      </c>
      <c r="K36" s="28" t="inlineStr">
        <is>
          <t>组件上报标准事件→本地聚合/采样→导出 OTel/Prometheus</t>
        </is>
      </c>
      <c r="L36" s="28" t="inlineStr">
        <is>
          <t>采集失败不得阻塞数据面；高基数标签限额；必要时降采样</t>
        </is>
      </c>
      <c r="M36" s="28" t="inlineStr">
        <is>
          <t>单进程 合成数据发射器（synthetic emitter） 即可独立验收</t>
        </is>
      </c>
      <c r="N36" s="28" t="inlineStr">
        <is>
          <t>字段覆盖率100%；常态探针开销&lt;1%；核心指标丢失率&lt;0.1%</t>
        </is>
      </c>
      <c r="O36" s="28" t="inlineStr">
        <is>
          <t>自带 reference emitter/collector，无外部前置</t>
        </is>
      </c>
      <c r="P36" s="28" t="n"/>
      <c r="Q36" s="28" t="inlineStr">
        <is>
          <t>否</t>
        </is>
      </c>
      <c r="R36" s="28" t="inlineStr">
        <is>
          <t>P0</t>
        </is>
      </c>
      <c r="S36" s="28" t="inlineStr">
        <is>
          <t>P0</t>
        </is>
      </c>
      <c r="T36" s="28" t="inlineStr">
        <is>
          <t>可观测 SDK 组</t>
        </is>
      </c>
      <c r="U36" s="28">
        <f>COUNTIF('追溯与覆盖'!$J$5:$J$153,A36)</f>
        <v/>
      </c>
      <c r="V36" s="28" t="inlineStr">
        <is>
          <t>L3-OB-PerPathTelemetry-047、L1-OB-SemanticMetrics-016、L4-OB-RemoteAccessCounter-057</t>
        </is>
      </c>
      <c r="W36" s="28">
        <f>COUNTIF('AR开发认领'!$B$5:$B$207,A36)</f>
        <v/>
      </c>
      <c r="X36" s="28">
        <f>IF(AND(F36&lt;&gt;"",G36&lt;&gt;"",J36&lt;&gt;"",L36&lt;&gt;"",M36&lt;&gt;"",N36&lt;&gt;"",O36&lt;&gt;"",U36&gt;0,W36&gt;=3,Q36="否"),"PASS","REVIEW")</f>
        <v/>
      </c>
      <c r="Y36" s="36" t="inlineStr">
        <is>
          <t>模块功能闭包｜交付 KV 全路径运行观测（Telemetry）与语义指标 SDK；贯通请求—计划—对象—实际路径—客户 SLO，为收益归因、策略校准和硬件反馈提供证据底座。</t>
        </is>
      </c>
    </row>
    <row r="37" ht="54" customHeight="1">
      <c r="A37" s="28" t="inlineStr">
        <is>
          <t>SR23-02-11-02</t>
        </is>
      </c>
      <c r="B37" s="28" t="inlineStr">
        <is>
          <t>IR-02-11</t>
        </is>
      </c>
      <c r="C37" s="28" t="inlineStr">
        <is>
          <t>SF-02</t>
        </is>
      </c>
      <c r="D37" s="28" t="inlineStr">
        <is>
          <t>链路追踪、回退（Fallback） 分析与 KV检视工具（KVInspect） 工具</t>
        </is>
      </c>
      <c r="E37" s="28" t="inlineStr">
        <is>
          <t>运维工具</t>
        </is>
      </c>
      <c r="F37" s="28" t="inlineStr">
        <is>
          <t>trace-inspect 服务/CLI、回退（fallback）/state timeline、告警与排障手册</t>
        </is>
      </c>
      <c r="G37" s="28" t="inlineStr">
        <is>
          <t>研发、测试、SRE 和评审验收</t>
        </is>
      </c>
      <c r="H37" s="28" t="inlineStr">
        <is>
          <t>路径 追踪（trace）、回退（fallback） 原因（reason）、KV 状态时间线、检视（inspect） API 与 MTTR 工作流</t>
        </is>
      </c>
      <c r="I37" s="28" t="inlineStr">
        <is>
          <t>通用 APM 平台替代、业务日志全文检索</t>
        </is>
      </c>
      <c r="J37" s="28" t="inlineStr">
        <is>
          <t>TraceQuery、KVInspectResponse、FallbackTimeline、alert 模式（schema）</t>
        </is>
      </c>
      <c r="K37" s="28" t="inlineStr">
        <is>
          <t>按 request/object/queryplan 聚合事件→重建时间线→输出根因和证据</t>
        </is>
      </c>
      <c r="L37" s="28" t="inlineStr">
        <is>
          <t>部分事件缺失时标记证据不足；不得生成确定性错误结论</t>
        </is>
      </c>
      <c r="M37" s="28" t="inlineStr">
        <is>
          <t>录制 遥测数据（telemetry） 测试夹具（fixture） 即可独立验收</t>
        </is>
      </c>
      <c r="N37" s="28" t="inlineStr">
        <is>
          <t>回退（fallback） 原因（reason）覆盖100%；关键路径可对账；故障定位降至分钟级</t>
        </is>
      </c>
      <c r="O37" s="28" t="inlineStr">
        <is>
          <t>TELEMETRY_SDK 与录制事件包</t>
        </is>
      </c>
      <c r="P37" s="28" t="inlineStr">
        <is>
          <t>SR23-02-11-01</t>
        </is>
      </c>
      <c r="Q37" s="28" t="inlineStr">
        <is>
          <t>否</t>
        </is>
      </c>
      <c r="R37" s="28" t="inlineStr">
        <is>
          <t>P1</t>
        </is>
      </c>
      <c r="S37" s="28" t="inlineStr">
        <is>
          <t>P1</t>
        </is>
      </c>
      <c r="T37" s="28" t="inlineStr">
        <is>
          <t>故障分析与运维工具组</t>
        </is>
      </c>
      <c r="U37" s="28">
        <f>COUNTIF('追溯与覆盖'!$J$5:$J$153,A37)</f>
        <v/>
      </c>
      <c r="V37" s="28" t="inlineStr">
        <is>
          <t>L2-OB-PathTrace-030、L3-FT-FallbackTrace-046、L3-OB-KVStateTrace-083、L3-CTRL-KVInspectAPI-084</t>
        </is>
      </c>
      <c r="W37" s="28">
        <f>COUNTIF('AR开发认领'!$B$5:$B$207,A37)</f>
        <v/>
      </c>
      <c r="X37" s="28">
        <f>IF(AND(F37&lt;&gt;"",G37&lt;&gt;"",J37&lt;&gt;"",L37&lt;&gt;"",M37&lt;&gt;"",N37&lt;&gt;"",O37&lt;&gt;"",U37&gt;0,W37&gt;=3,Q37="否"),"PASS","REVIEW")</f>
        <v/>
      </c>
      <c r="Y37" s="36" t="inlineStr">
        <is>
          <t>模块功能闭包｜交付链路追踪、回退分析和 KV 检查（KVInspect）工具；缩短跨框架、传输、驱动与硬件的问题定位路径，形成原厂软硬件协同系统责任闭环。</t>
        </is>
      </c>
    </row>
    <row r="38" ht="54" customHeight="1">
      <c r="A38" s="28" t="inlineStr">
        <is>
          <t>SR23-02-12-01</t>
        </is>
      </c>
      <c r="B38" s="28" t="inlineStr">
        <is>
          <t>IR-02-12</t>
        </is>
      </c>
      <c r="C38" s="28" t="inlineStr">
        <is>
          <t>SF-02</t>
        </is>
      </c>
      <c r="D38" s="28" t="inlineStr">
        <is>
          <t>KVCache 性能监控与告警交付包</t>
        </is>
      </c>
      <c r="E38" s="28" t="inlineStr">
        <is>
          <t>工程工具</t>
        </is>
      </c>
      <c r="F38" s="28" t="inlineStr">
        <is>
          <t>Prometheus rules、Grafana 仪表板（dashboards）、分级告警与巡检手册</t>
        </is>
      </c>
      <c r="G38" s="28" t="inlineStr">
        <is>
          <t>SRE、研发和项目验收</t>
        </is>
      </c>
      <c r="H38" s="28" t="inlineStr">
        <is>
          <t>TTFT/TPOT/hit/path/tier/Host touch 大盘、告警和巡检</t>
        </is>
      </c>
      <c r="I38" s="28" t="inlineStr">
        <is>
          <t>遥测数据（Telemetry） SDK 内部埋点实现</t>
        </is>
      </c>
      <c r="J38" s="28" t="inlineStr">
        <is>
          <t>dashboard/alert 版本包与指标字典引用</t>
        </is>
      </c>
      <c r="K38" s="28" t="inlineStr">
        <is>
          <t>导入标准指标→展示分位/路径/状态→触发分级告警</t>
        </is>
      </c>
      <c r="L38" s="28" t="inlineStr">
        <is>
          <t>指标缺失时标记不可判定；大盘故障不阻塞数据面</t>
        </is>
      </c>
      <c r="M38" s="28" t="inlineStr">
        <is>
          <t>录制 指标（metrics） 测试夹具（fixture） + 本地 Grafana 即可独立验收</t>
        </is>
      </c>
      <c r="N38" s="28" t="inlineStr">
        <is>
          <t>刷新&lt;5s；主业务损耗&lt;1%；告警规则准确率100%</t>
        </is>
      </c>
      <c r="O38" s="28" t="inlineStr">
        <is>
          <t>TELEMETRY_SDK 与 TRACE_INSPECT 录制数据</t>
        </is>
      </c>
      <c r="P38" s="28" t="inlineStr">
        <is>
          <t>SR23-02-11-01、SR23-02-11-02</t>
        </is>
      </c>
      <c r="Q38" s="28" t="inlineStr">
        <is>
          <t>否</t>
        </is>
      </c>
      <c r="R38" s="28" t="inlineStr">
        <is>
          <t>P1</t>
        </is>
      </c>
      <c r="S38" s="28" t="inlineStr">
        <is>
          <t>P1</t>
        </is>
      </c>
      <c r="T38" s="28" t="inlineStr">
        <is>
          <t>监控与 SRE 工具组</t>
        </is>
      </c>
      <c r="U38" s="28">
        <f>COUNTIF('追溯与覆盖'!$J$5:$J$153,A38)</f>
        <v/>
      </c>
      <c r="V38" s="28" t="inlineStr">
        <is>
          <t>SE-MONITOR-001</t>
        </is>
      </c>
      <c r="W38" s="28">
        <f>COUNTIF('AR开发认领'!$B$5:$B$207,A38)</f>
        <v/>
      </c>
      <c r="X38" s="28">
        <f>IF(AND(F38&lt;&gt;"",G38&lt;&gt;"",J38&lt;&gt;"",L38&lt;&gt;"",M38&lt;&gt;"",N38&lt;&gt;"",O38&lt;&gt;"",U38&gt;0,W38&gt;=3,Q38="否"),"PASS","REVIEW")</f>
        <v/>
      </c>
      <c r="Y38" s="36" t="inlineStr">
        <is>
          <t>模块功能闭包｜交付性能监控与告警包，把 TTFT/TPOT、实际路径、Host CPU 零数据拷贝凭证（Host Payload Touch Bytes 严格为 0）、错误消费和资源水位转为上线可运营门禁。</t>
        </is>
      </c>
    </row>
    <row r="39" ht="54" customHeight="1">
      <c r="A39" s="28" t="inlineStr">
        <is>
          <t>SR23-02-12-02</t>
        </is>
      </c>
      <c r="B39" s="28" t="inlineStr">
        <is>
          <t>IR-02-12</t>
        </is>
      </c>
      <c r="C39" s="28" t="inlineStr">
        <is>
          <t>SF-02</t>
        </is>
      </c>
      <c r="D39" s="28" t="inlineStr">
        <is>
          <t>核心组件单元/API 测试与硬件 Mock 框架</t>
        </is>
      </c>
      <c r="E39" s="28" t="inlineStr">
        <is>
          <t>工程工具</t>
        </is>
      </c>
      <c r="F39" s="28" t="inlineStr">
        <is>
          <t>gtest/gmock 测试框架、硬件 Mock、符合性（conformance） 流水线（pipeline） 与覆盖率报告</t>
        </is>
      </c>
      <c r="G39" s="28" t="inlineStr">
        <is>
          <t>全部研发组件和 CI</t>
        </is>
      </c>
      <c r="H39" s="28" t="inlineStr">
        <is>
          <t>单元/API/状态机 Mock、软仿分配器、覆盖率门禁</t>
        </is>
      </c>
      <c r="I39" s="28" t="inlineStr">
        <is>
          <t>真实多机 E2E、生产部署</t>
        </is>
      </c>
      <c r="J39" s="28" t="inlineStr">
        <is>
          <t>test 测试夹具（fixture） SDK、mock provider API、coverage gate</t>
        </is>
      </c>
      <c r="K39" s="28" t="inlineStr">
        <is>
          <t>组件注册 测试夹具（fixture）→执行测试→生成覆盖率/兼容性报告→门禁</t>
        </is>
      </c>
      <c r="L39" s="28" t="inlineStr">
        <is>
          <t>硬件不可用时使用 Mock；关键接口无 Mock 时阻断合并</t>
        </is>
      </c>
      <c r="M39" s="28" t="inlineStr">
        <is>
          <t>开发机/CI runner 即可独立验收</t>
        </is>
      </c>
      <c r="N39" s="28" t="inlineStr">
        <is>
          <t>核心覆盖率&gt;85%；核心接口自动化通过率100%</t>
        </is>
      </c>
      <c r="O39" s="28" t="inlineStr">
        <is>
          <t>CONNECTOR_PROTOCOL、TELEMETRY_SDK 的 reference fixtures</t>
        </is>
      </c>
      <c r="P39" s="28" t="inlineStr">
        <is>
          <t>SR23-02-01-01、SR23-02-11-01</t>
        </is>
      </c>
      <c r="Q39" s="28" t="inlineStr">
        <is>
          <t>否</t>
        </is>
      </c>
      <c r="R39" s="28" t="inlineStr">
        <is>
          <t>P1</t>
        </is>
      </c>
      <c r="S39" s="28" t="inlineStr">
        <is>
          <t>P1</t>
        </is>
      </c>
      <c r="T39" s="28" t="inlineStr">
        <is>
          <t>自动化测试平台组</t>
        </is>
      </c>
      <c r="U39" s="28">
        <f>COUNTIF('追溯与覆盖'!$J$5:$J$153,A39)</f>
        <v/>
      </c>
      <c r="V39" s="28" t="inlineStr">
        <is>
          <t>SE-TEST-001</t>
        </is>
      </c>
      <c r="W39" s="28">
        <f>COUNTIF('AR开发认领'!$B$5:$B$207,A39)</f>
        <v/>
      </c>
      <c r="X39" s="28">
        <f>IF(AND(F39&lt;&gt;"",G39&lt;&gt;"",J39&lt;&gt;"",L39&lt;&gt;"",M39&lt;&gt;"",N39&lt;&gt;"",O39&lt;&gt;"",U39&gt;0,W39&gt;=3,Q39="否"),"PASS","REVIEW")</f>
        <v/>
      </c>
      <c r="Y39" s="36" t="inlineStr">
        <is>
          <t>模块功能闭包｜交付核心组件单元/API 测试与硬件模拟（Mock）框架；使 SR 在真实硬件未齐备时仍可独立验收，并沉淀 Day-0 兼容资产。</t>
        </is>
      </c>
    </row>
    <row r="40" ht="54" customHeight="1">
      <c r="A40" s="28" t="inlineStr">
        <is>
          <t>SR23-02-12-03</t>
        </is>
      </c>
      <c r="B40" s="28" t="inlineStr">
        <is>
          <t>IR-02-12</t>
        </is>
      </c>
      <c r="C40" s="28" t="inlineStr">
        <is>
          <t>SF-02</t>
        </is>
      </c>
      <c r="D40" s="28" t="inlineStr">
        <is>
          <t>异构介质 E2E、长稳与混沌测试平台</t>
        </is>
      </c>
      <c r="E40" s="28" t="inlineStr">
        <is>
          <t>工程平台</t>
        </is>
      </c>
      <c r="F40" s="28" t="inlineStr">
        <is>
          <t>E2E 编排、故障注入场景、72h soak suite 与恢复报告模板</t>
        </is>
      </c>
      <c r="G40" s="28" t="inlineStr">
        <is>
          <t>集成测试、Release 和项目验收</t>
        </is>
      </c>
      <c r="H40" s="28" t="inlineStr">
        <is>
          <t>HBM/DDR/SSD/RDMA 连通、跨介质调度、故障回退、长稳泄漏</t>
        </is>
      </c>
      <c r="I40" s="28" t="inlineStr">
        <is>
          <t>日常单元测试、线上生产部署</t>
        </is>
      </c>
      <c r="J40" s="28" t="inlineStr">
        <is>
          <t>场景清单（scenario manifest）、故障注入（fault injection） API、证据包（evidence package）</t>
        </is>
      </c>
      <c r="K40" s="28" t="inlineStr">
        <is>
          <t>部署测试拓扑→注入 工作负载（workload）/故障→验证恢复→归档证据</t>
        </is>
      </c>
      <c r="L40" s="28" t="inlineStr">
        <is>
          <t>真实硬件不足时使用受控模拟；未覆盖路径明确标记 Not Tested</t>
        </is>
      </c>
      <c r="M40" s="28" t="inlineStr">
        <is>
          <t>最小两节点异构测试环境或等价模拟器</t>
        </is>
      </c>
      <c r="N40" s="28" t="inlineStr">
        <is>
          <t>72h零泄漏；故障回退（fallback）&lt;500ms且0错误；介质连通性一键通过</t>
        </is>
      </c>
      <c r="O40" s="28" t="inlineStr">
        <is>
          <t>UNIT_TEST_TOOL、CAP_ROUTER 与可测试 提供器（Provider）</t>
        </is>
      </c>
      <c r="P40" s="28" t="inlineStr">
        <is>
          <t>SR23-02-12-02、SR23-01-09-01</t>
        </is>
      </c>
      <c r="Q40" s="28" t="inlineStr">
        <is>
          <t>否</t>
        </is>
      </c>
      <c r="R40" s="28" t="inlineStr">
        <is>
          <t>P1</t>
        </is>
      </c>
      <c r="S40" s="28" t="inlineStr">
        <is>
          <t>P1</t>
        </is>
      </c>
      <c r="T40" s="28" t="inlineStr">
        <is>
          <t>系统集成与混沌测试组</t>
        </is>
      </c>
      <c r="U40" s="28">
        <f>COUNTIF('追溯与覆盖'!$J$5:$J$153,A40)</f>
        <v/>
      </c>
      <c r="V40" s="28" t="inlineStr">
        <is>
          <t>SE-TEST-002</t>
        </is>
      </c>
      <c r="W40" s="28">
        <f>COUNTIF('AR开发认领'!$B$5:$B$207,A40)</f>
        <v/>
      </c>
      <c r="X40" s="28">
        <f>IF(AND(F40&lt;&gt;"",G40&lt;&gt;"",J40&lt;&gt;"",L40&lt;&gt;"",M40&lt;&gt;"",N40&lt;&gt;"",O40&lt;&gt;"",U40&gt;0,W40&gt;=3,Q40="否"),"PASS","REVIEW")</f>
        <v/>
      </c>
      <c r="Y40" s="36" t="inlineStr">
        <is>
          <t>模块功能闭包｜交付异构介质端到端、长稳与混沌测试平台；用故障注入和持续运行证明正确性、回退及跨版本稳定性，而不是一次性演示。</t>
        </is>
      </c>
    </row>
    <row r="41" ht="54" customHeight="1">
      <c r="A41" s="28" t="inlineStr">
        <is>
          <t>SR23-02-12-04</t>
        </is>
      </c>
      <c r="B41" s="28" t="inlineStr">
        <is>
          <t>IR-02-12</t>
        </is>
      </c>
      <c r="C41" s="28" t="inlineStr">
        <is>
          <t>SF-02</t>
        </is>
      </c>
      <c r="D41" s="28" t="inlineStr">
        <is>
          <t>跨平台构建、制品与灰度发布流水线</t>
        </is>
      </c>
      <c r="E41" s="28" t="inlineStr">
        <is>
          <t>工程平台</t>
        </is>
      </c>
      <c r="F41" s="28" t="inlineStr">
        <is>
          <t>CI/CD 流水线（pipeline）、跨平台矩阵、制品库、canary/rollback 自动化</t>
        </is>
      </c>
      <c r="G41" s="28" t="inlineStr">
        <is>
          <t>全体研发、测试、Release 与运维</t>
        </is>
      </c>
      <c r="H41" s="28" t="inlineStr">
        <is>
          <t>构建、静态检查、测试触发、打包、灰度、自动回滚</t>
        </is>
      </c>
      <c r="I41" s="28" t="inlineStr">
        <is>
          <t>业务功能实现、云平台采购</t>
        </is>
      </c>
      <c r="J41" s="28" t="inlineStr">
        <is>
          <t>流水线（pipeline） templates、制品清单（artifact manifest）、发布/回滚策略（release/rollback policy）</t>
        </is>
      </c>
      <c r="K41" s="28" t="inlineStr">
        <is>
          <t>提交→构建/检查/测试→制品→分阶灰度→发布</t>
        </is>
      </c>
      <c r="L41" s="28" t="inlineStr">
        <is>
          <t>任一质量门禁失败阻断；线上异常自动停止并回滚上一制品</t>
        </is>
      </c>
      <c r="M41" s="28" t="inlineStr">
        <is>
          <t>CI runner + 测试 namespace 即可独立验收</t>
        </is>
      </c>
      <c r="N41" s="28" t="inlineStr">
        <is>
          <t>MR反馈&lt;15min；规范/基础错误拦截100%；自动回滚&lt;1min</t>
        </is>
      </c>
      <c r="O41" s="28" t="inlineStr">
        <is>
          <t>UNIT_TEST_TOOL 与 E2E_CHAOS_TOOL 的可调用入口</t>
        </is>
      </c>
      <c r="P41" s="28" t="inlineStr">
        <is>
          <t>SR23-02-12-02、SR23-02-12-03</t>
        </is>
      </c>
      <c r="Q41" s="28" t="inlineStr">
        <is>
          <t>否</t>
        </is>
      </c>
      <c r="R41" s="28" t="inlineStr">
        <is>
          <t>P2</t>
        </is>
      </c>
      <c r="S41" s="28" t="inlineStr">
        <is>
          <t>P2</t>
        </is>
      </c>
      <c r="T41" s="28" t="inlineStr">
        <is>
          <t>构建与发布工程组</t>
        </is>
      </c>
      <c r="U41" s="28">
        <f>COUNTIF('追溯与覆盖'!$J$5:$J$153,A41)</f>
        <v/>
      </c>
      <c r="V41" s="28" t="inlineStr">
        <is>
          <t>SE-CICD-001</t>
        </is>
      </c>
      <c r="W41" s="28">
        <f>COUNTIF('AR开发认领'!$B$5:$B$207,A41)</f>
        <v/>
      </c>
      <c r="X41" s="28">
        <f>IF(AND(F41&lt;&gt;"",G41&lt;&gt;"",J41&lt;&gt;"",L41&lt;&gt;"",M41&lt;&gt;"",N41&lt;&gt;"",O41&lt;&gt;"",U41&gt;0,W41&gt;=3,Q41="否"),"PASS","REVIEW")</f>
        <v/>
      </c>
      <c r="Y41" s="36" t="inlineStr">
        <is>
          <t>模块功能闭包｜交付跨平台构建、制品、灰度与回滚流水线；把 38 个 SR 组织为可独立发布、可组合认证和可快速止损的工程交付体系。</t>
        </is>
      </c>
    </row>
    <row r="42" ht="54" customHeight="1">
      <c r="A42" s="28" t="inlineStr">
        <is>
          <t>SR23-02-12-05</t>
        </is>
      </c>
      <c r="B42" s="28" t="inlineStr">
        <is>
          <t>IR-02-12</t>
        </is>
      </c>
      <c r="C42" s="28" t="inlineStr">
        <is>
          <t>SF-02</t>
        </is>
      </c>
      <c r="D42" s="28" t="inlineStr">
        <is>
          <t>KVCache 工作负载回放与性能基准平台</t>
        </is>
      </c>
      <c r="E42" s="28" t="inlineStr">
        <is>
          <t>工程工具</t>
        </is>
      </c>
      <c r="F42" s="28" t="inlineStr">
        <is>
          <t>工作负载（workload） generator、追踪（trace） 回放（replay）、基准测试（benchmark） 报告和版本基线库</t>
        </is>
      </c>
      <c r="G42" s="28" t="inlineStr">
        <is>
          <t>架构选型、性能回归、容量规划和 Release</t>
        </is>
      </c>
      <c r="H42" s="28" t="inlineStr">
        <is>
          <t>真实/合成分布回放、10W+QPS 压测、TTFT/TPOT/资源对账</t>
        </is>
      </c>
      <c r="I42" s="28" t="inlineStr">
        <is>
          <t>生产流量入口、在线自动调参</t>
        </is>
      </c>
      <c r="J42" s="28" t="inlineStr">
        <is>
          <t>工作负载清单（workload manifest）、基准测试模式（benchmark schema）、基线比较（baseline comparison）</t>
        </is>
      </c>
      <c r="K42" s="28" t="inlineStr">
        <is>
          <t>加载版本化 工作负载（workload）→执行压测→聚合指标→与基线对比</t>
        </is>
      </c>
      <c r="L42" s="28" t="inlineStr">
        <is>
          <t>真实 追踪（trace） 不可用时使用固定 ShareGPT+Zipf 双轨；禁止把合成热点外推为生产承诺</t>
        </is>
      </c>
      <c r="M42" s="28" t="inlineStr">
        <is>
          <t>单机可做功能验收；异构测试集群用于规模门禁</t>
        </is>
      </c>
      <c r="N42" s="28" t="inlineStr">
        <is>
          <t>可模拟10W+QPS；重复实验CV&lt;5%；报告包含吞吐/TTFT/TPOT/资源曲线</t>
        </is>
      </c>
      <c r="O42" s="28" t="inlineStr">
        <is>
          <t>TELEMETRY_SDK 与版本化 工作负载（workload） pack</t>
        </is>
      </c>
      <c r="P42" s="28" t="inlineStr">
        <is>
          <t>SR23-02-11-01</t>
        </is>
      </c>
      <c r="Q42" s="28" t="inlineStr">
        <is>
          <t>否</t>
        </is>
      </c>
      <c r="R42" s="28" t="inlineStr">
        <is>
          <t>P2</t>
        </is>
      </c>
      <c r="S42" s="28" t="inlineStr">
        <is>
          <t>P2</t>
        </is>
      </c>
      <c r="T42" s="28" t="inlineStr">
        <is>
          <t>性能与容量基准组</t>
        </is>
      </c>
      <c r="U42" s="28">
        <f>COUNTIF('追溯与覆盖'!$J$5:$J$153,A42)</f>
        <v/>
      </c>
      <c r="V42" s="28" t="inlineStr">
        <is>
          <t>SE-PERF-001</t>
        </is>
      </c>
      <c r="W42" s="28">
        <f>COUNTIF('AR开发认领'!$B$5:$B$207,A42)</f>
        <v/>
      </c>
      <c r="X42" s="28">
        <f>IF(AND(F42&lt;&gt;"",G42&lt;&gt;"",J42&lt;&gt;"",L42&lt;&gt;"",M42&lt;&gt;"",N42&lt;&gt;"",O42&lt;&gt;"",U42&gt;0,W42&gt;=3,Q42="否"),"PASS","REVIEW")</f>
        <v/>
      </c>
      <c r="Y42" s="36" t="inlineStr">
        <is>
          <t>模块功能闭包｜交付工作负载回放与性能基准平台；在同模型、同硬件、同 SLO、同调优预算下比较重算、原生框架、最佳开源组合及本项目消融版本，形成竞争力证据。</t>
        </is>
      </c>
    </row>
  </sheetData>
  <mergeCells count="2">
    <mergeCell ref="A2:Y2"/>
    <mergeCell ref="A1:Y1"/>
  </mergeCells>
  <conditionalFormatting sqref="X5:X42">
    <cfRule type="containsText" priority="1" operator="containsText" dxfId="25" text="PASS"/>
    <cfRule type="containsText" priority="2" operator="containsText" dxfId="26" text="REVIEW"/>
  </conditionalFormatting>
  <dataValidations count="2">
    <dataValidation sqref="Q5:Q42" showDropDown="0" showInputMessage="0" showErrorMessage="0" allowBlank="0" type="list">
      <formula1>"否,是"</formula1>
    </dataValidation>
    <dataValidation sqref="R5:R42" showDropDown="0" showInputMessage="0" showErrorMessage="0" allowBlank="0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7"/>
  <sheetViews>
    <sheetView showGridLines="0" workbookViewId="0">
      <selection activeCell="A1" sqref="A1"/>
    </sheetView>
  </sheetViews>
  <sheetFormatPr baseColWidth="8" defaultRowHeight="13.80000019073486"/>
  <cols>
    <col width="20" customWidth="1" min="1" max="1"/>
    <col width="18" customWidth="1" min="2" max="2"/>
    <col width="14" customWidth="1" min="3" max="3"/>
    <col width="28" customWidth="1" min="4" max="4"/>
    <col width="22" customWidth="1" min="5" max="5"/>
    <col width="38" customWidth="1" min="6" max="6"/>
    <col width="48" customWidth="1" min="7" max="7"/>
    <col width="34" customWidth="1" min="8" max="8"/>
    <col width="42" customWidth="1" min="9" max="9"/>
    <col width="34" customWidth="1" min="10" max="11"/>
    <col width="20" customWidth="1" min="12" max="12"/>
    <col width="28" customWidth="1" min="13" max="13"/>
    <col width="10" customWidth="1" min="14" max="14"/>
    <col width="16" customWidth="1" min="15" max="15"/>
    <col width="12" customWidth="1" min="16" max="16"/>
    <col width="18" customWidth="1" min="17" max="17"/>
    <col width="22" customWidth="1" min="18" max="18"/>
    <col width="12" customWidth="1" min="19" max="20"/>
  </cols>
  <sheetData>
    <row r="1" ht="28.04999923706055" customHeight="1">
      <c r="A1" s="26" t="inlineStr">
        <is>
          <t>AR 开发认领（按真实复杂度拆分）</t>
        </is>
      </c>
    </row>
    <row r="2" ht="42" customHeight="1">
      <c r="A2" s="17" t="inlineStr">
        <is>
          <t>共 203 个 AR；每个 SR 按组件复杂度拆为 3～6 个工作包，不再固定“每 SR 三条”。依赖 AR 表示同一交付包内部次序，依赖 SR 表示集成依赖。</t>
        </is>
      </c>
    </row>
    <row r="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</row>
    <row r="4" ht="34.04999923706055" customHeight="1">
      <c r="A4" s="13" t="inlineStr">
        <is>
          <t>AR ID</t>
        </is>
      </c>
      <c r="B4" s="13" t="inlineStr">
        <is>
          <t>父 SR</t>
        </is>
      </c>
      <c r="C4" s="13" t="inlineStr">
        <is>
          <t>任务类型</t>
        </is>
      </c>
      <c r="D4" s="13" t="inlineStr">
        <is>
          <t>任务名称</t>
        </is>
      </c>
      <c r="E4" s="13" t="inlineStr">
        <is>
          <t>建议责任角色</t>
        </is>
      </c>
      <c r="F4" s="13" t="inlineStr">
        <is>
          <t>代码/配置对象</t>
        </is>
      </c>
      <c r="G4" s="13" t="inlineStr">
        <is>
          <t>原子实施任务</t>
        </is>
      </c>
      <c r="H4" s="13" t="inlineStr">
        <is>
          <t>输出物</t>
        </is>
      </c>
      <c r="I4" s="13" t="inlineStr">
        <is>
          <t>Definition of Done</t>
        </is>
      </c>
      <c r="J4" s="13" t="inlineStr">
        <is>
          <t>验证命令/用例</t>
        </is>
      </c>
      <c r="K4" s="13" t="inlineStr">
        <is>
          <t>验收 KPI</t>
        </is>
      </c>
      <c r="L4" s="13" t="inlineStr">
        <is>
          <t>依赖 AR</t>
        </is>
      </c>
      <c r="M4" s="13" t="inlineStr">
        <is>
          <t>依赖 SR</t>
        </is>
      </c>
      <c r="N4" s="13" t="inlineStr">
        <is>
          <t>优先级</t>
        </is>
      </c>
      <c r="O4" s="13" t="inlineStr">
        <is>
          <t>阶段</t>
        </is>
      </c>
      <c r="P4" s="13" t="inlineStr">
        <is>
          <t>状态</t>
        </is>
      </c>
      <c r="Q4" s="13" t="inlineStr">
        <is>
          <t>实际 Owner</t>
        </is>
      </c>
      <c r="R4" s="13" t="inlineStr">
        <is>
          <t>PR/Commit</t>
        </is>
      </c>
      <c r="S4" s="13" t="inlineStr">
        <is>
          <t>ID 唯一性检查</t>
        </is>
      </c>
      <c r="T4" s="13" t="inlineStr">
        <is>
          <t>父节点检查</t>
        </is>
      </c>
    </row>
    <row r="5" ht="72" customHeight="1">
      <c r="A5" s="11" t="inlineStr">
        <is>
          <t>AR23-01-01-01-01</t>
        </is>
      </c>
      <c r="B5" s="11" t="inlineStr">
        <is>
          <t>SR23-01-01-01</t>
        </is>
      </c>
      <c r="C5" s="11" t="inlineStr">
        <is>
          <t>核心实现</t>
        </is>
      </c>
      <c r="D5" s="11" t="inlineStr">
        <is>
          <t>统一 KV 对象池核心组件｜核心实现</t>
        </is>
      </c>
      <c r="E5" s="11" t="inlineStr">
        <is>
          <t>统一存储池组件组</t>
        </is>
      </c>
      <c r="F5" s="11" t="inlineStr">
        <is>
          <t>src/pool/core/core.{h,cc}</t>
        </is>
      </c>
      <c r="G5" s="11" t="inlineStr">
        <is>
          <t>实现“统一 KV 对象池核心组件”的可运行主路径，交付 kv-pool-core 静态/动态库、KV对象（KVObject）/存储区段清单（ExtentManifest） 数据模型及版本化 API 包 的核心代码、构建入口和最小示例。</t>
        </is>
      </c>
      <c r="H5" s="11" t="inlineStr">
        <is>
          <t>核心实现对应的可审查代码/IDL/配置/文档</t>
        </is>
      </c>
      <c r="I5" s="11" t="inlineStr">
        <is>
          <t>代码通过编译、静态检查和单元测试；接口/配置有版本；失败语义和 功能开关（feature flag） 可验证。</t>
        </is>
      </c>
      <c r="J5" s="11" t="inlineStr">
        <is>
          <t>ctest -R pool_core &amp;&amp; run_contract_check --sr SR23-01-01-01</t>
        </is>
      </c>
      <c r="K5" s="11" t="inlineStr">
        <is>
          <t>对象/存储区段（extent） 一致性错误=0；碎片率&lt;5%；10万对象查询 p99&lt;50μs；格式兼容测试通过率=100%</t>
        </is>
      </c>
      <c r="L5" s="11" t="n"/>
      <c r="M5" s="11" t="inlineStr">
        <is>
          <t>SR23-01-09-01</t>
        </is>
      </c>
      <c r="N5" s="11" t="inlineStr">
        <is>
          <t>P0</t>
        </is>
      </c>
      <c r="O5" s="11" t="inlineStr">
        <is>
          <t>P0</t>
        </is>
      </c>
      <c r="P5" s="11" t="inlineStr">
        <is>
          <t>待认领</t>
        </is>
      </c>
      <c r="Q5" s="11" t="n"/>
      <c r="R5" s="11" t="n"/>
      <c r="S5" s="11">
        <f>IF(COUNTIF($A$5:$A$207,A5)=1,"PASS","FAIL")</f>
        <v/>
      </c>
      <c r="T5" s="11">
        <f>IF(COUNTIF('SR系统设计'!$A$5:$A$42,B5)=1,"PASS","FAIL")</f>
        <v/>
      </c>
    </row>
    <row r="6" ht="72" customHeight="1">
      <c r="A6" s="11" t="inlineStr">
        <is>
          <t>AR23-01-01-01-02</t>
        </is>
      </c>
      <c r="B6" s="11" t="inlineStr">
        <is>
          <t>SR23-01-01-01</t>
        </is>
      </c>
      <c r="C6" s="11" t="inlineStr">
        <is>
          <t>接口契约</t>
        </is>
      </c>
      <c r="D6" s="11" t="inlineStr">
        <is>
          <t>统一 KV 对象池核心组件｜接口契约</t>
        </is>
      </c>
      <c r="E6" s="11" t="inlineStr">
        <is>
          <t>统一存储池组件组</t>
        </is>
      </c>
      <c r="F6" s="11" t="inlineStr">
        <is>
          <t>api/kvcache/v23/pool_core.proto + src/pool/core/api.{h,cc}</t>
        </is>
      </c>
      <c r="G6" s="11" t="inlineStr">
        <is>
          <t>冻结并实现接口/IDL、版本兼容、输入输出、错误码与 消费者（consumer） 示例：KV对象存储（KVObjectStore）、存储区段清单（ExtentManifest）、放置位置（Placement）、allocate/open/close/query 接口；错误码和对象版本兼容规则</t>
        </is>
      </c>
      <c r="H6" s="11" t="inlineStr">
        <is>
          <t>接口契约对应的可审查代码/IDL/配置/文档</t>
        </is>
      </c>
      <c r="I6" s="11" t="inlineStr">
        <is>
          <t>代码通过编译、静态检查和单元测试；接口/配置有版本；失败语义和 功能开关（feature flag） 可验证。</t>
        </is>
      </c>
      <c r="J6" s="11" t="inlineStr">
        <is>
          <t>ctest -R pool_core &amp;&amp; run_contract_check --sr SR23-01-01-01</t>
        </is>
      </c>
      <c r="K6" s="11" t="inlineStr">
        <is>
          <t>对象/存储区段（extent） 一致性错误=0；碎片率&lt;5%；10万对象查询 p99&lt;50μs；格式兼容测试通过率=100%</t>
        </is>
      </c>
      <c r="L6" s="11" t="inlineStr">
        <is>
          <t>AR23-01-01-01-01</t>
        </is>
      </c>
      <c r="M6" s="11" t="inlineStr">
        <is>
          <t>SR23-01-09-01</t>
        </is>
      </c>
      <c r="N6" s="11" t="inlineStr">
        <is>
          <t>P0</t>
        </is>
      </c>
      <c r="O6" s="11" t="inlineStr">
        <is>
          <t>P0</t>
        </is>
      </c>
      <c r="P6" s="11" t="inlineStr">
        <is>
          <t>待认领</t>
        </is>
      </c>
      <c r="Q6" s="11" t="n"/>
      <c r="R6" s="11" t="n"/>
      <c r="S6" s="11">
        <f>IF(COUNTIF($A$5:$A$207,A6)=1,"PASS","FAIL")</f>
        <v/>
      </c>
      <c r="T6" s="11">
        <f>IF(COUNTIF('SR系统设计'!$A$5:$A$42,B6)=1,"PASS","FAIL")</f>
        <v/>
      </c>
    </row>
    <row r="7" ht="72" customHeight="1">
      <c r="A7" s="11" t="inlineStr">
        <is>
          <t>AR23-01-01-01-03</t>
        </is>
      </c>
      <c r="B7" s="11" t="inlineStr">
        <is>
          <t>SR23-01-01-01</t>
        </is>
      </c>
      <c r="C7" s="11" t="inlineStr">
        <is>
          <t>状态模型</t>
        </is>
      </c>
      <c r="D7" s="11" t="inlineStr">
        <is>
          <t>统一 KV 对象池核心组件｜状态模型</t>
        </is>
      </c>
      <c r="E7" s="11" t="inlineStr">
        <is>
          <t>统一存储池组件组</t>
        </is>
      </c>
      <c r="F7" s="11" t="inlineStr">
        <is>
          <t>src/pool/core/state_model.{h,cc}</t>
        </is>
      </c>
      <c r="G7" s="11" t="inlineStr">
        <is>
          <t>实现状态、版本、并发互锁和持久/内存数据模型，覆盖正常转换与非法转换保护。</t>
        </is>
      </c>
      <c r="H7" s="11" t="inlineStr">
        <is>
          <t>状态模型对应的可审查代码/IDL/配置/文档</t>
        </is>
      </c>
      <c r="I7" s="11" t="inlineStr">
        <is>
          <t>代码通过编译、静态检查和单元测试；接口/配置有版本；失败语义和 功能开关（feature flag） 可验证。</t>
        </is>
      </c>
      <c r="J7" s="11" t="inlineStr">
        <is>
          <t>ctest -R pool_core &amp;&amp; run_contract_check --sr SR23-01-01-01</t>
        </is>
      </c>
      <c r="K7" s="11" t="inlineStr">
        <is>
          <t>对象/存储区段（extent） 一致性错误=0；碎片率&lt;5%；10万对象查询 p99&lt;50μs；格式兼容测试通过率=100%</t>
        </is>
      </c>
      <c r="L7" s="11" t="inlineStr">
        <is>
          <t>AR23-01-01-01-02</t>
        </is>
      </c>
      <c r="M7" s="11" t="inlineStr">
        <is>
          <t>SR23-01-09-01</t>
        </is>
      </c>
      <c r="N7" s="11" t="inlineStr">
        <is>
          <t>P0</t>
        </is>
      </c>
      <c r="O7" s="11" t="inlineStr">
        <is>
          <t>P0</t>
        </is>
      </c>
      <c r="P7" s="11" t="inlineStr">
        <is>
          <t>待认领</t>
        </is>
      </c>
      <c r="Q7" s="11" t="n"/>
      <c r="R7" s="11" t="n"/>
      <c r="S7" s="11">
        <f>IF(COUNTIF($A$5:$A$207,A7)=1,"PASS","FAIL")</f>
        <v/>
      </c>
      <c r="T7" s="11">
        <f>IF(COUNTIF('SR系统设计'!$A$5:$A$42,B7)=1,"PASS","FAIL")</f>
        <v/>
      </c>
    </row>
    <row r="8" ht="72" customHeight="1">
      <c r="A8" s="11" t="inlineStr">
        <is>
          <t>AR23-01-01-01-04</t>
        </is>
      </c>
      <c r="B8" s="11" t="inlineStr">
        <is>
          <t>SR23-01-01-01</t>
        </is>
      </c>
      <c r="C8" s="11" t="inlineStr">
        <is>
          <t>异常回滚</t>
        </is>
      </c>
      <c r="D8" s="11" t="inlineStr">
        <is>
          <t>统一 KV 对象池核心组件｜异常回滚</t>
        </is>
      </c>
      <c r="E8" s="11" t="inlineStr">
        <is>
          <t>统一存储池组件组</t>
        </is>
      </c>
      <c r="F8" s="11" t="inlineStr">
        <is>
          <t>src/pool/core/fallback.{h,cc} + config/feature_flags/pool_core.yaml</t>
        </is>
      </c>
      <c r="G8" s="11" t="inlineStr">
        <is>
          <t>实现并验证失败、超时、取消、降级、回滚与关闭路径：后端能力缺失时使用 模拟后端（MockBackend）/主机内存后端（HostMemoryBackend）；分配失败显式返回 OOM/UNSUPPORTED，不隐式跨层搬运</t>
        </is>
      </c>
      <c r="H8" s="11" t="inlineStr">
        <is>
          <t>异常回滚对应的可审查代码/IDL/配置/文档</t>
        </is>
      </c>
      <c r="I8" s="11" t="inlineStr">
        <is>
          <t>代码通过编译、静态检查和单元测试；接口/配置有版本；失败语义和 功能开关（feature flag） 可验证。</t>
        </is>
      </c>
      <c r="J8" s="11" t="inlineStr">
        <is>
          <t>ctest -R pool_core &amp;&amp; run_contract_check --sr SR23-01-01-01</t>
        </is>
      </c>
      <c r="K8" s="11" t="inlineStr">
        <is>
          <t>对象/存储区段（extent） 一致性错误=0；碎片率&lt;5%；10万对象查询 p99&lt;50μs；格式兼容测试通过率=100%</t>
        </is>
      </c>
      <c r="L8" s="11" t="inlineStr">
        <is>
          <t>AR23-01-01-01-03</t>
        </is>
      </c>
      <c r="M8" s="11" t="inlineStr">
        <is>
          <t>SR23-01-09-01</t>
        </is>
      </c>
      <c r="N8" s="11" t="inlineStr">
        <is>
          <t>P0</t>
        </is>
      </c>
      <c r="O8" s="11" t="inlineStr">
        <is>
          <t>P0</t>
        </is>
      </c>
      <c r="P8" s="11" t="inlineStr">
        <is>
          <t>待认领</t>
        </is>
      </c>
      <c r="Q8" s="11" t="n"/>
      <c r="R8" s="11" t="n"/>
      <c r="S8" s="11">
        <f>IF(COUNTIF($A$5:$A$207,A8)=1,"PASS","FAIL")</f>
        <v/>
      </c>
      <c r="T8" s="11">
        <f>IF(COUNTIF('SR系统设计'!$A$5:$A$42,B8)=1,"PASS","FAIL")</f>
        <v/>
      </c>
    </row>
    <row r="9" ht="72" customHeight="1">
      <c r="A9" s="11" t="inlineStr">
        <is>
          <t>AR23-01-01-01-05</t>
        </is>
      </c>
      <c r="B9" s="11" t="inlineStr">
        <is>
          <t>SR23-01-01-01</t>
        </is>
      </c>
      <c r="C9" s="11" t="inlineStr">
        <is>
          <t>独立验收</t>
        </is>
      </c>
      <c r="D9" s="11" t="inlineStr">
        <is>
          <t>统一 KV 对象池核心组件｜独立验收</t>
        </is>
      </c>
      <c r="E9" s="11" t="inlineStr">
        <is>
          <t>测试/验收负责人</t>
        </is>
      </c>
      <c r="F9" s="11" t="inlineStr">
        <is>
          <t>tests/pool_core/ + benchmarks/pool_core/ + evidence/pool_core/manifest.yaml</t>
        </is>
      </c>
      <c r="G9" s="11" t="inlineStr">
        <is>
          <t>建立不依赖全项目的验收环境，执行功能、异常、兼容和性能门禁并生成可签字证据包。</t>
        </is>
      </c>
      <c r="H9" s="11" t="inlineStr">
        <is>
          <t>版本化测试结果、原始证据、Go/Conditional/No-Go 结论</t>
        </is>
      </c>
      <c r="I9" s="11" t="inlineStr">
        <is>
          <t>在“单进程 模拟后端（MockBackend） + 文件型 SSD 仿真即可完成全套功能验收，不依赖真实集群”中完成主路径、异常、兼容和回滚；全部证据可一键复现。</t>
        </is>
      </c>
      <c r="J9" s="11" t="inlineStr">
        <is>
          <t>run_sr_acceptance --sr SR23-01-01-01 --baseline locked</t>
        </is>
      </c>
      <c r="K9" s="11" t="inlineStr">
        <is>
          <t>对象/存储区段（extent） 一致性错误=0；碎片率&lt;5%；10万对象查询 p99&lt;50μs；格式兼容测试通过率=100%</t>
        </is>
      </c>
      <c r="L9" s="11" t="inlineStr">
        <is>
          <t>AR23-01-01-01-04</t>
        </is>
      </c>
      <c r="M9" s="11" t="inlineStr">
        <is>
          <t>SR23-01-09-01</t>
        </is>
      </c>
      <c r="N9" s="11" t="inlineStr">
        <is>
          <t>P0</t>
        </is>
      </c>
      <c r="O9" s="11" t="inlineStr">
        <is>
          <t>P0</t>
        </is>
      </c>
      <c r="P9" s="11" t="inlineStr">
        <is>
          <t>待认领</t>
        </is>
      </c>
      <c r="Q9" s="11" t="n"/>
      <c r="R9" s="11" t="n"/>
      <c r="S9" s="11">
        <f>IF(COUNTIF($A$5:$A$207,A9)=1,"PASS","FAIL")</f>
        <v/>
      </c>
      <c r="T9" s="11">
        <f>IF(COUNTIF('SR系统设计'!$A$5:$A$42,B9)=1,"PASS","FAIL")</f>
        <v/>
      </c>
    </row>
    <row r="10" ht="72" customHeight="1">
      <c r="A10" s="11" t="inlineStr">
        <is>
          <t>AR23-01-01-02-01</t>
        </is>
      </c>
      <c r="B10" s="11" t="inlineStr">
        <is>
          <t>SR23-01-01-02</t>
        </is>
      </c>
      <c r="C10" s="11" t="inlineStr">
        <is>
          <t>核心实现</t>
        </is>
      </c>
      <c r="D10" s="11" t="inlineStr">
        <is>
          <t>HBM↔SSD 分层容量与 DDR 角色插件｜核心实现</t>
        </is>
      </c>
      <c r="E10" s="11" t="inlineStr">
        <is>
          <t>分层容量策略组</t>
        </is>
      </c>
      <c r="F10" s="11" t="inlineStr">
        <is>
          <t>src/pool/tiering/core.{h,cc}</t>
        </is>
      </c>
      <c r="G10" s="11" t="inlineStr">
        <is>
          <t>实现“HBM↔SSD 分层容量与 DDR 角色插件”的可运行主路径，交付 tier-capacity-policy 插件、双水位配置、DDR 角色策略（RolePolicy） 和容量收益报告 的核心代码、构建入口和最小示例。</t>
        </is>
      </c>
      <c r="H10" s="11" t="inlineStr">
        <is>
          <t>核心实现对应的可审查代码/IDL/配置/文档</t>
        </is>
      </c>
      <c r="I10" s="11" t="inlineStr">
        <is>
          <t>代码通过编译、静态检查和单元测试；接口/配置有版本；失败语义和 功能开关（feature flag） 可验证。</t>
        </is>
      </c>
      <c r="J10" s="11" t="inlineStr">
        <is>
          <t>ctest -R tier_capacity &amp;&amp; run_contract_check --sr SR23-01-01-02</t>
        </is>
      </c>
      <c r="K10" s="11" t="inlineStr">
        <is>
          <t>HBM有效容量提升≥30%；OOM/抢占（preemption）降低≥50%；DDR角色必须证明净收益；策略额外开销&lt;2%</t>
        </is>
      </c>
      <c r="L10" s="11" t="n"/>
      <c r="M10" s="11" t="inlineStr">
        <is>
          <t>SR23-01-01-01、SR23-01-08-01</t>
        </is>
      </c>
      <c r="N10" s="11" t="inlineStr">
        <is>
          <t>P0</t>
        </is>
      </c>
      <c r="O10" s="11" t="inlineStr">
        <is>
          <t>P0</t>
        </is>
      </c>
      <c r="P10" s="11" t="inlineStr">
        <is>
          <t>待认领</t>
        </is>
      </c>
      <c r="Q10" s="11" t="n"/>
      <c r="R10" s="11" t="n"/>
      <c r="S10" s="11">
        <f>IF(COUNTIF($A$5:$A$207,A10)=1,"PASS","FAIL")</f>
        <v/>
      </c>
      <c r="T10" s="11">
        <f>IF(COUNTIF('SR系统设计'!$A$5:$A$42,B10)=1,"PASS","FAIL")</f>
        <v/>
      </c>
    </row>
    <row r="11" ht="72" customHeight="1">
      <c r="A11" s="11" t="inlineStr">
        <is>
          <t>AR23-01-01-02-02</t>
        </is>
      </c>
      <c r="B11" s="11" t="inlineStr">
        <is>
          <t>SR23-01-01-02</t>
        </is>
      </c>
      <c r="C11" s="11" t="inlineStr">
        <is>
          <t>接口契约</t>
        </is>
      </c>
      <c r="D11" s="11" t="inlineStr">
        <is>
          <t>HBM↔SSD 分层容量与 DDR 角色插件｜接口契约</t>
        </is>
      </c>
      <c r="E11" s="11" t="inlineStr">
        <is>
          <t>分层容量策略组</t>
        </is>
      </c>
      <c r="F11" s="11" t="inlineStr">
        <is>
          <t>api/kvcache/v23/tier_capacity.proto + src/pool/tiering/api.{h,cc}</t>
        </is>
      </c>
      <c r="G11" s="11" t="inlineStr">
        <is>
          <t>冻结并实现接口/IDL、版本兼容、输入输出、错误码与 消费者（consumer） 示例：层级决策（TierDecision）、DDR角色决策（DDRRoleDecision）、水位快照（WatermarkSnapshot）、容量/回退原因（capacity/fallback reason）</t>
        </is>
      </c>
      <c r="H11" s="11" t="inlineStr">
        <is>
          <t>接口契约对应的可审查代码/IDL/配置/文档</t>
        </is>
      </c>
      <c r="I11" s="11" t="inlineStr">
        <is>
          <t>代码通过编译、静态检查和单元测试；接口/配置有版本；失败语义和 功能开关（feature flag） 可验证。</t>
        </is>
      </c>
      <c r="J11" s="11" t="inlineStr">
        <is>
          <t>ctest -R tier_capacity &amp;&amp; run_contract_check --sr SR23-01-01-02</t>
        </is>
      </c>
      <c r="K11" s="11" t="inlineStr">
        <is>
          <t>HBM有效容量提升≥30%；OOM/抢占（preemption）降低≥50%；DDR角色必须证明净收益；策略额外开销&lt;2%</t>
        </is>
      </c>
      <c r="L11" s="11" t="inlineStr">
        <is>
          <t>AR23-01-01-02-01</t>
        </is>
      </c>
      <c r="M11" s="11" t="inlineStr">
        <is>
          <t>SR23-01-01-01、SR23-01-08-01</t>
        </is>
      </c>
      <c r="N11" s="11" t="inlineStr">
        <is>
          <t>P0</t>
        </is>
      </c>
      <c r="O11" s="11" t="inlineStr">
        <is>
          <t>P0</t>
        </is>
      </c>
      <c r="P11" s="11" t="inlineStr">
        <is>
          <t>待认领</t>
        </is>
      </c>
      <c r="Q11" s="11" t="n"/>
      <c r="R11" s="11" t="n"/>
      <c r="S11" s="11">
        <f>IF(COUNTIF($A$5:$A$207,A11)=1,"PASS","FAIL")</f>
        <v/>
      </c>
      <c r="T11" s="11">
        <f>IF(COUNTIF('SR系统设计'!$A$5:$A$42,B11)=1,"PASS","FAIL")</f>
        <v/>
      </c>
    </row>
    <row r="12" ht="72" customHeight="1">
      <c r="A12" s="11" t="inlineStr">
        <is>
          <t>AR23-01-01-02-03</t>
        </is>
      </c>
      <c r="B12" s="11" t="inlineStr">
        <is>
          <t>SR23-01-01-02</t>
        </is>
      </c>
      <c r="C12" s="11" t="inlineStr">
        <is>
          <t>状态模型</t>
        </is>
      </c>
      <c r="D12" s="11" t="inlineStr">
        <is>
          <t>HBM↔SSD 分层容量与 DDR 角色插件｜状态模型</t>
        </is>
      </c>
      <c r="E12" s="11" t="inlineStr">
        <is>
          <t>分层容量策略组</t>
        </is>
      </c>
      <c r="F12" s="11" t="inlineStr">
        <is>
          <t>src/pool/tiering/state_model.{h,cc}</t>
        </is>
      </c>
      <c r="G12" s="11" t="inlineStr">
        <is>
          <t>实现状态、版本、并发互锁和持久/内存数据模型，覆盖正常转换与非法转换保护。</t>
        </is>
      </c>
      <c r="H12" s="11" t="inlineStr">
        <is>
          <t>状态模型对应的可审查代码/IDL/配置/文档</t>
        </is>
      </c>
      <c r="I12" s="11" t="inlineStr">
        <is>
          <t>代码通过编译、静态检查和单元测试；接口/配置有版本；失败语义和 功能开关（feature flag） 可验证。</t>
        </is>
      </c>
      <c r="J12" s="11" t="inlineStr">
        <is>
          <t>ctest -R tier_capacity &amp;&amp; run_contract_check --sr SR23-01-01-02</t>
        </is>
      </c>
      <c r="K12" s="11" t="inlineStr">
        <is>
          <t>HBM有效容量提升≥30%；OOM/抢占（preemption）降低≥50%；DDR角色必须证明净收益；策略额外开销&lt;2%</t>
        </is>
      </c>
      <c r="L12" s="11" t="inlineStr">
        <is>
          <t>AR23-01-01-02-02</t>
        </is>
      </c>
      <c r="M12" s="11" t="inlineStr">
        <is>
          <t>SR23-01-01-01、SR23-01-08-01</t>
        </is>
      </c>
      <c r="N12" s="11" t="inlineStr">
        <is>
          <t>P0</t>
        </is>
      </c>
      <c r="O12" s="11" t="inlineStr">
        <is>
          <t>P0</t>
        </is>
      </c>
      <c r="P12" s="11" t="inlineStr">
        <is>
          <t>待认领</t>
        </is>
      </c>
      <c r="Q12" s="11" t="n"/>
      <c r="R12" s="11" t="n"/>
      <c r="S12" s="11">
        <f>IF(COUNTIF($A$5:$A$207,A12)=1,"PASS","FAIL")</f>
        <v/>
      </c>
      <c r="T12" s="11">
        <f>IF(COUNTIF('SR系统设计'!$A$5:$A$42,B12)=1,"PASS","FAIL")</f>
        <v/>
      </c>
    </row>
    <row r="13" ht="72" customHeight="1">
      <c r="A13" s="11" t="inlineStr">
        <is>
          <t>AR23-01-01-02-04</t>
        </is>
      </c>
      <c r="B13" s="11" t="inlineStr">
        <is>
          <t>SR23-01-01-02</t>
        </is>
      </c>
      <c r="C13" s="11" t="inlineStr">
        <is>
          <t>异常回滚</t>
        </is>
      </c>
      <c r="D13" s="11" t="inlineStr">
        <is>
          <t>HBM↔SSD 分层容量与 DDR 角色插件｜异常回滚</t>
        </is>
      </c>
      <c r="E13" s="11" t="inlineStr">
        <is>
          <t>分层容量策略组</t>
        </is>
      </c>
      <c r="F13" s="11" t="inlineStr">
        <is>
          <t>src/pool/tiering/fallback.{h,cc} + config/feature_flags/tier_capacity.yaml</t>
        </is>
      </c>
      <c r="G13" s="11" t="inlineStr">
        <is>
          <t>实现并验证失败、超时、取消、降级、回滚与关闭路径：DDR 无持续正收益时退出 有效载荷（Payload） 主路径；复杂策略不优于基线时回退双水位+hysteresis</t>
        </is>
      </c>
      <c r="H13" s="11" t="inlineStr">
        <is>
          <t>异常回滚对应的可审查代码/IDL/配置/文档</t>
        </is>
      </c>
      <c r="I13" s="11" t="inlineStr">
        <is>
          <t>代码通过编译、静态检查和单元测试；接口/配置有版本；失败语义和 功能开关（feature flag） 可验证。</t>
        </is>
      </c>
      <c r="J13" s="11" t="inlineStr">
        <is>
          <t>ctest -R tier_capacity &amp;&amp; run_contract_check --sr SR23-01-01-02</t>
        </is>
      </c>
      <c r="K13" s="11" t="inlineStr">
        <is>
          <t>HBM有效容量提升≥30%；OOM/抢占（preemption）降低≥50%；DDR角色必须证明净收益；策略额外开销&lt;2%</t>
        </is>
      </c>
      <c r="L13" s="11" t="inlineStr">
        <is>
          <t>AR23-01-01-02-03</t>
        </is>
      </c>
      <c r="M13" s="11" t="inlineStr">
        <is>
          <t>SR23-01-01-01、SR23-01-08-01</t>
        </is>
      </c>
      <c r="N13" s="11" t="inlineStr">
        <is>
          <t>P0</t>
        </is>
      </c>
      <c r="O13" s="11" t="inlineStr">
        <is>
          <t>P0</t>
        </is>
      </c>
      <c r="P13" s="11" t="inlineStr">
        <is>
          <t>待认领</t>
        </is>
      </c>
      <c r="Q13" s="11" t="n"/>
      <c r="R13" s="11" t="n"/>
      <c r="S13" s="11">
        <f>IF(COUNTIF($A$5:$A$207,A13)=1,"PASS","FAIL")</f>
        <v/>
      </c>
      <c r="T13" s="11">
        <f>IF(COUNTIF('SR系统设计'!$A$5:$A$42,B13)=1,"PASS","FAIL")</f>
        <v/>
      </c>
    </row>
    <row r="14" ht="72" customHeight="1">
      <c r="A14" s="11" t="inlineStr">
        <is>
          <t>AR23-01-01-02-05</t>
        </is>
      </c>
      <c r="B14" s="11" t="inlineStr">
        <is>
          <t>SR23-01-01-02</t>
        </is>
      </c>
      <c r="C14" s="11" t="inlineStr">
        <is>
          <t>独立验收</t>
        </is>
      </c>
      <c r="D14" s="11" t="inlineStr">
        <is>
          <t>HBM↔SSD 分层容量与 DDR 角色插件｜独立验收</t>
        </is>
      </c>
      <c r="E14" s="11" t="inlineStr">
        <is>
          <t>测试/验收负责人</t>
        </is>
      </c>
      <c r="F14" s="11" t="inlineStr">
        <is>
          <t>tests/tier_capacity/ + benchmarks/tier_capacity/ + evidence/tier_capacity/manifest.yaml</t>
        </is>
      </c>
      <c r="G14" s="11" t="inlineStr">
        <is>
          <t>建立不依赖全项目的验收环境，执行功能、异常、兼容和性能门禁并生成可签字证据包。</t>
        </is>
      </c>
      <c r="H14" s="11" t="inlineStr">
        <is>
          <t>版本化测试结果、原始证据、Go/Conditional/No-Go 结论</t>
        </is>
      </c>
      <c r="I14" s="11" t="inlineStr">
        <is>
          <t>在“存储池核心（Pool Core） + SSD后端桩（SSDBackendStub） + 工作负载回放（workload replay） 即可独立验收”中完成主路径、异常、兼容和回滚；全部证据可一键复现。</t>
        </is>
      </c>
      <c r="J14" s="11" t="inlineStr">
        <is>
          <t>run_sr_acceptance --sr SR23-01-01-02 --baseline locked</t>
        </is>
      </c>
      <c r="K14" s="11" t="inlineStr">
        <is>
          <t>HBM有效容量提升≥30%；OOM/抢占（preemption）降低≥50%；DDR角色必须证明净收益；策略额外开销&lt;2%</t>
        </is>
      </c>
      <c r="L14" s="11" t="inlineStr">
        <is>
          <t>AR23-01-01-02-04</t>
        </is>
      </c>
      <c r="M14" s="11" t="inlineStr">
        <is>
          <t>SR23-01-01-01、SR23-01-08-01</t>
        </is>
      </c>
      <c r="N14" s="11" t="inlineStr">
        <is>
          <t>P0</t>
        </is>
      </c>
      <c r="O14" s="11" t="inlineStr">
        <is>
          <t>P0</t>
        </is>
      </c>
      <c r="P14" s="11" t="inlineStr">
        <is>
          <t>待认领</t>
        </is>
      </c>
      <c r="Q14" s="11" t="n"/>
      <c r="R14" s="11" t="n"/>
      <c r="S14" s="11">
        <f>IF(COUNTIF($A$5:$A$207,A14)=1,"PASS","FAIL")</f>
        <v/>
      </c>
      <c r="T14" s="11">
        <f>IF(COUNTIF('SR系统设计'!$A$5:$A$42,B14)=1,"PASS","FAIL")</f>
        <v/>
      </c>
    </row>
    <row r="15" ht="72" customHeight="1">
      <c r="A15" s="11" t="inlineStr">
        <is>
          <t>AR23-01-01-02-06</t>
        </is>
      </c>
      <c r="B15" s="11" t="inlineStr">
        <is>
          <t>SR23-01-01-02</t>
        </is>
      </c>
      <c r="C15" s="11" t="inlineStr">
        <is>
          <t>性能观测</t>
        </is>
      </c>
      <c r="D15" s="11" t="inlineStr">
        <is>
          <t>HBM↔SSD 分层容量与 DDR 角色插件｜性能观测</t>
        </is>
      </c>
      <c r="E15" s="11" t="inlineStr">
        <is>
          <t>性能与可观测负责人</t>
        </is>
      </c>
      <c r="F15" s="11" t="inlineStr">
        <is>
          <t>src/pool/tiering/telemetry.{h,cc} + 仪表板（dashboards）/tier_capacity.json</t>
        </is>
      </c>
      <c r="G15" s="11" t="inlineStr">
        <is>
          <t>接入统一 遥测数据（telemetry），建立本 SR 专属性能/资源/正确性指标和回归阈值：HBM有效容量提升≥30%；OOM/抢占（preemption）降低≥50%；DDR角色必须证明净收益；策略额外开销&lt;2%</t>
        </is>
      </c>
      <c r="H15" s="11" t="inlineStr">
        <is>
          <t>性能观测对应的可审查代码/IDL/配置/文档</t>
        </is>
      </c>
      <c r="I15" s="11" t="inlineStr">
        <is>
          <t>代码通过编译、静态检查和单元测试；接口/配置有版本；失败语义和 功能开关（feature flag） 可验证。</t>
        </is>
      </c>
      <c r="J15" s="11" t="inlineStr">
        <is>
          <t>ctest -R tier_capacity &amp;&amp; run_contract_check --sr SR23-01-01-02</t>
        </is>
      </c>
      <c r="K15" s="11" t="inlineStr">
        <is>
          <t>HBM有效容量提升≥30%；OOM/抢占（preemption）降低≥50%；DDR角色必须证明净收益；策略额外开销&lt;2%</t>
        </is>
      </c>
      <c r="L15" s="11" t="inlineStr">
        <is>
          <t>AR23-01-01-02-05</t>
        </is>
      </c>
      <c r="M15" s="11" t="inlineStr">
        <is>
          <t>SR23-01-01-01、SR23-01-08-01</t>
        </is>
      </c>
      <c r="N15" s="11" t="inlineStr">
        <is>
          <t>P0</t>
        </is>
      </c>
      <c r="O15" s="11" t="inlineStr">
        <is>
          <t>P0</t>
        </is>
      </c>
      <c r="P15" s="11" t="inlineStr">
        <is>
          <t>待认领</t>
        </is>
      </c>
      <c r="Q15" s="11" t="n"/>
      <c r="R15" s="11" t="n"/>
      <c r="S15" s="11">
        <f>IF(COUNTIF($A$5:$A$207,A15)=1,"PASS","FAIL")</f>
        <v/>
      </c>
      <c r="T15" s="11">
        <f>IF(COUNTIF('SR系统设计'!$A$5:$A$42,B15)=1,"PASS","FAIL")</f>
        <v/>
      </c>
    </row>
    <row r="16" ht="72" customHeight="1">
      <c r="A16" s="11" t="inlineStr">
        <is>
          <t>AR23-01-01-03-01</t>
        </is>
      </c>
      <c r="B16" s="11" t="inlineStr">
        <is>
          <t>SR23-01-01-03</t>
        </is>
      </c>
      <c r="C16" s="11" t="inlineStr">
        <is>
          <t>核心实现</t>
        </is>
      </c>
      <c r="D16" s="11" t="inlineStr">
        <is>
          <t>KV 生命周期、迁移与空间治理控制器｜核心实现</t>
        </is>
      </c>
      <c r="E16" s="11" t="inlineStr">
        <is>
          <t>生命周期与空间治理组</t>
        </is>
      </c>
      <c r="F16" s="11" t="inlineStr">
        <is>
          <t>src/pool/lifecycle/core.{h,cc}</t>
        </is>
      </c>
      <c r="G16" s="11" t="inlineStr">
        <is>
          <t>实现“KV 生命周期、迁移与空间治理控制器”的可运行主路径，交付 lifecycle-controller 库、迁移/压紧/淘汰状态机、管理 CLI 与回滚日志 的核心代码、构建入口和最小示例。</t>
        </is>
      </c>
      <c r="H16" s="11" t="inlineStr">
        <is>
          <t>核心实现对应的可审查代码/IDL/配置/文档</t>
        </is>
      </c>
      <c r="I16" s="11" t="inlineStr">
        <is>
          <t>代码通过编译、静态检查和单元测试；接口/配置有版本；失败语义和 功能开关（feature flag） 可验证。</t>
        </is>
      </c>
      <c r="J16" s="11" t="inlineStr">
        <is>
          <t>ctest -R lifecycle_controller &amp;&amp; run_contract_check --sr SR23-01-01-03</t>
        </is>
      </c>
      <c r="K16" s="11" t="inlineStr">
        <is>
          <t>错误释放/活跃对象误淘汰=0；迁移 TPOT 抖动&lt;5%；压紧可回滚；治理后碎片率&lt;5%</t>
        </is>
      </c>
      <c r="L16" s="11" t="n"/>
      <c r="M16" s="11" t="inlineStr">
        <is>
          <t>SR23-01-01-01、SR23-01-11-01</t>
        </is>
      </c>
      <c r="N16" s="11" t="inlineStr">
        <is>
          <t>P0</t>
        </is>
      </c>
      <c r="O16" s="11" t="inlineStr">
        <is>
          <t>P0</t>
        </is>
      </c>
      <c r="P16" s="11" t="inlineStr">
        <is>
          <t>待认领</t>
        </is>
      </c>
      <c r="Q16" s="11" t="n"/>
      <c r="R16" s="11" t="n"/>
      <c r="S16" s="11">
        <f>IF(COUNTIF($A$5:$A$207,A16)=1,"PASS","FAIL")</f>
        <v/>
      </c>
      <c r="T16" s="11">
        <f>IF(COUNTIF('SR系统设计'!$A$5:$A$42,B16)=1,"PASS","FAIL")</f>
        <v/>
      </c>
    </row>
    <row r="17" ht="72" customHeight="1">
      <c r="A17" s="11" t="inlineStr">
        <is>
          <t>AR23-01-01-03-02</t>
        </is>
      </c>
      <c r="B17" s="11" t="inlineStr">
        <is>
          <t>SR23-01-01-03</t>
        </is>
      </c>
      <c r="C17" s="11" t="inlineStr">
        <is>
          <t>接口契约</t>
        </is>
      </c>
      <c r="D17" s="11" t="inlineStr">
        <is>
          <t>KV 生命周期、迁移与空间治理控制器｜接口契约</t>
        </is>
      </c>
      <c r="E17" s="11" t="inlineStr">
        <is>
          <t>生命周期与空间治理组</t>
        </is>
      </c>
      <c r="F17" s="11" t="inlineStr">
        <is>
          <t>api/kvcache/v23/lifecycle_controller.proto + src/pool/lifecycle/api.{h,cc}</t>
        </is>
      </c>
      <c r="G17" s="11" t="inlineStr">
        <is>
          <t>冻结并实现接口/IDL、版本兼容、输入输出、错误码与 消费者（consumer） 示例：LifecycleEvent、MigrationTicket、EvictionDecision、CompactionPlan 与 回滚接口（rollback API）</t>
        </is>
      </c>
      <c r="H17" s="11" t="inlineStr">
        <is>
          <t>接口契约对应的可审查代码/IDL/配置/文档</t>
        </is>
      </c>
      <c r="I17" s="11" t="inlineStr">
        <is>
          <t>代码通过编译、静态检查和单元测试；接口/配置有版本；失败语义和 功能开关（feature flag） 可验证。</t>
        </is>
      </c>
      <c r="J17" s="11" t="inlineStr">
        <is>
          <t>ctest -R lifecycle_controller &amp;&amp; run_contract_check --sr SR23-01-01-03</t>
        </is>
      </c>
      <c r="K17" s="11" t="inlineStr">
        <is>
          <t>错误释放/活跃对象误淘汰=0；迁移 TPOT 抖动&lt;5%；压紧可回滚；治理后碎片率&lt;5%</t>
        </is>
      </c>
      <c r="L17" s="11" t="inlineStr">
        <is>
          <t>AR23-01-01-03-01</t>
        </is>
      </c>
      <c r="M17" s="11" t="inlineStr">
        <is>
          <t>SR23-01-01-01、SR23-01-11-01</t>
        </is>
      </c>
      <c r="N17" s="11" t="inlineStr">
        <is>
          <t>P0</t>
        </is>
      </c>
      <c r="O17" s="11" t="inlineStr">
        <is>
          <t>P0</t>
        </is>
      </c>
      <c r="P17" s="11" t="inlineStr">
        <is>
          <t>待认领</t>
        </is>
      </c>
      <c r="Q17" s="11" t="n"/>
      <c r="R17" s="11" t="n"/>
      <c r="S17" s="11">
        <f>IF(COUNTIF($A$5:$A$207,A17)=1,"PASS","FAIL")</f>
        <v/>
      </c>
      <c r="T17" s="11">
        <f>IF(COUNTIF('SR系统设计'!$A$5:$A$42,B17)=1,"PASS","FAIL")</f>
        <v/>
      </c>
    </row>
    <row r="18" ht="72" customHeight="1">
      <c r="A18" s="11" t="inlineStr">
        <is>
          <t>AR23-01-01-03-03</t>
        </is>
      </c>
      <c r="B18" s="11" t="inlineStr">
        <is>
          <t>SR23-01-01-03</t>
        </is>
      </c>
      <c r="C18" s="11" t="inlineStr">
        <is>
          <t>状态模型</t>
        </is>
      </c>
      <c r="D18" s="11" t="inlineStr">
        <is>
          <t>KV 生命周期、迁移与空间治理控制器｜状态模型</t>
        </is>
      </c>
      <c r="E18" s="11" t="inlineStr">
        <is>
          <t>生命周期与空间治理组</t>
        </is>
      </c>
      <c r="F18" s="11" t="inlineStr">
        <is>
          <t>src/pool/lifecycle/state_model.{h,cc}</t>
        </is>
      </c>
      <c r="G18" s="11" t="inlineStr">
        <is>
          <t>实现状态、版本、并发互锁和持久/内存数据模型，覆盖正常转换与非法转换保护。</t>
        </is>
      </c>
      <c r="H18" s="11" t="inlineStr">
        <is>
          <t>状态模型对应的可审查代码/IDL/配置/文档</t>
        </is>
      </c>
      <c r="I18" s="11" t="inlineStr">
        <is>
          <t>代码通过编译、静态检查和单元测试；接口/配置有版本；失败语义和 功能开关（feature flag） 可验证。</t>
        </is>
      </c>
      <c r="J18" s="11" t="inlineStr">
        <is>
          <t>ctest -R lifecycle_controller &amp;&amp; run_contract_check --sr SR23-01-01-03</t>
        </is>
      </c>
      <c r="K18" s="11" t="inlineStr">
        <is>
          <t>错误释放/活跃对象误淘汰=0；迁移 TPOT 抖动&lt;5%；压紧可回滚；治理后碎片率&lt;5%</t>
        </is>
      </c>
      <c r="L18" s="11" t="inlineStr">
        <is>
          <t>AR23-01-01-03-02</t>
        </is>
      </c>
      <c r="M18" s="11" t="inlineStr">
        <is>
          <t>SR23-01-01-01、SR23-01-11-01</t>
        </is>
      </c>
      <c r="N18" s="11" t="inlineStr">
        <is>
          <t>P0</t>
        </is>
      </c>
      <c r="O18" s="11" t="inlineStr">
        <is>
          <t>P0</t>
        </is>
      </c>
      <c r="P18" s="11" t="inlineStr">
        <is>
          <t>待认领</t>
        </is>
      </c>
      <c r="Q18" s="11" t="n"/>
      <c r="R18" s="11" t="n"/>
      <c r="S18" s="11">
        <f>IF(COUNTIF($A$5:$A$207,A18)=1,"PASS","FAIL")</f>
        <v/>
      </c>
      <c r="T18" s="11">
        <f>IF(COUNTIF('SR系统设计'!$A$5:$A$42,B18)=1,"PASS","FAIL")</f>
        <v/>
      </c>
    </row>
    <row r="19" ht="72" customHeight="1">
      <c r="A19" s="11" t="inlineStr">
        <is>
          <t>AR23-01-01-03-04</t>
        </is>
      </c>
      <c r="B19" s="11" t="inlineStr">
        <is>
          <t>SR23-01-01-03</t>
        </is>
      </c>
      <c r="C19" s="11" t="inlineStr">
        <is>
          <t>异常回滚</t>
        </is>
      </c>
      <c r="D19" s="11" t="inlineStr">
        <is>
          <t>KV 生命周期、迁移与空间治理控制器｜异常回滚</t>
        </is>
      </c>
      <c r="E19" s="11" t="inlineStr">
        <is>
          <t>生命周期与空间治理组</t>
        </is>
      </c>
      <c r="F19" s="11" t="inlineStr">
        <is>
          <t>src/pool/lifecycle/fallback.{h,cc} + config/feature_flags/lifecycle_controller.yaml</t>
        </is>
      </c>
      <c r="G19" s="11" t="inlineStr">
        <is>
          <t>实现并验证失败、超时、取消、降级、回滚与关闭路径：迁移失败回滚旧 放置位置（Placement）；高负载时暂停后台治理；硬件 重映射（remap） 不可用时使用 RCU/copy-on-migrate</t>
        </is>
      </c>
      <c r="H19" s="11" t="inlineStr">
        <is>
          <t>异常回滚对应的可审查代码/IDL/配置/文档</t>
        </is>
      </c>
      <c r="I19" s="11" t="inlineStr">
        <is>
          <t>代码通过编译、静态检查和单元测试；接口/配置有版本；失败语义和 功能开关（feature flag） 可验证。</t>
        </is>
      </c>
      <c r="J19" s="11" t="inlineStr">
        <is>
          <t>ctest -R lifecycle_controller &amp;&amp; run_contract_check --sr SR23-01-01-03</t>
        </is>
      </c>
      <c r="K19" s="11" t="inlineStr">
        <is>
          <t>错误释放/活跃对象误淘汰=0；迁移 TPOT 抖动&lt;5%；压紧可回滚；治理后碎片率&lt;5%</t>
        </is>
      </c>
      <c r="L19" s="11" t="inlineStr">
        <is>
          <t>AR23-01-01-03-03</t>
        </is>
      </c>
      <c r="M19" s="11" t="inlineStr">
        <is>
          <t>SR23-01-01-01、SR23-01-11-01</t>
        </is>
      </c>
      <c r="N19" s="11" t="inlineStr">
        <is>
          <t>P0</t>
        </is>
      </c>
      <c r="O19" s="11" t="inlineStr">
        <is>
          <t>P0</t>
        </is>
      </c>
      <c r="P19" s="11" t="inlineStr">
        <is>
          <t>待认领</t>
        </is>
      </c>
      <c r="Q19" s="11" t="n"/>
      <c r="R19" s="11" t="n"/>
      <c r="S19" s="11">
        <f>IF(COUNTIF($A$5:$A$207,A19)=1,"PASS","FAIL")</f>
        <v/>
      </c>
      <c r="T19" s="11">
        <f>IF(COUNTIF('SR系统设计'!$A$5:$A$42,B19)=1,"PASS","FAIL")</f>
        <v/>
      </c>
    </row>
    <row r="20" ht="72" customHeight="1">
      <c r="A20" s="11" t="inlineStr">
        <is>
          <t>AR23-01-01-03-05</t>
        </is>
      </c>
      <c r="B20" s="11" t="inlineStr">
        <is>
          <t>SR23-01-01-03</t>
        </is>
      </c>
      <c r="C20" s="11" t="inlineStr">
        <is>
          <t>独立验收</t>
        </is>
      </c>
      <c r="D20" s="11" t="inlineStr">
        <is>
          <t>KV 生命周期、迁移与空间治理控制器｜独立验收</t>
        </is>
      </c>
      <c r="E20" s="11" t="inlineStr">
        <is>
          <t>测试/验收负责人</t>
        </is>
      </c>
      <c r="F20" s="11" t="inlineStr">
        <is>
          <t>tests/lifecycle_controller/ + benchmarks/lifecycle_controller/ + evidence/lifecycle_controller/manifest.yaml</t>
        </is>
      </c>
      <c r="G20" s="11" t="inlineStr">
        <is>
          <t>建立不依赖全项目的验收环境，执行功能、异常、兼容和性能门禁并生成可签字证据包。</t>
        </is>
      </c>
      <c r="H20" s="11" t="inlineStr">
        <is>
          <t>版本化测试结果、原始证据、Go/Conditional/No-Go 结论</t>
        </is>
      </c>
      <c r="I20" s="11" t="inlineStr">
        <is>
          <t>在“存储池核心（Pool Core） + MockMover + 并发 reader/writer 测试即可独立验收”中完成主路径、异常、兼容和回滚；全部证据可一键复现。</t>
        </is>
      </c>
      <c r="J20" s="11" t="inlineStr">
        <is>
          <t>run_sr_acceptance --sr SR23-01-01-03 --baseline locked</t>
        </is>
      </c>
      <c r="K20" s="11" t="inlineStr">
        <is>
          <t>错误释放/活跃对象误淘汰=0；迁移 TPOT 抖动&lt;5%；压紧可回滚；治理后碎片率&lt;5%</t>
        </is>
      </c>
      <c r="L20" s="11" t="inlineStr">
        <is>
          <t>AR23-01-01-03-04</t>
        </is>
      </c>
      <c r="M20" s="11" t="inlineStr">
        <is>
          <t>SR23-01-01-01、SR23-01-11-01</t>
        </is>
      </c>
      <c r="N20" s="11" t="inlineStr">
        <is>
          <t>P0</t>
        </is>
      </c>
      <c r="O20" s="11" t="inlineStr">
        <is>
          <t>P0</t>
        </is>
      </c>
      <c r="P20" s="11" t="inlineStr">
        <is>
          <t>待认领</t>
        </is>
      </c>
      <c r="Q20" s="11" t="n"/>
      <c r="R20" s="11" t="n"/>
      <c r="S20" s="11">
        <f>IF(COUNTIF($A$5:$A$207,A20)=1,"PASS","FAIL")</f>
        <v/>
      </c>
      <c r="T20" s="11">
        <f>IF(COUNTIF('SR系统设计'!$A$5:$A$42,B20)=1,"PASS","FAIL")</f>
        <v/>
      </c>
    </row>
    <row r="21" ht="72" customHeight="1">
      <c r="A21" s="11" t="inlineStr">
        <is>
          <t>AR23-01-01-03-06</t>
        </is>
      </c>
      <c r="B21" s="11" t="inlineStr">
        <is>
          <t>SR23-01-01-03</t>
        </is>
      </c>
      <c r="C21" s="11" t="inlineStr">
        <is>
          <t>性能观测</t>
        </is>
      </c>
      <c r="D21" s="11" t="inlineStr">
        <is>
          <t>KV 生命周期、迁移与空间治理控制器｜性能观测</t>
        </is>
      </c>
      <c r="E21" s="11" t="inlineStr">
        <is>
          <t>性能与可观测负责人</t>
        </is>
      </c>
      <c r="F21" s="11" t="inlineStr">
        <is>
          <t>src/pool/lifecycle/telemetry.{h,cc} + 仪表板（dashboards）/lifecycle_controller.json</t>
        </is>
      </c>
      <c r="G21" s="11" t="inlineStr">
        <is>
          <t>接入统一 遥测数据（telemetry），建立本 SR 专属性能/资源/正确性指标和回归阈值：错误释放/活跃对象误淘汰=0；迁移 TPOT 抖动&lt;5%；压紧可回滚；治理后碎片率&lt;5%</t>
        </is>
      </c>
      <c r="H21" s="11" t="inlineStr">
        <is>
          <t>性能观测对应的可审查代码/IDL/配置/文档</t>
        </is>
      </c>
      <c r="I21" s="11" t="inlineStr">
        <is>
          <t>代码通过编译、静态检查和单元测试；接口/配置有版本；失败语义和 功能开关（feature flag） 可验证。</t>
        </is>
      </c>
      <c r="J21" s="11" t="inlineStr">
        <is>
          <t>ctest -R lifecycle_controller &amp;&amp; run_contract_check --sr SR23-01-01-03</t>
        </is>
      </c>
      <c r="K21" s="11" t="inlineStr">
        <is>
          <t>错误释放/活跃对象误淘汰=0；迁移 TPOT 抖动&lt;5%；压紧可回滚；治理后碎片率&lt;5%</t>
        </is>
      </c>
      <c r="L21" s="11" t="inlineStr">
        <is>
          <t>AR23-01-01-03-05</t>
        </is>
      </c>
      <c r="M21" s="11" t="inlineStr">
        <is>
          <t>SR23-01-01-01、SR23-01-11-01</t>
        </is>
      </c>
      <c r="N21" s="11" t="inlineStr">
        <is>
          <t>P0</t>
        </is>
      </c>
      <c r="O21" s="11" t="inlineStr">
        <is>
          <t>P0</t>
        </is>
      </c>
      <c r="P21" s="11" t="inlineStr">
        <is>
          <t>待认领</t>
        </is>
      </c>
      <c r="Q21" s="11" t="n"/>
      <c r="R21" s="11" t="n"/>
      <c r="S21" s="11">
        <f>IF(COUNTIF($A$5:$A$207,A21)=1,"PASS","FAIL")</f>
        <v/>
      </c>
      <c r="T21" s="11">
        <f>IF(COUNTIF('SR系统设计'!$A$5:$A$42,B21)=1,"PASS","FAIL")</f>
        <v/>
      </c>
    </row>
    <row r="22" ht="72" customHeight="1">
      <c r="A22" s="11" t="inlineStr">
        <is>
          <t>AR23-01-02-01-01</t>
        </is>
      </c>
      <c r="B22" s="11" t="inlineStr">
        <is>
          <t>SR23-01-02-01</t>
        </is>
      </c>
      <c r="C22" s="11" t="inlineStr">
        <is>
          <t>核心实现</t>
        </is>
      </c>
      <c r="D22" s="11" t="inlineStr">
        <is>
          <t>跨框架布局与批量传输描述编译器｜核心实现</t>
        </is>
      </c>
      <c r="E22" s="11" t="inlineStr">
        <is>
          <t>布局与描述编译组</t>
        </is>
      </c>
      <c r="F22" s="11" t="inlineStr">
        <is>
          <t>src/transfer/descriptor/core.{h,cc}</t>
        </is>
      </c>
      <c r="G22" s="11" t="inlineStr">
        <is>
          <t>实现“跨框架布局与批量传输描述编译器”的可运行主路径，交付 descriptor-compiler 库、vLLM/SGLang 布局（layout） 适配器（adapter）、黄金布局用例（golden layout cases） 的核心代码、构建入口和最小示例。</t>
        </is>
      </c>
      <c r="H22" s="11" t="inlineStr">
        <is>
          <t>核心实现对应的可审查代码/IDL/配置/文档</t>
        </is>
      </c>
      <c r="I22" s="11" t="inlineStr">
        <is>
          <t>代码通过编译、静态检查和单元测试；接口/配置有版本；失败语义和 功能开关（feature flag） 可验证。</t>
        </is>
      </c>
      <c r="J22" s="11" t="inlineStr">
        <is>
          <t>ctest -R descriptor_compiler &amp;&amp; run_contract_check --sr SR23-01-02-01</t>
        </is>
      </c>
      <c r="K22" s="11" t="inlineStr">
        <is>
          <t>描述符（descriptor） 数下降≥50%；CPU提交时延（CPU submit time）下降≥40%；布局协商错误=0；黄金用例（golden case） 100%通过</t>
        </is>
      </c>
      <c r="L22" s="11" t="n"/>
      <c r="M22" s="11" t="inlineStr">
        <is>
          <t>SR23-01-01-01、SR23-01-09-01</t>
        </is>
      </c>
      <c r="N22" s="11" t="inlineStr">
        <is>
          <t>P0</t>
        </is>
      </c>
      <c r="O22" s="11" t="inlineStr">
        <is>
          <t>P0</t>
        </is>
      </c>
      <c r="P22" s="11" t="inlineStr">
        <is>
          <t>待认领</t>
        </is>
      </c>
      <c r="Q22" s="11" t="n"/>
      <c r="R22" s="11" t="n"/>
      <c r="S22" s="11">
        <f>IF(COUNTIF($A$5:$A$207,A22)=1,"PASS","FAIL")</f>
        <v/>
      </c>
      <c r="T22" s="11">
        <f>IF(COUNTIF('SR系统设计'!$A$5:$A$42,B22)=1,"PASS","FAIL")</f>
        <v/>
      </c>
    </row>
    <row r="23" ht="72" customHeight="1">
      <c r="A23" s="11" t="inlineStr">
        <is>
          <t>AR23-01-02-01-02</t>
        </is>
      </c>
      <c r="B23" s="11" t="inlineStr">
        <is>
          <t>SR23-01-02-01</t>
        </is>
      </c>
      <c r="C23" s="11" t="inlineStr">
        <is>
          <t>接口契约</t>
        </is>
      </c>
      <c r="D23" s="11" t="inlineStr">
        <is>
          <t>跨框架布局与批量传输描述编译器｜接口契约</t>
        </is>
      </c>
      <c r="E23" s="11" t="inlineStr">
        <is>
          <t>布局与描述编译组</t>
        </is>
      </c>
      <c r="F23" s="11" t="inlineStr">
        <is>
          <t>api/kvcache/v23/descriptor_compiler.proto + src/transfer/descriptor/api.{h,cc}</t>
        </is>
      </c>
      <c r="G23" s="11" t="inlineStr">
        <is>
          <t>冻结并实现接口/IDL、版本兼容、输入输出、错误码与 消费者（consumer） 示例：compile(manifest, targetCapability)→批量描述符（BulkDescriptor）/布局转换计划（LayoutTransformPlan）</t>
        </is>
      </c>
      <c r="H23" s="11" t="inlineStr">
        <is>
          <t>接口契约对应的可审查代码/IDL/配置/文档</t>
        </is>
      </c>
      <c r="I23" s="11" t="inlineStr">
        <is>
          <t>代码通过编译、静态检查和单元测试；接口/配置有版本；失败语义和 功能开关（feature flag） 可验证。</t>
        </is>
      </c>
      <c r="J23" s="11" t="inlineStr">
        <is>
          <t>ctest -R descriptor_compiler &amp;&amp; run_contract_check --sr SR23-01-02-01</t>
        </is>
      </c>
      <c r="K23" s="11" t="inlineStr">
        <is>
          <t>描述符（descriptor） 数下降≥50%；CPU提交时延（CPU submit time）下降≥40%；布局协商错误=0；黄金用例（golden case） 100%通过</t>
        </is>
      </c>
      <c r="L23" s="11" t="inlineStr">
        <is>
          <t>AR23-01-02-01-01</t>
        </is>
      </c>
      <c r="M23" s="11" t="inlineStr">
        <is>
          <t>SR23-01-01-01、SR23-01-09-01</t>
        </is>
      </c>
      <c r="N23" s="11" t="inlineStr">
        <is>
          <t>P0</t>
        </is>
      </c>
      <c r="O23" s="11" t="inlineStr">
        <is>
          <t>P0</t>
        </is>
      </c>
      <c r="P23" s="11" t="inlineStr">
        <is>
          <t>待认领</t>
        </is>
      </c>
      <c r="Q23" s="11" t="n"/>
      <c r="R23" s="11" t="n"/>
      <c r="S23" s="11">
        <f>IF(COUNTIF($A$5:$A$207,A23)=1,"PASS","FAIL")</f>
        <v/>
      </c>
      <c r="T23" s="11">
        <f>IF(COUNTIF('SR系统设计'!$A$5:$A$42,B23)=1,"PASS","FAIL")</f>
        <v/>
      </c>
    </row>
    <row r="24" ht="72" customHeight="1">
      <c r="A24" s="11" t="inlineStr">
        <is>
          <t>AR23-01-02-01-03</t>
        </is>
      </c>
      <c r="B24" s="11" t="inlineStr">
        <is>
          <t>SR23-01-02-01</t>
        </is>
      </c>
      <c r="C24" s="11" t="inlineStr">
        <is>
          <t>状态模型</t>
        </is>
      </c>
      <c r="D24" s="11" t="inlineStr">
        <is>
          <t>跨框架布局与批量传输描述编译器｜状态模型</t>
        </is>
      </c>
      <c r="E24" s="11" t="inlineStr">
        <is>
          <t>布局与描述编译组</t>
        </is>
      </c>
      <c r="F24" s="11" t="inlineStr">
        <is>
          <t>src/transfer/descriptor/state_model.{h,cc}</t>
        </is>
      </c>
      <c r="G24" s="11" t="inlineStr">
        <is>
          <t>实现状态、版本、并发互锁和持久/内存数据模型，覆盖正常转换与非法转换保护。</t>
        </is>
      </c>
      <c r="H24" s="11" t="inlineStr">
        <is>
          <t>状态模型对应的可审查代码/IDL/配置/文档</t>
        </is>
      </c>
      <c r="I24" s="11" t="inlineStr">
        <is>
          <t>代码通过编译、静态检查和单元测试；接口/配置有版本；失败语义和 功能开关（feature flag） 可验证。</t>
        </is>
      </c>
      <c r="J24" s="11" t="inlineStr">
        <is>
          <t>ctest -R descriptor_compiler &amp;&amp; run_contract_check --sr SR23-01-02-01</t>
        </is>
      </c>
      <c r="K24" s="11" t="inlineStr">
        <is>
          <t>描述符（descriptor） 数下降≥50%；CPU提交时延（CPU submit time）下降≥40%；布局协商错误=0；黄金用例（golden case） 100%通过</t>
        </is>
      </c>
      <c r="L24" s="11" t="inlineStr">
        <is>
          <t>AR23-01-02-01-02</t>
        </is>
      </c>
      <c r="M24" s="11" t="inlineStr">
        <is>
          <t>SR23-01-01-01、SR23-01-09-01</t>
        </is>
      </c>
      <c r="N24" s="11" t="inlineStr">
        <is>
          <t>P0</t>
        </is>
      </c>
      <c r="O24" s="11" t="inlineStr">
        <is>
          <t>P0</t>
        </is>
      </c>
      <c r="P24" s="11" t="inlineStr">
        <is>
          <t>待认领</t>
        </is>
      </c>
      <c r="Q24" s="11" t="n"/>
      <c r="R24" s="11" t="n"/>
      <c r="S24" s="11">
        <f>IF(COUNTIF($A$5:$A$207,A24)=1,"PASS","FAIL")</f>
        <v/>
      </c>
      <c r="T24" s="11">
        <f>IF(COUNTIF('SR系统设计'!$A$5:$A$42,B24)=1,"PASS","FAIL")</f>
        <v/>
      </c>
    </row>
    <row r="25" ht="72" customHeight="1">
      <c r="A25" s="11" t="inlineStr">
        <is>
          <t>AR23-01-02-01-04</t>
        </is>
      </c>
      <c r="B25" s="11" t="inlineStr">
        <is>
          <t>SR23-01-02-01</t>
        </is>
      </c>
      <c r="C25" s="11" t="inlineStr">
        <is>
          <t>异常回滚</t>
        </is>
      </c>
      <c r="D25" s="11" t="inlineStr">
        <is>
          <t>跨框架布局与批量传输描述编译器｜异常回滚</t>
        </is>
      </c>
      <c r="E25" s="11" t="inlineStr">
        <is>
          <t>布局与描述编译组</t>
        </is>
      </c>
      <c r="F25" s="11" t="inlineStr">
        <is>
          <t>src/transfer/descriptor/fallback.{h,cc} + config/feature_flags/descriptor_compiler.yaml</t>
        </is>
      </c>
      <c r="G25" s="11" t="inlineStr">
        <is>
          <t>实现并验证失败、超时、取消、降级、回滚与关闭路径：布局不兼容时返回显式 转换（transform） 或 RECOMPUTE；禁止隐式错误 附加（attach）</t>
        </is>
      </c>
      <c r="H25" s="11" t="inlineStr">
        <is>
          <t>异常回滚对应的可审查代码/IDL/配置/文档</t>
        </is>
      </c>
      <c r="I25" s="11" t="inlineStr">
        <is>
          <t>代码通过编译、静态检查和单元测试；接口/配置有版本；失败语义和 功能开关（feature flag） 可验证。</t>
        </is>
      </c>
      <c r="J25" s="11" t="inlineStr">
        <is>
          <t>ctest -R descriptor_compiler &amp;&amp; run_contract_check --sr SR23-01-02-01</t>
        </is>
      </c>
      <c r="K25" s="11" t="inlineStr">
        <is>
          <t>描述符（descriptor） 数下降≥50%；CPU提交时延（CPU submit time）下降≥40%；布局协商错误=0；黄金用例（golden case） 100%通过</t>
        </is>
      </c>
      <c r="L25" s="11" t="inlineStr">
        <is>
          <t>AR23-01-02-01-03</t>
        </is>
      </c>
      <c r="M25" s="11" t="inlineStr">
        <is>
          <t>SR23-01-01-01、SR23-01-09-01</t>
        </is>
      </c>
      <c r="N25" s="11" t="inlineStr">
        <is>
          <t>P0</t>
        </is>
      </c>
      <c r="O25" s="11" t="inlineStr">
        <is>
          <t>P0</t>
        </is>
      </c>
      <c r="P25" s="11" t="inlineStr">
        <is>
          <t>待认领</t>
        </is>
      </c>
      <c r="Q25" s="11" t="n"/>
      <c r="R25" s="11" t="n"/>
      <c r="S25" s="11">
        <f>IF(COUNTIF($A$5:$A$207,A25)=1,"PASS","FAIL")</f>
        <v/>
      </c>
      <c r="T25" s="11">
        <f>IF(COUNTIF('SR系统设计'!$A$5:$A$42,B25)=1,"PASS","FAIL")</f>
        <v/>
      </c>
    </row>
    <row r="26" ht="72" customHeight="1">
      <c r="A26" s="11" t="inlineStr">
        <is>
          <t>AR23-01-02-01-05</t>
        </is>
      </c>
      <c r="B26" s="11" t="inlineStr">
        <is>
          <t>SR23-01-02-01</t>
        </is>
      </c>
      <c r="C26" s="11" t="inlineStr">
        <is>
          <t>独立验收</t>
        </is>
      </c>
      <c r="D26" s="11" t="inlineStr">
        <is>
          <t>跨框架布局与批量传输描述编译器｜独立验收</t>
        </is>
      </c>
      <c r="E26" s="11" t="inlineStr">
        <is>
          <t>测试/验收负责人</t>
        </is>
      </c>
      <c r="F26" s="11" t="inlineStr">
        <is>
          <t>tests/descriptor_compiler/ + benchmarks/descriptor_compiler/ + evidence/descriptor_compiler/manifest.yaml</t>
        </is>
      </c>
      <c r="G26" s="11" t="inlineStr">
        <is>
          <t>建立不依赖全项目的验收环境，执行功能、异常、兼容和性能门禁并生成可签字证据包。</t>
        </is>
      </c>
      <c r="H26" s="11" t="inlineStr">
        <is>
          <t>版本化测试结果、原始证据、Go/Conditional/No-Go 结论</t>
        </is>
      </c>
      <c r="I26" s="11" t="inlineStr">
        <is>
          <t>在“两种框架 布局测试夹具（layout fixture） + 模拟提供器（MockProvider） 即可独立验收”中完成主路径、异常、兼容和回滚；全部证据可一键复现。</t>
        </is>
      </c>
      <c r="J26" s="11" t="inlineStr">
        <is>
          <t>run_sr_acceptance --sr SR23-01-02-01 --baseline locked</t>
        </is>
      </c>
      <c r="K26" s="11" t="inlineStr">
        <is>
          <t>描述符（descriptor） 数下降≥50%；CPU提交时延（CPU submit time）下降≥40%；布局协商错误=0；黄金用例（golden case） 100%通过</t>
        </is>
      </c>
      <c r="L26" s="11" t="inlineStr">
        <is>
          <t>AR23-01-02-01-04</t>
        </is>
      </c>
      <c r="M26" s="11" t="inlineStr">
        <is>
          <t>SR23-01-01-01、SR23-01-09-01</t>
        </is>
      </c>
      <c r="N26" s="11" t="inlineStr">
        <is>
          <t>P0</t>
        </is>
      </c>
      <c r="O26" s="11" t="inlineStr">
        <is>
          <t>P0</t>
        </is>
      </c>
      <c r="P26" s="11" t="inlineStr">
        <is>
          <t>待认领</t>
        </is>
      </c>
      <c r="Q26" s="11" t="n"/>
      <c r="R26" s="11" t="n"/>
      <c r="S26" s="11">
        <f>IF(COUNTIF($A$5:$A$207,A26)=1,"PASS","FAIL")</f>
        <v/>
      </c>
      <c r="T26" s="11">
        <f>IF(COUNTIF('SR系统设计'!$A$5:$A$42,B26)=1,"PASS","FAIL")</f>
        <v/>
      </c>
    </row>
    <row r="27" ht="72" customHeight="1">
      <c r="A27" s="11" t="inlineStr">
        <is>
          <t>AR23-01-02-01-06</t>
        </is>
      </c>
      <c r="B27" s="11" t="inlineStr">
        <is>
          <t>SR23-01-02-01</t>
        </is>
      </c>
      <c r="C27" s="11" t="inlineStr">
        <is>
          <t>性能观测</t>
        </is>
      </c>
      <c r="D27" s="11" t="inlineStr">
        <is>
          <t>跨框架布局与批量传输描述编译器｜性能观测</t>
        </is>
      </c>
      <c r="E27" s="11" t="inlineStr">
        <is>
          <t>性能与可观测负责人</t>
        </is>
      </c>
      <c r="F27" s="11" t="inlineStr">
        <is>
          <t>src/transfer/descriptor/telemetry.{h,cc} + 仪表板（dashboards）/descriptor_compiler.json</t>
        </is>
      </c>
      <c r="G27" s="11" t="inlineStr">
        <is>
          <t>接入统一 遥测数据（telemetry），建立本 SR 专属性能/资源/正确性指标和回归阈值：描述符（descriptor） 数下降≥50%；CPU提交时延（CPU submit time）下降≥40%；布局协商错误=0；黄金用例（golden case） 100%通过</t>
        </is>
      </c>
      <c r="H27" s="11" t="inlineStr">
        <is>
          <t>性能观测对应的可审查代码/IDL/配置/文档</t>
        </is>
      </c>
      <c r="I27" s="11" t="inlineStr">
        <is>
          <t>代码通过编译、静态检查和单元测试；接口/配置有版本；失败语义和 功能开关（feature flag） 可验证。</t>
        </is>
      </c>
      <c r="J27" s="11" t="inlineStr">
        <is>
          <t>ctest -R descriptor_compiler &amp;&amp; run_contract_check --sr SR23-01-02-01</t>
        </is>
      </c>
      <c r="K27" s="11" t="inlineStr">
        <is>
          <t>描述符（descriptor） 数下降≥50%；CPU提交时延（CPU submit time）下降≥40%；布局协商错误=0；黄金用例（golden case） 100%通过</t>
        </is>
      </c>
      <c r="L27" s="11" t="inlineStr">
        <is>
          <t>AR23-01-02-01-05</t>
        </is>
      </c>
      <c r="M27" s="11" t="inlineStr">
        <is>
          <t>SR23-01-01-01、SR23-01-09-01</t>
        </is>
      </c>
      <c r="N27" s="11" t="inlineStr">
        <is>
          <t>P0</t>
        </is>
      </c>
      <c r="O27" s="11" t="inlineStr">
        <is>
          <t>P0</t>
        </is>
      </c>
      <c r="P27" s="11" t="inlineStr">
        <is>
          <t>待认领</t>
        </is>
      </c>
      <c r="Q27" s="11" t="n"/>
      <c r="R27" s="11" t="n"/>
      <c r="S27" s="11">
        <f>IF(COUNTIF($A$5:$A$207,A27)=1,"PASS","FAIL")</f>
        <v/>
      </c>
      <c r="T27" s="11">
        <f>IF(COUNTIF('SR系统设计'!$A$5:$A$42,B27)=1,"PASS","FAIL")</f>
        <v/>
      </c>
    </row>
    <row r="28" ht="72" customHeight="1">
      <c r="A28" s="11" t="inlineStr">
        <is>
          <t>AR23-01-03-01-01</t>
        </is>
      </c>
      <c r="B28" s="11" t="inlineStr">
        <is>
          <t>SR23-01-03-01</t>
        </is>
      </c>
      <c r="C28" s="11" t="inlineStr">
        <is>
          <t>核心实现</t>
        </is>
      </c>
      <c r="D28" s="11" t="inlineStr">
        <is>
          <t>查询计划（QueryPlan） 与多副本成本决策引擎｜核心实现</t>
        </is>
      </c>
      <c r="E28" s="11" t="inlineStr">
        <is>
          <t>语义策略与成本模型组</t>
        </is>
      </c>
      <c r="F28" s="11" t="inlineStr">
        <is>
          <t>src/policy/queryplan/core.{h,cc}</t>
        </is>
      </c>
      <c r="G28" s="11" t="inlineStr">
        <is>
          <t>实现“查询计划（QueryPlan） 与多副本成本决策引擎”的可运行主路径，交付 queryplan-engine 库、策略引擎（PolicyEngine）/放置解析器（PlacementResolver）、影子/标准判定（shadow/oracle） 对账工具 的核心代码、构建入口和最小示例。</t>
        </is>
      </c>
      <c r="H28" s="11" t="inlineStr">
        <is>
          <t>核心实现对应的可审查代码/IDL/配置/文档</t>
        </is>
      </c>
      <c r="I28" s="11" t="inlineStr">
        <is>
          <t>代码通过编译、静态检查和单元测试；接口/配置有版本；失败语义和 功能开关（feature flag） 可验证。</t>
        </is>
      </c>
      <c r="J28" s="11" t="inlineStr">
        <is>
          <t>ctest -R queryplan_engine &amp;&amp; run_contract_check --sr SR23-01-03-01</t>
        </is>
      </c>
      <c r="K28" s="11" t="inlineStr">
        <is>
          <t>策略 p99&lt;5μs；路径选择准确率≥90%；成本预测误差&lt;20%；错误 加载（Load）&lt;1%</t>
        </is>
      </c>
      <c r="L28" s="11" t="n"/>
      <c r="M28" s="11" t="inlineStr">
        <is>
          <t>SR23-01-05-01、SR23-02-05-02</t>
        </is>
      </c>
      <c r="N28" s="11" t="inlineStr">
        <is>
          <t>P0</t>
        </is>
      </c>
      <c r="O28" s="11" t="inlineStr">
        <is>
          <t>P0</t>
        </is>
      </c>
      <c r="P28" s="11" t="inlineStr">
        <is>
          <t>待认领</t>
        </is>
      </c>
      <c r="Q28" s="11" t="n"/>
      <c r="R28" s="11" t="n"/>
      <c r="S28" s="11">
        <f>IF(COUNTIF($A$5:$A$207,A28)=1,"PASS","FAIL")</f>
        <v/>
      </c>
      <c r="T28" s="11">
        <f>IF(COUNTIF('SR系统设计'!$A$5:$A$42,B28)=1,"PASS","FAIL")</f>
        <v/>
      </c>
    </row>
    <row r="29" ht="72" customHeight="1">
      <c r="A29" s="11" t="inlineStr">
        <is>
          <t>AR23-01-03-01-02</t>
        </is>
      </c>
      <c r="B29" s="11" t="inlineStr">
        <is>
          <t>SR23-01-03-01</t>
        </is>
      </c>
      <c r="C29" s="11" t="inlineStr">
        <is>
          <t>接口契约</t>
        </is>
      </c>
      <c r="D29" s="11" t="inlineStr">
        <is>
          <t>查询计划（QueryPlan） 与多副本成本决策引擎｜接口契约</t>
        </is>
      </c>
      <c r="E29" s="11" t="inlineStr">
        <is>
          <t>语义策略与成本模型组</t>
        </is>
      </c>
      <c r="F29" s="11" t="inlineStr">
        <is>
          <t>api/kvcache/v23/queryplan_engine.proto + src/policy/queryplan/api.{h,cc}</t>
        </is>
      </c>
      <c r="G29" s="11" t="inlineStr">
        <is>
          <t>冻结并实现接口/IDL、版本兼容、输入输出、错误码与 消费者（consumer） 示例：plan(KV访问意图（KVAccessIntent）, candidates, 遥测数据（telemetry）)→排序后的查询计划（ranked QueryPlan） + 决策原因（decision reason）</t>
        </is>
      </c>
      <c r="H29" s="11" t="inlineStr">
        <is>
          <t>接口契约对应的可审查代码/IDL/配置/文档</t>
        </is>
      </c>
      <c r="I29" s="11" t="inlineStr">
        <is>
          <t>代码通过编译、静态检查和单元测试；接口/配置有版本；失败语义和 功能开关（feature flag） 可验证。</t>
        </is>
      </c>
      <c r="J29" s="11" t="inlineStr">
        <is>
          <t>ctest -R queryplan_engine &amp;&amp; run_contract_check --sr SR23-01-03-01</t>
        </is>
      </c>
      <c r="K29" s="11" t="inlineStr">
        <is>
          <t>策略 p99&lt;5μs；路径选择准确率≥90%；成本预测误差&lt;20%；错误 加载（Load）&lt;1%</t>
        </is>
      </c>
      <c r="L29" s="11" t="inlineStr">
        <is>
          <t>AR23-01-03-01-01</t>
        </is>
      </c>
      <c r="M29" s="11" t="inlineStr">
        <is>
          <t>SR23-01-05-01、SR23-02-05-02</t>
        </is>
      </c>
      <c r="N29" s="11" t="inlineStr">
        <is>
          <t>P0</t>
        </is>
      </c>
      <c r="O29" s="11" t="inlineStr">
        <is>
          <t>P0</t>
        </is>
      </c>
      <c r="P29" s="11" t="inlineStr">
        <is>
          <t>待认领</t>
        </is>
      </c>
      <c r="Q29" s="11" t="n"/>
      <c r="R29" s="11" t="n"/>
      <c r="S29" s="11">
        <f>IF(COUNTIF($A$5:$A$207,A29)=1,"PASS","FAIL")</f>
        <v/>
      </c>
      <c r="T29" s="11">
        <f>IF(COUNTIF('SR系统设计'!$A$5:$A$42,B29)=1,"PASS","FAIL")</f>
        <v/>
      </c>
    </row>
    <row r="30" ht="72" customHeight="1">
      <c r="A30" s="11" t="inlineStr">
        <is>
          <t>AR23-01-03-01-03</t>
        </is>
      </c>
      <c r="B30" s="11" t="inlineStr">
        <is>
          <t>SR23-01-03-01</t>
        </is>
      </c>
      <c r="C30" s="11" t="inlineStr">
        <is>
          <t>状态模型</t>
        </is>
      </c>
      <c r="D30" s="11" t="inlineStr">
        <is>
          <t>查询计划（QueryPlan） 与多副本成本决策引擎｜状态模型</t>
        </is>
      </c>
      <c r="E30" s="11" t="inlineStr">
        <is>
          <t>语义策略与成本模型组</t>
        </is>
      </c>
      <c r="F30" s="11" t="inlineStr">
        <is>
          <t>src/policy/queryplan/state_model.{h,cc}</t>
        </is>
      </c>
      <c r="G30" s="11" t="inlineStr">
        <is>
          <t>实现状态、版本、并发互锁和持久/内存数据模型，覆盖正常转换与非法转换保护。</t>
        </is>
      </c>
      <c r="H30" s="11" t="inlineStr">
        <is>
          <t>状态模型对应的可审查代码/IDL/配置/文档</t>
        </is>
      </c>
      <c r="I30" s="11" t="inlineStr">
        <is>
          <t>代码通过编译、静态检查和单元测试；接口/配置有版本；失败语义和 功能开关（feature flag） 可验证。</t>
        </is>
      </c>
      <c r="J30" s="11" t="inlineStr">
        <is>
          <t>ctest -R queryplan_engine &amp;&amp; run_contract_check --sr SR23-01-03-01</t>
        </is>
      </c>
      <c r="K30" s="11" t="inlineStr">
        <is>
          <t>策略 p99&lt;5μs；路径选择准确率≥90%；成本预测误差&lt;20%；错误 加载（Load）&lt;1%</t>
        </is>
      </c>
      <c r="L30" s="11" t="inlineStr">
        <is>
          <t>AR23-01-03-01-02</t>
        </is>
      </c>
      <c r="M30" s="11" t="inlineStr">
        <is>
          <t>SR23-01-05-01、SR23-02-05-02</t>
        </is>
      </c>
      <c r="N30" s="11" t="inlineStr">
        <is>
          <t>P0</t>
        </is>
      </c>
      <c r="O30" s="11" t="inlineStr">
        <is>
          <t>P0</t>
        </is>
      </c>
      <c r="P30" s="11" t="inlineStr">
        <is>
          <t>待认领</t>
        </is>
      </c>
      <c r="Q30" s="11" t="n"/>
      <c r="R30" s="11" t="n"/>
      <c r="S30" s="11">
        <f>IF(COUNTIF($A$5:$A$207,A30)=1,"PASS","FAIL")</f>
        <v/>
      </c>
      <c r="T30" s="11">
        <f>IF(COUNTIF('SR系统设计'!$A$5:$A$42,B30)=1,"PASS","FAIL")</f>
        <v/>
      </c>
    </row>
    <row r="31" ht="72" customHeight="1">
      <c r="A31" s="11" t="inlineStr">
        <is>
          <t>AR23-01-03-01-04</t>
        </is>
      </c>
      <c r="B31" s="11" t="inlineStr">
        <is>
          <t>SR23-01-03-01</t>
        </is>
      </c>
      <c r="C31" s="11" t="inlineStr">
        <is>
          <t>异常回滚</t>
        </is>
      </c>
      <c r="D31" s="11" t="inlineStr">
        <is>
          <t>查询计划（QueryPlan） 与多副本成本决策引擎｜异常回滚</t>
        </is>
      </c>
      <c r="E31" s="11" t="inlineStr">
        <is>
          <t>语义策略与成本模型组</t>
        </is>
      </c>
      <c r="F31" s="11" t="inlineStr">
        <is>
          <t>src/policy/queryplan/fallback.{h,cc} + config/feature_flags/queryplan_engine.yaml</t>
        </is>
      </c>
      <c r="G31" s="11" t="inlineStr">
        <is>
          <t>实现并验证失败、超时、取消、降级、回滚与关闭路径：成本估计不可信或超预算时选择本地副本/部分重算（partial recompute）/重算（recompute）</t>
        </is>
      </c>
      <c r="H31" s="11" t="inlineStr">
        <is>
          <t>异常回滚对应的可审查代码/IDL/配置/文档</t>
        </is>
      </c>
      <c r="I31" s="11" t="inlineStr">
        <is>
          <t>代码通过编译、静态检查和单元测试；接口/配置有版本；失败语义和 功能开关（feature flag） 可验证。</t>
        </is>
      </c>
      <c r="J31" s="11" t="inlineStr">
        <is>
          <t>ctest -R queryplan_engine &amp;&amp; run_contract_check --sr SR23-01-03-01</t>
        </is>
      </c>
      <c r="K31" s="11" t="inlineStr">
        <is>
          <t>策略 p99&lt;5μs；路径选择准确率≥90%；成本预测误差&lt;20%；错误 加载（Load）&lt;1%</t>
        </is>
      </c>
      <c r="L31" s="11" t="inlineStr">
        <is>
          <t>AR23-01-03-01-03</t>
        </is>
      </c>
      <c r="M31" s="11" t="inlineStr">
        <is>
          <t>SR23-01-05-01、SR23-02-05-02</t>
        </is>
      </c>
      <c r="N31" s="11" t="inlineStr">
        <is>
          <t>P0</t>
        </is>
      </c>
      <c r="O31" s="11" t="inlineStr">
        <is>
          <t>P0</t>
        </is>
      </c>
      <c r="P31" s="11" t="inlineStr">
        <is>
          <t>待认领</t>
        </is>
      </c>
      <c r="Q31" s="11" t="n"/>
      <c r="R31" s="11" t="n"/>
      <c r="S31" s="11">
        <f>IF(COUNTIF($A$5:$A$207,A31)=1,"PASS","FAIL")</f>
        <v/>
      </c>
      <c r="T31" s="11">
        <f>IF(COUNTIF('SR系统设计'!$A$5:$A$42,B31)=1,"PASS","FAIL")</f>
        <v/>
      </c>
    </row>
    <row r="32" ht="72" customHeight="1">
      <c r="A32" s="11" t="inlineStr">
        <is>
          <t>AR23-01-03-01-05</t>
        </is>
      </c>
      <c r="B32" s="11" t="inlineStr">
        <is>
          <t>SR23-01-03-01</t>
        </is>
      </c>
      <c r="C32" s="11" t="inlineStr">
        <is>
          <t>独立验收</t>
        </is>
      </c>
      <c r="D32" s="11" t="inlineStr">
        <is>
          <t>查询计划（QueryPlan） 与多副本成本决策引擎｜独立验收</t>
        </is>
      </c>
      <c r="E32" s="11" t="inlineStr">
        <is>
          <t>测试/验收负责人</t>
        </is>
      </c>
      <c r="F32" s="11" t="inlineStr">
        <is>
          <t>tests/queryplan_engine/ + benchmarks/queryplan_engine/ + evidence/queryplan_engine/manifest.yaml</t>
        </is>
      </c>
      <c r="G32" s="11" t="inlineStr">
        <is>
          <t>建立不依赖全项目的验收环境，执行功能、异常、兼容和性能门禁并生成可签字证据包。</t>
        </is>
      </c>
      <c r="H32" s="11" t="inlineStr">
        <is>
          <t>版本化测试结果、原始证据、Go/Conditional/No-Go 结论</t>
        </is>
      </c>
      <c r="I32" s="11" t="inlineStr">
        <is>
          <t>在“录制的 候选项（candidate）/遥测数据（telemetry） 测试夹具（fixture） + 离线 oracle 即可独立验收”中完成主路径、异常、兼容和回滚；全部证据可一键复现。</t>
        </is>
      </c>
      <c r="J32" s="11" t="inlineStr">
        <is>
          <t>run_sr_acceptance --sr SR23-01-03-01 --baseline locked</t>
        </is>
      </c>
      <c r="K32" s="11" t="inlineStr">
        <is>
          <t>策略 p99&lt;5μs；路径选择准确率≥90%；成本预测误差&lt;20%；错误 加载（Load）&lt;1%</t>
        </is>
      </c>
      <c r="L32" s="11" t="inlineStr">
        <is>
          <t>AR23-01-03-01-04</t>
        </is>
      </c>
      <c r="M32" s="11" t="inlineStr">
        <is>
          <t>SR23-01-05-01、SR23-02-05-02</t>
        </is>
      </c>
      <c r="N32" s="11" t="inlineStr">
        <is>
          <t>P0</t>
        </is>
      </c>
      <c r="O32" s="11" t="inlineStr">
        <is>
          <t>P0</t>
        </is>
      </c>
      <c r="P32" s="11" t="inlineStr">
        <is>
          <t>待认领</t>
        </is>
      </c>
      <c r="Q32" s="11" t="n"/>
      <c r="R32" s="11" t="n"/>
      <c r="S32" s="11">
        <f>IF(COUNTIF($A$5:$A$207,A32)=1,"PASS","FAIL")</f>
        <v/>
      </c>
      <c r="T32" s="11">
        <f>IF(COUNTIF('SR系统设计'!$A$5:$A$42,B32)=1,"PASS","FAIL")</f>
        <v/>
      </c>
    </row>
    <row r="33" ht="72" customHeight="1">
      <c r="A33" s="11" t="inlineStr">
        <is>
          <t>AR23-01-03-01-06</t>
        </is>
      </c>
      <c r="B33" s="11" t="inlineStr">
        <is>
          <t>SR23-01-03-01</t>
        </is>
      </c>
      <c r="C33" s="11" t="inlineStr">
        <is>
          <t>性能观测</t>
        </is>
      </c>
      <c r="D33" s="11" t="inlineStr">
        <is>
          <t>查询计划（QueryPlan） 与多副本成本决策引擎｜性能观测</t>
        </is>
      </c>
      <c r="E33" s="11" t="inlineStr">
        <is>
          <t>性能与可观测负责人</t>
        </is>
      </c>
      <c r="F33" s="11" t="inlineStr">
        <is>
          <t>src/policy/queryplan/telemetry.{h,cc} + 仪表板（dashboards）/queryplan_engine.json</t>
        </is>
      </c>
      <c r="G33" s="11" t="inlineStr">
        <is>
          <t>接入统一 遥测数据（telemetry），建立本 SR 专属性能/资源/正确性指标和回归阈值：策略 p99&lt;5μs；路径选择准确率≥90%；成本预测误差&lt;20%；错误 加载（Load）&lt;1%</t>
        </is>
      </c>
      <c r="H33" s="11" t="inlineStr">
        <is>
          <t>性能观测对应的可审查代码/IDL/配置/文档</t>
        </is>
      </c>
      <c r="I33" s="11" t="inlineStr">
        <is>
          <t>代码通过编译、静态检查和单元测试；接口/配置有版本；失败语义和 功能开关（feature flag） 可验证。</t>
        </is>
      </c>
      <c r="J33" s="11" t="inlineStr">
        <is>
          <t>ctest -R queryplan_engine &amp;&amp; run_contract_check --sr SR23-01-03-01</t>
        </is>
      </c>
      <c r="K33" s="11" t="inlineStr">
        <is>
          <t>策略 p99&lt;5μs；路径选择准确率≥90%；成本预测误差&lt;20%；错误 加载（Load）&lt;1%</t>
        </is>
      </c>
      <c r="L33" s="11" t="inlineStr">
        <is>
          <t>AR23-01-03-01-05</t>
        </is>
      </c>
      <c r="M33" s="11" t="inlineStr">
        <is>
          <t>SR23-01-05-01、SR23-02-05-02</t>
        </is>
      </c>
      <c r="N33" s="11" t="inlineStr">
        <is>
          <t>P0</t>
        </is>
      </c>
      <c r="O33" s="11" t="inlineStr">
        <is>
          <t>P0</t>
        </is>
      </c>
      <c r="P33" s="11" t="inlineStr">
        <is>
          <t>待认领</t>
        </is>
      </c>
      <c r="Q33" s="11" t="n"/>
      <c r="R33" s="11" t="n"/>
      <c r="S33" s="11">
        <f>IF(COUNTIF($A$5:$A$207,A33)=1,"PASS","FAIL")</f>
        <v/>
      </c>
      <c r="T33" s="11">
        <f>IF(COUNTIF('SR系统设计'!$A$5:$A$42,B33)=1,"PASS","FAIL")</f>
        <v/>
      </c>
    </row>
    <row r="34" ht="72" customHeight="1">
      <c r="A34" s="11" t="inlineStr">
        <is>
          <t>AR23-01-03-02-01</t>
        </is>
      </c>
      <c r="B34" s="11" t="inlineStr">
        <is>
          <t>SR23-01-03-02</t>
        </is>
      </c>
      <c r="C34" s="11" t="inlineStr">
        <is>
          <t>核心实现</t>
        </is>
      </c>
      <c r="D34" s="11" t="inlineStr">
        <is>
          <t>统一传输意图与粒度分发组件｜核心实现</t>
        </is>
      </c>
      <c r="E34" s="11" t="inlineStr">
        <is>
          <t>统一传输语义组</t>
        </is>
      </c>
      <c r="F34" s="11" t="inlineStr">
        <is>
          <t>src/transfer/intent/core.{h,cc}</t>
        </is>
      </c>
      <c r="G34" s="11" t="inlineStr">
        <is>
          <t>实现“统一传输意图与粒度分发组件”的可运行主路径，交付 transfer-intent API、统一 描述符（descriptor） 模式（schema）、metadata/有效载荷（payload） 粒度分发器 的核心代码、构建入口和最小示例。</t>
        </is>
      </c>
      <c r="H34" s="11" t="inlineStr">
        <is>
          <t>核心实现对应的可审查代码/IDL/配置/文档</t>
        </is>
      </c>
      <c r="I34" s="11" t="inlineStr">
        <is>
          <t>代码通过编译、静态检查和单元测试；接口/配置有版本；失败语义和 功能开关（feature flag） 可验证。</t>
        </is>
      </c>
      <c r="J34" s="11" t="inlineStr">
        <is>
          <t>ctest -R transfer_intent &amp;&amp; run_contract_check --sr SR23-01-03-02</t>
        </is>
      </c>
      <c r="K34" s="11" t="inlineStr">
        <is>
          <t>跨框架语义一致性测试100%；错误 提供器（Provider） 路由=0；单次归一化 p99&lt;3μs</t>
        </is>
      </c>
      <c r="L34" s="11" t="n"/>
      <c r="M34" s="11" t="inlineStr">
        <is>
          <t>SR23-02-01-01、SR23-01-09-01</t>
        </is>
      </c>
      <c r="N34" s="11" t="inlineStr">
        <is>
          <t>P0</t>
        </is>
      </c>
      <c r="O34" s="11" t="inlineStr">
        <is>
          <t>P0</t>
        </is>
      </c>
      <c r="P34" s="11" t="inlineStr">
        <is>
          <t>待认领</t>
        </is>
      </c>
      <c r="Q34" s="11" t="n"/>
      <c r="R34" s="11" t="n"/>
      <c r="S34" s="11">
        <f>IF(COUNTIF($A$5:$A$207,A34)=1,"PASS","FAIL")</f>
        <v/>
      </c>
      <c r="T34" s="11">
        <f>IF(COUNTIF('SR系统设计'!$A$5:$A$42,B34)=1,"PASS","FAIL")</f>
        <v/>
      </c>
    </row>
    <row r="35" ht="72" customHeight="1">
      <c r="A35" s="11" t="inlineStr">
        <is>
          <t>AR23-01-03-02-02</t>
        </is>
      </c>
      <c r="B35" s="11" t="inlineStr">
        <is>
          <t>SR23-01-03-02</t>
        </is>
      </c>
      <c r="C35" s="11" t="inlineStr">
        <is>
          <t>接口契约</t>
        </is>
      </c>
      <c r="D35" s="11" t="inlineStr">
        <is>
          <t>统一传输意图与粒度分发组件｜接口契约</t>
        </is>
      </c>
      <c r="E35" s="11" t="inlineStr">
        <is>
          <t>统一传输语义组</t>
        </is>
      </c>
      <c r="F35" s="11" t="inlineStr">
        <is>
          <t>api/kvcache/v23/transfer_intent.proto + src/transfer/intent/api.{h,cc}</t>
        </is>
      </c>
      <c r="G35" s="11" t="inlineStr">
        <is>
          <t>冻结并实现接口/IDL、版本兼容、输入输出、错误码与 消费者（consumer） 示例：TransferIntent、UnifiedDescriptor、GranularityClass、ProviderRequest</t>
        </is>
      </c>
      <c r="H35" s="11" t="inlineStr">
        <is>
          <t>接口契约对应的可审查代码/IDL/配置/文档</t>
        </is>
      </c>
      <c r="I35" s="11" t="inlineStr">
        <is>
          <t>代码通过编译、静态检查和单元测试；接口/配置有版本；失败语义和 功能开关（feature flag） 可验证。</t>
        </is>
      </c>
      <c r="J35" s="11" t="inlineStr">
        <is>
          <t>ctest -R transfer_intent &amp;&amp; run_contract_check --sr SR23-01-03-02</t>
        </is>
      </c>
      <c r="K35" s="11" t="inlineStr">
        <is>
          <t>跨框架语义一致性测试100%；错误 提供器（Provider） 路由=0；单次归一化 p99&lt;3μs</t>
        </is>
      </c>
      <c r="L35" s="11" t="inlineStr">
        <is>
          <t>AR23-01-03-02-01</t>
        </is>
      </c>
      <c r="M35" s="11" t="inlineStr">
        <is>
          <t>SR23-02-01-01、SR23-01-09-01</t>
        </is>
      </c>
      <c r="N35" s="11" t="inlineStr">
        <is>
          <t>P0</t>
        </is>
      </c>
      <c r="O35" s="11" t="inlineStr">
        <is>
          <t>P0</t>
        </is>
      </c>
      <c r="P35" s="11" t="inlineStr">
        <is>
          <t>待认领</t>
        </is>
      </c>
      <c r="Q35" s="11" t="n"/>
      <c r="R35" s="11" t="n"/>
      <c r="S35" s="11">
        <f>IF(COUNTIF($A$5:$A$207,A35)=1,"PASS","FAIL")</f>
        <v/>
      </c>
      <c r="T35" s="11">
        <f>IF(COUNTIF('SR系统设计'!$A$5:$A$42,B35)=1,"PASS","FAIL")</f>
        <v/>
      </c>
    </row>
    <row r="36" ht="72" customHeight="1">
      <c r="A36" s="11" t="inlineStr">
        <is>
          <t>AR23-01-03-02-03</t>
        </is>
      </c>
      <c r="B36" s="11" t="inlineStr">
        <is>
          <t>SR23-01-03-02</t>
        </is>
      </c>
      <c r="C36" s="11" t="inlineStr">
        <is>
          <t>异常回滚</t>
        </is>
      </c>
      <c r="D36" s="11" t="inlineStr">
        <is>
          <t>统一传输意图与粒度分发组件｜异常回滚</t>
        </is>
      </c>
      <c r="E36" s="11" t="inlineStr">
        <is>
          <t>统一传输语义组</t>
        </is>
      </c>
      <c r="F36" s="11" t="inlineStr">
        <is>
          <t>src/transfer/intent/fallback.{h,cc} + config/feature_flags/transfer_intent.yaml</t>
        </is>
      </c>
      <c r="G36" s="11" t="inlineStr">
        <is>
          <t>实现并验证失败、超时、取消、降级、回滚与关闭路径：提供器（Provider） 不支持时返回 UNSUPPORTED 并交由 查询计划（QueryPlan） 切副本或重算</t>
        </is>
      </c>
      <c r="H36" s="11" t="inlineStr">
        <is>
          <t>异常回滚对应的可审查代码/IDL/配置/文档</t>
        </is>
      </c>
      <c r="I36" s="11" t="inlineStr">
        <is>
          <t>代码通过编译、静态检查和单元测试；接口/配置有版本；失败语义和 功能开关（feature flag） 可验证。</t>
        </is>
      </c>
      <c r="J36" s="11" t="inlineStr">
        <is>
          <t>ctest -R transfer_intent &amp;&amp; run_contract_check --sr SR23-01-03-02</t>
        </is>
      </c>
      <c r="K36" s="11" t="inlineStr">
        <is>
          <t>跨框架语义一致性测试100%；错误 提供器（Provider） 路由=0；单次归一化 p99&lt;3μs</t>
        </is>
      </c>
      <c r="L36" s="11" t="inlineStr">
        <is>
          <t>AR23-01-03-02-02</t>
        </is>
      </c>
      <c r="M36" s="11" t="inlineStr">
        <is>
          <t>SR23-02-01-01、SR23-01-09-01</t>
        </is>
      </c>
      <c r="N36" s="11" t="inlineStr">
        <is>
          <t>P0</t>
        </is>
      </c>
      <c r="O36" s="11" t="inlineStr">
        <is>
          <t>P0</t>
        </is>
      </c>
      <c r="P36" s="11" t="inlineStr">
        <is>
          <t>待认领</t>
        </is>
      </c>
      <c r="Q36" s="11" t="n"/>
      <c r="R36" s="11" t="n"/>
      <c r="S36" s="11">
        <f>IF(COUNTIF($A$5:$A$207,A36)=1,"PASS","FAIL")</f>
        <v/>
      </c>
      <c r="T36" s="11">
        <f>IF(COUNTIF('SR系统设计'!$A$5:$A$42,B36)=1,"PASS","FAIL")</f>
        <v/>
      </c>
    </row>
    <row r="37" ht="72" customHeight="1">
      <c r="A37" s="11" t="inlineStr">
        <is>
          <t>AR23-01-03-02-04</t>
        </is>
      </c>
      <c r="B37" s="11" t="inlineStr">
        <is>
          <t>SR23-01-03-02</t>
        </is>
      </c>
      <c r="C37" s="11" t="inlineStr">
        <is>
          <t>独立验收</t>
        </is>
      </c>
      <c r="D37" s="11" t="inlineStr">
        <is>
          <t>统一传输意图与粒度分发组件｜独立验收</t>
        </is>
      </c>
      <c r="E37" s="11" t="inlineStr">
        <is>
          <t>测试/验收负责人</t>
        </is>
      </c>
      <c r="F37" s="11" t="inlineStr">
        <is>
          <t>tests/transfer_intent/ + benchmarks/transfer_intent/ + evidence/transfer_intent/manifest.yaml</t>
        </is>
      </c>
      <c r="G37" s="11" t="inlineStr">
        <is>
          <t>建立不依赖全项目的验收环境，执行功能、异常、兼容和性能门禁并生成可签字证据包。</t>
        </is>
      </c>
      <c r="H37" s="11" t="inlineStr">
        <is>
          <t>版本化测试结果、原始证据、Go/Conditional/No-Go 结论</t>
        </is>
      </c>
      <c r="I37" s="11" t="inlineStr">
        <is>
          <t>在“模式一致性（Schema conformance） + 三种 模拟提供器（MockProvider） 即可独立验收”中完成主路径、异常、兼容和回滚；全部证据可一键复现。</t>
        </is>
      </c>
      <c r="J37" s="11" t="inlineStr">
        <is>
          <t>run_sr_acceptance --sr SR23-01-03-02 --baseline locked</t>
        </is>
      </c>
      <c r="K37" s="11" t="inlineStr">
        <is>
          <t>跨框架语义一致性测试100%；错误 提供器（Provider） 路由=0；单次归一化 p99&lt;3μs</t>
        </is>
      </c>
      <c r="L37" s="11" t="inlineStr">
        <is>
          <t>AR23-01-03-02-03</t>
        </is>
      </c>
      <c r="M37" s="11" t="inlineStr">
        <is>
          <t>SR23-02-01-01、SR23-01-09-01</t>
        </is>
      </c>
      <c r="N37" s="11" t="inlineStr">
        <is>
          <t>P0</t>
        </is>
      </c>
      <c r="O37" s="11" t="inlineStr">
        <is>
          <t>P0</t>
        </is>
      </c>
      <c r="P37" s="11" t="inlineStr">
        <is>
          <t>待认领</t>
        </is>
      </c>
      <c r="Q37" s="11" t="n"/>
      <c r="R37" s="11" t="n"/>
      <c r="S37" s="11">
        <f>IF(COUNTIF($A$5:$A$207,A37)=1,"PASS","FAIL")</f>
        <v/>
      </c>
      <c r="T37" s="11">
        <f>IF(COUNTIF('SR系统设计'!$A$5:$A$42,B37)=1,"PASS","FAIL")</f>
        <v/>
      </c>
    </row>
    <row r="38" ht="72" customHeight="1">
      <c r="A38" s="11" t="inlineStr">
        <is>
          <t>AR23-01-04-01-01</t>
        </is>
      </c>
      <c r="B38" s="11" t="inlineStr">
        <is>
          <t>SR23-01-04-01</t>
        </is>
      </c>
      <c r="C38" s="11" t="inlineStr">
        <is>
          <t>核心实现</t>
        </is>
      </c>
      <c r="D38" s="11" t="inlineStr">
        <is>
          <t>异步传输 有向无环图（DAG） 与流水加载执行器｜核心实现</t>
        </is>
      </c>
      <c r="E38" s="11" t="inlineStr">
        <is>
          <t>异步传输编排组</t>
        </is>
      </c>
      <c r="F38" s="11" t="inlineStr">
        <is>
          <t>src/transfer/dag/core.{h,cc}</t>
        </is>
      </c>
      <c r="G38" s="11" t="inlineStr">
        <is>
          <t>实现“异步传输 有向无环图（DAG） 与流水加载执行器”的可运行主路径，交付 async-transfer-dag 库、传输票据（TransferTicket）、取消/超时/部分完成控制器 的核心代码、构建入口和最小示例。</t>
        </is>
      </c>
      <c r="H38" s="11" t="inlineStr">
        <is>
          <t>核心实现对应的可审查代码/IDL/配置/文档</t>
        </is>
      </c>
      <c r="I38" s="11" t="inlineStr">
        <is>
          <t>代码通过编译、静态检查和单元测试；接口/配置有版本；失败语义和 功能开关（feature flag） 可验证。</t>
        </is>
      </c>
      <c r="J38" s="11" t="inlineStr">
        <is>
          <t>ctest -R async_dag &amp;&amp; run_contract_check --sr SR23-01-04-01</t>
        </is>
      </c>
      <c r="K38" s="11" t="inlineStr">
        <is>
          <t>计算/传输重叠≥60%；取消资源泄漏=0；部分完成状态一致；预填充/解码交接（P/D handoff） p99降低≥20%</t>
        </is>
      </c>
      <c r="L38" s="11" t="n"/>
      <c r="M38" s="11" t="inlineStr">
        <is>
          <t>SR23-01-02-01、SR23-01-03-02</t>
        </is>
      </c>
      <c r="N38" s="11" t="inlineStr">
        <is>
          <t>P1</t>
        </is>
      </c>
      <c r="O38" s="11" t="inlineStr">
        <is>
          <t>P1</t>
        </is>
      </c>
      <c r="P38" s="11" t="inlineStr">
        <is>
          <t>待认领</t>
        </is>
      </c>
      <c r="Q38" s="11" t="n"/>
      <c r="R38" s="11" t="n"/>
      <c r="S38" s="11">
        <f>IF(COUNTIF($A$5:$A$207,A38)=1,"PASS","FAIL")</f>
        <v/>
      </c>
      <c r="T38" s="11">
        <f>IF(COUNTIF('SR系统设计'!$A$5:$A$42,B38)=1,"PASS","FAIL")</f>
        <v/>
      </c>
    </row>
    <row r="39" ht="72" customHeight="1">
      <c r="A39" s="11" t="inlineStr">
        <is>
          <t>AR23-01-04-01-02</t>
        </is>
      </c>
      <c r="B39" s="11" t="inlineStr">
        <is>
          <t>SR23-01-04-01</t>
        </is>
      </c>
      <c r="C39" s="11" t="inlineStr">
        <is>
          <t>接口契约</t>
        </is>
      </c>
      <c r="D39" s="11" t="inlineStr">
        <is>
          <t>异步传输 有向无环图（DAG） 与流水加载执行器｜接口契约</t>
        </is>
      </c>
      <c r="E39" s="11" t="inlineStr">
        <is>
          <t>异步传输编排组</t>
        </is>
      </c>
      <c r="F39" s="11" t="inlineStr">
        <is>
          <t>api/kvcache/v23/async_dag.proto + src/transfer/dag/api.{h,cc}</t>
        </is>
      </c>
      <c r="G39" s="11" t="inlineStr">
        <is>
          <t>冻结并实现接口/IDL、版本兼容、输入输出、错误码与 消费者（consumer） 示例：submit(查询计划（QueryPlan）, descriptors)→TransferTicket/completion/fence/per-target result</t>
        </is>
      </c>
      <c r="H39" s="11" t="inlineStr">
        <is>
          <t>接口契约对应的可审查代码/IDL/配置/文档</t>
        </is>
      </c>
      <c r="I39" s="11" t="inlineStr">
        <is>
          <t>代码通过编译、静态检查和单元测试；接口/配置有版本；失败语义和 功能开关（feature flag） 可验证。</t>
        </is>
      </c>
      <c r="J39" s="11" t="inlineStr">
        <is>
          <t>ctest -R async_dag &amp;&amp; run_contract_check --sr SR23-01-04-01</t>
        </is>
      </c>
      <c r="K39" s="11" t="inlineStr">
        <is>
          <t>计算/传输重叠≥60%；取消资源泄漏=0；部分完成状态一致；预填充/解码交接（P/D handoff） p99降低≥20%</t>
        </is>
      </c>
      <c r="L39" s="11" t="inlineStr">
        <is>
          <t>AR23-01-04-01-01</t>
        </is>
      </c>
      <c r="M39" s="11" t="inlineStr">
        <is>
          <t>SR23-01-02-01、SR23-01-03-02</t>
        </is>
      </c>
      <c r="N39" s="11" t="inlineStr">
        <is>
          <t>P1</t>
        </is>
      </c>
      <c r="O39" s="11" t="inlineStr">
        <is>
          <t>P1</t>
        </is>
      </c>
      <c r="P39" s="11" t="inlineStr">
        <is>
          <t>待认领</t>
        </is>
      </c>
      <c r="Q39" s="11" t="n"/>
      <c r="R39" s="11" t="n"/>
      <c r="S39" s="11">
        <f>IF(COUNTIF($A$5:$A$207,A39)=1,"PASS","FAIL")</f>
        <v/>
      </c>
      <c r="T39" s="11">
        <f>IF(COUNTIF('SR系统设计'!$A$5:$A$42,B39)=1,"PASS","FAIL")</f>
        <v/>
      </c>
    </row>
    <row r="40" ht="72" customHeight="1">
      <c r="A40" s="11" t="inlineStr">
        <is>
          <t>AR23-01-04-01-03</t>
        </is>
      </c>
      <c r="B40" s="11" t="inlineStr">
        <is>
          <t>SR23-01-04-01</t>
        </is>
      </c>
      <c r="C40" s="11" t="inlineStr">
        <is>
          <t>状态模型</t>
        </is>
      </c>
      <c r="D40" s="11" t="inlineStr">
        <is>
          <t>异步传输 有向无环图（DAG） 与流水加载执行器｜状态模型</t>
        </is>
      </c>
      <c r="E40" s="11" t="inlineStr">
        <is>
          <t>异步传输编排组</t>
        </is>
      </c>
      <c r="F40" s="11" t="inlineStr">
        <is>
          <t>src/transfer/dag/state_model.{h,cc}</t>
        </is>
      </c>
      <c r="G40" s="11" t="inlineStr">
        <is>
          <t>实现状态、版本、并发互锁和持久/内存数据模型，覆盖正常转换与非法转换保护。</t>
        </is>
      </c>
      <c r="H40" s="11" t="inlineStr">
        <is>
          <t>状态模型对应的可审查代码/IDL/配置/文档</t>
        </is>
      </c>
      <c r="I40" s="11" t="inlineStr">
        <is>
          <t>代码通过编译、静态检查和单元测试；接口/配置有版本；失败语义和 功能开关（feature flag） 可验证。</t>
        </is>
      </c>
      <c r="J40" s="11" t="inlineStr">
        <is>
          <t>ctest -R async_dag &amp;&amp; run_contract_check --sr SR23-01-04-01</t>
        </is>
      </c>
      <c r="K40" s="11" t="inlineStr">
        <is>
          <t>计算/传输重叠≥60%；取消资源泄漏=0；部分完成状态一致；预填充/解码交接（P/D handoff） p99降低≥20%</t>
        </is>
      </c>
      <c r="L40" s="11" t="inlineStr">
        <is>
          <t>AR23-01-04-01-02</t>
        </is>
      </c>
      <c r="M40" s="11" t="inlineStr">
        <is>
          <t>SR23-01-02-01、SR23-01-03-02</t>
        </is>
      </c>
      <c r="N40" s="11" t="inlineStr">
        <is>
          <t>P1</t>
        </is>
      </c>
      <c r="O40" s="11" t="inlineStr">
        <is>
          <t>P1</t>
        </is>
      </c>
      <c r="P40" s="11" t="inlineStr">
        <is>
          <t>待认领</t>
        </is>
      </c>
      <c r="Q40" s="11" t="n"/>
      <c r="R40" s="11" t="n"/>
      <c r="S40" s="11">
        <f>IF(COUNTIF($A$5:$A$207,A40)=1,"PASS","FAIL")</f>
        <v/>
      </c>
      <c r="T40" s="11">
        <f>IF(COUNTIF('SR系统设计'!$A$5:$A$42,B40)=1,"PASS","FAIL")</f>
        <v/>
      </c>
    </row>
    <row r="41" ht="72" customHeight="1">
      <c r="A41" s="11" t="inlineStr">
        <is>
          <t>AR23-01-04-01-04</t>
        </is>
      </c>
      <c r="B41" s="11" t="inlineStr">
        <is>
          <t>SR23-01-04-01</t>
        </is>
      </c>
      <c r="C41" s="11" t="inlineStr">
        <is>
          <t>异常回滚</t>
        </is>
      </c>
      <c r="D41" s="11" t="inlineStr">
        <is>
          <t>异步传输 有向无环图（DAG） 与流水加载执行器｜异常回滚</t>
        </is>
      </c>
      <c r="E41" s="11" t="inlineStr">
        <is>
          <t>异步传输编排组</t>
        </is>
      </c>
      <c r="F41" s="11" t="inlineStr">
        <is>
          <t>src/transfer/dag/fallback.{h,cc} + config/feature_flags/async_dag.yaml</t>
        </is>
      </c>
      <c r="G41" s="11" t="inlineStr">
        <is>
          <t>实现并验证失败、超时、取消、降级、回滚与关闭路径：截止时限（deadline） 到期取消未提交任务；部分目标失败隔离重试；主路径失败切备用 提供器（Provider）</t>
        </is>
      </c>
      <c r="H41" s="11" t="inlineStr">
        <is>
          <t>异常回滚对应的可审查代码/IDL/配置/文档</t>
        </is>
      </c>
      <c r="I41" s="11" t="inlineStr">
        <is>
          <t>代码通过编译、静态检查和单元测试；接口/配置有版本；失败语义和 功能开关（feature flag） 可验证。</t>
        </is>
      </c>
      <c r="J41" s="11" t="inlineStr">
        <is>
          <t>ctest -R async_dag &amp;&amp; run_contract_check --sr SR23-01-04-01</t>
        </is>
      </c>
      <c r="K41" s="11" t="inlineStr">
        <is>
          <t>计算/传输重叠≥60%；取消资源泄漏=0；部分完成状态一致；预填充/解码交接（P/D handoff） p99降低≥20%</t>
        </is>
      </c>
      <c r="L41" s="11" t="inlineStr">
        <is>
          <t>AR23-01-04-01-03</t>
        </is>
      </c>
      <c r="M41" s="11" t="inlineStr">
        <is>
          <t>SR23-01-02-01、SR23-01-03-02</t>
        </is>
      </c>
      <c r="N41" s="11" t="inlineStr">
        <is>
          <t>P1</t>
        </is>
      </c>
      <c r="O41" s="11" t="inlineStr">
        <is>
          <t>P1</t>
        </is>
      </c>
      <c r="P41" s="11" t="inlineStr">
        <is>
          <t>待认领</t>
        </is>
      </c>
      <c r="Q41" s="11" t="n"/>
      <c r="R41" s="11" t="n"/>
      <c r="S41" s="11">
        <f>IF(COUNTIF($A$5:$A$207,A41)=1,"PASS","FAIL")</f>
        <v/>
      </c>
      <c r="T41" s="11">
        <f>IF(COUNTIF('SR系统设计'!$A$5:$A$42,B41)=1,"PASS","FAIL")</f>
        <v/>
      </c>
    </row>
    <row r="42" ht="72" customHeight="1">
      <c r="A42" s="11" t="inlineStr">
        <is>
          <t>AR23-01-04-01-05</t>
        </is>
      </c>
      <c r="B42" s="11" t="inlineStr">
        <is>
          <t>SR23-01-04-01</t>
        </is>
      </c>
      <c r="C42" s="11" t="inlineStr">
        <is>
          <t>独立验收</t>
        </is>
      </c>
      <c r="D42" s="11" t="inlineStr">
        <is>
          <t>异步传输 有向无环图（DAG） 与流水加载执行器｜独立验收</t>
        </is>
      </c>
      <c r="E42" s="11" t="inlineStr">
        <is>
          <t>测试/验收负责人</t>
        </is>
      </c>
      <c r="F42" s="11" t="inlineStr">
        <is>
          <t>tests/async_dag/ + benchmarks/async_dag/ + evidence/async_dag/manifest.yaml</t>
        </is>
      </c>
      <c r="G42" s="11" t="inlineStr">
        <is>
          <t>建立不依赖全项目的验收环境，执行功能、异常、兼容和性能门禁并生成可签字证据包。</t>
        </is>
      </c>
      <c r="H42" s="11" t="inlineStr">
        <is>
          <t>版本化测试结果、原始证据、Go/Conditional/No-Go 结论</t>
        </is>
      </c>
      <c r="I42" s="11" t="inlineStr">
        <is>
          <t>在“描述符编译器（DescriptorCompiler） + 模拟提供器（MockProvider） + 模拟时钟（fake clock） 即可独立验收”中完成主路径、异常、兼容和回滚；全部证据可一键复现。</t>
        </is>
      </c>
      <c r="J42" s="11" t="inlineStr">
        <is>
          <t>run_sr_acceptance --sr SR23-01-04-01 --baseline locked</t>
        </is>
      </c>
      <c r="K42" s="11" t="inlineStr">
        <is>
          <t>计算/传输重叠≥60%；取消资源泄漏=0；部分完成状态一致；预填充/解码交接（P/D handoff） p99降低≥20%</t>
        </is>
      </c>
      <c r="L42" s="11" t="inlineStr">
        <is>
          <t>AR23-01-04-01-04</t>
        </is>
      </c>
      <c r="M42" s="11" t="inlineStr">
        <is>
          <t>SR23-01-02-01、SR23-01-03-02</t>
        </is>
      </c>
      <c r="N42" s="11" t="inlineStr">
        <is>
          <t>P1</t>
        </is>
      </c>
      <c r="O42" s="11" t="inlineStr">
        <is>
          <t>P1</t>
        </is>
      </c>
      <c r="P42" s="11" t="inlineStr">
        <is>
          <t>待认领</t>
        </is>
      </c>
      <c r="Q42" s="11" t="n"/>
      <c r="R42" s="11" t="n"/>
      <c r="S42" s="11">
        <f>IF(COUNTIF($A$5:$A$207,A42)=1,"PASS","FAIL")</f>
        <v/>
      </c>
      <c r="T42" s="11">
        <f>IF(COUNTIF('SR系统设计'!$A$5:$A$42,B42)=1,"PASS","FAIL")</f>
        <v/>
      </c>
    </row>
    <row r="43" ht="72" customHeight="1">
      <c r="A43" s="11" t="inlineStr">
        <is>
          <t>AR23-01-04-01-06</t>
        </is>
      </c>
      <c r="B43" s="11" t="inlineStr">
        <is>
          <t>SR23-01-04-01</t>
        </is>
      </c>
      <c r="C43" s="11" t="inlineStr">
        <is>
          <t>性能观测</t>
        </is>
      </c>
      <c r="D43" s="11" t="inlineStr">
        <is>
          <t>异步传输 有向无环图（DAG） 与流水加载执行器｜性能观测</t>
        </is>
      </c>
      <c r="E43" s="11" t="inlineStr">
        <is>
          <t>性能与可观测负责人</t>
        </is>
      </c>
      <c r="F43" s="11" t="inlineStr">
        <is>
          <t>src/transfer/dag/telemetry.{h,cc} + 仪表板（dashboards）/async_dag.json</t>
        </is>
      </c>
      <c r="G43" s="11" t="inlineStr">
        <is>
          <t>接入统一 遥测数据（telemetry），建立本 SR 专属性能/资源/正确性指标和回归阈值：计算/传输重叠≥60%；取消资源泄漏=0；部分完成状态一致；预填充/解码交接（P/D handoff） p99降低≥20%</t>
        </is>
      </c>
      <c r="H43" s="11" t="inlineStr">
        <is>
          <t>性能观测对应的可审查代码/IDL/配置/文档</t>
        </is>
      </c>
      <c r="I43" s="11" t="inlineStr">
        <is>
          <t>代码通过编译、静态检查和单元测试；接口/配置有版本；失败语义和 功能开关（feature flag） 可验证。</t>
        </is>
      </c>
      <c r="J43" s="11" t="inlineStr">
        <is>
          <t>ctest -R async_dag &amp;&amp; run_contract_check --sr SR23-01-04-01</t>
        </is>
      </c>
      <c r="K43" s="11" t="inlineStr">
        <is>
          <t>计算/传输重叠≥60%；取消资源泄漏=0；部分完成状态一致；预填充/解码交接（P/D handoff） p99降低≥20%</t>
        </is>
      </c>
      <c r="L43" s="11" t="inlineStr">
        <is>
          <t>AR23-01-04-01-05</t>
        </is>
      </c>
      <c r="M43" s="11" t="inlineStr">
        <is>
          <t>SR23-01-02-01、SR23-01-03-02</t>
        </is>
      </c>
      <c r="N43" s="11" t="inlineStr">
        <is>
          <t>P1</t>
        </is>
      </c>
      <c r="O43" s="11" t="inlineStr">
        <is>
          <t>P1</t>
        </is>
      </c>
      <c r="P43" s="11" t="inlineStr">
        <is>
          <t>待认领</t>
        </is>
      </c>
      <c r="Q43" s="11" t="n"/>
      <c r="R43" s="11" t="n"/>
      <c r="S43" s="11">
        <f>IF(COUNTIF($A$5:$A$207,A43)=1,"PASS","FAIL")</f>
        <v/>
      </c>
      <c r="T43" s="11">
        <f>IF(COUNTIF('SR系统设计'!$A$5:$A$42,B43)=1,"PASS","FAIL")</f>
        <v/>
      </c>
    </row>
    <row r="44" ht="72" customHeight="1">
      <c r="A44" s="11" t="inlineStr">
        <is>
          <t>AR23-01-04-02-01</t>
        </is>
      </c>
      <c r="B44" s="11" t="inlineStr">
        <is>
          <t>SR23-01-04-02</t>
        </is>
      </c>
      <c r="C44" s="11" t="inlineStr">
        <is>
          <t>插件实现</t>
        </is>
      </c>
      <c r="D44" s="11" t="inlineStr">
        <is>
          <t>一对多共享与可选多播 提供器（Provider）｜插件实现</t>
        </is>
      </c>
      <c r="E44" s="11" t="inlineStr">
        <is>
          <t>共享分发插件组</t>
        </is>
      </c>
      <c r="F44" s="11" t="inlineStr">
        <is>
          <t>src/transfer/fanout/provider.{h,cc}</t>
        </is>
      </c>
      <c r="G44" s="11" t="inlineStr">
        <is>
          <t>按 提供器（Provider） SDK 实现“一对多共享与可选多播 提供器（Provider）”插件主路径，完成能力探测、注册和正常执行。</t>
        </is>
      </c>
      <c r="H44" s="11" t="inlineStr">
        <is>
          <t>插件实现对应的可审查代码/IDL/配置/文档</t>
        </is>
      </c>
      <c r="I44" s="11" t="inlineStr">
        <is>
          <t>代码通过编译、静态检查和单元测试；接口/配置有版本；失败语义和 功能开关（feature flag） 可验证。</t>
        </is>
      </c>
      <c r="J44" s="11" t="inlineStr">
        <is>
          <t>ctest -R fanout_provider &amp;&amp; run_contract_check --sr SR23-01-04-02</t>
        </is>
      </c>
      <c r="K44" s="11" t="inlineStr">
        <is>
          <t>重复远端拉取下降≥50%；错误共享/租约泄漏=0；源端带宽增长显著低于 O(N)</t>
        </is>
      </c>
      <c r="L44" s="11" t="n"/>
      <c r="M44" s="11" t="inlineStr">
        <is>
          <t>SR23-01-04-01、SR23-01-10-01</t>
        </is>
      </c>
      <c r="N44" s="11" t="inlineStr">
        <is>
          <t>P3</t>
        </is>
      </c>
      <c r="O44" s="11" t="inlineStr">
        <is>
          <t>P3</t>
        </is>
      </c>
      <c r="P44" s="11" t="inlineStr">
        <is>
          <t>待认领</t>
        </is>
      </c>
      <c r="Q44" s="11" t="n"/>
      <c r="R44" s="11" t="n"/>
      <c r="S44" s="11">
        <f>IF(COUNTIF($A$5:$A$207,A44)=1,"PASS","FAIL")</f>
        <v/>
      </c>
      <c r="T44" s="11">
        <f>IF(COUNTIF('SR系统设计'!$A$5:$A$42,B44)=1,"PASS","FAIL")</f>
        <v/>
      </c>
    </row>
    <row r="45" ht="72" customHeight="1">
      <c r="A45" s="11" t="inlineStr">
        <is>
          <t>AR23-01-04-02-02</t>
        </is>
      </c>
      <c r="B45" s="11" t="inlineStr">
        <is>
          <t>SR23-01-04-02</t>
        </is>
      </c>
      <c r="C45" s="11" t="inlineStr">
        <is>
          <t>能力声明</t>
        </is>
      </c>
      <c r="D45" s="11" t="inlineStr">
        <is>
          <t>一对多共享与可选多播 提供器（Provider）｜能力声明</t>
        </is>
      </c>
      <c r="E45" s="11" t="inlineStr">
        <is>
          <t>共享分发插件组</t>
        </is>
      </c>
      <c r="F45" s="11" t="inlineStr">
        <is>
          <t>api/kvcache/v23/fanout_provider_capability.proto + config/capability/fanout_provider.yaml</t>
        </is>
      </c>
      <c r="G45" s="11" t="inlineStr">
        <is>
          <t>实现版本化 能力（capability）/功能开关（feature flag），明确 Supported/Conditional/Not Supported 和适用边界。</t>
        </is>
      </c>
      <c r="H45" s="11" t="inlineStr">
        <is>
          <t>能力声明对应的可审查代码/IDL/配置/文档</t>
        </is>
      </c>
      <c r="I45" s="11" t="inlineStr">
        <is>
          <t>代码通过编译、静态检查和单元测试；接口/配置有版本；失败语义和 功能开关（feature flag） 可验证。</t>
        </is>
      </c>
      <c r="J45" s="11" t="inlineStr">
        <is>
          <t>ctest -R fanout_provider &amp;&amp; run_contract_check --sr SR23-01-04-02</t>
        </is>
      </c>
      <c r="K45" s="11" t="inlineStr">
        <is>
          <t>重复远端拉取下降≥50%；错误共享/租约泄漏=0；源端带宽增长显著低于 O(N)</t>
        </is>
      </c>
      <c r="L45" s="11" t="inlineStr">
        <is>
          <t>AR23-01-04-02-01</t>
        </is>
      </c>
      <c r="M45" s="11" t="inlineStr">
        <is>
          <t>SR23-01-04-01、SR23-01-10-01</t>
        </is>
      </c>
      <c r="N45" s="11" t="inlineStr">
        <is>
          <t>P3</t>
        </is>
      </c>
      <c r="O45" s="11" t="inlineStr">
        <is>
          <t>P3</t>
        </is>
      </c>
      <c r="P45" s="11" t="inlineStr">
        <is>
          <t>待认领</t>
        </is>
      </c>
      <c r="Q45" s="11" t="n"/>
      <c r="R45" s="11" t="n"/>
      <c r="S45" s="11">
        <f>IF(COUNTIF($A$5:$A$207,A45)=1,"PASS","FAIL")</f>
        <v/>
      </c>
      <c r="T45" s="11">
        <f>IF(COUNTIF('SR系统设计'!$A$5:$A$42,B45)=1,"PASS","FAIL")</f>
        <v/>
      </c>
    </row>
    <row r="46" ht="72" customHeight="1">
      <c r="A46" s="11" t="inlineStr">
        <is>
          <t>AR23-01-04-02-03</t>
        </is>
      </c>
      <c r="B46" s="11" t="inlineStr">
        <is>
          <t>SR23-01-04-02</t>
        </is>
      </c>
      <c r="C46" s="11" t="inlineStr">
        <is>
          <t>旁路回滚</t>
        </is>
      </c>
      <c r="D46" s="11" t="inlineStr">
        <is>
          <t>一对多共享与可选多播 提供器（Provider）｜旁路回滚</t>
        </is>
      </c>
      <c r="E46" s="11" t="inlineStr">
        <is>
          <t>共享分发插件组</t>
        </is>
      </c>
      <c r="F46" s="11" t="inlineStr">
        <is>
          <t>src/transfer/fanout/bypass.{h,cc} + config/feature_flags/fanout_provider.yaml</t>
        </is>
      </c>
      <c r="G46" s="11" t="inlineStr">
        <is>
          <t>实现插件旁路、功能开关（feature flag）、无损回退与 不支持（Not Supported） 行为：硬件多播无收益或不可用时回退软件 扇出分发（fanout）；单目标失败不阻塞其他目标</t>
        </is>
      </c>
      <c r="H46" s="11" t="inlineStr">
        <is>
          <t>旁路回滚对应的可审查代码/IDL/配置/文档</t>
        </is>
      </c>
      <c r="I46" s="11" t="inlineStr">
        <is>
          <t>代码通过编译、静态检查和单元测试；接口/配置有版本；失败语义和 功能开关（feature flag） 可验证。</t>
        </is>
      </c>
      <c r="J46" s="11" t="inlineStr">
        <is>
          <t>ctest -R fanout_provider &amp;&amp; run_contract_check --sr SR23-01-04-02</t>
        </is>
      </c>
      <c r="K46" s="11" t="inlineStr">
        <is>
          <t>重复远端拉取下降≥50%；错误共享/租约泄漏=0；源端带宽增长显著低于 O(N)</t>
        </is>
      </c>
      <c r="L46" s="11" t="inlineStr">
        <is>
          <t>AR23-01-04-02-02</t>
        </is>
      </c>
      <c r="M46" s="11" t="inlineStr">
        <is>
          <t>SR23-01-04-01、SR23-01-10-01</t>
        </is>
      </c>
      <c r="N46" s="11" t="inlineStr">
        <is>
          <t>P3</t>
        </is>
      </c>
      <c r="O46" s="11" t="inlineStr">
        <is>
          <t>P3</t>
        </is>
      </c>
      <c r="P46" s="11" t="inlineStr">
        <is>
          <t>待认领</t>
        </is>
      </c>
      <c r="Q46" s="11" t="n"/>
      <c r="R46" s="11" t="n"/>
      <c r="S46" s="11">
        <f>IF(COUNTIF($A$5:$A$207,A46)=1,"PASS","FAIL")</f>
        <v/>
      </c>
      <c r="T46" s="11">
        <f>IF(COUNTIF('SR系统设计'!$A$5:$A$42,B46)=1,"PASS","FAIL")</f>
        <v/>
      </c>
    </row>
    <row r="47" ht="72" customHeight="1">
      <c r="A47" s="11" t="inlineStr">
        <is>
          <t>AR23-01-04-02-04</t>
        </is>
      </c>
      <c r="B47" s="11" t="inlineStr">
        <is>
          <t>SR23-01-04-02</t>
        </is>
      </c>
      <c r="C47" s="11" t="inlineStr">
        <is>
          <t>独立验收</t>
        </is>
      </c>
      <c r="D47" s="11" t="inlineStr">
        <is>
          <t>一对多共享与可选多播 提供器（Provider）｜独立验收</t>
        </is>
      </c>
      <c r="E47" s="11" t="inlineStr">
        <is>
          <t>测试/验收负责人</t>
        </is>
      </c>
      <c r="F47" s="11" t="inlineStr">
        <is>
          <t>tests/fanout_provider/ + benchmarks/fanout_provider/ + evidence/fanout_provider/manifest.yaml</t>
        </is>
      </c>
      <c r="G47" s="11" t="inlineStr">
        <is>
          <t>建立不依赖全项目的验收环境，执行功能、异常、兼容和性能门禁并生成可签字证据包。</t>
        </is>
      </c>
      <c r="H47" s="11" t="inlineStr">
        <is>
          <t>版本化测试结果、原始证据、Go/Conditional/No-Go 结论</t>
        </is>
      </c>
      <c r="I47" s="11" t="inlineStr">
        <is>
          <t>在“1源+2/4/8 模拟消费者（MockConsumer） 即可独立验收”中完成主路径、异常、兼容和回滚；全部证据可一键复现。</t>
        </is>
      </c>
      <c r="J47" s="11" t="inlineStr">
        <is>
          <t>run_sr_acceptance --sr SR23-01-04-02 --baseline locked</t>
        </is>
      </c>
      <c r="K47" s="11" t="inlineStr">
        <is>
          <t>重复远端拉取下降≥50%；错误共享/租约泄漏=0；源端带宽增长显著低于 O(N)</t>
        </is>
      </c>
      <c r="L47" s="11" t="inlineStr">
        <is>
          <t>AR23-01-04-02-03</t>
        </is>
      </c>
      <c r="M47" s="11" t="inlineStr">
        <is>
          <t>SR23-01-04-01、SR23-01-10-01</t>
        </is>
      </c>
      <c r="N47" s="11" t="inlineStr">
        <is>
          <t>P3</t>
        </is>
      </c>
      <c r="O47" s="11" t="inlineStr">
        <is>
          <t>P3</t>
        </is>
      </c>
      <c r="P47" s="11" t="inlineStr">
        <is>
          <t>待认领</t>
        </is>
      </c>
      <c r="Q47" s="11" t="n"/>
      <c r="R47" s="11" t="n"/>
      <c r="S47" s="11">
        <f>IF(COUNTIF($A$5:$A$207,A47)=1,"PASS","FAIL")</f>
        <v/>
      </c>
      <c r="T47" s="11">
        <f>IF(COUNTIF('SR系统设计'!$A$5:$A$42,B47)=1,"PASS","FAIL")</f>
        <v/>
      </c>
    </row>
    <row r="48" ht="72" customHeight="1">
      <c r="A48" s="11" t="inlineStr">
        <is>
          <t>AR23-01-05-01-01</t>
        </is>
      </c>
      <c r="B48" s="11" t="inlineStr">
        <is>
          <t>SR23-01-05-01</t>
        </is>
      </c>
      <c r="C48" s="11" t="inlineStr">
        <is>
          <t>核心实现</t>
        </is>
      </c>
      <c r="D48" s="11" t="inlineStr">
        <is>
          <t>路径质量探测与动态路由组件｜核心实现</t>
        </is>
      </c>
      <c r="E48" s="11" t="inlineStr">
        <is>
          <t>拓扑与路径质量组</t>
        </is>
      </c>
      <c r="F48" s="11" t="inlineStr">
        <is>
          <t>src/router/path_quality/core.{h,cc}</t>
        </is>
      </c>
      <c r="G48" s="11" t="inlineStr">
        <is>
          <t>实现“路径质量探测与动态路由组件”的可运行主路径，交付 path-quality-monitor、拓扑快照、动态路径评分器和故障切换控制器 的核心代码、构建入口和最小示例。</t>
        </is>
      </c>
      <c r="H48" s="11" t="inlineStr">
        <is>
          <t>核心实现对应的可审查代码/IDL/配置/文档</t>
        </is>
      </c>
      <c r="I48" s="11" t="inlineStr">
        <is>
          <t>代码通过编译、静态检查和单元测试；接口/配置有版本；失败语义和 功能开关（feature flag） 可验证。</t>
        </is>
      </c>
      <c r="J48" s="11" t="inlineStr">
        <is>
          <t>ctest -R path_router &amp;&amp; run_contract_check --sr SR23-01-05-01</t>
        </is>
      </c>
      <c r="K48" s="11" t="inlineStr">
        <is>
          <t>路径选择准确率≥90%；切换&lt;200ms；探测开销&lt;0.5%带宽；无效路径选择=0</t>
        </is>
      </c>
      <c r="L48" s="11" t="n"/>
      <c r="M48" s="11" t="inlineStr">
        <is>
          <t>SR23-01-09-01</t>
        </is>
      </c>
      <c r="N48" s="11" t="inlineStr">
        <is>
          <t>P1</t>
        </is>
      </c>
      <c r="O48" s="11" t="inlineStr">
        <is>
          <t>P1</t>
        </is>
      </c>
      <c r="P48" s="11" t="inlineStr">
        <is>
          <t>待认领</t>
        </is>
      </c>
      <c r="Q48" s="11" t="n"/>
      <c r="R48" s="11" t="n"/>
      <c r="S48" s="11">
        <f>IF(COUNTIF($A$5:$A$207,A48)=1,"PASS","FAIL")</f>
        <v/>
      </c>
      <c r="T48" s="11">
        <f>IF(COUNTIF('SR系统设计'!$A$5:$A$42,B48)=1,"PASS","FAIL")</f>
        <v/>
      </c>
    </row>
    <row r="49" ht="72" customHeight="1">
      <c r="A49" s="11" t="inlineStr">
        <is>
          <t>AR23-01-05-01-02</t>
        </is>
      </c>
      <c r="B49" s="11" t="inlineStr">
        <is>
          <t>SR23-01-05-01</t>
        </is>
      </c>
      <c r="C49" s="11" t="inlineStr">
        <is>
          <t>接口契约</t>
        </is>
      </c>
      <c r="D49" s="11" t="inlineStr">
        <is>
          <t>路径质量探测与动态路由组件｜接口契约</t>
        </is>
      </c>
      <c r="E49" s="11" t="inlineStr">
        <is>
          <t>拓扑与路径质量组</t>
        </is>
      </c>
      <c r="F49" s="11" t="inlineStr">
        <is>
          <t>api/kvcache/v23/path_router.proto + src/router/path_quality/api.{h,cc}</t>
        </is>
      </c>
      <c r="G49" s="11" t="inlineStr">
        <is>
          <t>冻结并实现接口/IDL、版本兼容、输入输出、错误码与 消费者（consumer） 示例：路径健康快照（PathHealthSnapshot）、路由候选项（RouteCandidate）、selectPath(size,SLO)</t>
        </is>
      </c>
      <c r="H49" s="11" t="inlineStr">
        <is>
          <t>接口契约对应的可审查代码/IDL/配置/文档</t>
        </is>
      </c>
      <c r="I49" s="11" t="inlineStr">
        <is>
          <t>代码通过编译、静态检查和单元测试；接口/配置有版本；失败语义和 功能开关（feature flag） 可验证。</t>
        </is>
      </c>
      <c r="J49" s="11" t="inlineStr">
        <is>
          <t>ctest -R path_router &amp;&amp; run_contract_check --sr SR23-01-05-01</t>
        </is>
      </c>
      <c r="K49" s="11" t="inlineStr">
        <is>
          <t>路径选择准确率≥90%；切换&lt;200ms；探测开销&lt;0.5%带宽；无效路径选择=0</t>
        </is>
      </c>
      <c r="L49" s="11" t="inlineStr">
        <is>
          <t>AR23-01-05-01-01</t>
        </is>
      </c>
      <c r="M49" s="11" t="inlineStr">
        <is>
          <t>SR23-01-09-01</t>
        </is>
      </c>
      <c r="N49" s="11" t="inlineStr">
        <is>
          <t>P1</t>
        </is>
      </c>
      <c r="O49" s="11" t="inlineStr">
        <is>
          <t>P1</t>
        </is>
      </c>
      <c r="P49" s="11" t="inlineStr">
        <is>
          <t>待认领</t>
        </is>
      </c>
      <c r="Q49" s="11" t="n"/>
      <c r="R49" s="11" t="n"/>
      <c r="S49" s="11">
        <f>IF(COUNTIF($A$5:$A$207,A49)=1,"PASS","FAIL")</f>
        <v/>
      </c>
      <c r="T49" s="11">
        <f>IF(COUNTIF('SR系统设计'!$A$5:$A$42,B49)=1,"PASS","FAIL")</f>
        <v/>
      </c>
    </row>
    <row r="50" ht="72" customHeight="1">
      <c r="A50" s="11" t="inlineStr">
        <is>
          <t>AR23-01-05-01-03</t>
        </is>
      </c>
      <c r="B50" s="11" t="inlineStr">
        <is>
          <t>SR23-01-05-01</t>
        </is>
      </c>
      <c r="C50" s="11" t="inlineStr">
        <is>
          <t>状态模型</t>
        </is>
      </c>
      <c r="D50" s="11" t="inlineStr">
        <is>
          <t>路径质量探测与动态路由组件｜状态模型</t>
        </is>
      </c>
      <c r="E50" s="11" t="inlineStr">
        <is>
          <t>拓扑与路径质量组</t>
        </is>
      </c>
      <c r="F50" s="11" t="inlineStr">
        <is>
          <t>src/router/path_quality/state_model.{h,cc}</t>
        </is>
      </c>
      <c r="G50" s="11" t="inlineStr">
        <is>
          <t>实现状态、版本、并发互锁和持久/内存数据模型，覆盖正常转换与非法转换保护。</t>
        </is>
      </c>
      <c r="H50" s="11" t="inlineStr">
        <is>
          <t>状态模型对应的可审查代码/IDL/配置/文档</t>
        </is>
      </c>
      <c r="I50" s="11" t="inlineStr">
        <is>
          <t>代码通过编译、静态检查和单元测试；接口/配置有版本；失败语义和 功能开关（feature flag） 可验证。</t>
        </is>
      </c>
      <c r="J50" s="11" t="inlineStr">
        <is>
          <t>ctest -R path_router &amp;&amp; run_contract_check --sr SR23-01-05-01</t>
        </is>
      </c>
      <c r="K50" s="11" t="inlineStr">
        <is>
          <t>路径选择准确率≥90%；切换&lt;200ms；探测开销&lt;0.5%带宽；无效路径选择=0</t>
        </is>
      </c>
      <c r="L50" s="11" t="inlineStr">
        <is>
          <t>AR23-01-05-01-02</t>
        </is>
      </c>
      <c r="M50" s="11" t="inlineStr">
        <is>
          <t>SR23-01-09-01</t>
        </is>
      </c>
      <c r="N50" s="11" t="inlineStr">
        <is>
          <t>P1</t>
        </is>
      </c>
      <c r="O50" s="11" t="inlineStr">
        <is>
          <t>P1</t>
        </is>
      </c>
      <c r="P50" s="11" t="inlineStr">
        <is>
          <t>待认领</t>
        </is>
      </c>
      <c r="Q50" s="11" t="n"/>
      <c r="R50" s="11" t="n"/>
      <c r="S50" s="11">
        <f>IF(COUNTIF($A$5:$A$207,A50)=1,"PASS","FAIL")</f>
        <v/>
      </c>
      <c r="T50" s="11">
        <f>IF(COUNTIF('SR系统设计'!$A$5:$A$42,B50)=1,"PASS","FAIL")</f>
        <v/>
      </c>
    </row>
    <row r="51" ht="72" customHeight="1">
      <c r="A51" s="11" t="inlineStr">
        <is>
          <t>AR23-01-05-01-04</t>
        </is>
      </c>
      <c r="B51" s="11" t="inlineStr">
        <is>
          <t>SR23-01-05-01</t>
        </is>
      </c>
      <c r="C51" s="11" t="inlineStr">
        <is>
          <t>异常回滚</t>
        </is>
      </c>
      <c r="D51" s="11" t="inlineStr">
        <is>
          <t>路径质量探测与动态路由组件｜异常回滚</t>
        </is>
      </c>
      <c r="E51" s="11" t="inlineStr">
        <is>
          <t>拓扑与路径质量组</t>
        </is>
      </c>
      <c r="F51" s="11" t="inlineStr">
        <is>
          <t>src/router/path_quality/fallback.{h,cc} + config/feature_flags/path_router.yaml</t>
        </is>
      </c>
      <c r="G51" s="11" t="inlineStr">
        <is>
          <t>实现并验证失败、超时、取消、降级、回滚与关闭路径：质量噪声过大时使用静态白名单；探测失败不阻塞数据面；故障路径立即摘除</t>
        </is>
      </c>
      <c r="H51" s="11" t="inlineStr">
        <is>
          <t>异常回滚对应的可审查代码/IDL/配置/文档</t>
        </is>
      </c>
      <c r="I51" s="11" t="inlineStr">
        <is>
          <t>代码通过编译、静态检查和单元测试；接口/配置有版本；失败语义和 功能开关（feature flag） 可验证。</t>
        </is>
      </c>
      <c r="J51" s="11" t="inlineStr">
        <is>
          <t>ctest -R path_router &amp;&amp; run_contract_check --sr SR23-01-05-01</t>
        </is>
      </c>
      <c r="K51" s="11" t="inlineStr">
        <is>
          <t>路径选择准确率≥90%；切换&lt;200ms；探测开销&lt;0.5%带宽；无效路径选择=0</t>
        </is>
      </c>
      <c r="L51" s="11" t="inlineStr">
        <is>
          <t>AR23-01-05-01-03</t>
        </is>
      </c>
      <c r="M51" s="11" t="inlineStr">
        <is>
          <t>SR23-01-09-01</t>
        </is>
      </c>
      <c r="N51" s="11" t="inlineStr">
        <is>
          <t>P1</t>
        </is>
      </c>
      <c r="O51" s="11" t="inlineStr">
        <is>
          <t>P1</t>
        </is>
      </c>
      <c r="P51" s="11" t="inlineStr">
        <is>
          <t>待认领</t>
        </is>
      </c>
      <c r="Q51" s="11" t="n"/>
      <c r="R51" s="11" t="n"/>
      <c r="S51" s="11">
        <f>IF(COUNTIF($A$5:$A$207,A51)=1,"PASS","FAIL")</f>
        <v/>
      </c>
      <c r="T51" s="11">
        <f>IF(COUNTIF('SR系统设计'!$A$5:$A$42,B51)=1,"PASS","FAIL")</f>
        <v/>
      </c>
    </row>
    <row r="52" ht="72" customHeight="1">
      <c r="A52" s="11" t="inlineStr">
        <is>
          <t>AR23-01-05-01-05</t>
        </is>
      </c>
      <c r="B52" s="11" t="inlineStr">
        <is>
          <t>SR23-01-05-01</t>
        </is>
      </c>
      <c r="C52" s="11" t="inlineStr">
        <is>
          <t>独立验收</t>
        </is>
      </c>
      <c r="D52" s="11" t="inlineStr">
        <is>
          <t>路径质量探测与动态路由组件｜独立验收</t>
        </is>
      </c>
      <c r="E52" s="11" t="inlineStr">
        <is>
          <t>测试/验收负责人</t>
        </is>
      </c>
      <c r="F52" s="11" t="inlineStr">
        <is>
          <t>tests/path_router/ + benchmarks/path_router/ + evidence/path_router/manifest.yaml</t>
        </is>
      </c>
      <c r="G52" s="11" t="inlineStr">
        <is>
          <t>建立不依赖全项目的验收环境，执行功能、异常、兼容和性能门禁并生成可签字证据包。</t>
        </is>
      </c>
      <c r="H52" s="11" t="inlineStr">
        <is>
          <t>版本化测试结果、原始证据、Go/Conditional/No-Go 结论</t>
        </is>
      </c>
      <c r="I52" s="11" t="inlineStr">
        <is>
          <t>在“三条模拟路径与故障注入即可独立验收”中完成主路径、异常、兼容和回滚；全部证据可一键复现。</t>
        </is>
      </c>
      <c r="J52" s="11" t="inlineStr">
        <is>
          <t>run_sr_acceptance --sr SR23-01-05-01 --baseline locked</t>
        </is>
      </c>
      <c r="K52" s="11" t="inlineStr">
        <is>
          <t>路径选择准确率≥90%；切换&lt;200ms；探测开销&lt;0.5%带宽；无效路径选择=0</t>
        </is>
      </c>
      <c r="L52" s="11" t="inlineStr">
        <is>
          <t>AR23-01-05-01-04</t>
        </is>
      </c>
      <c r="M52" s="11" t="inlineStr">
        <is>
          <t>SR23-01-09-01</t>
        </is>
      </c>
      <c r="N52" s="11" t="inlineStr">
        <is>
          <t>P1</t>
        </is>
      </c>
      <c r="O52" s="11" t="inlineStr">
        <is>
          <t>P1</t>
        </is>
      </c>
      <c r="P52" s="11" t="inlineStr">
        <is>
          <t>待认领</t>
        </is>
      </c>
      <c r="Q52" s="11" t="n"/>
      <c r="R52" s="11" t="n"/>
      <c r="S52" s="11">
        <f>IF(COUNTIF($A$5:$A$207,A52)=1,"PASS","FAIL")</f>
        <v/>
      </c>
      <c r="T52" s="11">
        <f>IF(COUNTIF('SR系统设计'!$A$5:$A$42,B52)=1,"PASS","FAIL")</f>
        <v/>
      </c>
    </row>
    <row r="53" ht="72" customHeight="1">
      <c r="A53" s="11" t="inlineStr">
        <is>
          <t>AR23-01-05-01-06</t>
        </is>
      </c>
      <c r="B53" s="11" t="inlineStr">
        <is>
          <t>SR23-01-05-01</t>
        </is>
      </c>
      <c r="C53" s="11" t="inlineStr">
        <is>
          <t>性能观测</t>
        </is>
      </c>
      <c r="D53" s="11" t="inlineStr">
        <is>
          <t>路径质量探测与动态路由组件｜性能观测</t>
        </is>
      </c>
      <c r="E53" s="11" t="inlineStr">
        <is>
          <t>性能与可观测负责人</t>
        </is>
      </c>
      <c r="F53" s="11" t="inlineStr">
        <is>
          <t>src/router/path_quality/telemetry.{h,cc} + 仪表板（dashboards）/path_router.json</t>
        </is>
      </c>
      <c r="G53" s="11" t="inlineStr">
        <is>
          <t>接入统一 遥测数据（telemetry），建立本 SR 专属性能/资源/正确性指标和回归阈值：路径选择准确率≥90%；切换&lt;200ms；探测开销&lt;0.5%带宽；无效路径选择=0</t>
        </is>
      </c>
      <c r="H53" s="11" t="inlineStr">
        <is>
          <t>性能观测对应的可审查代码/IDL/配置/文档</t>
        </is>
      </c>
      <c r="I53" s="11" t="inlineStr">
        <is>
          <t>代码通过编译、静态检查和单元测试；接口/配置有版本；失败语义和 功能开关（feature flag） 可验证。</t>
        </is>
      </c>
      <c r="J53" s="11" t="inlineStr">
        <is>
          <t>ctest -R path_router &amp;&amp; run_contract_check --sr SR23-01-05-01</t>
        </is>
      </c>
      <c r="K53" s="11" t="inlineStr">
        <is>
          <t>路径选择准确率≥90%；切换&lt;200ms；探测开销&lt;0.5%带宽；无效路径选择=0</t>
        </is>
      </c>
      <c r="L53" s="11" t="inlineStr">
        <is>
          <t>AR23-01-05-01-05</t>
        </is>
      </c>
      <c r="M53" s="11" t="inlineStr">
        <is>
          <t>SR23-01-09-01</t>
        </is>
      </c>
      <c r="N53" s="11" t="inlineStr">
        <is>
          <t>P1</t>
        </is>
      </c>
      <c r="O53" s="11" t="inlineStr">
        <is>
          <t>P1</t>
        </is>
      </c>
      <c r="P53" s="11" t="inlineStr">
        <is>
          <t>待认领</t>
        </is>
      </c>
      <c r="Q53" s="11" t="n"/>
      <c r="R53" s="11" t="n"/>
      <c r="S53" s="11">
        <f>IF(COUNTIF($A$5:$A$207,A53)=1,"PASS","FAIL")</f>
        <v/>
      </c>
      <c r="T53" s="11">
        <f>IF(COUNTIF('SR系统设计'!$A$5:$A$42,B53)=1,"PASS","FAIL")</f>
        <v/>
      </c>
    </row>
    <row r="54" ht="72" customHeight="1">
      <c r="A54" s="11" t="inlineStr">
        <is>
          <t>AR23-01-06-01-01</t>
        </is>
      </c>
      <c r="B54" s="11" t="inlineStr">
        <is>
          <t>SR23-01-06-01</t>
        </is>
      </c>
      <c r="C54" s="11" t="inlineStr">
        <is>
          <t>核心实现</t>
        </is>
      </c>
      <c r="D54" s="11" t="inlineStr">
        <is>
          <t>跨节点 RDMA 零拷贝 提供器（Provider）｜核心实现</t>
        </is>
      </c>
      <c r="E54" s="11" t="inlineStr">
        <is>
          <t>RDMA 后端组</t>
        </is>
      </c>
      <c r="F54" s="11" t="inlineStr">
        <is>
          <t>src/backends/rdma/core.{h,cc}</t>
        </is>
      </c>
      <c r="G54" s="11" t="inlineStr">
        <is>
          <t>实现“跨节点 RDMA 零拷贝 提供器（Provider）”的可运行主路径，交付 rdma-provider、注册内存池（RegisteredPool）、远端存储区段句柄（RemoteExtentHandle）、硬件/软件回归包 的核心代码、构建入口和最小示例。</t>
        </is>
      </c>
      <c r="H54" s="11" t="inlineStr">
        <is>
          <t>核心实现对应的可审查代码/IDL/配置/文档</t>
        </is>
      </c>
      <c r="I54" s="11" t="inlineStr">
        <is>
          <t>代码通过编译、静态检查和单元测试；接口/配置有版本；失败语义和 功能开关（feature flag） 可验证。</t>
        </is>
      </c>
      <c r="J54" s="11" t="inlineStr">
        <is>
          <t>ctest -R rdma_provider &amp;&amp; run_contract_check --sr SR23-01-06-01</t>
        </is>
      </c>
      <c r="K54" s="11" t="inlineStr">
        <is>
          <t>有效带宽≥线速80%；CPU 有效载荷（Payload） 复制（copy）=0；提交开销&lt;50μs；越界访问=0</t>
        </is>
      </c>
      <c r="L54" s="11" t="n"/>
      <c r="M54" s="11" t="inlineStr">
        <is>
          <t>SR23-01-09-01、SR23-01-12-01</t>
        </is>
      </c>
      <c r="N54" s="11" t="inlineStr">
        <is>
          <t>P0</t>
        </is>
      </c>
      <c r="O54" s="11" t="inlineStr">
        <is>
          <t>P0</t>
        </is>
      </c>
      <c r="P54" s="11" t="inlineStr">
        <is>
          <t>待认领</t>
        </is>
      </c>
      <c r="Q54" s="11" t="n"/>
      <c r="R54" s="11" t="n"/>
      <c r="S54" s="11">
        <f>IF(COUNTIF($A$5:$A$207,A54)=1,"PASS","FAIL")</f>
        <v/>
      </c>
      <c r="T54" s="11">
        <f>IF(COUNTIF('SR系统设计'!$A$5:$A$42,B54)=1,"PASS","FAIL")</f>
        <v/>
      </c>
    </row>
    <row r="55" ht="72" customHeight="1">
      <c r="A55" s="11" t="inlineStr">
        <is>
          <t>AR23-01-06-01-02</t>
        </is>
      </c>
      <c r="B55" s="11" t="inlineStr">
        <is>
          <t>SR23-01-06-01</t>
        </is>
      </c>
      <c r="C55" s="11" t="inlineStr">
        <is>
          <t>接口契约</t>
        </is>
      </c>
      <c r="D55" s="11" t="inlineStr">
        <is>
          <t>跨节点 RDMA 零拷贝 提供器（Provider）｜接口契约</t>
        </is>
      </c>
      <c r="E55" s="11" t="inlineStr">
        <is>
          <t>RDMA 后端组</t>
        </is>
      </c>
      <c r="F55" s="11" t="inlineStr">
        <is>
          <t>api/kvcache/v23/rdma_provider.proto + src/backends/rdma/api.{h,cc}</t>
        </is>
      </c>
      <c r="G55" s="11" t="inlineStr">
        <is>
          <t>冻结并实现接口/IDL、版本兼容、输入输出、错误码与 消费者（consumer） 示例：ProviderCapability、register/transfer/cancel/queryCompletion</t>
        </is>
      </c>
      <c r="H55" s="11" t="inlineStr">
        <is>
          <t>接口契约对应的可审查代码/IDL/配置/文档</t>
        </is>
      </c>
      <c r="I55" s="11" t="inlineStr">
        <is>
          <t>代码通过编译、静态检查和单元测试；接口/配置有版本；失败语义和 功能开关（feature flag） 可验证。</t>
        </is>
      </c>
      <c r="J55" s="11" t="inlineStr">
        <is>
          <t>ctest -R rdma_provider &amp;&amp; run_contract_check --sr SR23-01-06-01</t>
        </is>
      </c>
      <c r="K55" s="11" t="inlineStr">
        <is>
          <t>有效带宽≥线速80%；CPU 有效载荷（Payload） 复制（copy）=0；提交开销&lt;50μs；越界访问=0</t>
        </is>
      </c>
      <c r="L55" s="11" t="inlineStr">
        <is>
          <t>AR23-01-06-01-01</t>
        </is>
      </c>
      <c r="M55" s="11" t="inlineStr">
        <is>
          <t>SR23-01-09-01、SR23-01-12-01</t>
        </is>
      </c>
      <c r="N55" s="11" t="inlineStr">
        <is>
          <t>P0</t>
        </is>
      </c>
      <c r="O55" s="11" t="inlineStr">
        <is>
          <t>P0</t>
        </is>
      </c>
      <c r="P55" s="11" t="inlineStr">
        <is>
          <t>待认领</t>
        </is>
      </c>
      <c r="Q55" s="11" t="n"/>
      <c r="R55" s="11" t="n"/>
      <c r="S55" s="11">
        <f>IF(COUNTIF($A$5:$A$207,A55)=1,"PASS","FAIL")</f>
        <v/>
      </c>
      <c r="T55" s="11">
        <f>IF(COUNTIF('SR系统设计'!$A$5:$A$42,B55)=1,"PASS","FAIL")</f>
        <v/>
      </c>
    </row>
    <row r="56" ht="72" customHeight="1">
      <c r="A56" s="11" t="inlineStr">
        <is>
          <t>AR23-01-06-01-03</t>
        </is>
      </c>
      <c r="B56" s="11" t="inlineStr">
        <is>
          <t>SR23-01-06-01</t>
        </is>
      </c>
      <c r="C56" s="11" t="inlineStr">
        <is>
          <t>状态模型</t>
        </is>
      </c>
      <c r="D56" s="11" t="inlineStr">
        <is>
          <t>跨节点 RDMA 零拷贝 提供器（Provider）｜状态模型</t>
        </is>
      </c>
      <c r="E56" s="11" t="inlineStr">
        <is>
          <t>RDMA 后端组</t>
        </is>
      </c>
      <c r="F56" s="11" t="inlineStr">
        <is>
          <t>src/backends/rdma/state_model.{h,cc}</t>
        </is>
      </c>
      <c r="G56" s="11" t="inlineStr">
        <is>
          <t>实现状态、版本、并发互锁和持久/内存数据模型，覆盖正常转换与非法转换保护。</t>
        </is>
      </c>
      <c r="H56" s="11" t="inlineStr">
        <is>
          <t>状态模型对应的可审查代码/IDL/配置/文档</t>
        </is>
      </c>
      <c r="I56" s="11" t="inlineStr">
        <is>
          <t>代码通过编译、静态检查和单元测试；接口/配置有版本；失败语义和 功能开关（feature flag） 可验证。</t>
        </is>
      </c>
      <c r="J56" s="11" t="inlineStr">
        <is>
          <t>ctest -R rdma_provider &amp;&amp; run_contract_check --sr SR23-01-06-01</t>
        </is>
      </c>
      <c r="K56" s="11" t="inlineStr">
        <is>
          <t>有效带宽≥线速80%；CPU 有效载荷（Payload） 复制（copy）=0；提交开销&lt;50μs；越界访问=0</t>
        </is>
      </c>
      <c r="L56" s="11" t="inlineStr">
        <is>
          <t>AR23-01-06-01-02</t>
        </is>
      </c>
      <c r="M56" s="11" t="inlineStr">
        <is>
          <t>SR23-01-09-01、SR23-01-12-01</t>
        </is>
      </c>
      <c r="N56" s="11" t="inlineStr">
        <is>
          <t>P0</t>
        </is>
      </c>
      <c r="O56" s="11" t="inlineStr">
        <is>
          <t>P0</t>
        </is>
      </c>
      <c r="P56" s="11" t="inlineStr">
        <is>
          <t>待认领</t>
        </is>
      </c>
      <c r="Q56" s="11" t="n"/>
      <c r="R56" s="11" t="n"/>
      <c r="S56" s="11">
        <f>IF(COUNTIF($A$5:$A$207,A56)=1,"PASS","FAIL")</f>
        <v/>
      </c>
      <c r="T56" s="11">
        <f>IF(COUNTIF('SR系统设计'!$A$5:$A$42,B56)=1,"PASS","FAIL")</f>
        <v/>
      </c>
    </row>
    <row r="57" ht="72" customHeight="1">
      <c r="A57" s="11" t="inlineStr">
        <is>
          <t>AR23-01-06-01-04</t>
        </is>
      </c>
      <c r="B57" s="11" t="inlineStr">
        <is>
          <t>SR23-01-06-01</t>
        </is>
      </c>
      <c r="C57" s="11" t="inlineStr">
        <is>
          <t>异常回滚</t>
        </is>
      </c>
      <c r="D57" s="11" t="inlineStr">
        <is>
          <t>跨节点 RDMA 零拷贝 提供器（Provider）｜异常回滚</t>
        </is>
      </c>
      <c r="E57" s="11" t="inlineStr">
        <is>
          <t>RDMA 后端组</t>
        </is>
      </c>
      <c r="F57" s="11" t="inlineStr">
        <is>
          <t>src/backends/rdma/fallback.{h,cc} + config/feature_flags/rdma_provider.yaml</t>
        </is>
      </c>
      <c r="G57" s="11" t="inlineStr">
        <is>
          <t>实现并验证失败、超时、取消、降级、回滚与关闭路径：GPUDirect/NPU Direct 不支持时显式返回 STAGED_ONLY；由上层决定是否限流使用</t>
        </is>
      </c>
      <c r="H57" s="11" t="inlineStr">
        <is>
          <t>异常回滚对应的可审查代码/IDL/配置/文档</t>
        </is>
      </c>
      <c r="I57" s="11" t="inlineStr">
        <is>
          <t>代码通过编译、静态检查和单元测试；接口/配置有版本；失败语义和 功能开关（feature flag） 可验证。</t>
        </is>
      </c>
      <c r="J57" s="11" t="inlineStr">
        <is>
          <t>ctest -R rdma_provider &amp;&amp; run_contract_check --sr SR23-01-06-01</t>
        </is>
      </c>
      <c r="K57" s="11" t="inlineStr">
        <is>
          <t>有效带宽≥线速80%；CPU 有效载荷（Payload） 复制（copy）=0；提交开销&lt;50μs；越界访问=0</t>
        </is>
      </c>
      <c r="L57" s="11" t="inlineStr">
        <is>
          <t>AR23-01-06-01-03</t>
        </is>
      </c>
      <c r="M57" s="11" t="inlineStr">
        <is>
          <t>SR23-01-09-01、SR23-01-12-01</t>
        </is>
      </c>
      <c r="N57" s="11" t="inlineStr">
        <is>
          <t>P0</t>
        </is>
      </c>
      <c r="O57" s="11" t="inlineStr">
        <is>
          <t>P0</t>
        </is>
      </c>
      <c r="P57" s="11" t="inlineStr">
        <is>
          <t>待认领</t>
        </is>
      </c>
      <c r="Q57" s="11" t="n"/>
      <c r="R57" s="11" t="n"/>
      <c r="S57" s="11">
        <f>IF(COUNTIF($A$5:$A$207,A57)=1,"PASS","FAIL")</f>
        <v/>
      </c>
      <c r="T57" s="11">
        <f>IF(COUNTIF('SR系统设计'!$A$5:$A$42,B57)=1,"PASS","FAIL")</f>
        <v/>
      </c>
    </row>
    <row r="58" ht="72" customHeight="1">
      <c r="A58" s="11" t="inlineStr">
        <is>
          <t>AR23-01-06-01-05</t>
        </is>
      </c>
      <c r="B58" s="11" t="inlineStr">
        <is>
          <t>SR23-01-06-01</t>
        </is>
      </c>
      <c r="C58" s="11" t="inlineStr">
        <is>
          <t>独立验收</t>
        </is>
      </c>
      <c r="D58" s="11" t="inlineStr">
        <is>
          <t>跨节点 RDMA 零拷贝 提供器（Provider）｜独立验收</t>
        </is>
      </c>
      <c r="E58" s="11" t="inlineStr">
        <is>
          <t>测试/验收负责人</t>
        </is>
      </c>
      <c r="F58" s="11" t="inlineStr">
        <is>
          <t>tests/rdma_provider/ + benchmarks/rdma_provider/ + evidence/rdma_provider/manifest.yaml</t>
        </is>
      </c>
      <c r="G58" s="11" t="inlineStr">
        <is>
          <t>建立不依赖全项目的验收环境，执行功能、异常、兼容和性能门禁并生成可签字证据包。</t>
        </is>
      </c>
      <c r="H58" s="11" t="inlineStr">
        <is>
          <t>版本化测试结果、原始证据、Go/Conditional/No-Go 结论</t>
        </is>
      </c>
      <c r="I58" s="11" t="inlineStr">
        <is>
          <t>在“loopback/模拟器（simulator） 可完成接口与错误测试；真实硬件用于性能门禁”中完成主路径、异常、兼容和回滚；全部证据可一键复现。</t>
        </is>
      </c>
      <c r="J58" s="11" t="inlineStr">
        <is>
          <t>run_sr_acceptance --sr SR23-01-06-01 --baseline locked</t>
        </is>
      </c>
      <c r="K58" s="11" t="inlineStr">
        <is>
          <t>有效带宽≥线速80%；CPU 有效载荷（Payload） 复制（copy）=0；提交开销&lt;50μs；越界访问=0</t>
        </is>
      </c>
      <c r="L58" s="11" t="inlineStr">
        <is>
          <t>AR23-01-06-01-04</t>
        </is>
      </c>
      <c r="M58" s="11" t="inlineStr">
        <is>
          <t>SR23-01-09-01、SR23-01-12-01</t>
        </is>
      </c>
      <c r="N58" s="11" t="inlineStr">
        <is>
          <t>P0</t>
        </is>
      </c>
      <c r="O58" s="11" t="inlineStr">
        <is>
          <t>P0</t>
        </is>
      </c>
      <c r="P58" s="11" t="inlineStr">
        <is>
          <t>待认领</t>
        </is>
      </c>
      <c r="Q58" s="11" t="n"/>
      <c r="R58" s="11" t="n"/>
      <c r="S58" s="11">
        <f>IF(COUNTIF($A$5:$A$207,A58)=1,"PASS","FAIL")</f>
        <v/>
      </c>
      <c r="T58" s="11">
        <f>IF(COUNTIF('SR系统设计'!$A$5:$A$42,B58)=1,"PASS","FAIL")</f>
        <v/>
      </c>
    </row>
    <row r="59" ht="72" customHeight="1">
      <c r="A59" s="11" t="inlineStr">
        <is>
          <t>AR23-01-06-01-06</t>
        </is>
      </c>
      <c r="B59" s="11" t="inlineStr">
        <is>
          <t>SR23-01-06-01</t>
        </is>
      </c>
      <c r="C59" s="11" t="inlineStr">
        <is>
          <t>性能观测</t>
        </is>
      </c>
      <c r="D59" s="11" t="inlineStr">
        <is>
          <t>跨节点 RDMA 零拷贝 提供器（Provider）｜性能观测</t>
        </is>
      </c>
      <c r="E59" s="11" t="inlineStr">
        <is>
          <t>性能与可观测负责人</t>
        </is>
      </c>
      <c r="F59" s="11" t="inlineStr">
        <is>
          <t>src/backends/rdma/telemetry.{h,cc} + 仪表板（dashboards）/rdma_provider.json</t>
        </is>
      </c>
      <c r="G59" s="11" t="inlineStr">
        <is>
          <t>接入统一 遥测数据（telemetry），建立本 SR 专属性能/资源/正确性指标和回归阈值：有效带宽≥线速80%；CPU 有效载荷（Payload） 复制（copy）=0；提交开销&lt;50μs；越界访问=0</t>
        </is>
      </c>
      <c r="H59" s="11" t="inlineStr">
        <is>
          <t>性能观测对应的可审查代码/IDL/配置/文档</t>
        </is>
      </c>
      <c r="I59" s="11" t="inlineStr">
        <is>
          <t>代码通过编译、静态检查和单元测试；接口/配置有版本；失败语义和 功能开关（feature flag） 可验证。</t>
        </is>
      </c>
      <c r="J59" s="11" t="inlineStr">
        <is>
          <t>ctest -R rdma_provider &amp;&amp; run_contract_check --sr SR23-01-06-01</t>
        </is>
      </c>
      <c r="K59" s="11" t="inlineStr">
        <is>
          <t>有效带宽≥线速80%；CPU 有效载荷（Payload） 复制（copy）=0；提交开销&lt;50μs；越界访问=0</t>
        </is>
      </c>
      <c r="L59" s="11" t="inlineStr">
        <is>
          <t>AR23-01-06-01-05</t>
        </is>
      </c>
      <c r="M59" s="11" t="inlineStr">
        <is>
          <t>SR23-01-09-01、SR23-01-12-01</t>
        </is>
      </c>
      <c r="N59" s="11" t="inlineStr">
        <is>
          <t>P0</t>
        </is>
      </c>
      <c r="O59" s="11" t="inlineStr">
        <is>
          <t>P0</t>
        </is>
      </c>
      <c r="P59" s="11" t="inlineStr">
        <is>
          <t>待认领</t>
        </is>
      </c>
      <c r="Q59" s="11" t="n"/>
      <c r="R59" s="11" t="n"/>
      <c r="S59" s="11">
        <f>IF(COUNTIF($A$5:$A$207,A59)=1,"PASS","FAIL")</f>
        <v/>
      </c>
      <c r="T59" s="11">
        <f>IF(COUNTIF('SR系统设计'!$A$5:$A$42,B59)=1,"PASS","FAIL")</f>
        <v/>
      </c>
    </row>
    <row r="60" ht="72" customHeight="1">
      <c r="A60" s="11" t="inlineStr">
        <is>
          <t>AR23-01-07-01-01</t>
        </is>
      </c>
      <c r="B60" s="11" t="inlineStr">
        <is>
          <t>SR23-01-07-01</t>
        </is>
      </c>
      <c r="C60" s="11" t="inlineStr">
        <is>
          <t>核心实现</t>
        </is>
      </c>
      <c r="D60" s="11" t="inlineStr">
        <is>
          <t>UBMEM/C2C 直接视图（Direct View） 安全访问 提供器（Provider）｜核心实现</t>
        </is>
      </c>
      <c r="E60" s="11" t="inlineStr">
        <is>
          <t>统一内存访问组</t>
        </is>
      </c>
      <c r="F60" s="11" t="inlineStr">
        <is>
          <t>src/backends/direct_view/core.{h,cc}</t>
        </is>
      </c>
      <c r="G60" s="11" t="inlineStr">
        <is>
          <t>实现“UBMEM/C2C 直接视图（Direct View） 安全访问 提供器（Provider）”的可运行主路径，交付 direct-view-provider、DirectViewGuard、租约（lease）/撤销（revoke） 与 复制到 HBM（copy-to-HBM） 回填适配 的核心代码、构建入口和最小示例。</t>
        </is>
      </c>
      <c r="H60" s="11" t="inlineStr">
        <is>
          <t>核心实现对应的可审查代码/IDL/配置/文档</t>
        </is>
      </c>
      <c r="I60" s="11" t="inlineStr">
        <is>
          <t>代码通过编译、静态检查和单元测试；接口/配置有版本；失败语义和 功能开关（feature flag） 可验证。</t>
        </is>
      </c>
      <c r="J60" s="11" t="inlineStr">
        <is>
          <t>ctest -R direct_view &amp;&amp; run_contract_check --sr SR23-01-07-01</t>
        </is>
      </c>
      <c r="K60" s="11" t="inlineStr">
        <is>
          <t>陈旧（stale）/越界 视图（view）=0；撤销（revoke） p99&lt;1ms；安全区 TPOT p99回退&lt;3%；主机有效载荷访问（Host Payload touch）=0</t>
        </is>
      </c>
      <c r="L60" s="11" t="n"/>
      <c r="M60" s="11" t="inlineStr">
        <is>
          <t>SR23-01-09-01、SR23-01-12-01、SR23-01-12-02</t>
        </is>
      </c>
      <c r="N60" s="11" t="inlineStr">
        <is>
          <t>P0</t>
        </is>
      </c>
      <c r="O60" s="11" t="inlineStr">
        <is>
          <t>P0</t>
        </is>
      </c>
      <c r="P60" s="11" t="inlineStr">
        <is>
          <t>待认领</t>
        </is>
      </c>
      <c r="Q60" s="11" t="n"/>
      <c r="R60" s="11" t="n"/>
      <c r="S60" s="11">
        <f>IF(COUNTIF($A$5:$A$207,A60)=1,"PASS","FAIL")</f>
        <v/>
      </c>
      <c r="T60" s="11">
        <f>IF(COUNTIF('SR系统设计'!$A$5:$A$42,B60)=1,"PASS","FAIL")</f>
        <v/>
      </c>
    </row>
    <row r="61" ht="72" customHeight="1">
      <c r="A61" s="11" t="inlineStr">
        <is>
          <t>AR23-01-07-01-02</t>
        </is>
      </c>
      <c r="B61" s="11" t="inlineStr">
        <is>
          <t>SR23-01-07-01</t>
        </is>
      </c>
      <c r="C61" s="11" t="inlineStr">
        <is>
          <t>接口契约</t>
        </is>
      </c>
      <c r="D61" s="11" t="inlineStr">
        <is>
          <t>UBMEM/C2C 直接视图（Direct View） 安全访问 提供器（Provider）｜接口契约</t>
        </is>
      </c>
      <c r="E61" s="11" t="inlineStr">
        <is>
          <t>统一内存访问组</t>
        </is>
      </c>
      <c r="F61" s="11" t="inlineStr">
        <is>
          <t>api/kvcache/v23/direct_view.proto + src/backends/direct_view/api.{h,cc}</t>
        </is>
      </c>
      <c r="G61" s="11" t="inlineStr">
        <is>
          <t>冻结并实现接口/IDL、版本兼容、输入输出、错误码与 消费者（consumer） 示例：ViewHandle、acquire/撤销（revoke）、AccessEvidence、copyToHBM</t>
        </is>
      </c>
      <c r="H61" s="11" t="inlineStr">
        <is>
          <t>接口契约对应的可审查代码/IDL/配置/文档</t>
        </is>
      </c>
      <c r="I61" s="11" t="inlineStr">
        <is>
          <t>代码通过编译、静态检查和单元测试；接口/配置有版本；失败语义和 功能开关（feature flag） 可验证。</t>
        </is>
      </c>
      <c r="J61" s="11" t="inlineStr">
        <is>
          <t>ctest -R direct_view &amp;&amp; run_contract_check --sr SR23-01-07-01</t>
        </is>
      </c>
      <c r="K61" s="11" t="inlineStr">
        <is>
          <t>陈旧（stale）/越界 视图（view）=0；撤销（revoke） p99&lt;1ms；安全区 TPOT p99回退&lt;3%；主机有效载荷访问（Host Payload touch）=0</t>
        </is>
      </c>
      <c r="L61" s="11" t="inlineStr">
        <is>
          <t>AR23-01-07-01-01</t>
        </is>
      </c>
      <c r="M61" s="11" t="inlineStr">
        <is>
          <t>SR23-01-09-01、SR23-01-12-01、SR23-01-12-02</t>
        </is>
      </c>
      <c r="N61" s="11" t="inlineStr">
        <is>
          <t>P0</t>
        </is>
      </c>
      <c r="O61" s="11" t="inlineStr">
        <is>
          <t>P0</t>
        </is>
      </c>
      <c r="P61" s="11" t="inlineStr">
        <is>
          <t>待认领</t>
        </is>
      </c>
      <c r="Q61" s="11" t="n"/>
      <c r="R61" s="11" t="n"/>
      <c r="S61" s="11">
        <f>IF(COUNTIF($A$5:$A$207,A61)=1,"PASS","FAIL")</f>
        <v/>
      </c>
      <c r="T61" s="11">
        <f>IF(COUNTIF('SR系统设计'!$A$5:$A$42,B61)=1,"PASS","FAIL")</f>
        <v/>
      </c>
    </row>
    <row r="62" ht="72" customHeight="1">
      <c r="A62" s="11" t="inlineStr">
        <is>
          <t>AR23-01-07-01-03</t>
        </is>
      </c>
      <c r="B62" s="11" t="inlineStr">
        <is>
          <t>SR23-01-07-01</t>
        </is>
      </c>
      <c r="C62" s="11" t="inlineStr">
        <is>
          <t>状态模型</t>
        </is>
      </c>
      <c r="D62" s="11" t="inlineStr">
        <is>
          <t>UBMEM/C2C 直接视图（Direct View） 安全访问 提供器（Provider）｜状态模型</t>
        </is>
      </c>
      <c r="E62" s="11" t="inlineStr">
        <is>
          <t>统一内存访问组</t>
        </is>
      </c>
      <c r="F62" s="11" t="inlineStr">
        <is>
          <t>src/backends/direct_view/state_model.{h,cc}</t>
        </is>
      </c>
      <c r="G62" s="11" t="inlineStr">
        <is>
          <t>实现状态、版本、并发互锁和持久/内存数据模型，覆盖正常转换与非法转换保护。</t>
        </is>
      </c>
      <c r="H62" s="11" t="inlineStr">
        <is>
          <t>状态模型对应的可审查代码/IDL/配置/文档</t>
        </is>
      </c>
      <c r="I62" s="11" t="inlineStr">
        <is>
          <t>代码通过编译、静态检查和单元测试；接口/配置有版本；失败语义和 功能开关（feature flag） 可验证。</t>
        </is>
      </c>
      <c r="J62" s="11" t="inlineStr">
        <is>
          <t>ctest -R direct_view &amp;&amp; run_contract_check --sr SR23-01-07-01</t>
        </is>
      </c>
      <c r="K62" s="11" t="inlineStr">
        <is>
          <t>陈旧（stale）/越界 视图（view）=0；撤销（revoke） p99&lt;1ms；安全区 TPOT p99回退&lt;3%；主机有效载荷访问（Host Payload touch）=0</t>
        </is>
      </c>
      <c r="L62" s="11" t="inlineStr">
        <is>
          <t>AR23-01-07-01-02</t>
        </is>
      </c>
      <c r="M62" s="11" t="inlineStr">
        <is>
          <t>SR23-01-09-01、SR23-01-12-01、SR23-01-12-02</t>
        </is>
      </c>
      <c r="N62" s="11" t="inlineStr">
        <is>
          <t>P0</t>
        </is>
      </c>
      <c r="O62" s="11" t="inlineStr">
        <is>
          <t>P0</t>
        </is>
      </c>
      <c r="P62" s="11" t="inlineStr">
        <is>
          <t>待认领</t>
        </is>
      </c>
      <c r="Q62" s="11" t="n"/>
      <c r="R62" s="11" t="n"/>
      <c r="S62" s="11">
        <f>IF(COUNTIF($A$5:$A$207,A62)=1,"PASS","FAIL")</f>
        <v/>
      </c>
      <c r="T62" s="11">
        <f>IF(COUNTIF('SR系统设计'!$A$5:$A$42,B62)=1,"PASS","FAIL")</f>
        <v/>
      </c>
    </row>
    <row r="63" ht="72" customHeight="1">
      <c r="A63" s="11" t="inlineStr">
        <is>
          <t>AR23-01-07-01-04</t>
        </is>
      </c>
      <c r="B63" s="11" t="inlineStr">
        <is>
          <t>SR23-01-07-01</t>
        </is>
      </c>
      <c r="C63" s="11" t="inlineStr">
        <is>
          <t>异常回滚</t>
        </is>
      </c>
      <c r="D63" s="11" t="inlineStr">
        <is>
          <t>UBMEM/C2C 直接视图（Direct View） 安全访问 提供器（Provider）｜异常回滚</t>
        </is>
      </c>
      <c r="E63" s="11" t="inlineStr">
        <is>
          <t>统一内存访问组</t>
        </is>
      </c>
      <c r="F63" s="11" t="inlineStr">
        <is>
          <t>src/backends/direct_view/fallback.{h,cc} + config/feature_flags/direct_view.yaml</t>
        </is>
      </c>
      <c r="G63" s="11" t="inlineStr">
        <is>
          <t>实现并验证失败、超时、取消、降级、回滚与关闭路径：不在安全区或远端 停顿（stall） 超阈值时 复制到 HBM（copy-to-HBM）；失效后禁止继续访问</t>
        </is>
      </c>
      <c r="H63" s="11" t="inlineStr">
        <is>
          <t>异常回滚对应的可审查代码/IDL/配置/文档</t>
        </is>
      </c>
      <c r="I63" s="11" t="inlineStr">
        <is>
          <t>代码通过编译、静态检查和单元测试；接口/配置有版本；失败语义和 功能开关（feature flag） 可验证。</t>
        </is>
      </c>
      <c r="J63" s="11" t="inlineStr">
        <is>
          <t>ctest -R direct_view &amp;&amp; run_contract_check --sr SR23-01-07-01</t>
        </is>
      </c>
      <c r="K63" s="11" t="inlineStr">
        <is>
          <t>陈旧（stale）/越界 视图（view）=0；撤销（revoke） p99&lt;1ms；安全区 TPOT p99回退&lt;3%；主机有效载荷访问（Host Payload touch）=0</t>
        </is>
      </c>
      <c r="L63" s="11" t="inlineStr">
        <is>
          <t>AR23-01-07-01-03</t>
        </is>
      </c>
      <c r="M63" s="11" t="inlineStr">
        <is>
          <t>SR23-01-09-01、SR23-01-12-01、SR23-01-12-02</t>
        </is>
      </c>
      <c r="N63" s="11" t="inlineStr">
        <is>
          <t>P0</t>
        </is>
      </c>
      <c r="O63" s="11" t="inlineStr">
        <is>
          <t>P0</t>
        </is>
      </c>
      <c r="P63" s="11" t="inlineStr">
        <is>
          <t>待认领</t>
        </is>
      </c>
      <c r="Q63" s="11" t="n"/>
      <c r="R63" s="11" t="n"/>
      <c r="S63" s="11">
        <f>IF(COUNTIF($A$5:$A$207,A63)=1,"PASS","FAIL")</f>
        <v/>
      </c>
      <c r="T63" s="11">
        <f>IF(COUNTIF('SR系统设计'!$A$5:$A$42,B63)=1,"PASS","FAIL")</f>
        <v/>
      </c>
    </row>
    <row r="64" ht="72" customHeight="1">
      <c r="A64" s="11" t="inlineStr">
        <is>
          <t>AR23-01-07-01-05</t>
        </is>
      </c>
      <c r="B64" s="11" t="inlineStr">
        <is>
          <t>SR23-01-07-01</t>
        </is>
      </c>
      <c r="C64" s="11" t="inlineStr">
        <is>
          <t>独立验收</t>
        </is>
      </c>
      <c r="D64" s="11" t="inlineStr">
        <is>
          <t>UBMEM/C2C 直接视图（Direct View） 安全访问 提供器（Provider）｜独立验收</t>
        </is>
      </c>
      <c r="E64" s="11" t="inlineStr">
        <is>
          <t>测试/验收负责人</t>
        </is>
      </c>
      <c r="F64" s="11" t="inlineStr">
        <is>
          <t>tests/direct_view/ + benchmarks/direct_view/ + evidence/direct_view/manifest.yaml</t>
        </is>
      </c>
      <c r="G64" s="11" t="inlineStr">
        <is>
          <t>建立不依赖全项目的验收环境，执行功能、异常、兼容和性能门禁并生成可签字证据包。</t>
        </is>
      </c>
      <c r="H64" s="11" t="inlineStr">
        <is>
          <t>版本化测试结果、原始证据、Go/Conditional/No-Go 结论</t>
        </is>
      </c>
      <c r="I64" s="11" t="inlineStr">
        <is>
          <t>在“UBMEM 模拟器（simulator） + page-fault/撤销（revoke） 注入即可独立验收”中完成主路径、异常、兼容和回滚；全部证据可一键复现。</t>
        </is>
      </c>
      <c r="J64" s="11" t="inlineStr">
        <is>
          <t>run_sr_acceptance --sr SR23-01-07-01 --baseline locked</t>
        </is>
      </c>
      <c r="K64" s="11" t="inlineStr">
        <is>
          <t>陈旧（stale）/越界 视图（view）=0；撤销（revoke） p99&lt;1ms；安全区 TPOT p99回退&lt;3%；主机有效载荷访问（Host Payload touch）=0</t>
        </is>
      </c>
      <c r="L64" s="11" t="inlineStr">
        <is>
          <t>AR23-01-07-01-04</t>
        </is>
      </c>
      <c r="M64" s="11" t="inlineStr">
        <is>
          <t>SR23-01-09-01、SR23-01-12-01、SR23-01-12-02</t>
        </is>
      </c>
      <c r="N64" s="11" t="inlineStr">
        <is>
          <t>P0</t>
        </is>
      </c>
      <c r="O64" s="11" t="inlineStr">
        <is>
          <t>P0</t>
        </is>
      </c>
      <c r="P64" s="11" t="inlineStr">
        <is>
          <t>待认领</t>
        </is>
      </c>
      <c r="Q64" s="11" t="n"/>
      <c r="R64" s="11" t="n"/>
      <c r="S64" s="11">
        <f>IF(COUNTIF($A$5:$A$207,A64)=1,"PASS","FAIL")</f>
        <v/>
      </c>
      <c r="T64" s="11">
        <f>IF(COUNTIF('SR系统设计'!$A$5:$A$42,B64)=1,"PASS","FAIL")</f>
        <v/>
      </c>
    </row>
    <row r="65" ht="72" customHeight="1">
      <c r="A65" s="11" t="inlineStr">
        <is>
          <t>AR23-01-07-01-06</t>
        </is>
      </c>
      <c r="B65" s="11" t="inlineStr">
        <is>
          <t>SR23-01-07-01</t>
        </is>
      </c>
      <c r="C65" s="11" t="inlineStr">
        <is>
          <t>性能观测</t>
        </is>
      </c>
      <c r="D65" s="11" t="inlineStr">
        <is>
          <t>UBMEM/C2C 直接视图（Direct View） 安全访问 提供器（Provider）｜性能观测</t>
        </is>
      </c>
      <c r="E65" s="11" t="inlineStr">
        <is>
          <t>性能与可观测负责人</t>
        </is>
      </c>
      <c r="F65" s="11" t="inlineStr">
        <is>
          <t>src/backends/direct_view/telemetry.{h,cc} + 仪表板（dashboards）/direct_view.json</t>
        </is>
      </c>
      <c r="G65" s="11" t="inlineStr">
        <is>
          <t>接入统一 遥测数据（telemetry），建立本 SR 专属性能/资源/正确性指标和回归阈值：陈旧（stale）/越界 视图（view）=0；撤销（revoke） p99&lt;1ms；安全区 TPOT p99回退&lt;3%；主机有效载荷访问（Host Payload touch）=0</t>
        </is>
      </c>
      <c r="H65" s="11" t="inlineStr">
        <is>
          <t>性能观测对应的可审查代码/IDL/配置/文档</t>
        </is>
      </c>
      <c r="I65" s="11" t="inlineStr">
        <is>
          <t>代码通过编译、静态检查和单元测试；接口/配置有版本；失败语义和 功能开关（feature flag） 可验证。</t>
        </is>
      </c>
      <c r="J65" s="11" t="inlineStr">
        <is>
          <t>ctest -R direct_view &amp;&amp; run_contract_check --sr SR23-01-07-01</t>
        </is>
      </c>
      <c r="K65" s="11" t="inlineStr">
        <is>
          <t>陈旧（stale）/越界 视图（view）=0；撤销（revoke） p99&lt;1ms；安全区 TPOT p99回退&lt;3%；主机有效载荷访问（Host Payload touch）=0</t>
        </is>
      </c>
      <c r="L65" s="11" t="inlineStr">
        <is>
          <t>AR23-01-07-01-05</t>
        </is>
      </c>
      <c r="M65" s="11" t="inlineStr">
        <is>
          <t>SR23-01-09-01、SR23-01-12-01、SR23-01-12-02</t>
        </is>
      </c>
      <c r="N65" s="11" t="inlineStr">
        <is>
          <t>P0</t>
        </is>
      </c>
      <c r="O65" s="11" t="inlineStr">
        <is>
          <t>P0</t>
        </is>
      </c>
      <c r="P65" s="11" t="inlineStr">
        <is>
          <t>待认领</t>
        </is>
      </c>
      <c r="Q65" s="11" t="n"/>
      <c r="R65" s="11" t="n"/>
      <c r="S65" s="11">
        <f>IF(COUNTIF($A$5:$A$207,A65)=1,"PASS","FAIL")</f>
        <v/>
      </c>
      <c r="T65" s="11">
        <f>IF(COUNTIF('SR系统设计'!$A$5:$A$42,B65)=1,"PASS","FAIL")</f>
        <v/>
      </c>
    </row>
    <row r="66" ht="72" customHeight="1">
      <c r="A66" s="11" t="inlineStr">
        <is>
          <t>AR23-01-08-01-01</t>
        </is>
      </c>
      <c r="B66" s="11" t="inlineStr">
        <is>
          <t>SR23-01-08-01</t>
        </is>
      </c>
      <c r="C66" s="11" t="inlineStr">
        <is>
          <t>核心实现</t>
        </is>
      </c>
      <c r="D66" s="11" t="inlineStr">
        <is>
          <t>HBM↔SSD/对象存储（SSD/Object） 容量后端｜核心实现</t>
        </is>
      </c>
      <c r="E66" s="11" t="inlineStr">
        <is>
          <t>SSD/对象存储（SSD/Object） 后端组</t>
        </is>
      </c>
      <c r="F66" s="11" t="inlineStr">
        <is>
          <t>src/backends/storage/core.{h,cc}</t>
        </is>
      </c>
      <c r="G66" s="11" t="inlineStr">
        <is>
          <t>实现“HBM↔SSD/对象存储（SSD/Object） 容量后端”的可运行主路径，交付 ssd-object-provider、持久存储区段句柄（PersistentExtentHandle）、Direct/low-host I/O 能力表 的核心代码、构建入口和最小示例。</t>
        </is>
      </c>
      <c r="H66" s="11" t="inlineStr">
        <is>
          <t>核心实现对应的可审查代码/IDL/配置/文档</t>
        </is>
      </c>
      <c r="I66" s="11" t="inlineStr">
        <is>
          <t>代码通过编译、静态检查和单元测试；接口/配置有版本；失败语义和 功能开关（feature flag） 可验证。</t>
        </is>
      </c>
      <c r="J66" s="11" t="inlineStr">
        <is>
          <t>ctest -R ssd_backend &amp;&amp; run_contract_check --sr SR23-01-08-01</t>
        </is>
      </c>
      <c r="K66" s="11" t="inlineStr">
        <is>
          <t>顺序带宽≥设备峰值80%；错误/半写消费=0；主路径 主机有效载荷访问（Host Payload touch）=0</t>
        </is>
      </c>
      <c r="L66" s="11" t="n"/>
      <c r="M66" s="11" t="inlineStr">
        <is>
          <t>SR23-01-09-01、SR23-01-12-01</t>
        </is>
      </c>
      <c r="N66" s="11" t="inlineStr">
        <is>
          <t>P0</t>
        </is>
      </c>
      <c r="O66" s="11" t="inlineStr">
        <is>
          <t>P0 子集 + P1 完整</t>
        </is>
      </c>
      <c r="P66" s="11" t="inlineStr">
        <is>
          <t>待认领</t>
        </is>
      </c>
      <c r="Q66" s="11" t="n"/>
      <c r="R66" s="11" t="n"/>
      <c r="S66" s="11">
        <f>IF(COUNTIF($A$5:$A$207,A66)=1,"PASS","FAIL")</f>
        <v/>
      </c>
      <c r="T66" s="11">
        <f>IF(COUNTIF('SR系统设计'!$A$5:$A$42,B66)=1,"PASS","FAIL")</f>
        <v/>
      </c>
    </row>
    <row r="67" ht="72" customHeight="1">
      <c r="A67" s="11" t="inlineStr">
        <is>
          <t>AR23-01-08-01-02</t>
        </is>
      </c>
      <c r="B67" s="11" t="inlineStr">
        <is>
          <t>SR23-01-08-01</t>
        </is>
      </c>
      <c r="C67" s="11" t="inlineStr">
        <is>
          <t>接口契约</t>
        </is>
      </c>
      <c r="D67" s="11" t="inlineStr">
        <is>
          <t>HBM↔SSD/对象存储（SSD/Object） 容量后端｜接口契约</t>
        </is>
      </c>
      <c r="E67" s="11" t="inlineStr">
        <is>
          <t>SSD/对象存储（SSD/Object） 后端组</t>
        </is>
      </c>
      <c r="F67" s="11" t="inlineStr">
        <is>
          <t>api/kvcache/v23/ssd_backend.proto + src/backends/storage/api.{h,cc}</t>
        </is>
      </c>
      <c r="G67" s="11" t="inlineStr">
        <is>
          <t>冻结并实现接口/IDL、版本兼容、输入输出、错误码与 消费者（consumer） 示例：持久存储区段句柄（PersistentExtentHandle）、read/write/restore、存储能力（StorageCapability）</t>
        </is>
      </c>
      <c r="H67" s="11" t="inlineStr">
        <is>
          <t>接口契约对应的可审查代码/IDL/配置/文档</t>
        </is>
      </c>
      <c r="I67" s="11" t="inlineStr">
        <is>
          <t>代码通过编译、静态检查和单元测试；接口/配置有版本；失败语义和 功能开关（feature flag） 可验证。</t>
        </is>
      </c>
      <c r="J67" s="11" t="inlineStr">
        <is>
          <t>ctest -R ssd_backend &amp;&amp; run_contract_check --sr SR23-01-08-01</t>
        </is>
      </c>
      <c r="K67" s="11" t="inlineStr">
        <is>
          <t>顺序带宽≥设备峰值80%；错误/半写消费=0；主路径 主机有效载荷访问（Host Payload touch）=0</t>
        </is>
      </c>
      <c r="L67" s="11" t="inlineStr">
        <is>
          <t>AR23-01-08-01-01</t>
        </is>
      </c>
      <c r="M67" s="11" t="inlineStr">
        <is>
          <t>SR23-01-09-01、SR23-01-12-01</t>
        </is>
      </c>
      <c r="N67" s="11" t="inlineStr">
        <is>
          <t>P0</t>
        </is>
      </c>
      <c r="O67" s="11" t="inlineStr">
        <is>
          <t>P0 子集 + P1 完整</t>
        </is>
      </c>
      <c r="P67" s="11" t="inlineStr">
        <is>
          <t>待认领</t>
        </is>
      </c>
      <c r="Q67" s="11" t="n"/>
      <c r="R67" s="11" t="n"/>
      <c r="S67" s="11">
        <f>IF(COUNTIF($A$5:$A$207,A67)=1,"PASS","FAIL")</f>
        <v/>
      </c>
      <c r="T67" s="11">
        <f>IF(COUNTIF('SR系统设计'!$A$5:$A$42,B67)=1,"PASS","FAIL")</f>
        <v/>
      </c>
    </row>
    <row r="68" ht="72" customHeight="1">
      <c r="A68" s="11" t="inlineStr">
        <is>
          <t>AR23-01-08-01-03</t>
        </is>
      </c>
      <c r="B68" s="11" t="inlineStr">
        <is>
          <t>SR23-01-08-01</t>
        </is>
      </c>
      <c r="C68" s="11" t="inlineStr">
        <is>
          <t>状态模型</t>
        </is>
      </c>
      <c r="D68" s="11" t="inlineStr">
        <is>
          <t>HBM↔SSD/对象存储（SSD/Object） 容量后端｜状态模型</t>
        </is>
      </c>
      <c r="E68" s="11" t="inlineStr">
        <is>
          <t>SSD/对象存储（SSD/Object） 后端组</t>
        </is>
      </c>
      <c r="F68" s="11" t="inlineStr">
        <is>
          <t>src/backends/storage/state_model.{h,cc}</t>
        </is>
      </c>
      <c r="G68" s="11" t="inlineStr">
        <is>
          <t>实现状态、版本、并发互锁和持久/内存数据模型，覆盖正常转换与非法转换保护。</t>
        </is>
      </c>
      <c r="H68" s="11" t="inlineStr">
        <is>
          <t>状态模型对应的可审查代码/IDL/配置/文档</t>
        </is>
      </c>
      <c r="I68" s="11" t="inlineStr">
        <is>
          <t>代码通过编译、静态检查和单元测试；接口/配置有版本；失败语义和 功能开关（feature flag） 可验证。</t>
        </is>
      </c>
      <c r="J68" s="11" t="inlineStr">
        <is>
          <t>ctest -R ssd_backend &amp;&amp; run_contract_check --sr SR23-01-08-01</t>
        </is>
      </c>
      <c r="K68" s="11" t="inlineStr">
        <is>
          <t>顺序带宽≥设备峰值80%；错误/半写消费=0；主路径 主机有效载荷访问（Host Payload touch）=0</t>
        </is>
      </c>
      <c r="L68" s="11" t="inlineStr">
        <is>
          <t>AR23-01-08-01-02</t>
        </is>
      </c>
      <c r="M68" s="11" t="inlineStr">
        <is>
          <t>SR23-01-09-01、SR23-01-12-01</t>
        </is>
      </c>
      <c r="N68" s="11" t="inlineStr">
        <is>
          <t>P0</t>
        </is>
      </c>
      <c r="O68" s="11" t="inlineStr">
        <is>
          <t>P0 子集 + P1 完整</t>
        </is>
      </c>
      <c r="P68" s="11" t="inlineStr">
        <is>
          <t>待认领</t>
        </is>
      </c>
      <c r="Q68" s="11" t="n"/>
      <c r="R68" s="11" t="n"/>
      <c r="S68" s="11">
        <f>IF(COUNTIF($A$5:$A$207,A68)=1,"PASS","FAIL")</f>
        <v/>
      </c>
      <c r="T68" s="11">
        <f>IF(COUNTIF('SR系统设计'!$A$5:$A$42,B68)=1,"PASS","FAIL")</f>
        <v/>
      </c>
    </row>
    <row r="69" ht="72" customHeight="1">
      <c r="A69" s="11" t="inlineStr">
        <is>
          <t>AR23-01-08-01-04</t>
        </is>
      </c>
      <c r="B69" s="11" t="inlineStr">
        <is>
          <t>SR23-01-08-01</t>
        </is>
      </c>
      <c r="C69" s="11" t="inlineStr">
        <is>
          <t>异常回滚</t>
        </is>
      </c>
      <c r="D69" s="11" t="inlineStr">
        <is>
          <t>HBM↔SSD/对象存储（SSD/Object） 容量后端｜异常回滚</t>
        </is>
      </c>
      <c r="E69" s="11" t="inlineStr">
        <is>
          <t>SSD/对象存储（SSD/Object） 后端组</t>
        </is>
      </c>
      <c r="F69" s="11" t="inlineStr">
        <is>
          <t>src/backends/storage/fallback.{h,cc} + config/feature_flags/ssd_backend.yaml</t>
        </is>
      </c>
      <c r="G69" s="11" t="inlineStr">
        <is>
          <t>实现并验证失败、超时、取消、降级、回滚与关闭路径：Direct Storage 不可用时返回 分阶段暂存（staged） 能力与明确 Host 预算，不伪装直达</t>
        </is>
      </c>
      <c r="H69" s="11" t="inlineStr">
        <is>
          <t>异常回滚对应的可审查代码/IDL/配置/文档</t>
        </is>
      </c>
      <c r="I69" s="11" t="inlineStr">
        <is>
          <t>代码通过编译、静态检查和单元测试；接口/配置有版本；失败语义和 功能开关（feature flag） 可验证。</t>
        </is>
      </c>
      <c r="J69" s="11" t="inlineStr">
        <is>
          <t>ctest -R ssd_backend &amp;&amp; run_contract_check --sr SR23-01-08-01</t>
        </is>
      </c>
      <c r="K69" s="11" t="inlineStr">
        <is>
          <t>顺序带宽≥设备峰值80%；错误/半写消费=0；主路径 主机有效载荷访问（Host Payload touch）=0</t>
        </is>
      </c>
      <c r="L69" s="11" t="inlineStr">
        <is>
          <t>AR23-01-08-01-03</t>
        </is>
      </c>
      <c r="M69" s="11" t="inlineStr">
        <is>
          <t>SR23-01-09-01、SR23-01-12-01</t>
        </is>
      </c>
      <c r="N69" s="11" t="inlineStr">
        <is>
          <t>P0</t>
        </is>
      </c>
      <c r="O69" s="11" t="inlineStr">
        <is>
          <t>P0 子集 + P1 完整</t>
        </is>
      </c>
      <c r="P69" s="11" t="inlineStr">
        <is>
          <t>待认领</t>
        </is>
      </c>
      <c r="Q69" s="11" t="n"/>
      <c r="R69" s="11" t="n"/>
      <c r="S69" s="11">
        <f>IF(COUNTIF($A$5:$A$207,A69)=1,"PASS","FAIL")</f>
        <v/>
      </c>
      <c r="T69" s="11">
        <f>IF(COUNTIF('SR系统设计'!$A$5:$A$42,B69)=1,"PASS","FAIL")</f>
        <v/>
      </c>
    </row>
    <row r="70" ht="72" customHeight="1">
      <c r="A70" s="11" t="inlineStr">
        <is>
          <t>AR23-01-08-01-05</t>
        </is>
      </c>
      <c r="B70" s="11" t="inlineStr">
        <is>
          <t>SR23-01-08-01</t>
        </is>
      </c>
      <c r="C70" s="11" t="inlineStr">
        <is>
          <t>独立验收</t>
        </is>
      </c>
      <c r="D70" s="11" t="inlineStr">
        <is>
          <t>HBM↔SSD/对象存储（SSD/Object） 容量后端｜独立验收</t>
        </is>
      </c>
      <c r="E70" s="11" t="inlineStr">
        <is>
          <t>测试/验收负责人</t>
        </is>
      </c>
      <c r="F70" s="11" t="inlineStr">
        <is>
          <t>tests/ssd_backend/ + benchmarks/ssd_backend/ + evidence/ssd_backend/manifest.yaml</t>
        </is>
      </c>
      <c r="G70" s="11" t="inlineStr">
        <is>
          <t>建立不依赖全项目的验收环境，执行功能、异常、兼容和性能门禁并生成可签字证据包。</t>
        </is>
      </c>
      <c r="H70" s="11" t="inlineStr">
        <is>
          <t>版本化测试结果、原始证据、Go/Conditional/No-Go 结论</t>
        </is>
      </c>
      <c r="I70" s="11" t="inlineStr">
        <is>
          <t>在“文件后端可做功能验收；NVMe/对象存储用于性能门禁”中完成主路径、异常、兼容和回滚；全部证据可一键复现。</t>
        </is>
      </c>
      <c r="J70" s="11" t="inlineStr">
        <is>
          <t>run_sr_acceptance --sr SR23-01-08-01 --baseline locked</t>
        </is>
      </c>
      <c r="K70" s="11" t="inlineStr">
        <is>
          <t>顺序带宽≥设备峰值80%；错误/半写消费=0；主路径 主机有效载荷访问（Host Payload touch）=0</t>
        </is>
      </c>
      <c r="L70" s="11" t="inlineStr">
        <is>
          <t>AR23-01-08-01-04</t>
        </is>
      </c>
      <c r="M70" s="11" t="inlineStr">
        <is>
          <t>SR23-01-09-01、SR23-01-12-01</t>
        </is>
      </c>
      <c r="N70" s="11" t="inlineStr">
        <is>
          <t>P0</t>
        </is>
      </c>
      <c r="O70" s="11" t="inlineStr">
        <is>
          <t>P0 子集 + P1 完整</t>
        </is>
      </c>
      <c r="P70" s="11" t="inlineStr">
        <is>
          <t>待认领</t>
        </is>
      </c>
      <c r="Q70" s="11" t="n"/>
      <c r="R70" s="11" t="n"/>
      <c r="S70" s="11">
        <f>IF(COUNTIF($A$5:$A$207,A70)=1,"PASS","FAIL")</f>
        <v/>
      </c>
      <c r="T70" s="11">
        <f>IF(COUNTIF('SR系统设计'!$A$5:$A$42,B70)=1,"PASS","FAIL")</f>
        <v/>
      </c>
    </row>
    <row r="71" ht="72" customHeight="1">
      <c r="A71" s="11" t="inlineStr">
        <is>
          <t>AR23-01-08-01-06</t>
        </is>
      </c>
      <c r="B71" s="11" t="inlineStr">
        <is>
          <t>SR23-01-08-01</t>
        </is>
      </c>
      <c r="C71" s="11" t="inlineStr">
        <is>
          <t>性能观测</t>
        </is>
      </c>
      <c r="D71" s="11" t="inlineStr">
        <is>
          <t>HBM↔SSD/对象存储（SSD/Object） 容量后端｜性能观测</t>
        </is>
      </c>
      <c r="E71" s="11" t="inlineStr">
        <is>
          <t>性能与可观测负责人</t>
        </is>
      </c>
      <c r="F71" s="11" t="inlineStr">
        <is>
          <t>src/backends/storage/telemetry.{h,cc} + 仪表板（dashboards）/ssd_backend.json</t>
        </is>
      </c>
      <c r="G71" s="11" t="inlineStr">
        <is>
          <t>接入统一 遥测数据（telemetry），建立本 SR 专属性能/资源/正确性指标和回归阈值：顺序带宽≥设备峰值80%；错误/半写消费=0；主路径 主机有效载荷访问（Host Payload touch）=0</t>
        </is>
      </c>
      <c r="H71" s="11" t="inlineStr">
        <is>
          <t>性能观测对应的可审查代码/IDL/配置/文档</t>
        </is>
      </c>
      <c r="I71" s="11" t="inlineStr">
        <is>
          <t>代码通过编译、静态检查和单元测试；接口/配置有版本；失败语义和 功能开关（feature flag） 可验证。</t>
        </is>
      </c>
      <c r="J71" s="11" t="inlineStr">
        <is>
          <t>ctest -R ssd_backend &amp;&amp; run_contract_check --sr SR23-01-08-01</t>
        </is>
      </c>
      <c r="K71" s="11" t="inlineStr">
        <is>
          <t>顺序带宽≥设备峰值80%；错误/半写消费=0；主路径 主机有效载荷访问（Host Payload touch）=0</t>
        </is>
      </c>
      <c r="L71" s="11" t="inlineStr">
        <is>
          <t>AR23-01-08-01-05</t>
        </is>
      </c>
      <c r="M71" s="11" t="inlineStr">
        <is>
          <t>SR23-01-09-01、SR23-01-12-01</t>
        </is>
      </c>
      <c r="N71" s="11" t="inlineStr">
        <is>
          <t>P0</t>
        </is>
      </c>
      <c r="O71" s="11" t="inlineStr">
        <is>
          <t>P0 子集 + P1 完整</t>
        </is>
      </c>
      <c r="P71" s="11" t="inlineStr">
        <is>
          <t>待认领</t>
        </is>
      </c>
      <c r="Q71" s="11" t="n"/>
      <c r="R71" s="11" t="n"/>
      <c r="S71" s="11">
        <f>IF(COUNTIF($A$5:$A$207,A71)=1,"PASS","FAIL")</f>
        <v/>
      </c>
      <c r="T71" s="11">
        <f>IF(COUNTIF('SR系统设计'!$A$5:$A$42,B71)=1,"PASS","FAIL")</f>
        <v/>
      </c>
    </row>
    <row r="72" ht="72" customHeight="1">
      <c r="A72" s="11" t="inlineStr">
        <is>
          <t>AR23-01-08-02-01</t>
        </is>
      </c>
      <c r="B72" s="11" t="inlineStr">
        <is>
          <t>SR23-01-08-02</t>
        </is>
      </c>
      <c r="C72" s="11" t="inlineStr">
        <is>
          <t>插件实现</t>
        </is>
      </c>
      <c r="D72" s="11" t="inlineStr">
        <is>
          <t>DPU/硬件 编解码器（Codec） 条件卸载插件包｜插件实现</t>
        </is>
      </c>
      <c r="E72" s="11" t="inlineStr">
        <is>
          <t>条件硬件卸载组</t>
        </is>
      </c>
      <c r="F72" s="11" t="inlineStr">
        <is>
          <t>src/backends/offload/provider.{h,cc}</t>
        </is>
      </c>
      <c r="G72" s="11" t="inlineStr">
        <is>
          <t>按 提供器（Provider） SDK 实现“DPU/硬件 编解码器（Codec） 条件卸载插件包”插件主路径，完成能力探测、注册和正常执行。</t>
        </is>
      </c>
      <c r="H72" s="11" t="inlineStr">
        <is>
          <t>插件实现对应的可审查代码/IDL/配置/文档</t>
        </is>
      </c>
      <c r="I72" s="11" t="inlineStr">
        <is>
          <t>代码通过编译、静态检查和单元测试；接口/配置有版本；失败语义和 功能开关（feature flag） 可验证。</t>
        </is>
      </c>
      <c r="J72" s="11" t="inlineStr">
        <is>
          <t>ctest -R offload_plugin &amp;&amp; run_contract_check --sr SR23-01-08-02</t>
        </is>
      </c>
      <c r="K72" s="11" t="inlineStr">
        <is>
          <t>有硬件时 Host CPU下降≥30%且端到端净收益为正；故障旁路成功率100%</t>
        </is>
      </c>
      <c r="L72" s="11" t="n"/>
      <c r="M72" s="11" t="inlineStr">
        <is>
          <t>SR23-01-09-01、SR23-01-08-01、SR23-01-06-01</t>
        </is>
      </c>
      <c r="N72" s="11" t="inlineStr">
        <is>
          <t>P3</t>
        </is>
      </c>
      <c r="O72" s="11" t="inlineStr">
        <is>
          <t>P3</t>
        </is>
      </c>
      <c r="P72" s="11" t="inlineStr">
        <is>
          <t>待认领</t>
        </is>
      </c>
      <c r="Q72" s="11" t="n"/>
      <c r="R72" s="11" t="n"/>
      <c r="S72" s="11">
        <f>IF(COUNTIF($A$5:$A$207,A72)=1,"PASS","FAIL")</f>
        <v/>
      </c>
      <c r="T72" s="11">
        <f>IF(COUNTIF('SR系统设计'!$A$5:$A$42,B72)=1,"PASS","FAIL")</f>
        <v/>
      </c>
    </row>
    <row r="73" ht="72" customHeight="1">
      <c r="A73" s="11" t="inlineStr">
        <is>
          <t>AR23-01-08-02-02</t>
        </is>
      </c>
      <c r="B73" s="11" t="inlineStr">
        <is>
          <t>SR23-01-08-02</t>
        </is>
      </c>
      <c r="C73" s="11" t="inlineStr">
        <is>
          <t>能力声明</t>
        </is>
      </c>
      <c r="D73" s="11" t="inlineStr">
        <is>
          <t>DPU/硬件 编解码器（Codec） 条件卸载插件包｜能力声明</t>
        </is>
      </c>
      <c r="E73" s="11" t="inlineStr">
        <is>
          <t>条件硬件卸载组</t>
        </is>
      </c>
      <c r="F73" s="11" t="inlineStr">
        <is>
          <t>api/kvcache/v23/offload_plugin_capability.proto + config/capability/offload_plugin.yaml</t>
        </is>
      </c>
      <c r="G73" s="11" t="inlineStr">
        <is>
          <t>实现版本化 能力（capability）/功能开关（feature flag），明确 Supported/Conditional/Not Supported 和适用边界。</t>
        </is>
      </c>
      <c r="H73" s="11" t="inlineStr">
        <is>
          <t>能力声明对应的可审查代码/IDL/配置/文档</t>
        </is>
      </c>
      <c r="I73" s="11" t="inlineStr">
        <is>
          <t>代码通过编译、静态检查和单元测试；接口/配置有版本；失败语义和 功能开关（feature flag） 可验证。</t>
        </is>
      </c>
      <c r="J73" s="11" t="inlineStr">
        <is>
          <t>ctest -R offload_plugin &amp;&amp; run_contract_check --sr SR23-01-08-02</t>
        </is>
      </c>
      <c r="K73" s="11" t="inlineStr">
        <is>
          <t>有硬件时 Host CPU下降≥30%且端到端净收益为正；故障旁路成功率100%</t>
        </is>
      </c>
      <c r="L73" s="11" t="inlineStr">
        <is>
          <t>AR23-01-08-02-01</t>
        </is>
      </c>
      <c r="M73" s="11" t="inlineStr">
        <is>
          <t>SR23-01-09-01、SR23-01-08-01、SR23-01-06-01</t>
        </is>
      </c>
      <c r="N73" s="11" t="inlineStr">
        <is>
          <t>P3</t>
        </is>
      </c>
      <c r="O73" s="11" t="inlineStr">
        <is>
          <t>P3</t>
        </is>
      </c>
      <c r="P73" s="11" t="inlineStr">
        <is>
          <t>待认领</t>
        </is>
      </c>
      <c r="Q73" s="11" t="n"/>
      <c r="R73" s="11" t="n"/>
      <c r="S73" s="11">
        <f>IF(COUNTIF($A$5:$A$207,A73)=1,"PASS","FAIL")</f>
        <v/>
      </c>
      <c r="T73" s="11">
        <f>IF(COUNTIF('SR系统设计'!$A$5:$A$42,B73)=1,"PASS","FAIL")</f>
        <v/>
      </c>
    </row>
    <row r="74" ht="72" customHeight="1">
      <c r="A74" s="11" t="inlineStr">
        <is>
          <t>AR23-01-08-02-03</t>
        </is>
      </c>
      <c r="B74" s="11" t="inlineStr">
        <is>
          <t>SR23-01-08-02</t>
        </is>
      </c>
      <c r="C74" s="11" t="inlineStr">
        <is>
          <t>旁路回滚</t>
        </is>
      </c>
      <c r="D74" s="11" t="inlineStr">
        <is>
          <t>DPU/硬件 编解码器（Codec） 条件卸载插件包｜旁路回滚</t>
        </is>
      </c>
      <c r="E74" s="11" t="inlineStr">
        <is>
          <t>条件硬件卸载组</t>
        </is>
      </c>
      <c r="F74" s="11" t="inlineStr">
        <is>
          <t>src/backends/offload/bypass.{h,cc} + config/feature_flags/offload_plugin.yaml</t>
        </is>
      </c>
      <c r="G74" s="11" t="inlineStr">
        <is>
          <t>实现插件旁路、功能开关（feature flag）、无损回退与 不支持（Not Supported） 行为：硬件不可用/无净收益/故障时旁路为 原始/直接（raw/direct）；禁止切 CPU 编解码器（codec）</t>
        </is>
      </c>
      <c r="H74" s="11" t="inlineStr">
        <is>
          <t>旁路回滚对应的可审查代码/IDL/配置/文档</t>
        </is>
      </c>
      <c r="I74" s="11" t="inlineStr">
        <is>
          <t>代码通过编译、静态检查和单元测试；接口/配置有版本；失败语义和 功能开关（feature flag） 可验证。</t>
        </is>
      </c>
      <c r="J74" s="11" t="inlineStr">
        <is>
          <t>ctest -R offload_plugin &amp;&amp; run_contract_check --sr SR23-01-08-02</t>
        </is>
      </c>
      <c r="K74" s="11" t="inlineStr">
        <is>
          <t>有硬件时 Host CPU下降≥30%且端到端净收益为正；故障旁路成功率100%</t>
        </is>
      </c>
      <c r="L74" s="11" t="inlineStr">
        <is>
          <t>AR23-01-08-02-02</t>
        </is>
      </c>
      <c r="M74" s="11" t="inlineStr">
        <is>
          <t>SR23-01-09-01、SR23-01-08-01、SR23-01-06-01</t>
        </is>
      </c>
      <c r="N74" s="11" t="inlineStr">
        <is>
          <t>P3</t>
        </is>
      </c>
      <c r="O74" s="11" t="inlineStr">
        <is>
          <t>P3</t>
        </is>
      </c>
      <c r="P74" s="11" t="inlineStr">
        <is>
          <t>待认领</t>
        </is>
      </c>
      <c r="Q74" s="11" t="n"/>
      <c r="R74" s="11" t="n"/>
      <c r="S74" s="11">
        <f>IF(COUNTIF($A$5:$A$207,A74)=1,"PASS","FAIL")</f>
        <v/>
      </c>
      <c r="T74" s="11">
        <f>IF(COUNTIF('SR系统设计'!$A$5:$A$42,B74)=1,"PASS","FAIL")</f>
        <v/>
      </c>
    </row>
    <row r="75" ht="72" customHeight="1">
      <c r="A75" s="11" t="inlineStr">
        <is>
          <t>AR23-01-08-02-04</t>
        </is>
      </c>
      <c r="B75" s="11" t="inlineStr">
        <is>
          <t>SR23-01-08-02</t>
        </is>
      </c>
      <c r="C75" s="11" t="inlineStr">
        <is>
          <t>独立验收</t>
        </is>
      </c>
      <c r="D75" s="11" t="inlineStr">
        <is>
          <t>DPU/硬件 编解码器（Codec） 条件卸载插件包｜独立验收</t>
        </is>
      </c>
      <c r="E75" s="11" t="inlineStr">
        <is>
          <t>测试/验收负责人</t>
        </is>
      </c>
      <c r="F75" s="11" t="inlineStr">
        <is>
          <t>tests/offload_plugin/ + benchmarks/offload_plugin/ + evidence/offload_plugin/manifest.yaml</t>
        </is>
      </c>
      <c r="G75" s="11" t="inlineStr">
        <is>
          <t>建立不依赖全项目的验收环境，执行功能、异常、兼容和性能门禁并生成可签字证据包。</t>
        </is>
      </c>
      <c r="H75" s="11" t="inlineStr">
        <is>
          <t>版本化测试结果、原始证据、Go/Conditional/No-Go 结论</t>
        </is>
      </c>
      <c r="I75" s="11" t="inlineStr">
        <is>
          <t>在“无硬件时完成 不支持（Not Supported） 契约验收；有硬件时执行 A/B”中完成主路径、异常、兼容和回滚；全部证据可一键复现。</t>
        </is>
      </c>
      <c r="J75" s="11" t="inlineStr">
        <is>
          <t>run_sr_acceptance --sr SR23-01-08-02 --baseline locked</t>
        </is>
      </c>
      <c r="K75" s="11" t="inlineStr">
        <is>
          <t>有硬件时 Host CPU下降≥30%且端到端净收益为正；故障旁路成功率100%</t>
        </is>
      </c>
      <c r="L75" s="11" t="inlineStr">
        <is>
          <t>AR23-01-08-02-03</t>
        </is>
      </c>
      <c r="M75" s="11" t="inlineStr">
        <is>
          <t>SR23-01-09-01、SR23-01-08-01、SR23-01-06-01</t>
        </is>
      </c>
      <c r="N75" s="11" t="inlineStr">
        <is>
          <t>P3</t>
        </is>
      </c>
      <c r="O75" s="11" t="inlineStr">
        <is>
          <t>P3</t>
        </is>
      </c>
      <c r="P75" s="11" t="inlineStr">
        <is>
          <t>待认领</t>
        </is>
      </c>
      <c r="Q75" s="11" t="n"/>
      <c r="R75" s="11" t="n"/>
      <c r="S75" s="11">
        <f>IF(COUNTIF($A$5:$A$207,A75)=1,"PASS","FAIL")</f>
        <v/>
      </c>
      <c r="T75" s="11">
        <f>IF(COUNTIF('SR系统设计'!$A$5:$A$42,B75)=1,"PASS","FAIL")</f>
        <v/>
      </c>
    </row>
    <row r="76" ht="72" customHeight="1">
      <c r="A76" s="11" t="inlineStr">
        <is>
          <t>AR23-01-09-01-01</t>
        </is>
      </c>
      <c r="B76" s="11" t="inlineStr">
        <is>
          <t>SR23-01-09-01</t>
        </is>
      </c>
      <c r="C76" s="11" t="inlineStr">
        <is>
          <t>核心实现</t>
        </is>
      </c>
      <c r="D76" s="11" t="inlineStr">
        <is>
          <t>统一 能力（Capability） 注册表（Registry） 与 互联网络路由器（Fabric Router）｜核心实现</t>
        </is>
      </c>
      <c r="E76" s="11" t="inlineStr">
        <is>
          <t>传输底座平台组</t>
        </is>
      </c>
      <c r="F76" s="11" t="inlineStr">
        <is>
          <t>src/fabric/capability/core.{h,cc}</t>
        </is>
      </c>
      <c r="G76" s="11" t="inlineStr">
        <is>
          <t>实现“统一 能力（Capability） 注册表（Registry） 与 互联网络路由器（Fabric Router）”的可运行主路径，交付 capability-registry、后端提供器（Backend Provider） SDK、互联路由器（FabricRouter） 与能力快照 的核心代码、构建入口和最小示例。</t>
        </is>
      </c>
      <c r="H76" s="11" t="inlineStr">
        <is>
          <t>核心实现对应的可审查代码/IDL/配置/文档</t>
        </is>
      </c>
      <c r="I76" s="11" t="inlineStr">
        <is>
          <t>代码通过编译、静态检查和单元测试；接口/配置有版本；失败语义和 功能开关（feature flag） 可验证。</t>
        </is>
      </c>
      <c r="J76" s="11" t="inlineStr">
        <is>
          <t>ctest -R cap_router &amp;&amp; run_contract_check --sr SR23-01-09-01</t>
        </is>
      </c>
      <c r="K76" s="11" t="inlineStr">
        <is>
          <t>能力字段覆盖率100%；错误路由=0；互联网络路由器（Fabric Router） p99&lt;3μs；所有 分阶段暂存（staged） 路径可审计</t>
        </is>
      </c>
      <c r="L76" s="11" t="n"/>
      <c r="M76" s="11" t="n"/>
      <c r="N76" s="11" t="inlineStr">
        <is>
          <t>P0</t>
        </is>
      </c>
      <c r="O76" s="11" t="inlineStr">
        <is>
          <t>P0</t>
        </is>
      </c>
      <c r="P76" s="11" t="inlineStr">
        <is>
          <t>待认领</t>
        </is>
      </c>
      <c r="Q76" s="11" t="n"/>
      <c r="R76" s="11" t="n"/>
      <c r="S76" s="11">
        <f>IF(COUNTIF($A$5:$A$207,A76)=1,"PASS","FAIL")</f>
        <v/>
      </c>
      <c r="T76" s="11">
        <f>IF(COUNTIF('SR系统设计'!$A$5:$A$42,B76)=1,"PASS","FAIL")</f>
        <v/>
      </c>
    </row>
    <row r="77" ht="72" customHeight="1">
      <c r="A77" s="11" t="inlineStr">
        <is>
          <t>AR23-01-09-01-02</t>
        </is>
      </c>
      <c r="B77" s="11" t="inlineStr">
        <is>
          <t>SR23-01-09-01</t>
        </is>
      </c>
      <c r="C77" s="11" t="inlineStr">
        <is>
          <t>接口契约</t>
        </is>
      </c>
      <c r="D77" s="11" t="inlineStr">
        <is>
          <t>统一 能力（Capability） 注册表（Registry） 与 互联网络路由器（Fabric Router）｜接口契约</t>
        </is>
      </c>
      <c r="E77" s="11" t="inlineStr">
        <is>
          <t>传输底座平台组</t>
        </is>
      </c>
      <c r="F77" s="11" t="inlineStr">
        <is>
          <t>api/kvcache/v23/cap_router.proto + src/fabric/capability/api.{h,cc}</t>
        </is>
      </c>
      <c r="G77" s="11" t="inlineStr">
        <is>
          <t>冻结并实现接口/IDL、版本兼容、输入输出、错误码与 消费者（consumer） 示例：提供器（Provider） SDK、能力矩阵（CapabilityMatrix）、selectProvider、功能开关（feature flags）</t>
        </is>
      </c>
      <c r="H77" s="11" t="inlineStr">
        <is>
          <t>接口契约对应的可审查代码/IDL/配置/文档</t>
        </is>
      </c>
      <c r="I77" s="11" t="inlineStr">
        <is>
          <t>代码通过编译、静态检查和单元测试；接口/配置有版本；失败语义和 功能开关（feature flag） 可验证。</t>
        </is>
      </c>
      <c r="J77" s="11" t="inlineStr">
        <is>
          <t>ctest -R cap_router &amp;&amp; run_contract_check --sr SR23-01-09-01</t>
        </is>
      </c>
      <c r="K77" s="11" t="inlineStr">
        <is>
          <t>能力字段覆盖率100%；错误路由=0；互联网络路由器（Fabric Router） p99&lt;3μs；所有 分阶段暂存（staged） 路径可审计</t>
        </is>
      </c>
      <c r="L77" s="11" t="inlineStr">
        <is>
          <t>AR23-01-09-01-01</t>
        </is>
      </c>
      <c r="M77" s="11" t="n"/>
      <c r="N77" s="11" t="inlineStr">
        <is>
          <t>P0</t>
        </is>
      </c>
      <c r="O77" s="11" t="inlineStr">
        <is>
          <t>P0</t>
        </is>
      </c>
      <c r="P77" s="11" t="inlineStr">
        <is>
          <t>待认领</t>
        </is>
      </c>
      <c r="Q77" s="11" t="n"/>
      <c r="R77" s="11" t="n"/>
      <c r="S77" s="11">
        <f>IF(COUNTIF($A$5:$A$207,A77)=1,"PASS","FAIL")</f>
        <v/>
      </c>
      <c r="T77" s="11">
        <f>IF(COUNTIF('SR系统设计'!$A$5:$A$42,B77)=1,"PASS","FAIL")</f>
        <v/>
      </c>
    </row>
    <row r="78" ht="72" customHeight="1">
      <c r="A78" s="11" t="inlineStr">
        <is>
          <t>AR23-01-09-01-03</t>
        </is>
      </c>
      <c r="B78" s="11" t="inlineStr">
        <is>
          <t>SR23-01-09-01</t>
        </is>
      </c>
      <c r="C78" s="11" t="inlineStr">
        <is>
          <t>状态模型</t>
        </is>
      </c>
      <c r="D78" s="11" t="inlineStr">
        <is>
          <t>统一 能力（Capability） 注册表（Registry） 与 互联网络路由器（Fabric Router）｜状态模型</t>
        </is>
      </c>
      <c r="E78" s="11" t="inlineStr">
        <is>
          <t>传输底座平台组</t>
        </is>
      </c>
      <c r="F78" s="11" t="inlineStr">
        <is>
          <t>src/fabric/capability/state_model.{h,cc}</t>
        </is>
      </c>
      <c r="G78" s="11" t="inlineStr">
        <is>
          <t>实现状态、版本、并发互锁和持久/内存数据模型，覆盖正常转换与非法转换保护。</t>
        </is>
      </c>
      <c r="H78" s="11" t="inlineStr">
        <is>
          <t>状态模型对应的可审查代码/IDL/配置/文档</t>
        </is>
      </c>
      <c r="I78" s="11" t="inlineStr">
        <is>
          <t>代码通过编译、静态检查和单元测试；接口/配置有版本；失败语义和 功能开关（feature flag） 可验证。</t>
        </is>
      </c>
      <c r="J78" s="11" t="inlineStr">
        <is>
          <t>ctest -R cap_router &amp;&amp; run_contract_check --sr SR23-01-09-01</t>
        </is>
      </c>
      <c r="K78" s="11" t="inlineStr">
        <is>
          <t>能力字段覆盖率100%；错误路由=0；互联网络路由器（Fabric Router） p99&lt;3μs；所有 分阶段暂存（staged） 路径可审计</t>
        </is>
      </c>
      <c r="L78" s="11" t="inlineStr">
        <is>
          <t>AR23-01-09-01-02</t>
        </is>
      </c>
      <c r="M78" s="11" t="n"/>
      <c r="N78" s="11" t="inlineStr">
        <is>
          <t>P0</t>
        </is>
      </c>
      <c r="O78" s="11" t="inlineStr">
        <is>
          <t>P0</t>
        </is>
      </c>
      <c r="P78" s="11" t="inlineStr">
        <is>
          <t>待认领</t>
        </is>
      </c>
      <c r="Q78" s="11" t="n"/>
      <c r="R78" s="11" t="n"/>
      <c r="S78" s="11">
        <f>IF(COUNTIF($A$5:$A$207,A78)=1,"PASS","FAIL")</f>
        <v/>
      </c>
      <c r="T78" s="11">
        <f>IF(COUNTIF('SR系统设计'!$A$5:$A$42,B78)=1,"PASS","FAIL")</f>
        <v/>
      </c>
    </row>
    <row r="79" ht="72" customHeight="1">
      <c r="A79" s="11" t="inlineStr">
        <is>
          <t>AR23-01-09-01-04</t>
        </is>
      </c>
      <c r="B79" s="11" t="inlineStr">
        <is>
          <t>SR23-01-09-01</t>
        </is>
      </c>
      <c r="C79" s="11" t="inlineStr">
        <is>
          <t>异常回滚</t>
        </is>
      </c>
      <c r="D79" s="11" t="inlineStr">
        <is>
          <t>统一 能力（Capability） 注册表（Registry） 与 互联网络路由器（Fabric Router）｜异常回滚</t>
        </is>
      </c>
      <c r="E79" s="11" t="inlineStr">
        <is>
          <t>传输底座平台组</t>
        </is>
      </c>
      <c r="F79" s="11" t="inlineStr">
        <is>
          <t>src/fabric/capability/fallback.{h,cc} + config/feature_flags/cap_router.yaml</t>
        </is>
      </c>
      <c r="G79" s="11" t="inlineStr">
        <is>
          <t>实现并验证失败、超时、取消、降级、回滚与关闭路径：能力缺失时关闭 功能开关（feature flag）；分阶段暂存（staged） 例外显式可见、可限流、可禁用</t>
        </is>
      </c>
      <c r="H79" s="11" t="inlineStr">
        <is>
          <t>异常回滚对应的可审查代码/IDL/配置/文档</t>
        </is>
      </c>
      <c r="I79" s="11" t="inlineStr">
        <is>
          <t>代码通过编译、静态检查和单元测试；接口/配置有版本；失败语义和 功能开关（feature flag） 可验证。</t>
        </is>
      </c>
      <c r="J79" s="11" t="inlineStr">
        <is>
          <t>ctest -R cap_router &amp;&amp; run_contract_check --sr SR23-01-09-01</t>
        </is>
      </c>
      <c r="K79" s="11" t="inlineStr">
        <is>
          <t>能力字段覆盖率100%；错误路由=0；互联网络路由器（Fabric Router） p99&lt;3μs；所有 分阶段暂存（staged） 路径可审计</t>
        </is>
      </c>
      <c r="L79" s="11" t="inlineStr">
        <is>
          <t>AR23-01-09-01-03</t>
        </is>
      </c>
      <c r="M79" s="11" t="n"/>
      <c r="N79" s="11" t="inlineStr">
        <is>
          <t>P0</t>
        </is>
      </c>
      <c r="O79" s="11" t="inlineStr">
        <is>
          <t>P0</t>
        </is>
      </c>
      <c r="P79" s="11" t="inlineStr">
        <is>
          <t>待认领</t>
        </is>
      </c>
      <c r="Q79" s="11" t="n"/>
      <c r="R79" s="11" t="n"/>
      <c r="S79" s="11">
        <f>IF(COUNTIF($A$5:$A$207,A79)=1,"PASS","FAIL")</f>
        <v/>
      </c>
      <c r="T79" s="11">
        <f>IF(COUNTIF('SR系统设计'!$A$5:$A$42,B79)=1,"PASS","FAIL")</f>
        <v/>
      </c>
    </row>
    <row r="80" ht="72" customHeight="1">
      <c r="A80" s="11" t="inlineStr">
        <is>
          <t>AR23-01-09-01-05</t>
        </is>
      </c>
      <c r="B80" s="11" t="inlineStr">
        <is>
          <t>SR23-01-09-01</t>
        </is>
      </c>
      <c r="C80" s="11" t="inlineStr">
        <is>
          <t>独立验收</t>
        </is>
      </c>
      <c r="D80" s="11" t="inlineStr">
        <is>
          <t>统一 能力（Capability） 注册表（Registry） 与 互联网络路由器（Fabric Router）｜独立验收</t>
        </is>
      </c>
      <c r="E80" s="11" t="inlineStr">
        <is>
          <t>测试/验收负责人</t>
        </is>
      </c>
      <c r="F80" s="11" t="inlineStr">
        <is>
          <t>tests/cap_router/ + benchmarks/cap_router/ + evidence/cap_router/manifest.yaml</t>
        </is>
      </c>
      <c r="G80" s="11" t="inlineStr">
        <is>
          <t>建立不依赖全项目的验收环境，执行功能、异常、兼容和性能门禁并生成可签字证据包。</t>
        </is>
      </c>
      <c r="H80" s="11" t="inlineStr">
        <is>
          <t>版本化测试结果、原始证据、Go/Conditional/No-Go 结论</t>
        </is>
      </c>
      <c r="I80" s="11" t="inlineStr">
        <is>
          <t>在“三类 模拟提供器（MockProvider） 即可独立完成 SDK 和路由验收”中完成主路径、异常、兼容和回滚；全部证据可一键复现。</t>
        </is>
      </c>
      <c r="J80" s="11" t="inlineStr">
        <is>
          <t>run_sr_acceptance --sr SR23-01-09-01 --baseline locked</t>
        </is>
      </c>
      <c r="K80" s="11" t="inlineStr">
        <is>
          <t>能力字段覆盖率100%；错误路由=0；互联网络路由器（Fabric Router） p99&lt;3μs；所有 分阶段暂存（staged） 路径可审计</t>
        </is>
      </c>
      <c r="L80" s="11" t="inlineStr">
        <is>
          <t>AR23-01-09-01-04</t>
        </is>
      </c>
      <c r="M80" s="11" t="n"/>
      <c r="N80" s="11" t="inlineStr">
        <is>
          <t>P0</t>
        </is>
      </c>
      <c r="O80" s="11" t="inlineStr">
        <is>
          <t>P0</t>
        </is>
      </c>
      <c r="P80" s="11" t="inlineStr">
        <is>
          <t>待认领</t>
        </is>
      </c>
      <c r="Q80" s="11" t="n"/>
      <c r="R80" s="11" t="n"/>
      <c r="S80" s="11">
        <f>IF(COUNTIF($A$5:$A$207,A80)=1,"PASS","FAIL")</f>
        <v/>
      </c>
      <c r="T80" s="11">
        <f>IF(COUNTIF('SR系统设计'!$A$5:$A$42,B80)=1,"PASS","FAIL")</f>
        <v/>
      </c>
    </row>
    <row r="81" ht="72" customHeight="1">
      <c r="A81" s="11" t="inlineStr">
        <is>
          <t>AR23-01-09-01-06</t>
        </is>
      </c>
      <c r="B81" s="11" t="inlineStr">
        <is>
          <t>SR23-01-09-01</t>
        </is>
      </c>
      <c r="C81" s="11" t="inlineStr">
        <is>
          <t>性能观测</t>
        </is>
      </c>
      <c r="D81" s="11" t="inlineStr">
        <is>
          <t>统一 能力（Capability） 注册表（Registry） 与 互联网络路由器（Fabric Router）｜性能观测</t>
        </is>
      </c>
      <c r="E81" s="11" t="inlineStr">
        <is>
          <t>性能与可观测负责人</t>
        </is>
      </c>
      <c r="F81" s="11" t="inlineStr">
        <is>
          <t>src/fabric/capability/telemetry.{h,cc} + 仪表板（dashboards）/cap_router.json</t>
        </is>
      </c>
      <c r="G81" s="11" t="inlineStr">
        <is>
          <t>接入统一 遥测数据（telemetry），建立本 SR 专属性能/资源/正确性指标和回归阈值：能力字段覆盖率100%；错误路由=0；互联网络路由器（Fabric Router） p99&lt;3μs；所有 分阶段暂存（staged） 路径可审计</t>
        </is>
      </c>
      <c r="H81" s="11" t="inlineStr">
        <is>
          <t>性能观测对应的可审查代码/IDL/配置/文档</t>
        </is>
      </c>
      <c r="I81" s="11" t="inlineStr">
        <is>
          <t>代码通过编译、静态检查和单元测试；接口/配置有版本；失败语义和 功能开关（feature flag） 可验证。</t>
        </is>
      </c>
      <c r="J81" s="11" t="inlineStr">
        <is>
          <t>ctest -R cap_router &amp;&amp; run_contract_check --sr SR23-01-09-01</t>
        </is>
      </c>
      <c r="K81" s="11" t="inlineStr">
        <is>
          <t>能力字段覆盖率100%；错误路由=0；互联网络路由器（Fabric Router） p99&lt;3μs；所有 分阶段暂存（staged） 路径可审计</t>
        </is>
      </c>
      <c r="L81" s="11" t="inlineStr">
        <is>
          <t>AR23-01-09-01-05</t>
        </is>
      </c>
      <c r="M81" s="11" t="n"/>
      <c r="N81" s="11" t="inlineStr">
        <is>
          <t>P0</t>
        </is>
      </c>
      <c r="O81" s="11" t="inlineStr">
        <is>
          <t>P0</t>
        </is>
      </c>
      <c r="P81" s="11" t="inlineStr">
        <is>
          <t>待认领</t>
        </is>
      </c>
      <c r="Q81" s="11" t="n"/>
      <c r="R81" s="11" t="n"/>
      <c r="S81" s="11">
        <f>IF(COUNTIF($A$5:$A$207,A81)=1,"PASS","FAIL")</f>
        <v/>
      </c>
      <c r="T81" s="11">
        <f>IF(COUNTIF('SR系统设计'!$A$5:$A$42,B81)=1,"PASS","FAIL")</f>
        <v/>
      </c>
    </row>
    <row r="82" ht="72" customHeight="1">
      <c r="A82" s="11" t="inlineStr">
        <is>
          <t>AR23-01-10-01-01</t>
        </is>
      </c>
      <c r="B82" s="11" t="inlineStr">
        <is>
          <t>SR23-01-10-01</t>
        </is>
      </c>
      <c r="C82" s="11" t="inlineStr">
        <is>
          <t>核心实现</t>
        </is>
      </c>
      <c r="D82" s="11" t="inlineStr">
        <is>
          <t>共享 附加（Attach）、租约引用与快速回退组件｜核心实现</t>
        </is>
      </c>
      <c r="E82" s="11" t="inlineStr">
        <is>
          <t>共享访问与回退组</t>
        </is>
      </c>
      <c r="F82" s="11" t="inlineStr">
        <is>
          <t>src/access/shared_attach/core.{h,cc}</t>
        </is>
      </c>
      <c r="G82" s="11" t="inlineStr">
        <is>
          <t>实现“共享 附加（Attach）、租约引用与快速回退组件”的可运行主路径，交付 shared-attach 库、AttachHandle/Lease/RefCount、回退契约（FallbackContract） 与 故障用例（fault cases） 的核心代码、构建入口和最小示例。</t>
        </is>
      </c>
      <c r="H82" s="11" t="inlineStr">
        <is>
          <t>核心实现对应的可审查代码/IDL/配置/文档</t>
        </is>
      </c>
      <c r="I82" s="11" t="inlineStr">
        <is>
          <t>代码通过编译、静态检查和单元测试；接口/配置有版本；失败语义和 功能开关（feature flag） 可验证。</t>
        </is>
      </c>
      <c r="J82" s="11" t="inlineStr">
        <is>
          <t>ctest -R shared_attach &amp;&amp; run_contract_check --sr SR23-01-10-01</t>
        </is>
      </c>
      <c r="K82" s="11" t="inlineStr">
        <is>
          <t>陈旧视图故障（stale view fault）=0；回退（fallback）成功率100%；重复远端拉取下降≥50%；租约泄漏=0</t>
        </is>
      </c>
      <c r="L82" s="11" t="n"/>
      <c r="M82" s="11" t="inlineStr">
        <is>
          <t>SR23-02-01-01、SR23-01-11-01、SR23-01-12-01</t>
        </is>
      </c>
      <c r="N82" s="11" t="inlineStr">
        <is>
          <t>P0</t>
        </is>
      </c>
      <c r="O82" s="11" t="inlineStr">
        <is>
          <t>P0</t>
        </is>
      </c>
      <c r="P82" s="11" t="inlineStr">
        <is>
          <t>待认领</t>
        </is>
      </c>
      <c r="Q82" s="11" t="n"/>
      <c r="R82" s="11" t="n"/>
      <c r="S82" s="11">
        <f>IF(COUNTIF($A$5:$A$207,A82)=1,"PASS","FAIL")</f>
        <v/>
      </c>
      <c r="T82" s="11">
        <f>IF(COUNTIF('SR系统设计'!$A$5:$A$42,B82)=1,"PASS","FAIL")</f>
        <v/>
      </c>
    </row>
    <row r="83" ht="72" customHeight="1">
      <c r="A83" s="11" t="inlineStr">
        <is>
          <t>AR23-01-10-01-02</t>
        </is>
      </c>
      <c r="B83" s="11" t="inlineStr">
        <is>
          <t>SR23-01-10-01</t>
        </is>
      </c>
      <c r="C83" s="11" t="inlineStr">
        <is>
          <t>接口契约</t>
        </is>
      </c>
      <c r="D83" s="11" t="inlineStr">
        <is>
          <t>共享 附加（Attach）、租约引用与快速回退组件｜接口契约</t>
        </is>
      </c>
      <c r="E83" s="11" t="inlineStr">
        <is>
          <t>共享访问与回退组</t>
        </is>
      </c>
      <c r="F83" s="11" t="inlineStr">
        <is>
          <t>api/kvcache/v23/shared_attach.proto + src/access/shared_attach/api.{h,cc}</t>
        </is>
      </c>
      <c r="G83" s="11" t="inlineStr">
        <is>
          <t>冻结并实现接口/IDL、版本兼容、输入输出、错误码与 消费者（consumer） 示例：附加句柄（AttachHandle）、LeaseToken、获取/释放（acquire/release）、FallbackReason</t>
        </is>
      </c>
      <c r="H83" s="11" t="inlineStr">
        <is>
          <t>接口契约对应的可审查代码/IDL/配置/文档</t>
        </is>
      </c>
      <c r="I83" s="11" t="inlineStr">
        <is>
          <t>代码通过编译、静态检查和单元测试；接口/配置有版本；失败语义和 功能开关（feature flag） 可验证。</t>
        </is>
      </c>
      <c r="J83" s="11" t="inlineStr">
        <is>
          <t>ctest -R shared_attach &amp;&amp; run_contract_check --sr SR23-01-10-01</t>
        </is>
      </c>
      <c r="K83" s="11" t="inlineStr">
        <is>
          <t>陈旧视图故障（stale view fault）=0；回退（fallback）成功率100%；重复远端拉取下降≥50%；租约泄漏=0</t>
        </is>
      </c>
      <c r="L83" s="11" t="inlineStr">
        <is>
          <t>AR23-01-10-01-01</t>
        </is>
      </c>
      <c r="M83" s="11" t="inlineStr">
        <is>
          <t>SR23-02-01-01、SR23-01-11-01、SR23-01-12-01</t>
        </is>
      </c>
      <c r="N83" s="11" t="inlineStr">
        <is>
          <t>P0</t>
        </is>
      </c>
      <c r="O83" s="11" t="inlineStr">
        <is>
          <t>P0</t>
        </is>
      </c>
      <c r="P83" s="11" t="inlineStr">
        <is>
          <t>待认领</t>
        </is>
      </c>
      <c r="Q83" s="11" t="n"/>
      <c r="R83" s="11" t="n"/>
      <c r="S83" s="11">
        <f>IF(COUNTIF($A$5:$A$207,A83)=1,"PASS","FAIL")</f>
        <v/>
      </c>
      <c r="T83" s="11">
        <f>IF(COUNTIF('SR系统设计'!$A$5:$A$42,B83)=1,"PASS","FAIL")</f>
        <v/>
      </c>
    </row>
    <row r="84" ht="72" customHeight="1">
      <c r="A84" s="11" t="inlineStr">
        <is>
          <t>AR23-01-10-01-03</t>
        </is>
      </c>
      <c r="B84" s="11" t="inlineStr">
        <is>
          <t>SR23-01-10-01</t>
        </is>
      </c>
      <c r="C84" s="11" t="inlineStr">
        <is>
          <t>状态模型</t>
        </is>
      </c>
      <c r="D84" s="11" t="inlineStr">
        <is>
          <t>共享 附加（Attach）、租约引用与快速回退组件｜状态模型</t>
        </is>
      </c>
      <c r="E84" s="11" t="inlineStr">
        <is>
          <t>共享访问与回退组</t>
        </is>
      </c>
      <c r="F84" s="11" t="inlineStr">
        <is>
          <t>src/access/shared_attach/state_model.{h,cc}</t>
        </is>
      </c>
      <c r="G84" s="11" t="inlineStr">
        <is>
          <t>实现状态、版本、并发互锁和持久/内存数据模型，覆盖正常转换与非法转换保护。</t>
        </is>
      </c>
      <c r="H84" s="11" t="inlineStr">
        <is>
          <t>状态模型对应的可审查代码/IDL/配置/文档</t>
        </is>
      </c>
      <c r="I84" s="11" t="inlineStr">
        <is>
          <t>代码通过编译、静态检查和单元测试；接口/配置有版本；失败语义和 功能开关（feature flag） 可验证。</t>
        </is>
      </c>
      <c r="J84" s="11" t="inlineStr">
        <is>
          <t>ctest -R shared_attach &amp;&amp; run_contract_check --sr SR23-01-10-01</t>
        </is>
      </c>
      <c r="K84" s="11" t="inlineStr">
        <is>
          <t>陈旧视图故障（stale view fault）=0；回退（fallback）成功率100%；重复远端拉取下降≥50%；租约泄漏=0</t>
        </is>
      </c>
      <c r="L84" s="11" t="inlineStr">
        <is>
          <t>AR23-01-10-01-02</t>
        </is>
      </c>
      <c r="M84" s="11" t="inlineStr">
        <is>
          <t>SR23-02-01-01、SR23-01-11-01、SR23-01-12-01</t>
        </is>
      </c>
      <c r="N84" s="11" t="inlineStr">
        <is>
          <t>P0</t>
        </is>
      </c>
      <c r="O84" s="11" t="inlineStr">
        <is>
          <t>P0</t>
        </is>
      </c>
      <c r="P84" s="11" t="inlineStr">
        <is>
          <t>待认领</t>
        </is>
      </c>
      <c r="Q84" s="11" t="n"/>
      <c r="R84" s="11" t="n"/>
      <c r="S84" s="11">
        <f>IF(COUNTIF($A$5:$A$207,A84)=1,"PASS","FAIL")</f>
        <v/>
      </c>
      <c r="T84" s="11">
        <f>IF(COUNTIF('SR系统设计'!$A$5:$A$42,B84)=1,"PASS","FAIL")</f>
        <v/>
      </c>
    </row>
    <row r="85" ht="72" customHeight="1">
      <c r="A85" s="11" t="inlineStr">
        <is>
          <t>AR23-01-10-01-04</t>
        </is>
      </c>
      <c r="B85" s="11" t="inlineStr">
        <is>
          <t>SR23-01-10-01</t>
        </is>
      </c>
      <c r="C85" s="11" t="inlineStr">
        <is>
          <t>异常回滚</t>
        </is>
      </c>
      <c r="D85" s="11" t="inlineStr">
        <is>
          <t>共享 附加（Attach）、租约引用与快速回退组件｜异常回滚</t>
        </is>
      </c>
      <c r="E85" s="11" t="inlineStr">
        <is>
          <t>共享访问与回退组</t>
        </is>
      </c>
      <c r="F85" s="11" t="inlineStr">
        <is>
          <t>src/access/shared_attach/fallback.{h,cc} + config/feature_flags/shared_attach.yaml</t>
        </is>
      </c>
      <c r="G85" s="11" t="inlineStr">
        <is>
          <t>实现并验证失败、超时、取消、降级、回滚与关闭路径：加载/状态失败切备用副本或重算；失效租约立即阻断消费</t>
        </is>
      </c>
      <c r="H85" s="11" t="inlineStr">
        <is>
          <t>异常回滚对应的可审查代码/IDL/配置/文档</t>
        </is>
      </c>
      <c r="I85" s="11" t="inlineStr">
        <is>
          <t>代码通过编译、静态检查和单元测试；接口/配置有版本；失败语义和 功能开关（feature flag） 可验证。</t>
        </is>
      </c>
      <c r="J85" s="11" t="inlineStr">
        <is>
          <t>ctest -R shared_attach &amp;&amp; run_contract_check --sr SR23-01-10-01</t>
        </is>
      </c>
      <c r="K85" s="11" t="inlineStr">
        <is>
          <t>陈旧视图故障（stale view fault）=0；回退（fallback）成功率100%；重复远端拉取下降≥50%；租约泄漏=0</t>
        </is>
      </c>
      <c r="L85" s="11" t="inlineStr">
        <is>
          <t>AR23-01-10-01-03</t>
        </is>
      </c>
      <c r="M85" s="11" t="inlineStr">
        <is>
          <t>SR23-02-01-01、SR23-01-11-01、SR23-01-12-01</t>
        </is>
      </c>
      <c r="N85" s="11" t="inlineStr">
        <is>
          <t>P0</t>
        </is>
      </c>
      <c r="O85" s="11" t="inlineStr">
        <is>
          <t>P0</t>
        </is>
      </c>
      <c r="P85" s="11" t="inlineStr">
        <is>
          <t>待认领</t>
        </is>
      </c>
      <c r="Q85" s="11" t="n"/>
      <c r="R85" s="11" t="n"/>
      <c r="S85" s="11">
        <f>IF(COUNTIF($A$5:$A$207,A85)=1,"PASS","FAIL")</f>
        <v/>
      </c>
      <c r="T85" s="11">
        <f>IF(COUNTIF('SR系统设计'!$A$5:$A$42,B85)=1,"PASS","FAIL")</f>
        <v/>
      </c>
    </row>
    <row r="86" ht="72" customHeight="1">
      <c r="A86" s="11" t="inlineStr">
        <is>
          <t>AR23-01-10-01-05</t>
        </is>
      </c>
      <c r="B86" s="11" t="inlineStr">
        <is>
          <t>SR23-01-10-01</t>
        </is>
      </c>
      <c r="C86" s="11" t="inlineStr">
        <is>
          <t>独立验收</t>
        </is>
      </c>
      <c r="D86" s="11" t="inlineStr">
        <is>
          <t>共享 附加（Attach）、租约引用与快速回退组件｜独立验收</t>
        </is>
      </c>
      <c r="E86" s="11" t="inlineStr">
        <is>
          <t>测试/验收负责人</t>
        </is>
      </c>
      <c r="F86" s="11" t="inlineStr">
        <is>
          <t>tests/shared_attach/ + benchmarks/shared_attach/ + evidence/shared_attach/manifest.yaml</t>
        </is>
      </c>
      <c r="G86" s="11" t="inlineStr">
        <is>
          <t>建立不依赖全项目的验收环境，执行功能、异常、兼容和性能门禁并生成可签字证据包。</t>
        </is>
      </c>
      <c r="H86" s="11" t="inlineStr">
        <is>
          <t>版本化测试结果、原始证据、Go/Conditional/No-Go 结论</t>
        </is>
      </c>
      <c r="I86" s="11" t="inlineStr">
        <is>
          <t>在“连接器（Connector） 测试夹具（fixture） + MockObjectStore 即可独立验收”中完成主路径、异常、兼容和回滚；全部证据可一键复现。</t>
        </is>
      </c>
      <c r="J86" s="11" t="inlineStr">
        <is>
          <t>run_sr_acceptance --sr SR23-01-10-01 --baseline locked</t>
        </is>
      </c>
      <c r="K86" s="11" t="inlineStr">
        <is>
          <t>陈旧视图故障（stale view fault）=0；回退（fallback）成功率100%；重复远端拉取下降≥50%；租约泄漏=0</t>
        </is>
      </c>
      <c r="L86" s="11" t="inlineStr">
        <is>
          <t>AR23-01-10-01-04</t>
        </is>
      </c>
      <c r="M86" s="11" t="inlineStr">
        <is>
          <t>SR23-02-01-01、SR23-01-11-01、SR23-01-12-01</t>
        </is>
      </c>
      <c r="N86" s="11" t="inlineStr">
        <is>
          <t>P0</t>
        </is>
      </c>
      <c r="O86" s="11" t="inlineStr">
        <is>
          <t>P0</t>
        </is>
      </c>
      <c r="P86" s="11" t="inlineStr">
        <is>
          <t>待认领</t>
        </is>
      </c>
      <c r="Q86" s="11" t="n"/>
      <c r="R86" s="11" t="n"/>
      <c r="S86" s="11">
        <f>IF(COUNTIF($A$5:$A$207,A86)=1,"PASS","FAIL")</f>
        <v/>
      </c>
      <c r="T86" s="11">
        <f>IF(COUNTIF('SR系统设计'!$A$5:$A$42,B86)=1,"PASS","FAIL")</f>
        <v/>
      </c>
    </row>
    <row r="87" ht="72" customHeight="1">
      <c r="A87" s="11" t="inlineStr">
        <is>
          <t>AR23-01-11-01-01</t>
        </is>
      </c>
      <c r="B87" s="11" t="inlineStr">
        <is>
          <t>SR23-01-11-01</t>
        </is>
      </c>
      <c r="C87" s="11" t="inlineStr">
        <is>
          <t>核心实现</t>
        </is>
      </c>
      <c r="D87" s="11" t="inlineStr">
        <is>
          <t>KV 发布、可见性与迁移一致性服务｜核心实现</t>
        </is>
      </c>
      <c r="E87" s="11" t="inlineStr">
        <is>
          <t>一致性与生命周期组</t>
        </is>
      </c>
      <c r="F87" s="11" t="inlineStr">
        <is>
          <t>src/consistency/core.{h,cc}</t>
        </is>
      </c>
      <c r="G87" s="11" t="inlineStr">
        <is>
          <t>实现“KV 发布、可见性与迁移一致性服务”的可运行主路径，交付 consistency-service、PublishCommitLog、ReadyBitmap、RCU 租约（lease） 与 隔离（quarantine） 的核心代码、构建入口和最小示例。</t>
        </is>
      </c>
      <c r="H87" s="11" t="inlineStr">
        <is>
          <t>核心实现对应的可审查代码/IDL/配置/文档</t>
        </is>
      </c>
      <c r="I87" s="11" t="inlineStr">
        <is>
          <t>代码通过编译、静态检查和单元测试；接口/配置有版本；失败语义和 功能开关（feature flag） 可验证。</t>
        </is>
      </c>
      <c r="J87" s="11" t="inlineStr">
        <is>
          <t>ctest -R consistency_service &amp;&amp; run_contract_check --sr SR23-01-11-01</t>
        </is>
      </c>
      <c r="K87" s="11" t="inlineStr">
        <is>
          <t>错误/半写对象可见=0；释放后使用（use-after-free）=0；发布恢复成功率100%；迁移抖动&lt;5%</t>
        </is>
      </c>
      <c r="L87" s="11" t="n"/>
      <c r="M87" s="11" t="inlineStr">
        <is>
          <t>SR23-01-01-01、SR23-01-12-01</t>
        </is>
      </c>
      <c r="N87" s="11" t="inlineStr">
        <is>
          <t>P0</t>
        </is>
      </c>
      <c r="O87" s="11" t="inlineStr">
        <is>
          <t>P0</t>
        </is>
      </c>
      <c r="P87" s="11" t="inlineStr">
        <is>
          <t>待认领</t>
        </is>
      </c>
      <c r="Q87" s="11" t="n"/>
      <c r="R87" s="11" t="n"/>
      <c r="S87" s="11">
        <f>IF(COUNTIF($A$5:$A$207,A87)=1,"PASS","FAIL")</f>
        <v/>
      </c>
      <c r="T87" s="11">
        <f>IF(COUNTIF('SR系统设计'!$A$5:$A$42,B87)=1,"PASS","FAIL")</f>
        <v/>
      </c>
    </row>
    <row r="88" ht="72" customHeight="1">
      <c r="A88" s="11" t="inlineStr">
        <is>
          <t>AR23-01-11-01-02</t>
        </is>
      </c>
      <c r="B88" s="11" t="inlineStr">
        <is>
          <t>SR23-01-11-01</t>
        </is>
      </c>
      <c r="C88" s="11" t="inlineStr">
        <is>
          <t>接口契约</t>
        </is>
      </c>
      <c r="D88" s="11" t="inlineStr">
        <is>
          <t>KV 发布、可见性与迁移一致性服务｜接口契约</t>
        </is>
      </c>
      <c r="E88" s="11" t="inlineStr">
        <is>
          <t>一致性与生命周期组</t>
        </is>
      </c>
      <c r="F88" s="11" t="inlineStr">
        <is>
          <t>api/kvcache/v23/consistency_service.proto + src/consistency/api.{h,cc}</t>
        </is>
      </c>
      <c r="G88" s="11" t="inlineStr">
        <is>
          <t>冻结并实现接口/IDL、版本兼容、输入输出、错误码与 消费者（consumer） 示例：publish/commit/abort、ReadyEvidence、OwnershipToken、隔离（quarantine）</t>
        </is>
      </c>
      <c r="H88" s="11" t="inlineStr">
        <is>
          <t>接口契约对应的可审查代码/IDL/配置/文档</t>
        </is>
      </c>
      <c r="I88" s="11" t="inlineStr">
        <is>
          <t>代码通过编译、静态检查和单元测试；接口/配置有版本；失败语义和 功能开关（feature flag） 可验证。</t>
        </is>
      </c>
      <c r="J88" s="11" t="inlineStr">
        <is>
          <t>ctest -R consistency_service &amp;&amp; run_contract_check --sr SR23-01-11-01</t>
        </is>
      </c>
      <c r="K88" s="11" t="inlineStr">
        <is>
          <t>错误/半写对象可见=0；释放后使用（use-after-free）=0；发布恢复成功率100%；迁移抖动&lt;5%</t>
        </is>
      </c>
      <c r="L88" s="11" t="inlineStr">
        <is>
          <t>AR23-01-11-01-01</t>
        </is>
      </c>
      <c r="M88" s="11" t="inlineStr">
        <is>
          <t>SR23-01-01-01、SR23-01-12-01</t>
        </is>
      </c>
      <c r="N88" s="11" t="inlineStr">
        <is>
          <t>P0</t>
        </is>
      </c>
      <c r="O88" s="11" t="inlineStr">
        <is>
          <t>P0</t>
        </is>
      </c>
      <c r="P88" s="11" t="inlineStr">
        <is>
          <t>待认领</t>
        </is>
      </c>
      <c r="Q88" s="11" t="n"/>
      <c r="R88" s="11" t="n"/>
      <c r="S88" s="11">
        <f>IF(COUNTIF($A$5:$A$207,A88)=1,"PASS","FAIL")</f>
        <v/>
      </c>
      <c r="T88" s="11">
        <f>IF(COUNTIF('SR系统设计'!$A$5:$A$42,B88)=1,"PASS","FAIL")</f>
        <v/>
      </c>
    </row>
    <row r="89" ht="72" customHeight="1">
      <c r="A89" s="11" t="inlineStr">
        <is>
          <t>AR23-01-11-01-03</t>
        </is>
      </c>
      <c r="B89" s="11" t="inlineStr">
        <is>
          <t>SR23-01-11-01</t>
        </is>
      </c>
      <c r="C89" s="11" t="inlineStr">
        <is>
          <t>状态模型</t>
        </is>
      </c>
      <c r="D89" s="11" t="inlineStr">
        <is>
          <t>KV 发布、可见性与迁移一致性服务｜状态模型</t>
        </is>
      </c>
      <c r="E89" s="11" t="inlineStr">
        <is>
          <t>一致性与生命周期组</t>
        </is>
      </c>
      <c r="F89" s="11" t="inlineStr">
        <is>
          <t>src/consistency/state_model.{h,cc}</t>
        </is>
      </c>
      <c r="G89" s="11" t="inlineStr">
        <is>
          <t>实现状态、版本、并发互锁和持久/内存数据模型，覆盖正常转换与非法转换保护。</t>
        </is>
      </c>
      <c r="H89" s="11" t="inlineStr">
        <is>
          <t>状态模型对应的可审查代码/IDL/配置/文档</t>
        </is>
      </c>
      <c r="I89" s="11" t="inlineStr">
        <is>
          <t>代码通过编译、静态检查和单元测试；接口/配置有版本；失败语义和 功能开关（feature flag） 可验证。</t>
        </is>
      </c>
      <c r="J89" s="11" t="inlineStr">
        <is>
          <t>ctest -R consistency_service &amp;&amp; run_contract_check --sr SR23-01-11-01</t>
        </is>
      </c>
      <c r="K89" s="11" t="inlineStr">
        <is>
          <t>错误/半写对象可见=0；释放后使用（use-after-free）=0；发布恢复成功率100%；迁移抖动&lt;5%</t>
        </is>
      </c>
      <c r="L89" s="11" t="inlineStr">
        <is>
          <t>AR23-01-11-01-02</t>
        </is>
      </c>
      <c r="M89" s="11" t="inlineStr">
        <is>
          <t>SR23-01-01-01、SR23-01-12-01</t>
        </is>
      </c>
      <c r="N89" s="11" t="inlineStr">
        <is>
          <t>P0</t>
        </is>
      </c>
      <c r="O89" s="11" t="inlineStr">
        <is>
          <t>P0</t>
        </is>
      </c>
      <c r="P89" s="11" t="inlineStr">
        <is>
          <t>待认领</t>
        </is>
      </c>
      <c r="Q89" s="11" t="n"/>
      <c r="R89" s="11" t="n"/>
      <c r="S89" s="11">
        <f>IF(COUNTIF($A$5:$A$207,A89)=1,"PASS","FAIL")</f>
        <v/>
      </c>
      <c r="T89" s="11">
        <f>IF(COUNTIF('SR系统设计'!$A$5:$A$42,B89)=1,"PASS","FAIL")</f>
        <v/>
      </c>
    </row>
    <row r="90" ht="72" customHeight="1">
      <c r="A90" s="11" t="inlineStr">
        <is>
          <t>AR23-01-11-01-04</t>
        </is>
      </c>
      <c r="B90" s="11" t="inlineStr">
        <is>
          <t>SR23-01-11-01</t>
        </is>
      </c>
      <c r="C90" s="11" t="inlineStr">
        <is>
          <t>异常回滚</t>
        </is>
      </c>
      <c r="D90" s="11" t="inlineStr">
        <is>
          <t>KV 发布、可见性与迁移一致性服务｜异常回滚</t>
        </is>
      </c>
      <c r="E90" s="11" t="inlineStr">
        <is>
          <t>一致性与生命周期组</t>
        </is>
      </c>
      <c r="F90" s="11" t="inlineStr">
        <is>
          <t>src/consistency/fallback.{h,cc} + config/feature_flags/consistency_service.yaml</t>
        </is>
      </c>
      <c r="G90" s="11" t="inlineStr">
        <is>
          <t>实现并验证失败、超时、取消、降级、回滚与关闭路径：发布中断回滚 提交日志（commit log）；证据不足保持 NOT_READY；异常副本 隔离（quarantine）</t>
        </is>
      </c>
      <c r="H90" s="11" t="inlineStr">
        <is>
          <t>异常回滚对应的可审查代码/IDL/配置/文档</t>
        </is>
      </c>
      <c r="I90" s="11" t="inlineStr">
        <is>
          <t>代码通过编译、静态检查和单元测试；接口/配置有版本；失败语义和 功能开关（feature flag） 可验证。</t>
        </is>
      </c>
      <c r="J90" s="11" t="inlineStr">
        <is>
          <t>ctest -R consistency_service &amp;&amp; run_contract_check --sr SR23-01-11-01</t>
        </is>
      </c>
      <c r="K90" s="11" t="inlineStr">
        <is>
          <t>错误/半写对象可见=0；释放后使用（use-after-free）=0；发布恢复成功率100%；迁移抖动&lt;5%</t>
        </is>
      </c>
      <c r="L90" s="11" t="inlineStr">
        <is>
          <t>AR23-01-11-01-03</t>
        </is>
      </c>
      <c r="M90" s="11" t="inlineStr">
        <is>
          <t>SR23-01-01-01、SR23-01-12-01</t>
        </is>
      </c>
      <c r="N90" s="11" t="inlineStr">
        <is>
          <t>P0</t>
        </is>
      </c>
      <c r="O90" s="11" t="inlineStr">
        <is>
          <t>P0</t>
        </is>
      </c>
      <c r="P90" s="11" t="inlineStr">
        <is>
          <t>待认领</t>
        </is>
      </c>
      <c r="Q90" s="11" t="n"/>
      <c r="R90" s="11" t="n"/>
      <c r="S90" s="11">
        <f>IF(COUNTIF($A$5:$A$207,A90)=1,"PASS","FAIL")</f>
        <v/>
      </c>
      <c r="T90" s="11">
        <f>IF(COUNTIF('SR系统设计'!$A$5:$A$42,B90)=1,"PASS","FAIL")</f>
        <v/>
      </c>
    </row>
    <row r="91" ht="72" customHeight="1">
      <c r="A91" s="11" t="inlineStr">
        <is>
          <t>AR23-01-11-01-05</t>
        </is>
      </c>
      <c r="B91" s="11" t="inlineStr">
        <is>
          <t>SR23-01-11-01</t>
        </is>
      </c>
      <c r="C91" s="11" t="inlineStr">
        <is>
          <t>独立验收</t>
        </is>
      </c>
      <c r="D91" s="11" t="inlineStr">
        <is>
          <t>KV 发布、可见性与迁移一致性服务｜独立验收</t>
        </is>
      </c>
      <c r="E91" s="11" t="inlineStr">
        <is>
          <t>测试/验收负责人</t>
        </is>
      </c>
      <c r="F91" s="11" t="inlineStr">
        <is>
          <t>tests/consistency_service/ + benchmarks/consistency_service/ + evidence/consistency_service/manifest.yaml</t>
        </is>
      </c>
      <c r="G91" s="11" t="inlineStr">
        <is>
          <t>建立不依赖全项目的验收环境，执行功能、异常、兼容和性能门禁并生成可签字证据包。</t>
        </is>
      </c>
      <c r="H91" s="11" t="inlineStr">
        <is>
          <t>版本化测试结果、原始证据、Go/Conditional/No-Go 结论</t>
        </is>
      </c>
      <c r="I91" s="11" t="inlineStr">
        <is>
          <t>在“内存状态机 + 并发/故障注入即可独立验收”中完成主路径、异常、兼容和回滚；全部证据可一键复现。</t>
        </is>
      </c>
      <c r="J91" s="11" t="inlineStr">
        <is>
          <t>run_sr_acceptance --sr SR23-01-11-01 --baseline locked</t>
        </is>
      </c>
      <c r="K91" s="11" t="inlineStr">
        <is>
          <t>错误/半写对象可见=0；释放后使用（use-after-free）=0；发布恢复成功率100%；迁移抖动&lt;5%</t>
        </is>
      </c>
      <c r="L91" s="11" t="inlineStr">
        <is>
          <t>AR23-01-11-01-04</t>
        </is>
      </c>
      <c r="M91" s="11" t="inlineStr">
        <is>
          <t>SR23-01-01-01、SR23-01-12-01</t>
        </is>
      </c>
      <c r="N91" s="11" t="inlineStr">
        <is>
          <t>P0</t>
        </is>
      </c>
      <c r="O91" s="11" t="inlineStr">
        <is>
          <t>P0</t>
        </is>
      </c>
      <c r="P91" s="11" t="inlineStr">
        <is>
          <t>待认领</t>
        </is>
      </c>
      <c r="Q91" s="11" t="n"/>
      <c r="R91" s="11" t="n"/>
      <c r="S91" s="11">
        <f>IF(COUNTIF($A$5:$A$207,A91)=1,"PASS","FAIL")</f>
        <v/>
      </c>
      <c r="T91" s="11">
        <f>IF(COUNTIF('SR系统设计'!$A$5:$A$42,B91)=1,"PASS","FAIL")</f>
        <v/>
      </c>
    </row>
    <row r="92" ht="72" customHeight="1">
      <c r="A92" s="11" t="inlineStr">
        <is>
          <t>AR23-01-11-01-06</t>
        </is>
      </c>
      <c r="B92" s="11" t="inlineStr">
        <is>
          <t>SR23-01-11-01</t>
        </is>
      </c>
      <c r="C92" s="11" t="inlineStr">
        <is>
          <t>性能观测</t>
        </is>
      </c>
      <c r="D92" s="11" t="inlineStr">
        <is>
          <t>KV 发布、可见性与迁移一致性服务｜性能观测</t>
        </is>
      </c>
      <c r="E92" s="11" t="inlineStr">
        <is>
          <t>性能与可观测负责人</t>
        </is>
      </c>
      <c r="F92" s="11" t="inlineStr">
        <is>
          <t>src/consistency/telemetry.{h,cc} + 仪表板（dashboards）/consistency_service.json</t>
        </is>
      </c>
      <c r="G92" s="11" t="inlineStr">
        <is>
          <t>接入统一 遥测数据（telemetry），建立本 SR 专属性能/资源/正确性指标和回归阈值：错误/半写对象可见=0；释放后使用（use-after-free）=0；发布恢复成功率100%；迁移抖动&lt;5%</t>
        </is>
      </c>
      <c r="H92" s="11" t="inlineStr">
        <is>
          <t>性能观测对应的可审查代码/IDL/配置/文档</t>
        </is>
      </c>
      <c r="I92" s="11" t="inlineStr">
        <is>
          <t>代码通过编译、静态检查和单元测试；接口/配置有版本；失败语义和 功能开关（feature flag） 可验证。</t>
        </is>
      </c>
      <c r="J92" s="11" t="inlineStr">
        <is>
          <t>ctest -R consistency_service &amp;&amp; run_contract_check --sr SR23-01-11-01</t>
        </is>
      </c>
      <c r="K92" s="11" t="inlineStr">
        <is>
          <t>错误/半写对象可见=0；释放后使用（use-after-free）=0；发布恢复成功率100%；迁移抖动&lt;5%</t>
        </is>
      </c>
      <c r="L92" s="11" t="inlineStr">
        <is>
          <t>AR23-01-11-01-05</t>
        </is>
      </c>
      <c r="M92" s="11" t="inlineStr">
        <is>
          <t>SR23-01-01-01、SR23-01-12-01</t>
        </is>
      </c>
      <c r="N92" s="11" t="inlineStr">
        <is>
          <t>P0</t>
        </is>
      </c>
      <c r="O92" s="11" t="inlineStr">
        <is>
          <t>P0</t>
        </is>
      </c>
      <c r="P92" s="11" t="inlineStr">
        <is>
          <t>待认领</t>
        </is>
      </c>
      <c r="Q92" s="11" t="n"/>
      <c r="R92" s="11" t="n"/>
      <c r="S92" s="11">
        <f>IF(COUNTIF($A$5:$A$207,A92)=1,"PASS","FAIL")</f>
        <v/>
      </c>
      <c r="T92" s="11">
        <f>IF(COUNTIF('SR系统设计'!$A$5:$A$42,B92)=1,"PASS","FAIL")</f>
        <v/>
      </c>
    </row>
    <row r="93" ht="72" customHeight="1">
      <c r="A93" s="11" t="inlineStr">
        <is>
          <t>AR23-01-11-02-01</t>
        </is>
      </c>
      <c r="B93" s="11" t="inlineStr">
        <is>
          <t>SR23-01-11-02</t>
        </is>
      </c>
      <c r="C93" s="11" t="inlineStr">
        <is>
          <t>核心实现</t>
        </is>
      </c>
      <c r="D93" s="11" t="inlineStr">
        <is>
          <t>多租户隔离与前后台传输 QoS 控制器｜核心实现</t>
        </is>
      </c>
      <c r="E93" s="11" t="inlineStr">
        <is>
          <t>隔离与 QoS 组</t>
        </is>
      </c>
      <c r="F93" s="11" t="inlineStr">
        <is>
          <t>src/qos/core.{h,cc}</t>
        </is>
      </c>
      <c r="G93" s="11" t="inlineStr">
        <is>
          <t>实现“多租户隔离与前后台传输 QoS 控制器”的可运行主路径，交付 tenant-qos-controller、TrafficClass/TokenBucket/WFQ 配置和混压安全包络 的核心代码、构建入口和最小示例。</t>
        </is>
      </c>
      <c r="H93" s="11" t="inlineStr">
        <is>
          <t>核心实现对应的可审查代码/IDL/配置/文档</t>
        </is>
      </c>
      <c r="I93" s="11" t="inlineStr">
        <is>
          <t>代码通过编译、静态检查和单元测试；接口/配置有版本；失败语义和 功能开关（feature flag） 可验证。</t>
        </is>
      </c>
      <c r="J93" s="11" t="inlineStr">
        <is>
          <t>ctest -R tenant_qos &amp;&amp; run_contract_check --sr SR23-01-11-02</t>
        </is>
      </c>
      <c r="K93" s="11" t="inlineStr">
        <is>
          <t>TPOT p99回退&lt;3%；租户间干扰&lt;5%；越权访问=0；后台干扰降低≥50%</t>
        </is>
      </c>
      <c r="L93" s="11" t="n"/>
      <c r="M93" s="11" t="inlineStr">
        <is>
          <t>SR23-01-11-01、SR23-01-09-01</t>
        </is>
      </c>
      <c r="N93" s="11" t="inlineStr">
        <is>
          <t>P0</t>
        </is>
      </c>
      <c r="O93" s="11" t="inlineStr">
        <is>
          <t>P0</t>
        </is>
      </c>
      <c r="P93" s="11" t="inlineStr">
        <is>
          <t>待认领</t>
        </is>
      </c>
      <c r="Q93" s="11" t="n"/>
      <c r="R93" s="11" t="n"/>
      <c r="S93" s="11">
        <f>IF(COUNTIF($A$5:$A$207,A93)=1,"PASS","FAIL")</f>
        <v/>
      </c>
      <c r="T93" s="11">
        <f>IF(COUNTIF('SR系统设计'!$A$5:$A$42,B93)=1,"PASS","FAIL")</f>
        <v/>
      </c>
    </row>
    <row r="94" ht="72" customHeight="1">
      <c r="A94" s="11" t="inlineStr">
        <is>
          <t>AR23-01-11-02-02</t>
        </is>
      </c>
      <c r="B94" s="11" t="inlineStr">
        <is>
          <t>SR23-01-11-02</t>
        </is>
      </c>
      <c r="C94" s="11" t="inlineStr">
        <is>
          <t>接口契约</t>
        </is>
      </c>
      <c r="D94" s="11" t="inlineStr">
        <is>
          <t>多租户隔离与前后台传输 QoS 控制器｜接口契约</t>
        </is>
      </c>
      <c r="E94" s="11" t="inlineStr">
        <is>
          <t>隔离与 QoS 组</t>
        </is>
      </c>
      <c r="F94" s="11" t="inlineStr">
        <is>
          <t>api/kvcache/v23/tenant_qos.proto + src/qos/api.{h,cc}</t>
        </is>
      </c>
      <c r="G94" s="11" t="inlineStr">
        <is>
          <t>冻结并实现接口/IDL、版本兼容、输入输出、错误码与 消费者（consumer） 示例：TrafficClass、TransferBudget、TenantQuota、pause/排空（drain）</t>
        </is>
      </c>
      <c r="H94" s="11" t="inlineStr">
        <is>
          <t>接口契约对应的可审查代码/IDL/配置/文档</t>
        </is>
      </c>
      <c r="I94" s="11" t="inlineStr">
        <is>
          <t>代码通过编译、静态检查和单元测试；接口/配置有版本；失败语义和 功能开关（feature flag） 可验证。</t>
        </is>
      </c>
      <c r="J94" s="11" t="inlineStr">
        <is>
          <t>ctest -R tenant_qos &amp;&amp; run_contract_check --sr SR23-01-11-02</t>
        </is>
      </c>
      <c r="K94" s="11" t="inlineStr">
        <is>
          <t>TPOT p99回退&lt;3%；租户间干扰&lt;5%；越权访问=0；后台干扰降低≥50%</t>
        </is>
      </c>
      <c r="L94" s="11" t="inlineStr">
        <is>
          <t>AR23-01-11-02-01</t>
        </is>
      </c>
      <c r="M94" s="11" t="inlineStr">
        <is>
          <t>SR23-01-11-01、SR23-01-09-01</t>
        </is>
      </c>
      <c r="N94" s="11" t="inlineStr">
        <is>
          <t>P0</t>
        </is>
      </c>
      <c r="O94" s="11" t="inlineStr">
        <is>
          <t>P0</t>
        </is>
      </c>
      <c r="P94" s="11" t="inlineStr">
        <is>
          <t>待认领</t>
        </is>
      </c>
      <c r="Q94" s="11" t="n"/>
      <c r="R94" s="11" t="n"/>
      <c r="S94" s="11">
        <f>IF(COUNTIF($A$5:$A$207,A94)=1,"PASS","FAIL")</f>
        <v/>
      </c>
      <c r="T94" s="11">
        <f>IF(COUNTIF('SR系统设计'!$A$5:$A$42,B94)=1,"PASS","FAIL")</f>
        <v/>
      </c>
    </row>
    <row r="95" ht="72" customHeight="1">
      <c r="A95" s="11" t="inlineStr">
        <is>
          <t>AR23-01-11-02-03</t>
        </is>
      </c>
      <c r="B95" s="11" t="inlineStr">
        <is>
          <t>SR23-01-11-02</t>
        </is>
      </c>
      <c r="C95" s="11" t="inlineStr">
        <is>
          <t>状态模型</t>
        </is>
      </c>
      <c r="D95" s="11" t="inlineStr">
        <is>
          <t>多租户隔离与前后台传输 QoS 控制器｜状态模型</t>
        </is>
      </c>
      <c r="E95" s="11" t="inlineStr">
        <is>
          <t>隔离与 QoS 组</t>
        </is>
      </c>
      <c r="F95" s="11" t="inlineStr">
        <is>
          <t>src/qos/state_model.{h,cc}</t>
        </is>
      </c>
      <c r="G95" s="11" t="inlineStr">
        <is>
          <t>实现状态、版本、并发互锁和持久/内存数据模型，覆盖正常转换与非法转换保护。</t>
        </is>
      </c>
      <c r="H95" s="11" t="inlineStr">
        <is>
          <t>状态模型对应的可审查代码/IDL/配置/文档</t>
        </is>
      </c>
      <c r="I95" s="11" t="inlineStr">
        <is>
          <t>代码通过编译、静态检查和单元测试；接口/配置有版本；失败语义和 功能开关（feature flag） 可验证。</t>
        </is>
      </c>
      <c r="J95" s="11" t="inlineStr">
        <is>
          <t>ctest -R tenant_qos &amp;&amp; run_contract_check --sr SR23-01-11-02</t>
        </is>
      </c>
      <c r="K95" s="11" t="inlineStr">
        <is>
          <t>TPOT p99回退&lt;3%；租户间干扰&lt;5%；越权访问=0；后台干扰降低≥50%</t>
        </is>
      </c>
      <c r="L95" s="11" t="inlineStr">
        <is>
          <t>AR23-01-11-02-02</t>
        </is>
      </c>
      <c r="M95" s="11" t="inlineStr">
        <is>
          <t>SR23-01-11-01、SR23-01-09-01</t>
        </is>
      </c>
      <c r="N95" s="11" t="inlineStr">
        <is>
          <t>P0</t>
        </is>
      </c>
      <c r="O95" s="11" t="inlineStr">
        <is>
          <t>P0</t>
        </is>
      </c>
      <c r="P95" s="11" t="inlineStr">
        <is>
          <t>待认领</t>
        </is>
      </c>
      <c r="Q95" s="11" t="n"/>
      <c r="R95" s="11" t="n"/>
      <c r="S95" s="11">
        <f>IF(COUNTIF($A$5:$A$207,A95)=1,"PASS","FAIL")</f>
        <v/>
      </c>
      <c r="T95" s="11">
        <f>IF(COUNTIF('SR系统设计'!$A$5:$A$42,B95)=1,"PASS","FAIL")</f>
        <v/>
      </c>
    </row>
    <row r="96" ht="72" customHeight="1">
      <c r="A96" s="11" t="inlineStr">
        <is>
          <t>AR23-01-11-02-04</t>
        </is>
      </c>
      <c r="B96" s="11" t="inlineStr">
        <is>
          <t>SR23-01-11-02</t>
        </is>
      </c>
      <c r="C96" s="11" t="inlineStr">
        <is>
          <t>异常回滚</t>
        </is>
      </c>
      <c r="D96" s="11" t="inlineStr">
        <is>
          <t>多租户隔离与前后台传输 QoS 控制器｜异常回滚</t>
        </is>
      </c>
      <c r="E96" s="11" t="inlineStr">
        <is>
          <t>隔离与 QoS 组</t>
        </is>
      </c>
      <c r="F96" s="11" t="inlineStr">
        <is>
          <t>src/qos/fallback.{h,cc} + config/feature_flags/tenant_qos.yaml</t>
        </is>
      </c>
      <c r="G96" s="11" t="inlineStr">
        <is>
          <t>实现并验证失败、超时、取消、降级、回滚与关闭路径：硬件 TC 不可用时使用软件队列；超预算暂停后台任务；前台超时回退重算</t>
        </is>
      </c>
      <c r="H96" s="11" t="inlineStr">
        <is>
          <t>异常回滚对应的可审查代码/IDL/配置/文档</t>
        </is>
      </c>
      <c r="I96" s="11" t="inlineStr">
        <is>
          <t>代码通过编译、静态检查和单元测试；接口/配置有版本；失败语义和 功能开关（feature flag） 可验证。</t>
        </is>
      </c>
      <c r="J96" s="11" t="inlineStr">
        <is>
          <t>ctest -R tenant_qos &amp;&amp; run_contract_check --sr SR23-01-11-02</t>
        </is>
      </c>
      <c r="K96" s="11" t="inlineStr">
        <is>
          <t>TPOT p99回退&lt;3%；租户间干扰&lt;5%；越权访问=0；后台干扰降低≥50%</t>
        </is>
      </c>
      <c r="L96" s="11" t="inlineStr">
        <is>
          <t>AR23-01-11-02-03</t>
        </is>
      </c>
      <c r="M96" s="11" t="inlineStr">
        <is>
          <t>SR23-01-11-01、SR23-01-09-01</t>
        </is>
      </c>
      <c r="N96" s="11" t="inlineStr">
        <is>
          <t>P0</t>
        </is>
      </c>
      <c r="O96" s="11" t="inlineStr">
        <is>
          <t>P0</t>
        </is>
      </c>
      <c r="P96" s="11" t="inlineStr">
        <is>
          <t>待认领</t>
        </is>
      </c>
      <c r="Q96" s="11" t="n"/>
      <c r="R96" s="11" t="n"/>
      <c r="S96" s="11">
        <f>IF(COUNTIF($A$5:$A$207,A96)=1,"PASS","FAIL")</f>
        <v/>
      </c>
      <c r="T96" s="11">
        <f>IF(COUNTIF('SR系统设计'!$A$5:$A$42,B96)=1,"PASS","FAIL")</f>
        <v/>
      </c>
    </row>
    <row r="97" ht="72" customHeight="1">
      <c r="A97" s="11" t="inlineStr">
        <is>
          <t>AR23-01-11-02-05</t>
        </is>
      </c>
      <c r="B97" s="11" t="inlineStr">
        <is>
          <t>SR23-01-11-02</t>
        </is>
      </c>
      <c r="C97" s="11" t="inlineStr">
        <is>
          <t>独立验收</t>
        </is>
      </c>
      <c r="D97" s="11" t="inlineStr">
        <is>
          <t>多租户隔离与前后台传输 QoS 控制器｜独立验收</t>
        </is>
      </c>
      <c r="E97" s="11" t="inlineStr">
        <is>
          <t>测试/验收负责人</t>
        </is>
      </c>
      <c r="F97" s="11" t="inlineStr">
        <is>
          <t>tests/tenant_qos/ + benchmarks/tenant_qos/ + evidence/tenant_qos/manifest.yaml</t>
        </is>
      </c>
      <c r="G97" s="11" t="inlineStr">
        <is>
          <t>建立不依赖全项目的验收环境，执行功能、异常、兼容和性能门禁并生成可签字证据包。</t>
        </is>
      </c>
      <c r="H97" s="11" t="inlineStr">
        <is>
          <t>版本化测试结果、原始证据、Go/Conditional/No-Go 结论</t>
        </is>
      </c>
      <c r="I97" s="11" t="inlineStr">
        <is>
          <t>在“软件队列模拟器 + 混压 工作负载（workload） 即可独立验收”中完成主路径、异常、兼容和回滚；全部证据可一键复现。</t>
        </is>
      </c>
      <c r="J97" s="11" t="inlineStr">
        <is>
          <t>run_sr_acceptance --sr SR23-01-11-02 --baseline locked</t>
        </is>
      </c>
      <c r="K97" s="11" t="inlineStr">
        <is>
          <t>TPOT p99回退&lt;3%；租户间干扰&lt;5%；越权访问=0；后台干扰降低≥50%</t>
        </is>
      </c>
      <c r="L97" s="11" t="inlineStr">
        <is>
          <t>AR23-01-11-02-04</t>
        </is>
      </c>
      <c r="M97" s="11" t="inlineStr">
        <is>
          <t>SR23-01-11-01、SR23-01-09-01</t>
        </is>
      </c>
      <c r="N97" s="11" t="inlineStr">
        <is>
          <t>P0</t>
        </is>
      </c>
      <c r="O97" s="11" t="inlineStr">
        <is>
          <t>P0</t>
        </is>
      </c>
      <c r="P97" s="11" t="inlineStr">
        <is>
          <t>待认领</t>
        </is>
      </c>
      <c r="Q97" s="11" t="n"/>
      <c r="R97" s="11" t="n"/>
      <c r="S97" s="11">
        <f>IF(COUNTIF($A$5:$A$207,A97)=1,"PASS","FAIL")</f>
        <v/>
      </c>
      <c r="T97" s="11">
        <f>IF(COUNTIF('SR系统设计'!$A$5:$A$42,B97)=1,"PASS","FAIL")</f>
        <v/>
      </c>
    </row>
    <row r="98" ht="72" customHeight="1">
      <c r="A98" s="11" t="inlineStr">
        <is>
          <t>AR23-01-11-02-06</t>
        </is>
      </c>
      <c r="B98" s="11" t="inlineStr">
        <is>
          <t>SR23-01-11-02</t>
        </is>
      </c>
      <c r="C98" s="11" t="inlineStr">
        <is>
          <t>性能观测</t>
        </is>
      </c>
      <c r="D98" s="11" t="inlineStr">
        <is>
          <t>多租户隔离与前后台传输 QoS 控制器｜性能观测</t>
        </is>
      </c>
      <c r="E98" s="11" t="inlineStr">
        <is>
          <t>性能与可观测负责人</t>
        </is>
      </c>
      <c r="F98" s="11" t="inlineStr">
        <is>
          <t>src/qos/telemetry.{h,cc} + 仪表板（dashboards）/tenant_qos.json</t>
        </is>
      </c>
      <c r="G98" s="11" t="inlineStr">
        <is>
          <t>接入统一 遥测数据（telemetry），建立本 SR 专属性能/资源/正确性指标和回归阈值：TPOT p99回退&lt;3%；租户间干扰&lt;5%；越权访问=0；后台干扰降低≥50%</t>
        </is>
      </c>
      <c r="H98" s="11" t="inlineStr">
        <is>
          <t>性能观测对应的可审查代码/IDL/配置/文档</t>
        </is>
      </c>
      <c r="I98" s="11" t="inlineStr">
        <is>
          <t>代码通过编译、静态检查和单元测试；接口/配置有版本；失败语义和 功能开关（feature flag） 可验证。</t>
        </is>
      </c>
      <c r="J98" s="11" t="inlineStr">
        <is>
          <t>ctest -R tenant_qos &amp;&amp; run_contract_check --sr SR23-01-11-02</t>
        </is>
      </c>
      <c r="K98" s="11" t="inlineStr">
        <is>
          <t>TPOT p99回退&lt;3%；租户间干扰&lt;5%；越权访问=0；后台干扰降低≥50%</t>
        </is>
      </c>
      <c r="L98" s="11" t="inlineStr">
        <is>
          <t>AR23-01-11-02-05</t>
        </is>
      </c>
      <c r="M98" s="11" t="inlineStr">
        <is>
          <t>SR23-01-11-01、SR23-01-09-01</t>
        </is>
      </c>
      <c r="N98" s="11" t="inlineStr">
        <is>
          <t>P0</t>
        </is>
      </c>
      <c r="O98" s="11" t="inlineStr">
        <is>
          <t>P0</t>
        </is>
      </c>
      <c r="P98" s="11" t="inlineStr">
        <is>
          <t>待认领</t>
        </is>
      </c>
      <c r="Q98" s="11" t="n"/>
      <c r="R98" s="11" t="n"/>
      <c r="S98" s="11">
        <f>IF(COUNTIF($A$5:$A$207,A98)=1,"PASS","FAIL")</f>
        <v/>
      </c>
      <c r="T98" s="11">
        <f>IF(COUNTIF('SR系统设计'!$A$5:$A$42,B98)=1,"PASS","FAIL")</f>
        <v/>
      </c>
    </row>
    <row r="99" ht="72" customHeight="1">
      <c r="A99" s="11" t="inlineStr">
        <is>
          <t>AR23-01-12-01-01</t>
        </is>
      </c>
      <c r="B99" s="11" t="inlineStr">
        <is>
          <t>SR23-01-12-01</t>
        </is>
      </c>
      <c r="C99" s="11" t="inlineStr">
        <is>
          <t>核心实现</t>
        </is>
      </c>
      <c r="D99" s="11" t="inlineStr">
        <is>
          <t>按路径完整性证据与 RAS 故障映射组件｜核心实现</t>
        </is>
      </c>
      <c r="E99" s="11" t="inlineStr">
        <is>
          <t>完整性与 RAS 组</t>
        </is>
      </c>
      <c r="F99" s="11" t="inlineStr">
        <is>
          <t>src/integrity/core.{h,cc}</t>
        </is>
      </c>
      <c r="G99" s="11" t="inlineStr">
        <is>
          <t>实现“按路径完整性证据与 RAS 故障映射组件”的可运行主路径，交付 integrity-evidence SDK、完成/栅栏（Completion/Fence） 证据模型、RAS/ErrorMap 与 故障测试套件（fault suite） 的核心代码、构建入口和最小示例。</t>
        </is>
      </c>
      <c r="H99" s="11" t="inlineStr">
        <is>
          <t>核心实现对应的可审查代码/IDL/配置/文档</t>
        </is>
      </c>
      <c r="I99" s="11" t="inlineStr">
        <is>
          <t>代码通过编译、静态检查和单元测试；接口/配置有版本；失败语义和 功能开关（feature flag） 可验证。</t>
        </is>
      </c>
      <c r="J99" s="11" t="inlineStr">
        <is>
          <t>ctest -R integrity_evidence &amp;&amp; run_contract_check --sr SR23-01-12-01</t>
        </is>
      </c>
      <c r="K99" s="11" t="inlineStr">
        <is>
          <t>错误/过期 KV 被消费=0；故障注入覆盖率100%；主路径 CPU 全量 CRC=0</t>
        </is>
      </c>
      <c r="L99" s="11" t="n"/>
      <c r="M99" s="11" t="inlineStr">
        <is>
          <t>SR23-01-09-01</t>
        </is>
      </c>
      <c r="N99" s="11" t="inlineStr">
        <is>
          <t>P0</t>
        </is>
      </c>
      <c r="O99" s="11" t="inlineStr">
        <is>
          <t>P0</t>
        </is>
      </c>
      <c r="P99" s="11" t="inlineStr">
        <is>
          <t>待认领</t>
        </is>
      </c>
      <c r="Q99" s="11" t="n"/>
      <c r="R99" s="11" t="n"/>
      <c r="S99" s="11">
        <f>IF(COUNTIF($A$5:$A$207,A99)=1,"PASS","FAIL")</f>
        <v/>
      </c>
      <c r="T99" s="11">
        <f>IF(COUNTIF('SR系统设计'!$A$5:$A$42,B99)=1,"PASS","FAIL")</f>
        <v/>
      </c>
    </row>
    <row r="100" ht="72" customHeight="1">
      <c r="A100" s="11" t="inlineStr">
        <is>
          <t>AR23-01-12-01-02</t>
        </is>
      </c>
      <c r="B100" s="11" t="inlineStr">
        <is>
          <t>SR23-01-12-01</t>
        </is>
      </c>
      <c r="C100" s="11" t="inlineStr">
        <is>
          <t>接口契约</t>
        </is>
      </c>
      <c r="D100" s="11" t="inlineStr">
        <is>
          <t>按路径完整性证据与 RAS 故障映射组件｜接口契约</t>
        </is>
      </c>
      <c r="E100" s="11" t="inlineStr">
        <is>
          <t>完整性与 RAS 组</t>
        </is>
      </c>
      <c r="F100" s="11" t="inlineStr">
        <is>
          <t>api/kvcache/v23/integrity_evidence.proto + src/integrity/api.{h,cc}</t>
        </is>
      </c>
      <c r="G100" s="11" t="inlineStr">
        <is>
          <t>冻结并实现接口/IDL、版本兼容、输入输出、错误码与 消费者（consumer） 示例：IntegrityEvidence、CompletionEvidence、ErrorMap、canPublishReady</t>
        </is>
      </c>
      <c r="H100" s="11" t="inlineStr">
        <is>
          <t>接口契约对应的可审查代码/IDL/配置/文档</t>
        </is>
      </c>
      <c r="I100" s="11" t="inlineStr">
        <is>
          <t>代码通过编译、静态检查和单元测试；接口/配置有版本；失败语义和 功能开关（feature flag） 可验证。</t>
        </is>
      </c>
      <c r="J100" s="11" t="inlineStr">
        <is>
          <t>ctest -R integrity_evidence &amp;&amp; run_contract_check --sr SR23-01-12-01</t>
        </is>
      </c>
      <c r="K100" s="11" t="inlineStr">
        <is>
          <t>错误/过期 KV 被消费=0；故障注入覆盖率100%；主路径 CPU 全量 CRC=0</t>
        </is>
      </c>
      <c r="L100" s="11" t="inlineStr">
        <is>
          <t>AR23-01-12-01-01</t>
        </is>
      </c>
      <c r="M100" s="11" t="inlineStr">
        <is>
          <t>SR23-01-09-01</t>
        </is>
      </c>
      <c r="N100" s="11" t="inlineStr">
        <is>
          <t>P0</t>
        </is>
      </c>
      <c r="O100" s="11" t="inlineStr">
        <is>
          <t>P0</t>
        </is>
      </c>
      <c r="P100" s="11" t="inlineStr">
        <is>
          <t>待认领</t>
        </is>
      </c>
      <c r="Q100" s="11" t="n"/>
      <c r="R100" s="11" t="n"/>
      <c r="S100" s="11">
        <f>IF(COUNTIF($A$5:$A$207,A100)=1,"PASS","FAIL")</f>
        <v/>
      </c>
      <c r="T100" s="11">
        <f>IF(COUNTIF('SR系统设计'!$A$5:$A$42,B100)=1,"PASS","FAIL")</f>
        <v/>
      </c>
    </row>
    <row r="101" ht="72" customHeight="1">
      <c r="A101" s="11" t="inlineStr">
        <is>
          <t>AR23-01-12-01-03</t>
        </is>
      </c>
      <c r="B101" s="11" t="inlineStr">
        <is>
          <t>SR23-01-12-01</t>
        </is>
      </c>
      <c r="C101" s="11" t="inlineStr">
        <is>
          <t>状态模型</t>
        </is>
      </c>
      <c r="D101" s="11" t="inlineStr">
        <is>
          <t>按路径完整性证据与 RAS 故障映射组件｜状态模型</t>
        </is>
      </c>
      <c r="E101" s="11" t="inlineStr">
        <is>
          <t>完整性与 RAS 组</t>
        </is>
      </c>
      <c r="F101" s="11" t="inlineStr">
        <is>
          <t>src/integrity/state_model.{h,cc}</t>
        </is>
      </c>
      <c r="G101" s="11" t="inlineStr">
        <is>
          <t>实现状态、版本、并发互锁和持久/内存数据模型，覆盖正常转换与非法转换保护。</t>
        </is>
      </c>
      <c r="H101" s="11" t="inlineStr">
        <is>
          <t>状态模型对应的可审查代码/IDL/配置/文档</t>
        </is>
      </c>
      <c r="I101" s="11" t="inlineStr">
        <is>
          <t>代码通过编译、静态检查和单元测试；接口/配置有版本；失败语义和 功能开关（feature flag） 可验证。</t>
        </is>
      </c>
      <c r="J101" s="11" t="inlineStr">
        <is>
          <t>ctest -R integrity_evidence &amp;&amp; run_contract_check --sr SR23-01-12-01</t>
        </is>
      </c>
      <c r="K101" s="11" t="inlineStr">
        <is>
          <t>错误/过期 KV 被消费=0；故障注入覆盖率100%；主路径 CPU 全量 CRC=0</t>
        </is>
      </c>
      <c r="L101" s="11" t="inlineStr">
        <is>
          <t>AR23-01-12-01-02</t>
        </is>
      </c>
      <c r="M101" s="11" t="inlineStr">
        <is>
          <t>SR23-01-09-01</t>
        </is>
      </c>
      <c r="N101" s="11" t="inlineStr">
        <is>
          <t>P0</t>
        </is>
      </c>
      <c r="O101" s="11" t="inlineStr">
        <is>
          <t>P0</t>
        </is>
      </c>
      <c r="P101" s="11" t="inlineStr">
        <is>
          <t>待认领</t>
        </is>
      </c>
      <c r="Q101" s="11" t="n"/>
      <c r="R101" s="11" t="n"/>
      <c r="S101" s="11">
        <f>IF(COUNTIF($A$5:$A$207,A101)=1,"PASS","FAIL")</f>
        <v/>
      </c>
      <c r="T101" s="11">
        <f>IF(COUNTIF('SR系统设计'!$A$5:$A$42,B101)=1,"PASS","FAIL")</f>
        <v/>
      </c>
    </row>
    <row r="102" ht="72" customHeight="1">
      <c r="A102" s="11" t="inlineStr">
        <is>
          <t>AR23-01-12-01-04</t>
        </is>
      </c>
      <c r="B102" s="11" t="inlineStr">
        <is>
          <t>SR23-01-12-01</t>
        </is>
      </c>
      <c r="C102" s="11" t="inlineStr">
        <is>
          <t>异常回滚</t>
        </is>
      </c>
      <c r="D102" s="11" t="inlineStr">
        <is>
          <t>按路径完整性证据与 RAS 故障映射组件｜异常回滚</t>
        </is>
      </c>
      <c r="E102" s="11" t="inlineStr">
        <is>
          <t>完整性与 RAS 组</t>
        </is>
      </c>
      <c r="F102" s="11" t="inlineStr">
        <is>
          <t>src/integrity/fallback.{h,cc} + config/feature_flags/integrity_evidence.yaml</t>
        </is>
      </c>
      <c r="G102" s="11" t="inlineStr">
        <is>
          <t>实现并验证失败、超时、取消、降级、回滚与关闭路径：证据不足不得 就绪状态（ready）；无硬件校验时使用后端已有证据或回退重算</t>
        </is>
      </c>
      <c r="H102" s="11" t="inlineStr">
        <is>
          <t>异常回滚对应的可审查代码/IDL/配置/文档</t>
        </is>
      </c>
      <c r="I102" s="11" t="inlineStr">
        <is>
          <t>代码通过编译、静态检查和单元测试；接口/配置有版本；失败语义和 功能开关（feature flag） 可验证。</t>
        </is>
      </c>
      <c r="J102" s="11" t="inlineStr">
        <is>
          <t>ctest -R integrity_evidence &amp;&amp; run_contract_check --sr SR23-01-12-01</t>
        </is>
      </c>
      <c r="K102" s="11" t="inlineStr">
        <is>
          <t>错误/过期 KV 被消费=0；故障注入覆盖率100%；主路径 CPU 全量 CRC=0</t>
        </is>
      </c>
      <c r="L102" s="11" t="inlineStr">
        <is>
          <t>AR23-01-12-01-03</t>
        </is>
      </c>
      <c r="M102" s="11" t="inlineStr">
        <is>
          <t>SR23-01-09-01</t>
        </is>
      </c>
      <c r="N102" s="11" t="inlineStr">
        <is>
          <t>P0</t>
        </is>
      </c>
      <c r="O102" s="11" t="inlineStr">
        <is>
          <t>P0</t>
        </is>
      </c>
      <c r="P102" s="11" t="inlineStr">
        <is>
          <t>待认领</t>
        </is>
      </c>
      <c r="Q102" s="11" t="n"/>
      <c r="R102" s="11" t="n"/>
      <c r="S102" s="11">
        <f>IF(COUNTIF($A$5:$A$207,A102)=1,"PASS","FAIL")</f>
        <v/>
      </c>
      <c r="T102" s="11">
        <f>IF(COUNTIF('SR系统设计'!$A$5:$A$42,B102)=1,"PASS","FAIL")</f>
        <v/>
      </c>
    </row>
    <row r="103" ht="72" customHeight="1">
      <c r="A103" s="11" t="inlineStr">
        <is>
          <t>AR23-01-12-01-05</t>
        </is>
      </c>
      <c r="B103" s="11" t="inlineStr">
        <is>
          <t>SR23-01-12-01</t>
        </is>
      </c>
      <c r="C103" s="11" t="inlineStr">
        <is>
          <t>独立验收</t>
        </is>
      </c>
      <c r="D103" s="11" t="inlineStr">
        <is>
          <t>按路径完整性证据与 RAS 故障映射组件｜独立验收</t>
        </is>
      </c>
      <c r="E103" s="11" t="inlineStr">
        <is>
          <t>测试/验收负责人</t>
        </is>
      </c>
      <c r="F103" s="11" t="inlineStr">
        <is>
          <t>tests/integrity_evidence/ + benchmarks/integrity_evidence/ + evidence/integrity_evidence/manifest.yaml</t>
        </is>
      </c>
      <c r="G103" s="11" t="inlineStr">
        <is>
          <t>建立不依赖全项目的验收环境，执行功能、异常、兼容和性能门禁并生成可签字证据包。</t>
        </is>
      </c>
      <c r="H103" s="11" t="inlineStr">
        <is>
          <t>版本化测试结果、原始证据、Go/Conditional/No-Go 结论</t>
        </is>
      </c>
      <c r="I103" s="11" t="inlineStr">
        <is>
          <t>在“FakeProvider + 半写/ECC/超时/乱序注入即可独立验收”中完成主路径、异常、兼容和回滚；全部证据可一键复现。</t>
        </is>
      </c>
      <c r="J103" s="11" t="inlineStr">
        <is>
          <t>run_sr_acceptance --sr SR23-01-12-01 --baseline locked</t>
        </is>
      </c>
      <c r="K103" s="11" t="inlineStr">
        <is>
          <t>错误/过期 KV 被消费=0；故障注入覆盖率100%；主路径 CPU 全量 CRC=0</t>
        </is>
      </c>
      <c r="L103" s="11" t="inlineStr">
        <is>
          <t>AR23-01-12-01-04</t>
        </is>
      </c>
      <c r="M103" s="11" t="inlineStr">
        <is>
          <t>SR23-01-09-01</t>
        </is>
      </c>
      <c r="N103" s="11" t="inlineStr">
        <is>
          <t>P0</t>
        </is>
      </c>
      <c r="O103" s="11" t="inlineStr">
        <is>
          <t>P0</t>
        </is>
      </c>
      <c r="P103" s="11" t="inlineStr">
        <is>
          <t>待认领</t>
        </is>
      </c>
      <c r="Q103" s="11" t="n"/>
      <c r="R103" s="11" t="n"/>
      <c r="S103" s="11">
        <f>IF(COUNTIF($A$5:$A$207,A103)=1,"PASS","FAIL")</f>
        <v/>
      </c>
      <c r="T103" s="11">
        <f>IF(COUNTIF('SR系统设计'!$A$5:$A$42,B103)=1,"PASS","FAIL")</f>
        <v/>
      </c>
    </row>
    <row r="104" ht="72" customHeight="1">
      <c r="A104" s="11" t="inlineStr">
        <is>
          <t>AR23-01-12-01-06</t>
        </is>
      </c>
      <c r="B104" s="11" t="inlineStr">
        <is>
          <t>SR23-01-12-01</t>
        </is>
      </c>
      <c r="C104" s="11" t="inlineStr">
        <is>
          <t>性能观测</t>
        </is>
      </c>
      <c r="D104" s="11" t="inlineStr">
        <is>
          <t>按路径完整性证据与 RAS 故障映射组件｜性能观测</t>
        </is>
      </c>
      <c r="E104" s="11" t="inlineStr">
        <is>
          <t>性能与可观测负责人</t>
        </is>
      </c>
      <c r="F104" s="11" t="inlineStr">
        <is>
          <t>src/integrity/telemetry.{h,cc} + 仪表板（dashboards）/integrity_evidence.json</t>
        </is>
      </c>
      <c r="G104" s="11" t="inlineStr">
        <is>
          <t>接入统一 遥测数据（telemetry），建立本 SR 专属性能/资源/正确性指标和回归阈值：错误/过期 KV 被消费=0；故障注入覆盖率100%；主路径 CPU 全量 CRC=0</t>
        </is>
      </c>
      <c r="H104" s="11" t="inlineStr">
        <is>
          <t>性能观测对应的可审查代码/IDL/配置/文档</t>
        </is>
      </c>
      <c r="I104" s="11" t="inlineStr">
        <is>
          <t>代码通过编译、静态检查和单元测试；接口/配置有版本；失败语义和 功能开关（feature flag） 可验证。</t>
        </is>
      </c>
      <c r="J104" s="11" t="inlineStr">
        <is>
          <t>ctest -R integrity_evidence &amp;&amp; run_contract_check --sr SR23-01-12-01</t>
        </is>
      </c>
      <c r="K104" s="11" t="inlineStr">
        <is>
          <t>错误/过期 KV 被消费=0；故障注入覆盖率100%；主路径 CPU 全量 CRC=0</t>
        </is>
      </c>
      <c r="L104" s="11" t="inlineStr">
        <is>
          <t>AR23-01-12-01-05</t>
        </is>
      </c>
      <c r="M104" s="11" t="inlineStr">
        <is>
          <t>SR23-01-09-01</t>
        </is>
      </c>
      <c r="N104" s="11" t="inlineStr">
        <is>
          <t>P0</t>
        </is>
      </c>
      <c r="O104" s="11" t="inlineStr">
        <is>
          <t>P0</t>
        </is>
      </c>
      <c r="P104" s="11" t="inlineStr">
        <is>
          <t>待认领</t>
        </is>
      </c>
      <c r="Q104" s="11" t="n"/>
      <c r="R104" s="11" t="n"/>
      <c r="S104" s="11">
        <f>IF(COUNTIF($A$5:$A$207,A104)=1,"PASS","FAIL")</f>
        <v/>
      </c>
      <c r="T104" s="11">
        <f>IF(COUNTIF('SR系统设计'!$A$5:$A$42,B104)=1,"PASS","FAIL")</f>
        <v/>
      </c>
    </row>
    <row r="105" ht="72" customHeight="1">
      <c r="A105" s="11" t="inlineStr">
        <is>
          <t>AR23-01-12-02-01</t>
        </is>
      </c>
      <c r="B105" s="11" t="inlineStr">
        <is>
          <t>SR23-01-12-02</t>
        </is>
      </c>
      <c r="C105" s="11" t="inlineStr">
        <is>
          <t>核心实现</t>
        </is>
      </c>
      <c r="D105" s="11" t="inlineStr">
        <is>
          <t>安全访问、资源下线与地址切换组件｜核心实现</t>
        </is>
      </c>
      <c r="E105" s="11" t="inlineStr">
        <is>
          <t>安全访问与资源治理组</t>
        </is>
      </c>
      <c r="F105" s="11" t="inlineStr">
        <is>
          <t>src/security/lifecycle/core.{h,cc}</t>
        </is>
      </c>
      <c r="G105" s="11" t="inlineStr">
        <is>
          <t>实现“安全访问、资源下线与地址切换组件”的可运行主路径，交付 secure-lifecycle 库、ViewProtection、排空/静默（drain/quiesce）、secure release 与 重映射（remap） 适配器（adapter） 的核心代码、构建入口和最小示例。</t>
        </is>
      </c>
      <c r="H105" s="11" t="inlineStr">
        <is>
          <t>核心实现对应的可审查代码/IDL/配置/文档</t>
        </is>
      </c>
      <c r="I105" s="11" t="inlineStr">
        <is>
          <t>代码通过编译、静态检查和单元测试；接口/配置有版本；失败语义和 功能开关（feature flag） 可验证。</t>
        </is>
      </c>
      <c r="J105" s="11" t="inlineStr">
        <is>
          <t>ctest -R secure_lifecycle &amp;&amp; run_contract_check --sr SR23-01-12-02</t>
        </is>
      </c>
      <c r="K105" s="11" t="inlineStr">
        <is>
          <t>越权访问=0；安全释放后残留读取=0；视图（view） 撤销（revoke） p99&lt;1ms；失败可回滚</t>
        </is>
      </c>
      <c r="L105" s="11" t="n"/>
      <c r="M105" s="11" t="inlineStr">
        <is>
          <t>SR23-01-11-01、SR23-01-12-01</t>
        </is>
      </c>
      <c r="N105" s="11" t="inlineStr">
        <is>
          <t>P0</t>
        </is>
      </c>
      <c r="O105" s="11" t="inlineStr">
        <is>
          <t>P0</t>
        </is>
      </c>
      <c r="P105" s="11" t="inlineStr">
        <is>
          <t>待认领</t>
        </is>
      </c>
      <c r="Q105" s="11" t="n"/>
      <c r="R105" s="11" t="n"/>
      <c r="S105" s="11">
        <f>IF(COUNTIF($A$5:$A$207,A105)=1,"PASS","FAIL")</f>
        <v/>
      </c>
      <c r="T105" s="11">
        <f>IF(COUNTIF('SR系统设计'!$A$5:$A$42,B105)=1,"PASS","FAIL")</f>
        <v/>
      </c>
    </row>
    <row r="106" ht="72" customHeight="1">
      <c r="A106" s="11" t="inlineStr">
        <is>
          <t>AR23-01-12-02-02</t>
        </is>
      </c>
      <c r="B106" s="11" t="inlineStr">
        <is>
          <t>SR23-01-12-02</t>
        </is>
      </c>
      <c r="C106" s="11" t="inlineStr">
        <is>
          <t>接口契约</t>
        </is>
      </c>
      <c r="D106" s="11" t="inlineStr">
        <is>
          <t>安全访问、资源下线与地址切换组件｜接口契约</t>
        </is>
      </c>
      <c r="E106" s="11" t="inlineStr">
        <is>
          <t>安全访问与资源治理组</t>
        </is>
      </c>
      <c r="F106" s="11" t="inlineStr">
        <is>
          <t>api/kvcache/v23/secure_lifecycle.proto + src/security/lifecycle/api.{h,cc}</t>
        </is>
      </c>
      <c r="G106" s="11" t="inlineStr">
        <is>
          <t>冻结并实现接口/IDL、版本兼容、输入输出、错误码与 消费者（consumer） 示例：AccessPolicy、排空/静默（drain/quiesce）、secureRelease、重映射（remap）/rollback</t>
        </is>
      </c>
      <c r="H106" s="11" t="inlineStr">
        <is>
          <t>接口契约对应的可审查代码/IDL/配置/文档</t>
        </is>
      </c>
      <c r="I106" s="11" t="inlineStr">
        <is>
          <t>代码通过编译、静态检查和单元测试；接口/配置有版本；失败语义和 功能开关（feature flag） 可验证。</t>
        </is>
      </c>
      <c r="J106" s="11" t="inlineStr">
        <is>
          <t>ctest -R secure_lifecycle &amp;&amp; run_contract_check --sr SR23-01-12-02</t>
        </is>
      </c>
      <c r="K106" s="11" t="inlineStr">
        <is>
          <t>越权访问=0；安全释放后残留读取=0；视图（view） 撤销（revoke） p99&lt;1ms；失败可回滚</t>
        </is>
      </c>
      <c r="L106" s="11" t="inlineStr">
        <is>
          <t>AR23-01-12-02-01</t>
        </is>
      </c>
      <c r="M106" s="11" t="inlineStr">
        <is>
          <t>SR23-01-11-01、SR23-01-12-01</t>
        </is>
      </c>
      <c r="N106" s="11" t="inlineStr">
        <is>
          <t>P0</t>
        </is>
      </c>
      <c r="O106" s="11" t="inlineStr">
        <is>
          <t>P0</t>
        </is>
      </c>
      <c r="P106" s="11" t="inlineStr">
        <is>
          <t>待认领</t>
        </is>
      </c>
      <c r="Q106" s="11" t="n"/>
      <c r="R106" s="11" t="n"/>
      <c r="S106" s="11">
        <f>IF(COUNTIF($A$5:$A$207,A106)=1,"PASS","FAIL")</f>
        <v/>
      </c>
      <c r="T106" s="11">
        <f>IF(COUNTIF('SR系统设计'!$A$5:$A$42,B106)=1,"PASS","FAIL")</f>
        <v/>
      </c>
    </row>
    <row r="107" ht="72" customHeight="1">
      <c r="A107" s="11" t="inlineStr">
        <is>
          <t>AR23-01-12-02-03</t>
        </is>
      </c>
      <c r="B107" s="11" t="inlineStr">
        <is>
          <t>SR23-01-12-02</t>
        </is>
      </c>
      <c r="C107" s="11" t="inlineStr">
        <is>
          <t>状态模型</t>
        </is>
      </c>
      <c r="D107" s="11" t="inlineStr">
        <is>
          <t>安全访问、资源下线与地址切换组件｜状态模型</t>
        </is>
      </c>
      <c r="E107" s="11" t="inlineStr">
        <is>
          <t>安全访问与资源治理组</t>
        </is>
      </c>
      <c r="F107" s="11" t="inlineStr">
        <is>
          <t>src/security/lifecycle/state_model.{h,cc}</t>
        </is>
      </c>
      <c r="G107" s="11" t="inlineStr">
        <is>
          <t>实现状态、版本、并发互锁和持久/内存数据模型，覆盖正常转换与非法转换保护。</t>
        </is>
      </c>
      <c r="H107" s="11" t="inlineStr">
        <is>
          <t>状态模型对应的可审查代码/IDL/配置/文档</t>
        </is>
      </c>
      <c r="I107" s="11" t="inlineStr">
        <is>
          <t>代码通过编译、静态检查和单元测试；接口/配置有版本；失败语义和 功能开关（feature flag） 可验证。</t>
        </is>
      </c>
      <c r="J107" s="11" t="inlineStr">
        <is>
          <t>ctest -R secure_lifecycle &amp;&amp; run_contract_check --sr SR23-01-12-02</t>
        </is>
      </c>
      <c r="K107" s="11" t="inlineStr">
        <is>
          <t>越权访问=0；安全释放后残留读取=0；视图（view） 撤销（revoke） p99&lt;1ms；失败可回滚</t>
        </is>
      </c>
      <c r="L107" s="11" t="inlineStr">
        <is>
          <t>AR23-01-12-02-02</t>
        </is>
      </c>
      <c r="M107" s="11" t="inlineStr">
        <is>
          <t>SR23-01-11-01、SR23-01-12-01</t>
        </is>
      </c>
      <c r="N107" s="11" t="inlineStr">
        <is>
          <t>P0</t>
        </is>
      </c>
      <c r="O107" s="11" t="inlineStr">
        <is>
          <t>P0</t>
        </is>
      </c>
      <c r="P107" s="11" t="inlineStr">
        <is>
          <t>待认领</t>
        </is>
      </c>
      <c r="Q107" s="11" t="n"/>
      <c r="R107" s="11" t="n"/>
      <c r="S107" s="11">
        <f>IF(COUNTIF($A$5:$A$207,A107)=1,"PASS","FAIL")</f>
        <v/>
      </c>
      <c r="T107" s="11">
        <f>IF(COUNTIF('SR系统设计'!$A$5:$A$42,B107)=1,"PASS","FAIL")</f>
        <v/>
      </c>
    </row>
    <row r="108" ht="72" customHeight="1">
      <c r="A108" s="11" t="inlineStr">
        <is>
          <t>AR23-01-12-02-04</t>
        </is>
      </c>
      <c r="B108" s="11" t="inlineStr">
        <is>
          <t>SR23-01-12-02</t>
        </is>
      </c>
      <c r="C108" s="11" t="inlineStr">
        <is>
          <t>异常回滚</t>
        </is>
      </c>
      <c r="D108" s="11" t="inlineStr">
        <is>
          <t>安全访问、资源下线与地址切换组件｜异常回滚</t>
        </is>
      </c>
      <c r="E108" s="11" t="inlineStr">
        <is>
          <t>安全访问与资源治理组</t>
        </is>
      </c>
      <c r="F108" s="11" t="inlineStr">
        <is>
          <t>src/security/lifecycle/fallback.{h,cc} + config/feature_flags/secure_lifecycle.yaml</t>
        </is>
      </c>
      <c r="G108" s="11" t="inlineStr">
        <is>
          <t>实现并验证失败、超时、取消、降级、回滚与关闭路径：硬件 重映射（remap） 不可用时使用 RCU+copy-on-migrate；无法安全下线时保持隔离</t>
        </is>
      </c>
      <c r="H108" s="11" t="inlineStr">
        <is>
          <t>异常回滚对应的可审查代码/IDL/配置/文档</t>
        </is>
      </c>
      <c r="I108" s="11" t="inlineStr">
        <is>
          <t>代码通过编译、静态检查和单元测试；接口/配置有版本；失败语义和 功能开关（feature flag） 可验证。</t>
        </is>
      </c>
      <c r="J108" s="11" t="inlineStr">
        <is>
          <t>ctest -R secure_lifecycle &amp;&amp; run_contract_check --sr SR23-01-12-02</t>
        </is>
      </c>
      <c r="K108" s="11" t="inlineStr">
        <is>
          <t>越权访问=0；安全释放后残留读取=0；视图（view） 撤销（revoke） p99&lt;1ms；失败可回滚</t>
        </is>
      </c>
      <c r="L108" s="11" t="inlineStr">
        <is>
          <t>AR23-01-12-02-03</t>
        </is>
      </c>
      <c r="M108" s="11" t="inlineStr">
        <is>
          <t>SR23-01-11-01、SR23-01-12-01</t>
        </is>
      </c>
      <c r="N108" s="11" t="inlineStr">
        <is>
          <t>P0</t>
        </is>
      </c>
      <c r="O108" s="11" t="inlineStr">
        <is>
          <t>P0</t>
        </is>
      </c>
      <c r="P108" s="11" t="inlineStr">
        <is>
          <t>待认领</t>
        </is>
      </c>
      <c r="Q108" s="11" t="n"/>
      <c r="R108" s="11" t="n"/>
      <c r="S108" s="11">
        <f>IF(COUNTIF($A$5:$A$207,A108)=1,"PASS","FAIL")</f>
        <v/>
      </c>
      <c r="T108" s="11">
        <f>IF(COUNTIF('SR系统设计'!$A$5:$A$42,B108)=1,"PASS","FAIL")</f>
        <v/>
      </c>
    </row>
    <row r="109" ht="72" customHeight="1">
      <c r="A109" s="11" t="inlineStr">
        <is>
          <t>AR23-01-12-02-05</t>
        </is>
      </c>
      <c r="B109" s="11" t="inlineStr">
        <is>
          <t>SR23-01-12-02</t>
        </is>
      </c>
      <c r="C109" s="11" t="inlineStr">
        <is>
          <t>独立验收</t>
        </is>
      </c>
      <c r="D109" s="11" t="inlineStr">
        <is>
          <t>安全访问、资源下线与地址切换组件｜独立验收</t>
        </is>
      </c>
      <c r="E109" s="11" t="inlineStr">
        <is>
          <t>测试/验收负责人</t>
        </is>
      </c>
      <c r="F109" s="11" t="inlineStr">
        <is>
          <t>tests/secure_lifecycle/ + benchmarks/secure_lifecycle/ + evidence/secure_lifecycle/manifest.yaml</t>
        </is>
      </c>
      <c r="G109" s="11" t="inlineStr">
        <is>
          <t>建立不依赖全项目的验收环境，执行功能、异常、兼容和性能门禁并生成可签字证据包。</t>
        </is>
      </c>
      <c r="H109" s="11" t="inlineStr">
        <is>
          <t>版本化测试结果、原始证据、Go/Conditional/No-Go 结论</t>
        </is>
      </c>
      <c r="I109" s="11" t="inlineStr">
        <is>
          <t>在“IOMMU/MR 模拟器 + 并发 租约（lease） 测试即可独立验收”中完成主路径、异常、兼容和回滚；全部证据可一键复现。</t>
        </is>
      </c>
      <c r="J109" s="11" t="inlineStr">
        <is>
          <t>run_sr_acceptance --sr SR23-01-12-02 --baseline locked</t>
        </is>
      </c>
      <c r="K109" s="11" t="inlineStr">
        <is>
          <t>越权访问=0；安全释放后残留读取=0；视图（view） 撤销（revoke） p99&lt;1ms；失败可回滚</t>
        </is>
      </c>
      <c r="L109" s="11" t="inlineStr">
        <is>
          <t>AR23-01-12-02-04</t>
        </is>
      </c>
      <c r="M109" s="11" t="inlineStr">
        <is>
          <t>SR23-01-11-01、SR23-01-12-01</t>
        </is>
      </c>
      <c r="N109" s="11" t="inlineStr">
        <is>
          <t>P0</t>
        </is>
      </c>
      <c r="O109" s="11" t="inlineStr">
        <is>
          <t>P0</t>
        </is>
      </c>
      <c r="P109" s="11" t="inlineStr">
        <is>
          <t>待认领</t>
        </is>
      </c>
      <c r="Q109" s="11" t="n"/>
      <c r="R109" s="11" t="n"/>
      <c r="S109" s="11">
        <f>IF(COUNTIF($A$5:$A$207,A109)=1,"PASS","FAIL")</f>
        <v/>
      </c>
      <c r="T109" s="11">
        <f>IF(COUNTIF('SR系统设计'!$A$5:$A$42,B109)=1,"PASS","FAIL")</f>
        <v/>
      </c>
    </row>
    <row r="110" ht="72" customHeight="1">
      <c r="A110" s="11" t="inlineStr">
        <is>
          <t>AR23-02-01-01-01</t>
        </is>
      </c>
      <c r="B110" s="11" t="inlineStr">
        <is>
          <t>SR23-02-01-01</t>
        </is>
      </c>
      <c r="C110" s="11" t="inlineStr">
        <is>
          <t>核心实现</t>
        </is>
      </c>
      <c r="D110" s="11" t="inlineStr">
        <is>
          <t>vLLM/SGLang 统一 KV连接器（KVConnector） 协议与插件 SDK｜核心实现</t>
        </is>
      </c>
      <c r="E110" s="11" t="inlineStr">
        <is>
          <t>连接器（Connector） 协议与框架接入组</t>
        </is>
      </c>
      <c r="F110" s="11" t="inlineStr">
        <is>
          <t>src/connector/sdk/core.{h,cc}</t>
        </is>
      </c>
      <c r="G110" s="11" t="inlineStr">
        <is>
          <t>实现“vLLM/SGLang 统一 KV连接器（KVConnector） 协议与插件 SDK”的可运行主路径，交付 KV连接器（KVConnector） 协议（Protocol）、C++/Python SDK、gRPC/Protobuf IDL、符合性测试套件（conformance suite） 的核心代码、构建入口和最小示例。</t>
        </is>
      </c>
      <c r="H110" s="11" t="inlineStr">
        <is>
          <t>核心实现对应的可审查代码/IDL/配置/文档</t>
        </is>
      </c>
      <c r="I110" s="11" t="inlineStr">
        <is>
          <t>代码通过编译、静态检查和单元测试；接口/配置有版本；失败语义和 功能开关（feature flag） 可验证。</t>
        </is>
      </c>
      <c r="J110" s="11" t="inlineStr">
        <is>
          <t>ctest -R connector_protocol &amp;&amp; run_contract_check --sr SR23-02-01-01</t>
        </is>
      </c>
      <c r="K110" s="11" t="inlineStr">
        <is>
          <t>符合性（conformance）通过率100%；接口调用 p99&lt;5μs；新后端接入工期降低≥50%</t>
        </is>
      </c>
      <c r="L110" s="11" t="n"/>
      <c r="M110" s="11" t="n"/>
      <c r="N110" s="11" t="inlineStr">
        <is>
          <t>P0</t>
        </is>
      </c>
      <c r="O110" s="11" t="inlineStr">
        <is>
          <t>P0</t>
        </is>
      </c>
      <c r="P110" s="11" t="inlineStr">
        <is>
          <t>待认领</t>
        </is>
      </c>
      <c r="Q110" s="11" t="n"/>
      <c r="R110" s="11" t="n"/>
      <c r="S110" s="11">
        <f>IF(COUNTIF($A$5:$A$207,A110)=1,"PASS","FAIL")</f>
        <v/>
      </c>
      <c r="T110" s="11">
        <f>IF(COUNTIF('SR系统设计'!$A$5:$A$42,B110)=1,"PASS","FAIL")</f>
        <v/>
      </c>
    </row>
    <row r="111" ht="72" customHeight="1">
      <c r="A111" s="11" t="inlineStr">
        <is>
          <t>AR23-02-01-01-02</t>
        </is>
      </c>
      <c r="B111" s="11" t="inlineStr">
        <is>
          <t>SR23-02-01-01</t>
        </is>
      </c>
      <c r="C111" s="11" t="inlineStr">
        <is>
          <t>接口契约</t>
        </is>
      </c>
      <c r="D111" s="11" t="inlineStr">
        <is>
          <t>vLLM/SGLang 统一 KV连接器（KVConnector） 协议与插件 SDK｜接口契约</t>
        </is>
      </c>
      <c r="E111" s="11" t="inlineStr">
        <is>
          <t>连接器（Connector） 协议与框架接入组</t>
        </is>
      </c>
      <c r="F111" s="11" t="inlineStr">
        <is>
          <t>api/kvcache/v23/connector_protocol.proto + src/connector/sdk/api.{h,cc}</t>
        </is>
      </c>
      <c r="G111" s="11" t="inlineStr">
        <is>
          <t>冻结并实现接口/IDL、版本兼容、输入输出、错误码与 消费者（consumer） 示例：版本化 SDK/IDL、同步/异步语义、错误码、超时、重试与兼容规则</t>
        </is>
      </c>
      <c r="H111" s="11" t="inlineStr">
        <is>
          <t>接口契约对应的可审查代码/IDL/配置/文档</t>
        </is>
      </c>
      <c r="I111" s="11" t="inlineStr">
        <is>
          <t>代码通过编译、静态检查和单元测试；接口/配置有版本；失败语义和 功能开关（feature flag） 可验证。</t>
        </is>
      </c>
      <c r="J111" s="11" t="inlineStr">
        <is>
          <t>ctest -R connector_protocol &amp;&amp; run_contract_check --sr SR23-02-01-01</t>
        </is>
      </c>
      <c r="K111" s="11" t="inlineStr">
        <is>
          <t>符合性（conformance）通过率100%；接口调用 p99&lt;5μs；新后端接入工期降低≥50%</t>
        </is>
      </c>
      <c r="L111" s="11" t="inlineStr">
        <is>
          <t>AR23-02-01-01-01</t>
        </is>
      </c>
      <c r="M111" s="11" t="n"/>
      <c r="N111" s="11" t="inlineStr">
        <is>
          <t>P0</t>
        </is>
      </c>
      <c r="O111" s="11" t="inlineStr">
        <is>
          <t>P0</t>
        </is>
      </c>
      <c r="P111" s="11" t="inlineStr">
        <is>
          <t>待认领</t>
        </is>
      </c>
      <c r="Q111" s="11" t="n"/>
      <c r="R111" s="11" t="n"/>
      <c r="S111" s="11">
        <f>IF(COUNTIF($A$5:$A$207,A111)=1,"PASS","FAIL")</f>
        <v/>
      </c>
      <c r="T111" s="11">
        <f>IF(COUNTIF('SR系统设计'!$A$5:$A$42,B111)=1,"PASS","FAIL")</f>
        <v/>
      </c>
    </row>
    <row r="112" ht="72" customHeight="1">
      <c r="A112" s="11" t="inlineStr">
        <is>
          <t>AR23-02-01-01-03</t>
        </is>
      </c>
      <c r="B112" s="11" t="inlineStr">
        <is>
          <t>SR23-02-01-01</t>
        </is>
      </c>
      <c r="C112" s="11" t="inlineStr">
        <is>
          <t>状态模型</t>
        </is>
      </c>
      <c r="D112" s="11" t="inlineStr">
        <is>
          <t>vLLM/SGLang 统一 KV连接器（KVConnector） 协议与插件 SDK｜状态模型</t>
        </is>
      </c>
      <c r="E112" s="11" t="inlineStr">
        <is>
          <t>连接器（Connector） 协议与框架接入组</t>
        </is>
      </c>
      <c r="F112" s="11" t="inlineStr">
        <is>
          <t>src/connector/sdk/state_model.{h,cc}</t>
        </is>
      </c>
      <c r="G112" s="11" t="inlineStr">
        <is>
          <t>实现状态、版本、并发互锁和持久/内存数据模型，覆盖正常转换与非法转换保护。</t>
        </is>
      </c>
      <c r="H112" s="11" t="inlineStr">
        <is>
          <t>状态模型对应的可审查代码/IDL/配置/文档</t>
        </is>
      </c>
      <c r="I112" s="11" t="inlineStr">
        <is>
          <t>代码通过编译、静态检查和单元测试；接口/配置有版本；失败语义和 功能开关（feature flag） 可验证。</t>
        </is>
      </c>
      <c r="J112" s="11" t="inlineStr">
        <is>
          <t>ctest -R connector_protocol &amp;&amp; run_contract_check --sr SR23-02-01-01</t>
        </is>
      </c>
      <c r="K112" s="11" t="inlineStr">
        <is>
          <t>符合性（conformance）通过率100%；接口调用 p99&lt;5μs；新后端接入工期降低≥50%</t>
        </is>
      </c>
      <c r="L112" s="11" t="inlineStr">
        <is>
          <t>AR23-02-01-01-02</t>
        </is>
      </c>
      <c r="M112" s="11" t="n"/>
      <c r="N112" s="11" t="inlineStr">
        <is>
          <t>P0</t>
        </is>
      </c>
      <c r="O112" s="11" t="inlineStr">
        <is>
          <t>P0</t>
        </is>
      </c>
      <c r="P112" s="11" t="inlineStr">
        <is>
          <t>待认领</t>
        </is>
      </c>
      <c r="Q112" s="11" t="n"/>
      <c r="R112" s="11" t="n"/>
      <c r="S112" s="11">
        <f>IF(COUNTIF($A$5:$A$207,A112)=1,"PASS","FAIL")</f>
        <v/>
      </c>
      <c r="T112" s="11">
        <f>IF(COUNTIF('SR系统设计'!$A$5:$A$42,B112)=1,"PASS","FAIL")</f>
        <v/>
      </c>
    </row>
    <row r="113" ht="72" customHeight="1">
      <c r="A113" s="11" t="inlineStr">
        <is>
          <t>AR23-02-01-01-04</t>
        </is>
      </c>
      <c r="B113" s="11" t="inlineStr">
        <is>
          <t>SR23-02-01-01</t>
        </is>
      </c>
      <c r="C113" s="11" t="inlineStr">
        <is>
          <t>异常回滚</t>
        </is>
      </c>
      <c r="D113" s="11" t="inlineStr">
        <is>
          <t>vLLM/SGLang 统一 KV连接器（KVConnector） 协议与插件 SDK｜异常回滚</t>
        </is>
      </c>
      <c r="E113" s="11" t="inlineStr">
        <is>
          <t>连接器（Connector） 协议与框架接入组</t>
        </is>
      </c>
      <c r="F113" s="11" t="inlineStr">
        <is>
          <t>src/connector/sdk/fallback.{h,cc} + config/feature_flags/connector_protocol.yaml</t>
        </is>
      </c>
      <c r="G113" s="11" t="inlineStr">
        <is>
          <t>实现并验证失败、超时、取消、降级、回滚与关闭路径：插件缺失或版本不兼容时禁用统一池并回到框架原生 cache/重算（recompute）</t>
        </is>
      </c>
      <c r="H113" s="11" t="inlineStr">
        <is>
          <t>异常回滚对应的可审查代码/IDL/配置/文档</t>
        </is>
      </c>
      <c r="I113" s="11" t="inlineStr">
        <is>
          <t>代码通过编译、静态检查和单元测试；接口/配置有版本；失败语义和 功能开关（feature flag） 可验证。</t>
        </is>
      </c>
      <c r="J113" s="11" t="inlineStr">
        <is>
          <t>ctest -R connector_protocol &amp;&amp; run_contract_check --sr SR23-02-01-01</t>
        </is>
      </c>
      <c r="K113" s="11" t="inlineStr">
        <is>
          <t>符合性（conformance）通过率100%；接口调用 p99&lt;5μs；新后端接入工期降低≥50%</t>
        </is>
      </c>
      <c r="L113" s="11" t="inlineStr">
        <is>
          <t>AR23-02-01-01-03</t>
        </is>
      </c>
      <c r="M113" s="11" t="n"/>
      <c r="N113" s="11" t="inlineStr">
        <is>
          <t>P0</t>
        </is>
      </c>
      <c r="O113" s="11" t="inlineStr">
        <is>
          <t>P0</t>
        </is>
      </c>
      <c r="P113" s="11" t="inlineStr">
        <is>
          <t>待认领</t>
        </is>
      </c>
      <c r="Q113" s="11" t="n"/>
      <c r="R113" s="11" t="n"/>
      <c r="S113" s="11">
        <f>IF(COUNTIF($A$5:$A$207,A113)=1,"PASS","FAIL")</f>
        <v/>
      </c>
      <c r="T113" s="11">
        <f>IF(COUNTIF('SR系统设计'!$A$5:$A$42,B113)=1,"PASS","FAIL")</f>
        <v/>
      </c>
    </row>
    <row r="114" ht="72" customHeight="1">
      <c r="A114" s="11" t="inlineStr">
        <is>
          <t>AR23-02-01-01-05</t>
        </is>
      </c>
      <c r="B114" s="11" t="inlineStr">
        <is>
          <t>SR23-02-01-01</t>
        </is>
      </c>
      <c r="C114" s="11" t="inlineStr">
        <is>
          <t>独立验收</t>
        </is>
      </c>
      <c r="D114" s="11" t="inlineStr">
        <is>
          <t>vLLM/SGLang 统一 KV连接器（KVConnector） 协议与插件 SDK｜独立验收</t>
        </is>
      </c>
      <c r="E114" s="11" t="inlineStr">
        <is>
          <t>测试/验收负责人</t>
        </is>
      </c>
      <c r="F114" s="11" t="inlineStr">
        <is>
          <t>tests/connector_protocol/ + benchmarks/connector_protocol/ + evidence/connector_protocol/manifest.yaml</t>
        </is>
      </c>
      <c r="G114" s="11" t="inlineStr">
        <is>
          <t>建立不依赖全项目的验收环境，执行功能、异常、兼容和性能门禁并生成可签字证据包。</t>
        </is>
      </c>
      <c r="H114" s="11" t="inlineStr">
        <is>
          <t>版本化测试结果、原始证据、Go/Conditional/No-Go 结论</t>
        </is>
      </c>
      <c r="I114" s="11" t="inlineStr">
        <is>
          <t>在“Reference 连接器（Connector） + 两个框架 适配器（adapter） mock 即可独立验收”中完成主路径、异常、兼容和回滚；全部证据可一键复现。</t>
        </is>
      </c>
      <c r="J114" s="11" t="inlineStr">
        <is>
          <t>run_sr_acceptance --sr SR23-02-01-01 --baseline locked</t>
        </is>
      </c>
      <c r="K114" s="11" t="inlineStr">
        <is>
          <t>符合性（conformance）通过率100%；接口调用 p99&lt;5μs；新后端接入工期降低≥50%</t>
        </is>
      </c>
      <c r="L114" s="11" t="inlineStr">
        <is>
          <t>AR23-02-01-01-04</t>
        </is>
      </c>
      <c r="M114" s="11" t="n"/>
      <c r="N114" s="11" t="inlineStr">
        <is>
          <t>P0</t>
        </is>
      </c>
      <c r="O114" s="11" t="inlineStr">
        <is>
          <t>P0</t>
        </is>
      </c>
      <c r="P114" s="11" t="inlineStr">
        <is>
          <t>待认领</t>
        </is>
      </c>
      <c r="Q114" s="11" t="n"/>
      <c r="R114" s="11" t="n"/>
      <c r="S114" s="11">
        <f>IF(COUNTIF($A$5:$A$207,A114)=1,"PASS","FAIL")</f>
        <v/>
      </c>
      <c r="T114" s="11">
        <f>IF(COUNTIF('SR系统设计'!$A$5:$A$42,B114)=1,"PASS","FAIL")</f>
        <v/>
      </c>
    </row>
    <row r="115" ht="72" customHeight="1">
      <c r="A115" s="11" t="inlineStr">
        <is>
          <t>AR23-02-01-01-06</t>
        </is>
      </c>
      <c r="B115" s="11" t="inlineStr">
        <is>
          <t>SR23-02-01-01</t>
        </is>
      </c>
      <c r="C115" s="11" t="inlineStr">
        <is>
          <t>性能观测</t>
        </is>
      </c>
      <c r="D115" s="11" t="inlineStr">
        <is>
          <t>vLLM/SGLang 统一 KV连接器（KVConnector） 协议与插件 SDK｜性能观测</t>
        </is>
      </c>
      <c r="E115" s="11" t="inlineStr">
        <is>
          <t>性能与可观测负责人</t>
        </is>
      </c>
      <c r="F115" s="11" t="inlineStr">
        <is>
          <t>src/connector/sdk/telemetry.{h,cc} + 仪表板（dashboards）/connector_protocol.json</t>
        </is>
      </c>
      <c r="G115" s="11" t="inlineStr">
        <is>
          <t>接入统一 遥测数据（telemetry），建立本 SR 专属性能/资源/正确性指标和回归阈值：符合性（conformance）通过率100%；接口调用 p99&lt;5μs；新后端接入工期降低≥50%</t>
        </is>
      </c>
      <c r="H115" s="11" t="inlineStr">
        <is>
          <t>性能观测对应的可审查代码/IDL/配置/文档</t>
        </is>
      </c>
      <c r="I115" s="11" t="inlineStr">
        <is>
          <t>代码通过编译、静态检查和单元测试；接口/配置有版本；失败语义和 功能开关（feature flag） 可验证。</t>
        </is>
      </c>
      <c r="J115" s="11" t="inlineStr">
        <is>
          <t>ctest -R connector_protocol &amp;&amp; run_contract_check --sr SR23-02-01-01</t>
        </is>
      </c>
      <c r="K115" s="11" t="inlineStr">
        <is>
          <t>符合性（conformance）通过率100%；接口调用 p99&lt;5μs；新后端接入工期降低≥50%</t>
        </is>
      </c>
      <c r="L115" s="11" t="inlineStr">
        <is>
          <t>AR23-02-01-01-05</t>
        </is>
      </c>
      <c r="M115" s="11" t="n"/>
      <c r="N115" s="11" t="inlineStr">
        <is>
          <t>P0</t>
        </is>
      </c>
      <c r="O115" s="11" t="inlineStr">
        <is>
          <t>P0</t>
        </is>
      </c>
      <c r="P115" s="11" t="inlineStr">
        <is>
          <t>待认领</t>
        </is>
      </c>
      <c r="Q115" s="11" t="n"/>
      <c r="R115" s="11" t="n"/>
      <c r="S115" s="11">
        <f>IF(COUNTIF($A$5:$A$207,A115)=1,"PASS","FAIL")</f>
        <v/>
      </c>
      <c r="T115" s="11">
        <f>IF(COUNTIF('SR系统设计'!$A$5:$A$42,B115)=1,"PASS","FAIL")</f>
        <v/>
      </c>
    </row>
    <row r="116" ht="72" customHeight="1">
      <c r="A116" s="11" t="inlineStr">
        <is>
          <t>AR23-02-02-01-01</t>
        </is>
      </c>
      <c r="B116" s="11" t="inlineStr">
        <is>
          <t>SR23-02-02-01</t>
        </is>
      </c>
      <c r="C116" s="11" t="inlineStr">
        <is>
          <t>核心实现</t>
        </is>
      </c>
      <c r="D116" s="11" t="inlineStr">
        <is>
          <t>前缀预算（Prefix Budget）、加载与重算（load-vs-recompute） 与水位准入组件｜核心实现</t>
        </is>
      </c>
      <c r="E116" s="11" t="inlineStr">
        <is>
          <t>推理准入与收益决策组</t>
        </is>
      </c>
      <c r="F116" s="11" t="inlineStr">
        <is>
          <t>src/runtime/admission/core.{h,cc}</t>
        </is>
      </c>
      <c r="G116" s="11" t="inlineStr">
        <is>
          <t>实现“前缀预算（Prefix Budget）、加载与重算（load-vs-recompute） 与水位准入组件”的可运行主路径，交付 admission-engine 插件、前缀预算（PrefixBudget）/水位准入（WatermarkAdmission） 与 影子决策（shadow decision） 日志 的核心代码、构建入口和最小示例。</t>
        </is>
      </c>
      <c r="H116" s="11" t="inlineStr">
        <is>
          <t>核心实现对应的可审查代码/IDL/配置/文档</t>
        </is>
      </c>
      <c r="I116" s="11" t="inlineStr">
        <is>
          <t>代码通过编译、静态检查和单元测试；接口/配置有版本；失败语义和 功能开关（feature flag） 可验证。</t>
        </is>
      </c>
      <c r="J116" s="11" t="inlineStr">
        <is>
          <t>ctest -R admission_engine &amp;&amp; run_contract_check --sr SR23-02-02-01</t>
        </is>
      </c>
      <c r="K116" s="11" t="inlineStr">
        <is>
          <t>p99 TTFT降低≥20%；废弃远端加载（abandoned remote load）降低≥50%；错误 加载（Load）&lt;1%</t>
        </is>
      </c>
      <c r="L116" s="11" t="n"/>
      <c r="M116" s="11" t="inlineStr">
        <is>
          <t>SR23-02-01-01、SR23-01-03-01、SR23-02-05-02</t>
        </is>
      </c>
      <c r="N116" s="11" t="inlineStr">
        <is>
          <t>P0</t>
        </is>
      </c>
      <c r="O116" s="11" t="inlineStr">
        <is>
          <t>P0</t>
        </is>
      </c>
      <c r="P116" s="11" t="inlineStr">
        <is>
          <t>待认领</t>
        </is>
      </c>
      <c r="Q116" s="11" t="n"/>
      <c r="R116" s="11" t="n"/>
      <c r="S116" s="11">
        <f>IF(COUNTIF($A$5:$A$207,A116)=1,"PASS","FAIL")</f>
        <v/>
      </c>
      <c r="T116" s="11">
        <f>IF(COUNTIF('SR系统设计'!$A$5:$A$42,B116)=1,"PASS","FAIL")</f>
        <v/>
      </c>
    </row>
    <row r="117" ht="72" customHeight="1">
      <c r="A117" s="11" t="inlineStr">
        <is>
          <t>AR23-02-02-01-02</t>
        </is>
      </c>
      <c r="B117" s="11" t="inlineStr">
        <is>
          <t>SR23-02-02-01</t>
        </is>
      </c>
      <c r="C117" s="11" t="inlineStr">
        <is>
          <t>接口契约</t>
        </is>
      </c>
      <c r="D117" s="11" t="inlineStr">
        <is>
          <t>前缀预算（Prefix Budget）、加载与重算（load-vs-recompute） 与水位准入组件｜接口契约</t>
        </is>
      </c>
      <c r="E117" s="11" t="inlineStr">
        <is>
          <t>推理准入与收益决策组</t>
        </is>
      </c>
      <c r="F117" s="11" t="inlineStr">
        <is>
          <t>api/kvcache/v23/admission_engine.proto + src/runtime/admission/api.{h,cc}</t>
        </is>
      </c>
      <c r="G117" s="11" t="inlineStr">
        <is>
          <t>冻结并实现接口/IDL、版本兼容、输入输出、错误码与 消费者（consumer） 示例：AdmissionRequest/Decision、截止时限（deadline）、原因（reason） code 与 回退（fallback） action</t>
        </is>
      </c>
      <c r="H117" s="11" t="inlineStr">
        <is>
          <t>接口契约对应的可审查代码/IDL/配置/文档</t>
        </is>
      </c>
      <c r="I117" s="11" t="inlineStr">
        <is>
          <t>代码通过编译、静态检查和单元测试；接口/配置有版本；失败语义和 功能开关（feature flag） 可验证。</t>
        </is>
      </c>
      <c r="J117" s="11" t="inlineStr">
        <is>
          <t>ctest -R admission_engine &amp;&amp; run_contract_check --sr SR23-02-02-01</t>
        </is>
      </c>
      <c r="K117" s="11" t="inlineStr">
        <is>
          <t>p99 TTFT降低≥20%；废弃远端加载（abandoned remote load）降低≥50%；错误 加载（Load）&lt;1%</t>
        </is>
      </c>
      <c r="L117" s="11" t="inlineStr">
        <is>
          <t>AR23-02-02-01-01</t>
        </is>
      </c>
      <c r="M117" s="11" t="inlineStr">
        <is>
          <t>SR23-02-01-01、SR23-01-03-01、SR23-02-05-02</t>
        </is>
      </c>
      <c r="N117" s="11" t="inlineStr">
        <is>
          <t>P0</t>
        </is>
      </c>
      <c r="O117" s="11" t="inlineStr">
        <is>
          <t>P0</t>
        </is>
      </c>
      <c r="P117" s="11" t="inlineStr">
        <is>
          <t>待认领</t>
        </is>
      </c>
      <c r="Q117" s="11" t="n"/>
      <c r="R117" s="11" t="n"/>
      <c r="S117" s="11">
        <f>IF(COUNTIF($A$5:$A$207,A117)=1,"PASS","FAIL")</f>
        <v/>
      </c>
      <c r="T117" s="11">
        <f>IF(COUNTIF('SR系统设计'!$A$5:$A$42,B117)=1,"PASS","FAIL")</f>
        <v/>
      </c>
    </row>
    <row r="118" ht="72" customHeight="1">
      <c r="A118" s="11" t="inlineStr">
        <is>
          <t>AR23-02-02-01-03</t>
        </is>
      </c>
      <c r="B118" s="11" t="inlineStr">
        <is>
          <t>SR23-02-02-01</t>
        </is>
      </c>
      <c r="C118" s="11" t="inlineStr">
        <is>
          <t>状态模型</t>
        </is>
      </c>
      <c r="D118" s="11" t="inlineStr">
        <is>
          <t>前缀预算（Prefix Budget）、加载与重算（load-vs-recompute） 与水位准入组件｜状态模型</t>
        </is>
      </c>
      <c r="E118" s="11" t="inlineStr">
        <is>
          <t>推理准入与收益决策组</t>
        </is>
      </c>
      <c r="F118" s="11" t="inlineStr">
        <is>
          <t>src/runtime/admission/state_model.{h,cc}</t>
        </is>
      </c>
      <c r="G118" s="11" t="inlineStr">
        <is>
          <t>实现状态、版本、并发互锁和持久/内存数据模型，覆盖正常转换与非法转换保护。</t>
        </is>
      </c>
      <c r="H118" s="11" t="inlineStr">
        <is>
          <t>状态模型对应的可审查代码/IDL/配置/文档</t>
        </is>
      </c>
      <c r="I118" s="11" t="inlineStr">
        <is>
          <t>代码通过编译、静态检查和单元测试；接口/配置有版本；失败语义和 功能开关（feature flag） 可验证。</t>
        </is>
      </c>
      <c r="J118" s="11" t="inlineStr">
        <is>
          <t>ctest -R admission_engine &amp;&amp; run_contract_check --sr SR23-02-02-01</t>
        </is>
      </c>
      <c r="K118" s="11" t="inlineStr">
        <is>
          <t>p99 TTFT降低≥20%；废弃远端加载（abandoned remote load）降低≥50%；错误 加载（Load）&lt;1%</t>
        </is>
      </c>
      <c r="L118" s="11" t="inlineStr">
        <is>
          <t>AR23-02-02-01-02</t>
        </is>
      </c>
      <c r="M118" s="11" t="inlineStr">
        <is>
          <t>SR23-02-01-01、SR23-01-03-01、SR23-02-05-02</t>
        </is>
      </c>
      <c r="N118" s="11" t="inlineStr">
        <is>
          <t>P0</t>
        </is>
      </c>
      <c r="O118" s="11" t="inlineStr">
        <is>
          <t>P0</t>
        </is>
      </c>
      <c r="P118" s="11" t="inlineStr">
        <is>
          <t>待认领</t>
        </is>
      </c>
      <c r="Q118" s="11" t="n"/>
      <c r="R118" s="11" t="n"/>
      <c r="S118" s="11">
        <f>IF(COUNTIF($A$5:$A$207,A118)=1,"PASS","FAIL")</f>
        <v/>
      </c>
      <c r="T118" s="11">
        <f>IF(COUNTIF('SR系统设计'!$A$5:$A$42,B118)=1,"PASS","FAIL")</f>
        <v/>
      </c>
    </row>
    <row r="119" ht="72" customHeight="1">
      <c r="A119" s="11" t="inlineStr">
        <is>
          <t>AR23-02-02-01-04</t>
        </is>
      </c>
      <c r="B119" s="11" t="inlineStr">
        <is>
          <t>SR23-02-02-01</t>
        </is>
      </c>
      <c r="C119" s="11" t="inlineStr">
        <is>
          <t>异常回滚</t>
        </is>
      </c>
      <c r="D119" s="11" t="inlineStr">
        <is>
          <t>前缀预算（Prefix Budget）、加载与重算（load-vs-recompute） 与水位准入组件｜异常回滚</t>
        </is>
      </c>
      <c r="E119" s="11" t="inlineStr">
        <is>
          <t>推理准入与收益决策组</t>
        </is>
      </c>
      <c r="F119" s="11" t="inlineStr">
        <is>
          <t>src/runtime/admission/fallback.{h,cc} + config/feature_flags/admission_engine.yaml</t>
        </is>
      </c>
      <c r="G119" s="11" t="inlineStr">
        <is>
          <t>实现并验证失败、超时、取消、降级、回滚与关闭路径：预算超时、成本不可信或水位过高时 partial/重算（recompute）；不得等待远端负收益 加载（Load）</t>
        </is>
      </c>
      <c r="H119" s="11" t="inlineStr">
        <is>
          <t>异常回滚对应的可审查代码/IDL/配置/文档</t>
        </is>
      </c>
      <c r="I119" s="11" t="inlineStr">
        <is>
          <t>代码通过编译、静态检查和单元测试；接口/配置有版本；失败语义和 功能开关（feature flag） 可验证。</t>
        </is>
      </c>
      <c r="J119" s="11" t="inlineStr">
        <is>
          <t>ctest -R admission_engine &amp;&amp; run_contract_check --sr SR23-02-02-01</t>
        </is>
      </c>
      <c r="K119" s="11" t="inlineStr">
        <is>
          <t>p99 TTFT降低≥20%；废弃远端加载（abandoned remote load）降低≥50%；错误 加载（Load）&lt;1%</t>
        </is>
      </c>
      <c r="L119" s="11" t="inlineStr">
        <is>
          <t>AR23-02-02-01-03</t>
        </is>
      </c>
      <c r="M119" s="11" t="inlineStr">
        <is>
          <t>SR23-02-01-01、SR23-01-03-01、SR23-02-05-02</t>
        </is>
      </c>
      <c r="N119" s="11" t="inlineStr">
        <is>
          <t>P0</t>
        </is>
      </c>
      <c r="O119" s="11" t="inlineStr">
        <is>
          <t>P0</t>
        </is>
      </c>
      <c r="P119" s="11" t="inlineStr">
        <is>
          <t>待认领</t>
        </is>
      </c>
      <c r="Q119" s="11" t="n"/>
      <c r="R119" s="11" t="n"/>
      <c r="S119" s="11">
        <f>IF(COUNTIF($A$5:$A$207,A119)=1,"PASS","FAIL")</f>
        <v/>
      </c>
      <c r="T119" s="11">
        <f>IF(COUNTIF('SR系统设计'!$A$5:$A$42,B119)=1,"PASS","FAIL")</f>
        <v/>
      </c>
    </row>
    <row r="120" ht="72" customHeight="1">
      <c r="A120" s="11" t="inlineStr">
        <is>
          <t>AR23-02-02-01-05</t>
        </is>
      </c>
      <c r="B120" s="11" t="inlineStr">
        <is>
          <t>SR23-02-02-01</t>
        </is>
      </c>
      <c r="C120" s="11" t="inlineStr">
        <is>
          <t>独立验收</t>
        </is>
      </c>
      <c r="D120" s="11" t="inlineStr">
        <is>
          <t>前缀预算（Prefix Budget）、加载与重算（load-vs-recompute） 与水位准入组件｜独立验收</t>
        </is>
      </c>
      <c r="E120" s="11" t="inlineStr">
        <is>
          <t>测试/验收负责人</t>
        </is>
      </c>
      <c r="F120" s="11" t="inlineStr">
        <is>
          <t>tests/admission_engine/ + benchmarks/admission_engine/ + evidence/admission_engine/manifest.yaml</t>
        </is>
      </c>
      <c r="G120" s="11" t="inlineStr">
        <is>
          <t>建立不依赖全项目的验收环境，执行功能、异常、兼容和性能门禁并生成可签字证据包。</t>
        </is>
      </c>
      <c r="H120" s="11" t="inlineStr">
        <is>
          <t>版本化测试结果、原始证据、Go/Conditional/No-Go 结论</t>
        </is>
      </c>
      <c r="I120" s="11" t="inlineStr">
        <is>
          <t>在“调度器（Scheduler） 测试支架（harness） + 查询计划（QueryPlan）/目录（Directory） 桩（stub） 即可独立验收”中完成主路径、异常、兼容和回滚；全部证据可一键复现。</t>
        </is>
      </c>
      <c r="J120" s="11" t="inlineStr">
        <is>
          <t>run_sr_acceptance --sr SR23-02-02-01 --baseline locked</t>
        </is>
      </c>
      <c r="K120" s="11" t="inlineStr">
        <is>
          <t>p99 TTFT降低≥20%；废弃远端加载（abandoned remote load）降低≥50%；错误 加载（Load）&lt;1%</t>
        </is>
      </c>
      <c r="L120" s="11" t="inlineStr">
        <is>
          <t>AR23-02-02-01-04</t>
        </is>
      </c>
      <c r="M120" s="11" t="inlineStr">
        <is>
          <t>SR23-02-01-01、SR23-01-03-01、SR23-02-05-02</t>
        </is>
      </c>
      <c r="N120" s="11" t="inlineStr">
        <is>
          <t>P0</t>
        </is>
      </c>
      <c r="O120" s="11" t="inlineStr">
        <is>
          <t>P0</t>
        </is>
      </c>
      <c r="P120" s="11" t="inlineStr">
        <is>
          <t>待认领</t>
        </is>
      </c>
      <c r="Q120" s="11" t="n"/>
      <c r="R120" s="11" t="n"/>
      <c r="S120" s="11">
        <f>IF(COUNTIF($A$5:$A$207,A120)=1,"PASS","FAIL")</f>
        <v/>
      </c>
      <c r="T120" s="11">
        <f>IF(COUNTIF('SR系统设计'!$A$5:$A$42,B120)=1,"PASS","FAIL")</f>
        <v/>
      </c>
    </row>
    <row r="121" ht="72" customHeight="1">
      <c r="A121" s="11" t="inlineStr">
        <is>
          <t>AR23-02-02-01-06</t>
        </is>
      </c>
      <c r="B121" s="11" t="inlineStr">
        <is>
          <t>SR23-02-02-01</t>
        </is>
      </c>
      <c r="C121" s="11" t="inlineStr">
        <is>
          <t>性能观测</t>
        </is>
      </c>
      <c r="D121" s="11" t="inlineStr">
        <is>
          <t>前缀预算（Prefix Budget）、加载与重算（load-vs-recompute） 与水位准入组件｜性能观测</t>
        </is>
      </c>
      <c r="E121" s="11" t="inlineStr">
        <is>
          <t>性能与可观测负责人</t>
        </is>
      </c>
      <c r="F121" s="11" t="inlineStr">
        <is>
          <t>src/runtime/admission/telemetry.{h,cc} + 仪表板（dashboards）/admission_engine.json</t>
        </is>
      </c>
      <c r="G121" s="11" t="inlineStr">
        <is>
          <t>接入统一 遥测数据（telemetry），建立本 SR 专属性能/资源/正确性指标和回归阈值：p99 TTFT降低≥20%；废弃远端加载（abandoned remote load）降低≥50%；错误 加载（Load）&lt;1%</t>
        </is>
      </c>
      <c r="H121" s="11" t="inlineStr">
        <is>
          <t>性能观测对应的可审查代码/IDL/配置/文档</t>
        </is>
      </c>
      <c r="I121" s="11" t="inlineStr">
        <is>
          <t>代码通过编译、静态检查和单元测试；接口/配置有版本；失败语义和 功能开关（feature flag） 可验证。</t>
        </is>
      </c>
      <c r="J121" s="11" t="inlineStr">
        <is>
          <t>ctest -R admission_engine &amp;&amp; run_contract_check --sr SR23-02-02-01</t>
        </is>
      </c>
      <c r="K121" s="11" t="inlineStr">
        <is>
          <t>p99 TTFT降低≥20%；废弃远端加载（abandoned remote load）降低≥50%；错误 加载（Load）&lt;1%</t>
        </is>
      </c>
      <c r="L121" s="11" t="inlineStr">
        <is>
          <t>AR23-02-02-01-05</t>
        </is>
      </c>
      <c r="M121" s="11" t="inlineStr">
        <is>
          <t>SR23-02-01-01、SR23-01-03-01、SR23-02-05-02</t>
        </is>
      </c>
      <c r="N121" s="11" t="inlineStr">
        <is>
          <t>P0</t>
        </is>
      </c>
      <c r="O121" s="11" t="inlineStr">
        <is>
          <t>P0</t>
        </is>
      </c>
      <c r="P121" s="11" t="inlineStr">
        <is>
          <t>待认领</t>
        </is>
      </c>
      <c r="Q121" s="11" t="n"/>
      <c r="R121" s="11" t="n"/>
      <c r="S121" s="11">
        <f>IF(COUNTIF($A$5:$A$207,A121)=1,"PASS","FAIL")</f>
        <v/>
      </c>
      <c r="T121" s="11">
        <f>IF(COUNTIF('SR系统设计'!$A$5:$A$42,B121)=1,"PASS","FAIL")</f>
        <v/>
      </c>
    </row>
    <row r="122" ht="72" customHeight="1">
      <c r="A122" s="11" t="inlineStr">
        <is>
          <t>AR23-02-02-02-01</t>
        </is>
      </c>
      <c r="B122" s="11" t="inlineStr">
        <is>
          <t>SR23-02-02-02</t>
        </is>
      </c>
      <c r="C122" s="11" t="inlineStr">
        <is>
          <t>核心实现</t>
        </is>
      </c>
      <c r="D122" s="11" t="inlineStr">
        <is>
          <t>缓存感知（Cache-aware） 路由与异构存储调度插件｜核心实现</t>
        </is>
      </c>
      <c r="E122" s="11" t="inlineStr">
        <is>
          <t>框架调度与路由组</t>
        </is>
      </c>
      <c r="F122" s="11" t="inlineStr">
        <is>
          <t>src/runtime/cache_scheduler/core.{h,cc}</t>
        </is>
      </c>
      <c r="G122" s="11" t="inlineStr">
        <is>
          <t>实现“缓存感知（Cache-aware） 路由与异构存储调度插件”的可运行主路径，交付 cache-aware-router、vLLM/SGLang 调度器（Scheduler） 适配器（adapter） 与分层状态视图 的核心代码、构建入口和最小示例。</t>
        </is>
      </c>
      <c r="H122" s="11" t="inlineStr">
        <is>
          <t>核心实现对应的可审查代码/IDL/配置/文档</t>
        </is>
      </c>
      <c r="I122" s="11" t="inlineStr">
        <is>
          <t>代码通过编译、静态检查和单元测试；接口/配置有版本；失败语义和 功能开关（feature flag） 可验证。</t>
        </is>
      </c>
      <c r="J122" s="11" t="inlineStr">
        <is>
          <t>ctest -R cache_scheduler &amp;&amp; run_contract_check --sr SR23-02-02-02</t>
        </is>
      </c>
      <c r="K122" s="11" t="inlineStr">
        <is>
          <t>本地可用命中（Local Usable Hit）提升≥25%；跨节点每请求字节数（bytes/request）降低≥30%；过载不崩溃</t>
        </is>
      </c>
      <c r="L122" s="11" t="n"/>
      <c r="M122" s="11" t="inlineStr">
        <is>
          <t>SR23-02-02-01、SR23-02-05-01、SR23-01-01-01</t>
        </is>
      </c>
      <c r="N122" s="11" t="inlineStr">
        <is>
          <t>P1</t>
        </is>
      </c>
      <c r="O122" s="11" t="inlineStr">
        <is>
          <t>P0 子集 + P1 完整</t>
        </is>
      </c>
      <c r="P122" s="11" t="inlineStr">
        <is>
          <t>待认领</t>
        </is>
      </c>
      <c r="Q122" s="11" t="n"/>
      <c r="R122" s="11" t="n"/>
      <c r="S122" s="11">
        <f>IF(COUNTIF($A$5:$A$207,A122)=1,"PASS","FAIL")</f>
        <v/>
      </c>
      <c r="T122" s="11">
        <f>IF(COUNTIF('SR系统设计'!$A$5:$A$42,B122)=1,"PASS","FAIL")</f>
        <v/>
      </c>
    </row>
    <row r="123" ht="72" customHeight="1">
      <c r="A123" s="11" t="inlineStr">
        <is>
          <t>AR23-02-02-02-02</t>
        </is>
      </c>
      <c r="B123" s="11" t="inlineStr">
        <is>
          <t>SR23-02-02-02</t>
        </is>
      </c>
      <c r="C123" s="11" t="inlineStr">
        <is>
          <t>接口契约</t>
        </is>
      </c>
      <c r="D123" s="11" t="inlineStr">
        <is>
          <t>缓存感知（Cache-aware） 路由与异构存储调度插件｜接口契约</t>
        </is>
      </c>
      <c r="E123" s="11" t="inlineStr">
        <is>
          <t>框架调度与路由组</t>
        </is>
      </c>
      <c r="F123" s="11" t="inlineStr">
        <is>
          <t>api/kvcache/v23/cache_scheduler.proto + src/runtime/cache_scheduler/api.{h,cc}</t>
        </is>
      </c>
      <c r="G123" s="11" t="inlineStr">
        <is>
          <t>冻结并实现接口/IDL、版本兼容、输入输出、错误码与 消费者（consumer） 示例：PlacementSummary、RouteDecision、SchedulerTierView</t>
        </is>
      </c>
      <c r="H123" s="11" t="inlineStr">
        <is>
          <t>接口契约对应的可审查代码/IDL/配置/文档</t>
        </is>
      </c>
      <c r="I123" s="11" t="inlineStr">
        <is>
          <t>代码通过编译、静态检查和单元测试；接口/配置有版本；失败语义和 功能开关（feature flag） 可验证。</t>
        </is>
      </c>
      <c r="J123" s="11" t="inlineStr">
        <is>
          <t>ctest -R cache_scheduler &amp;&amp; run_contract_check --sr SR23-02-02-02</t>
        </is>
      </c>
      <c r="K123" s="11" t="inlineStr">
        <is>
          <t>本地可用命中（Local Usable Hit）提升≥25%；跨节点每请求字节数（bytes/request）降低≥30%；过载不崩溃</t>
        </is>
      </c>
      <c r="L123" s="11" t="inlineStr">
        <is>
          <t>AR23-02-02-02-01</t>
        </is>
      </c>
      <c r="M123" s="11" t="inlineStr">
        <is>
          <t>SR23-02-02-01、SR23-02-05-01、SR23-01-01-01</t>
        </is>
      </c>
      <c r="N123" s="11" t="inlineStr">
        <is>
          <t>P1</t>
        </is>
      </c>
      <c r="O123" s="11" t="inlineStr">
        <is>
          <t>P0 子集 + P1 完整</t>
        </is>
      </c>
      <c r="P123" s="11" t="inlineStr">
        <is>
          <t>待认领</t>
        </is>
      </c>
      <c r="Q123" s="11" t="n"/>
      <c r="R123" s="11" t="n"/>
      <c r="S123" s="11">
        <f>IF(COUNTIF($A$5:$A$207,A123)=1,"PASS","FAIL")</f>
        <v/>
      </c>
      <c r="T123" s="11">
        <f>IF(COUNTIF('SR系统设计'!$A$5:$A$42,B123)=1,"PASS","FAIL")</f>
        <v/>
      </c>
    </row>
    <row r="124" ht="72" customHeight="1">
      <c r="A124" s="11" t="inlineStr">
        <is>
          <t>AR23-02-02-02-03</t>
        </is>
      </c>
      <c r="B124" s="11" t="inlineStr">
        <is>
          <t>SR23-02-02-02</t>
        </is>
      </c>
      <c r="C124" s="11" t="inlineStr">
        <is>
          <t>状态模型</t>
        </is>
      </c>
      <c r="D124" s="11" t="inlineStr">
        <is>
          <t>缓存感知（Cache-aware） 路由与异构存储调度插件｜状态模型</t>
        </is>
      </c>
      <c r="E124" s="11" t="inlineStr">
        <is>
          <t>框架调度与路由组</t>
        </is>
      </c>
      <c r="F124" s="11" t="inlineStr">
        <is>
          <t>src/runtime/cache_scheduler/state_model.{h,cc}</t>
        </is>
      </c>
      <c r="G124" s="11" t="inlineStr">
        <is>
          <t>实现状态、版本、并发互锁和持久/内存数据模型，覆盖正常转换与非法转换保护。</t>
        </is>
      </c>
      <c r="H124" s="11" t="inlineStr">
        <is>
          <t>状态模型对应的可审查代码/IDL/配置/文档</t>
        </is>
      </c>
      <c r="I124" s="11" t="inlineStr">
        <is>
          <t>代码通过编译、静态检查和单元测试；接口/配置有版本；失败语义和 功能开关（feature flag） 可验证。</t>
        </is>
      </c>
      <c r="J124" s="11" t="inlineStr">
        <is>
          <t>ctest -R cache_scheduler &amp;&amp; run_contract_check --sr SR23-02-02-02</t>
        </is>
      </c>
      <c r="K124" s="11" t="inlineStr">
        <is>
          <t>本地可用命中（Local Usable Hit）提升≥25%；跨节点每请求字节数（bytes/request）降低≥30%；过载不崩溃</t>
        </is>
      </c>
      <c r="L124" s="11" t="inlineStr">
        <is>
          <t>AR23-02-02-02-02</t>
        </is>
      </c>
      <c r="M124" s="11" t="inlineStr">
        <is>
          <t>SR23-02-02-01、SR23-02-05-01、SR23-01-01-01</t>
        </is>
      </c>
      <c r="N124" s="11" t="inlineStr">
        <is>
          <t>P1</t>
        </is>
      </c>
      <c r="O124" s="11" t="inlineStr">
        <is>
          <t>P0 子集 + P1 完整</t>
        </is>
      </c>
      <c r="P124" s="11" t="inlineStr">
        <is>
          <t>待认领</t>
        </is>
      </c>
      <c r="Q124" s="11" t="n"/>
      <c r="R124" s="11" t="n"/>
      <c r="S124" s="11">
        <f>IF(COUNTIF($A$5:$A$207,A124)=1,"PASS","FAIL")</f>
        <v/>
      </c>
      <c r="T124" s="11">
        <f>IF(COUNTIF('SR系统设计'!$A$5:$A$42,B124)=1,"PASS","FAIL")</f>
        <v/>
      </c>
    </row>
    <row r="125" ht="72" customHeight="1">
      <c r="A125" s="11" t="inlineStr">
        <is>
          <t>AR23-02-02-02-04</t>
        </is>
      </c>
      <c r="B125" s="11" t="inlineStr">
        <is>
          <t>SR23-02-02-02</t>
        </is>
      </c>
      <c r="C125" s="11" t="inlineStr">
        <is>
          <t>异常回滚</t>
        </is>
      </c>
      <c r="D125" s="11" t="inlineStr">
        <is>
          <t>缓存感知（Cache-aware） 路由与异构存储调度插件｜异常回滚</t>
        </is>
      </c>
      <c r="E125" s="11" t="inlineStr">
        <is>
          <t>框架调度与路由组</t>
        </is>
      </c>
      <c r="F125" s="11" t="inlineStr">
        <is>
          <t>src/runtime/cache_scheduler/fallback.{h,cc} + config/feature_flags/cache_scheduler.yaml</t>
        </is>
      </c>
      <c r="G125" s="11" t="inlineStr">
        <is>
          <t>实现并验证失败、超时、取消、降级、回滚与关闭路径：目录/水位不可用时回退普通路由；系统过载时平滑拒绝</t>
        </is>
      </c>
      <c r="H125" s="11" t="inlineStr">
        <is>
          <t>异常回滚对应的可审查代码/IDL/配置/文档</t>
        </is>
      </c>
      <c r="I125" s="11" t="inlineStr">
        <is>
          <t>代码通过编译、静态检查和单元测试；接口/配置有版本；失败语义和 功能开关（feature flag） 可验证。</t>
        </is>
      </c>
      <c r="J125" s="11" t="inlineStr">
        <is>
          <t>ctest -R cache_scheduler &amp;&amp; run_contract_check --sr SR23-02-02-02</t>
        </is>
      </c>
      <c r="K125" s="11" t="inlineStr">
        <is>
          <t>本地可用命中（Local Usable Hit）提升≥25%；跨节点每请求字节数（bytes/request）降低≥30%；过载不崩溃</t>
        </is>
      </c>
      <c r="L125" s="11" t="inlineStr">
        <is>
          <t>AR23-02-02-02-03</t>
        </is>
      </c>
      <c r="M125" s="11" t="inlineStr">
        <is>
          <t>SR23-02-02-01、SR23-02-05-01、SR23-01-01-01</t>
        </is>
      </c>
      <c r="N125" s="11" t="inlineStr">
        <is>
          <t>P1</t>
        </is>
      </c>
      <c r="O125" s="11" t="inlineStr">
        <is>
          <t>P0 子集 + P1 完整</t>
        </is>
      </c>
      <c r="P125" s="11" t="inlineStr">
        <is>
          <t>待认领</t>
        </is>
      </c>
      <c r="Q125" s="11" t="n"/>
      <c r="R125" s="11" t="n"/>
      <c r="S125" s="11">
        <f>IF(COUNTIF($A$5:$A$207,A125)=1,"PASS","FAIL")</f>
        <v/>
      </c>
      <c r="T125" s="11">
        <f>IF(COUNTIF('SR系统设计'!$A$5:$A$42,B125)=1,"PASS","FAIL")</f>
        <v/>
      </c>
    </row>
    <row r="126" ht="72" customHeight="1">
      <c r="A126" s="11" t="inlineStr">
        <is>
          <t>AR23-02-02-02-05</t>
        </is>
      </c>
      <c r="B126" s="11" t="inlineStr">
        <is>
          <t>SR23-02-02-02</t>
        </is>
      </c>
      <c r="C126" s="11" t="inlineStr">
        <is>
          <t>独立验收</t>
        </is>
      </c>
      <c r="D126" s="11" t="inlineStr">
        <is>
          <t>缓存感知（Cache-aware） 路由与异构存储调度插件｜独立验收</t>
        </is>
      </c>
      <c r="E126" s="11" t="inlineStr">
        <is>
          <t>测试/验收负责人</t>
        </is>
      </c>
      <c r="F126" s="11" t="inlineStr">
        <is>
          <t>tests/cache_scheduler/ + benchmarks/cache_scheduler/ + evidence/cache_scheduler/manifest.yaml</t>
        </is>
      </c>
      <c r="G126" s="11" t="inlineStr">
        <is>
          <t>建立不依赖全项目的验收环境，执行功能、异常、兼容和性能门禁并生成可签字证据包。</t>
        </is>
      </c>
      <c r="H126" s="11" t="inlineStr">
        <is>
          <t>版本化测试结果、原始证据、Go/Conditional/No-Go 结论</t>
        </is>
      </c>
      <c r="I126" s="11" t="inlineStr">
        <is>
          <t>在“多实例 调度器模拟器（scheduler simulator） + 目录 桩（stub） 即可独立验收”中完成主路径、异常、兼容和回滚；全部证据可一键复现。</t>
        </is>
      </c>
      <c r="J126" s="11" t="inlineStr">
        <is>
          <t>run_sr_acceptance --sr SR23-02-02-02 --baseline locked</t>
        </is>
      </c>
      <c r="K126" s="11" t="inlineStr">
        <is>
          <t>本地可用命中（Local Usable Hit）提升≥25%；跨节点每请求字节数（bytes/request）降低≥30%；过载不崩溃</t>
        </is>
      </c>
      <c r="L126" s="11" t="inlineStr">
        <is>
          <t>AR23-02-02-02-04</t>
        </is>
      </c>
      <c r="M126" s="11" t="inlineStr">
        <is>
          <t>SR23-02-02-01、SR23-02-05-01、SR23-01-01-01</t>
        </is>
      </c>
      <c r="N126" s="11" t="inlineStr">
        <is>
          <t>P1</t>
        </is>
      </c>
      <c r="O126" s="11" t="inlineStr">
        <is>
          <t>P0 子集 + P1 完整</t>
        </is>
      </c>
      <c r="P126" s="11" t="inlineStr">
        <is>
          <t>待认领</t>
        </is>
      </c>
      <c r="Q126" s="11" t="n"/>
      <c r="R126" s="11" t="n"/>
      <c r="S126" s="11">
        <f>IF(COUNTIF($A$5:$A$207,A126)=1,"PASS","FAIL")</f>
        <v/>
      </c>
      <c r="T126" s="11">
        <f>IF(COUNTIF('SR系统设计'!$A$5:$A$42,B126)=1,"PASS","FAIL")</f>
        <v/>
      </c>
    </row>
    <row r="127" ht="72" customHeight="1">
      <c r="A127" s="11" t="inlineStr">
        <is>
          <t>AR23-02-02-02-06</t>
        </is>
      </c>
      <c r="B127" s="11" t="inlineStr">
        <is>
          <t>SR23-02-02-02</t>
        </is>
      </c>
      <c r="C127" s="11" t="inlineStr">
        <is>
          <t>性能观测</t>
        </is>
      </c>
      <c r="D127" s="11" t="inlineStr">
        <is>
          <t>缓存感知（Cache-aware） 路由与异构存储调度插件｜性能观测</t>
        </is>
      </c>
      <c r="E127" s="11" t="inlineStr">
        <is>
          <t>性能与可观测负责人</t>
        </is>
      </c>
      <c r="F127" s="11" t="inlineStr">
        <is>
          <t>src/runtime/cache_scheduler/telemetry.{h,cc} + 仪表板（dashboards）/cache_scheduler.json</t>
        </is>
      </c>
      <c r="G127" s="11" t="inlineStr">
        <is>
          <t>接入统一 遥测数据（telemetry），建立本 SR 专属性能/资源/正确性指标和回归阈值：本地可用命中（Local Usable Hit）提升≥25%；跨节点每请求字节数（bytes/request）降低≥30%；过载不崩溃</t>
        </is>
      </c>
      <c r="H127" s="11" t="inlineStr">
        <is>
          <t>性能观测对应的可审查代码/IDL/配置/文档</t>
        </is>
      </c>
      <c r="I127" s="11" t="inlineStr">
        <is>
          <t>代码通过编译、静态检查和单元测试；接口/配置有版本；失败语义和 功能开关（feature flag） 可验证。</t>
        </is>
      </c>
      <c r="J127" s="11" t="inlineStr">
        <is>
          <t>ctest -R cache_scheduler &amp;&amp; run_contract_check --sr SR23-02-02-02</t>
        </is>
      </c>
      <c r="K127" s="11" t="inlineStr">
        <is>
          <t>本地可用命中（Local Usable Hit）提升≥25%；跨节点每请求字节数（bytes/request）降低≥30%；过载不崩溃</t>
        </is>
      </c>
      <c r="L127" s="11" t="inlineStr">
        <is>
          <t>AR23-02-02-02-05</t>
        </is>
      </c>
      <c r="M127" s="11" t="inlineStr">
        <is>
          <t>SR23-02-02-01、SR23-02-05-01、SR23-01-01-01</t>
        </is>
      </c>
      <c r="N127" s="11" t="inlineStr">
        <is>
          <t>P1</t>
        </is>
      </c>
      <c r="O127" s="11" t="inlineStr">
        <is>
          <t>P0 子集 + P1 完整</t>
        </is>
      </c>
      <c r="P127" s="11" t="inlineStr">
        <is>
          <t>待认领</t>
        </is>
      </c>
      <c r="Q127" s="11" t="n"/>
      <c r="R127" s="11" t="n"/>
      <c r="S127" s="11">
        <f>IF(COUNTIF($A$5:$A$207,A127)=1,"PASS","FAIL")</f>
        <v/>
      </c>
      <c r="T127" s="11">
        <f>IF(COUNTIF('SR系统设计'!$A$5:$A$42,B127)=1,"PASS","FAIL")</f>
        <v/>
      </c>
    </row>
    <row r="128" ht="72" customHeight="1">
      <c r="A128" s="11" t="inlineStr">
        <is>
          <t>AR23-02-03-01-01</t>
        </is>
      </c>
      <c r="B128" s="11" t="inlineStr">
        <is>
          <t>SR23-02-03-01</t>
        </is>
      </c>
      <c r="C128" s="11" t="inlineStr">
        <is>
          <t>核心实现</t>
        </is>
      </c>
      <c r="D128" s="11" t="inlineStr">
        <is>
          <t>跨框架低时延 前缀匹配引擎（Prefix Match Engine）｜核心实现</t>
        </is>
      </c>
      <c r="E128" s="11" t="inlineStr">
        <is>
          <t>前缀算法组</t>
        </is>
      </c>
      <c r="F128" s="11" t="inlineStr">
        <is>
          <t>src/index/prefix_match/core.{h,cc}</t>
        </is>
      </c>
      <c r="G128" s="11" t="inlineStr">
        <is>
          <t>实现“跨框架低时延 前缀匹配引擎（Prefix Match Engine）”的可运行主路径，交付 prefix-match-engine、vLLM hash/SGLang RadixTree 适配器（adapter）、并发基准 的核心代码、构建入口和最小示例。</t>
        </is>
      </c>
      <c r="H128" s="11" t="inlineStr">
        <is>
          <t>核心实现对应的可审查代码/IDL/配置/文档</t>
        </is>
      </c>
      <c r="I128" s="11" t="inlineStr">
        <is>
          <t>代码通过编译、静态检查和单元测试；接口/配置有版本；失败语义和 功能开关（feature flag） 可验证。</t>
        </is>
      </c>
      <c r="J128" s="11" t="inlineStr">
        <is>
          <t>ctest -R prefix_engine &amp;&amp; run_contract_check --sr SR23-02-03-01</t>
        </is>
      </c>
      <c r="K128" s="11" t="inlineStr">
        <is>
          <t>查询（lookup） p99&lt;200μs；100并发吞吐提升≥8x；匹配正确率100%</t>
        </is>
      </c>
      <c r="L128" s="11" t="n"/>
      <c r="M128" s="11" t="inlineStr">
        <is>
          <t>SR23-02-01-01</t>
        </is>
      </c>
      <c r="N128" s="11" t="inlineStr">
        <is>
          <t>P1</t>
        </is>
      </c>
      <c r="O128" s="11" t="inlineStr">
        <is>
          <t>P0 子集 + P1 完整</t>
        </is>
      </c>
      <c r="P128" s="11" t="inlineStr">
        <is>
          <t>待认领</t>
        </is>
      </c>
      <c r="Q128" s="11" t="n"/>
      <c r="R128" s="11" t="n"/>
      <c r="S128" s="11">
        <f>IF(COUNTIF($A$5:$A$207,A128)=1,"PASS","FAIL")</f>
        <v/>
      </c>
      <c r="T128" s="11">
        <f>IF(COUNTIF('SR系统设计'!$A$5:$A$42,B128)=1,"PASS","FAIL")</f>
        <v/>
      </c>
    </row>
    <row r="129" ht="72" customHeight="1">
      <c r="A129" s="11" t="inlineStr">
        <is>
          <t>AR23-02-03-01-02</t>
        </is>
      </c>
      <c r="B129" s="11" t="inlineStr">
        <is>
          <t>SR23-02-03-01</t>
        </is>
      </c>
      <c r="C129" s="11" t="inlineStr">
        <is>
          <t>接口契约</t>
        </is>
      </c>
      <c r="D129" s="11" t="inlineStr">
        <is>
          <t>跨框架低时延 前缀匹配引擎（Prefix Match Engine）｜接口契约</t>
        </is>
      </c>
      <c r="E129" s="11" t="inlineStr">
        <is>
          <t>前缀算法组</t>
        </is>
      </c>
      <c r="F129" s="11" t="inlineStr">
        <is>
          <t>api/kvcache/v23/prefix_engine.proto + src/index/prefix_match/api.{h,cc}</t>
        </is>
      </c>
      <c r="G129" s="11" t="inlineStr">
        <is>
          <t>冻结并实现接口/IDL、版本兼容、输入输出、错误码与 消费者（consumer） 示例：match(tokens, semanticIdentity)→PrefixMatchResult</t>
        </is>
      </c>
      <c r="H129" s="11" t="inlineStr">
        <is>
          <t>接口契约对应的可审查代码/IDL/配置/文档</t>
        </is>
      </c>
      <c r="I129" s="11" t="inlineStr">
        <is>
          <t>代码通过编译、静态检查和单元测试；接口/配置有版本；失败语义和 功能开关（feature flag） 可验证。</t>
        </is>
      </c>
      <c r="J129" s="11" t="inlineStr">
        <is>
          <t>ctest -R prefix_engine &amp;&amp; run_contract_check --sr SR23-02-03-01</t>
        </is>
      </c>
      <c r="K129" s="11" t="inlineStr">
        <is>
          <t>查询（lookup） p99&lt;200μs；100并发吞吐提升≥8x；匹配正确率100%</t>
        </is>
      </c>
      <c r="L129" s="11" t="inlineStr">
        <is>
          <t>AR23-02-03-01-01</t>
        </is>
      </c>
      <c r="M129" s="11" t="inlineStr">
        <is>
          <t>SR23-02-01-01</t>
        </is>
      </c>
      <c r="N129" s="11" t="inlineStr">
        <is>
          <t>P1</t>
        </is>
      </c>
      <c r="O129" s="11" t="inlineStr">
        <is>
          <t>P0 子集 + P1 完整</t>
        </is>
      </c>
      <c r="P129" s="11" t="inlineStr">
        <is>
          <t>待认领</t>
        </is>
      </c>
      <c r="Q129" s="11" t="n"/>
      <c r="R129" s="11" t="n"/>
      <c r="S129" s="11">
        <f>IF(COUNTIF($A$5:$A$207,A129)=1,"PASS","FAIL")</f>
        <v/>
      </c>
      <c r="T129" s="11">
        <f>IF(COUNTIF('SR系统设计'!$A$5:$A$42,B129)=1,"PASS","FAIL")</f>
        <v/>
      </c>
    </row>
    <row r="130" ht="72" customHeight="1">
      <c r="A130" s="11" t="inlineStr">
        <is>
          <t>AR23-02-03-01-03</t>
        </is>
      </c>
      <c r="B130" s="11" t="inlineStr">
        <is>
          <t>SR23-02-03-01</t>
        </is>
      </c>
      <c r="C130" s="11" t="inlineStr">
        <is>
          <t>状态模型</t>
        </is>
      </c>
      <c r="D130" s="11" t="inlineStr">
        <is>
          <t>跨框架低时延 前缀匹配引擎（Prefix Match Engine）｜状态模型</t>
        </is>
      </c>
      <c r="E130" s="11" t="inlineStr">
        <is>
          <t>前缀算法组</t>
        </is>
      </c>
      <c r="F130" s="11" t="inlineStr">
        <is>
          <t>src/index/prefix_match/state_model.{h,cc}</t>
        </is>
      </c>
      <c r="G130" s="11" t="inlineStr">
        <is>
          <t>实现状态、版本、并发互锁和持久/内存数据模型，覆盖正常转换与非法转换保护。</t>
        </is>
      </c>
      <c r="H130" s="11" t="inlineStr">
        <is>
          <t>状态模型对应的可审查代码/IDL/配置/文档</t>
        </is>
      </c>
      <c r="I130" s="11" t="inlineStr">
        <is>
          <t>代码通过编译、静态检查和单元测试；接口/配置有版本；失败语义和 功能开关（feature flag） 可验证。</t>
        </is>
      </c>
      <c r="J130" s="11" t="inlineStr">
        <is>
          <t>ctest -R prefix_engine &amp;&amp; run_contract_check --sr SR23-02-03-01</t>
        </is>
      </c>
      <c r="K130" s="11" t="inlineStr">
        <is>
          <t>查询（lookup） p99&lt;200μs；100并发吞吐提升≥8x；匹配正确率100%</t>
        </is>
      </c>
      <c r="L130" s="11" t="inlineStr">
        <is>
          <t>AR23-02-03-01-02</t>
        </is>
      </c>
      <c r="M130" s="11" t="inlineStr">
        <is>
          <t>SR23-02-01-01</t>
        </is>
      </c>
      <c r="N130" s="11" t="inlineStr">
        <is>
          <t>P1</t>
        </is>
      </c>
      <c r="O130" s="11" t="inlineStr">
        <is>
          <t>P0 子集 + P1 完整</t>
        </is>
      </c>
      <c r="P130" s="11" t="inlineStr">
        <is>
          <t>待认领</t>
        </is>
      </c>
      <c r="Q130" s="11" t="n"/>
      <c r="R130" s="11" t="n"/>
      <c r="S130" s="11">
        <f>IF(COUNTIF($A$5:$A$207,A130)=1,"PASS","FAIL")</f>
        <v/>
      </c>
      <c r="T130" s="11">
        <f>IF(COUNTIF('SR系统设计'!$A$5:$A$42,B130)=1,"PASS","FAIL")</f>
        <v/>
      </c>
    </row>
    <row r="131" ht="72" customHeight="1">
      <c r="A131" s="11" t="inlineStr">
        <is>
          <t>AR23-02-03-01-04</t>
        </is>
      </c>
      <c r="B131" s="11" t="inlineStr">
        <is>
          <t>SR23-02-03-01</t>
        </is>
      </c>
      <c r="C131" s="11" t="inlineStr">
        <is>
          <t>异常回滚</t>
        </is>
      </c>
      <c r="D131" s="11" t="inlineStr">
        <is>
          <t>跨框架低时延 前缀匹配引擎（Prefix Match Engine）｜异常回滚</t>
        </is>
      </c>
      <c r="E131" s="11" t="inlineStr">
        <is>
          <t>前缀算法组</t>
        </is>
      </c>
      <c r="F131" s="11" t="inlineStr">
        <is>
          <t>src/index/prefix_match/fallback.{h,cc} + config/feature_flags/prefix_engine.yaml</t>
        </is>
      </c>
      <c r="G131" s="11" t="inlineStr">
        <is>
          <t>实现并验证失败、超时、取消、降级、回滚与关闭路径：加速实现不可用时使用 参考匹配器（reference matcher）；不得返回未经语义校验的候选</t>
        </is>
      </c>
      <c r="H131" s="11" t="inlineStr">
        <is>
          <t>异常回滚对应的可审查代码/IDL/配置/文档</t>
        </is>
      </c>
      <c r="I131" s="11" t="inlineStr">
        <is>
          <t>代码通过编译、静态检查和单元测试；接口/配置有版本；失败语义和 功能开关（feature flag） 可验证。</t>
        </is>
      </c>
      <c r="J131" s="11" t="inlineStr">
        <is>
          <t>ctest -R prefix_engine &amp;&amp; run_contract_check --sr SR23-02-03-01</t>
        </is>
      </c>
      <c r="K131" s="11" t="inlineStr">
        <is>
          <t>查询（lookup） p99&lt;200μs；100并发吞吐提升≥8x；匹配正确率100%</t>
        </is>
      </c>
      <c r="L131" s="11" t="inlineStr">
        <is>
          <t>AR23-02-03-01-03</t>
        </is>
      </c>
      <c r="M131" s="11" t="inlineStr">
        <is>
          <t>SR23-02-01-01</t>
        </is>
      </c>
      <c r="N131" s="11" t="inlineStr">
        <is>
          <t>P1</t>
        </is>
      </c>
      <c r="O131" s="11" t="inlineStr">
        <is>
          <t>P0 子集 + P1 完整</t>
        </is>
      </c>
      <c r="P131" s="11" t="inlineStr">
        <is>
          <t>待认领</t>
        </is>
      </c>
      <c r="Q131" s="11" t="n"/>
      <c r="R131" s="11" t="n"/>
      <c r="S131" s="11">
        <f>IF(COUNTIF($A$5:$A$207,A131)=1,"PASS","FAIL")</f>
        <v/>
      </c>
      <c r="T131" s="11">
        <f>IF(COUNTIF('SR系统设计'!$A$5:$A$42,B131)=1,"PASS","FAIL")</f>
        <v/>
      </c>
    </row>
    <row r="132" ht="72" customHeight="1">
      <c r="A132" s="11" t="inlineStr">
        <is>
          <t>AR23-02-03-01-05</t>
        </is>
      </c>
      <c r="B132" s="11" t="inlineStr">
        <is>
          <t>SR23-02-03-01</t>
        </is>
      </c>
      <c r="C132" s="11" t="inlineStr">
        <is>
          <t>独立验收</t>
        </is>
      </c>
      <c r="D132" s="11" t="inlineStr">
        <is>
          <t>跨框架低时延 前缀匹配引擎（Prefix Match Engine）｜独立验收</t>
        </is>
      </c>
      <c r="E132" s="11" t="inlineStr">
        <is>
          <t>测试/验收负责人</t>
        </is>
      </c>
      <c r="F132" s="11" t="inlineStr">
        <is>
          <t>tests/prefix_engine/ + benchmarks/prefix_engine/ + evidence/prefix_engine/manifest.yaml</t>
        </is>
      </c>
      <c r="G132" s="11" t="inlineStr">
        <is>
          <t>建立不依赖全项目的验收环境，执行功能、异常、兼容和性能门禁并生成可签字证据包。</t>
        </is>
      </c>
      <c r="H132" s="11" t="inlineStr">
        <is>
          <t>版本化测试结果、原始证据、Go/Conditional/No-Go 结论</t>
        </is>
      </c>
      <c r="I132" s="11" t="inlineStr">
        <is>
          <t>在“固定索引 测试夹具（fixture） + 并发查询即可独立验收”中完成主路径、异常、兼容和回滚；全部证据可一键复现。</t>
        </is>
      </c>
      <c r="J132" s="11" t="inlineStr">
        <is>
          <t>run_sr_acceptance --sr SR23-02-03-01 --baseline locked</t>
        </is>
      </c>
      <c r="K132" s="11" t="inlineStr">
        <is>
          <t>查询（lookup） p99&lt;200μs；100并发吞吐提升≥8x；匹配正确率100%</t>
        </is>
      </c>
      <c r="L132" s="11" t="inlineStr">
        <is>
          <t>AR23-02-03-01-04</t>
        </is>
      </c>
      <c r="M132" s="11" t="inlineStr">
        <is>
          <t>SR23-02-01-01</t>
        </is>
      </c>
      <c r="N132" s="11" t="inlineStr">
        <is>
          <t>P1</t>
        </is>
      </c>
      <c r="O132" s="11" t="inlineStr">
        <is>
          <t>P0 子集 + P1 完整</t>
        </is>
      </c>
      <c r="P132" s="11" t="inlineStr">
        <is>
          <t>待认领</t>
        </is>
      </c>
      <c r="Q132" s="11" t="n"/>
      <c r="R132" s="11" t="n"/>
      <c r="S132" s="11">
        <f>IF(COUNTIF($A$5:$A$207,A132)=1,"PASS","FAIL")</f>
        <v/>
      </c>
      <c r="T132" s="11">
        <f>IF(COUNTIF('SR系统设计'!$A$5:$A$42,B132)=1,"PASS","FAIL")</f>
        <v/>
      </c>
    </row>
    <row r="133" ht="72" customHeight="1">
      <c r="A133" s="11" t="inlineStr">
        <is>
          <t>AR23-02-03-01-06</t>
        </is>
      </c>
      <c r="B133" s="11" t="inlineStr">
        <is>
          <t>SR23-02-03-01</t>
        </is>
      </c>
      <c r="C133" s="11" t="inlineStr">
        <is>
          <t>性能观测</t>
        </is>
      </c>
      <c r="D133" s="11" t="inlineStr">
        <is>
          <t>跨框架低时延 前缀匹配引擎（Prefix Match Engine）｜性能观测</t>
        </is>
      </c>
      <c r="E133" s="11" t="inlineStr">
        <is>
          <t>性能与可观测负责人</t>
        </is>
      </c>
      <c r="F133" s="11" t="inlineStr">
        <is>
          <t>src/index/prefix_match/telemetry.{h,cc} + 仪表板（dashboards）/prefix_engine.json</t>
        </is>
      </c>
      <c r="G133" s="11" t="inlineStr">
        <is>
          <t>接入统一 遥测数据（telemetry），建立本 SR 专属性能/资源/正确性指标和回归阈值：查询（lookup） p99&lt;200μs；100并发吞吐提升≥8x；匹配正确率100%</t>
        </is>
      </c>
      <c r="H133" s="11" t="inlineStr">
        <is>
          <t>性能观测对应的可审查代码/IDL/配置/文档</t>
        </is>
      </c>
      <c r="I133" s="11" t="inlineStr">
        <is>
          <t>代码通过编译、静态检查和单元测试；接口/配置有版本；失败语义和 功能开关（feature flag） 可验证。</t>
        </is>
      </c>
      <c r="J133" s="11" t="inlineStr">
        <is>
          <t>ctest -R prefix_engine &amp;&amp; run_contract_check --sr SR23-02-03-01</t>
        </is>
      </c>
      <c r="K133" s="11" t="inlineStr">
        <is>
          <t>查询（lookup） p99&lt;200μs；100并发吞吐提升≥8x；匹配正确率100%</t>
        </is>
      </c>
      <c r="L133" s="11" t="inlineStr">
        <is>
          <t>AR23-02-03-01-05</t>
        </is>
      </c>
      <c r="M133" s="11" t="inlineStr">
        <is>
          <t>SR23-02-01-01</t>
        </is>
      </c>
      <c r="N133" s="11" t="inlineStr">
        <is>
          <t>P1</t>
        </is>
      </c>
      <c r="O133" s="11" t="inlineStr">
        <is>
          <t>P0 子集 + P1 完整</t>
        </is>
      </c>
      <c r="P133" s="11" t="inlineStr">
        <is>
          <t>待认领</t>
        </is>
      </c>
      <c r="Q133" s="11" t="n"/>
      <c r="R133" s="11" t="n"/>
      <c r="S133" s="11">
        <f>IF(COUNTIF($A$5:$A$207,A133)=1,"PASS","FAIL")</f>
        <v/>
      </c>
      <c r="T133" s="11">
        <f>IF(COUNTIF('SR系统设计'!$A$5:$A$42,B133)=1,"PASS","FAIL")</f>
        <v/>
      </c>
    </row>
    <row r="134" ht="72" customHeight="1">
      <c r="A134" s="11" t="inlineStr">
        <is>
          <t>AR23-02-04-01-01</t>
        </is>
      </c>
      <c r="B134" s="11" t="inlineStr">
        <is>
          <t>SR23-02-04-01</t>
        </is>
      </c>
      <c r="C134" s="11" t="inlineStr">
        <is>
          <t>核心实现</t>
        </is>
      </c>
      <c r="D134" s="11" t="inlineStr">
        <is>
          <t>本地元数据缓存与批量快判组件｜核心实现</t>
        </is>
      </c>
      <c r="E134" s="11" t="inlineStr">
        <is>
          <t>本地元数据快路径组</t>
        </is>
      </c>
      <c r="F134" s="11" t="inlineStr">
        <is>
          <t>src/index/local_metadata/core.{h,cc}</t>
        </is>
      </c>
      <c r="G134" s="11" t="inlineStr">
        <is>
          <t>实现“本地元数据缓存与批量快判组件”的可运行主路径，交付 local-metadata-cache、负缓存（Negative Cache）、批量/范围查询（Batch/Range Lookup） 和 新鲜度防护（freshness guard） 的核心代码、构建入口和最小示例。</t>
        </is>
      </c>
      <c r="H134" s="11" t="inlineStr">
        <is>
          <t>核心实现对应的可审查代码/IDL/配置/文档</t>
        </is>
      </c>
      <c r="I134" s="11" t="inlineStr">
        <is>
          <t>代码通过编译、静态检查和单元测试；接口/配置有版本；失败语义和 功能开关（feature flag） 可验证。</t>
        </is>
      </c>
      <c r="J134" s="11" t="inlineStr">
        <is>
          <t>ctest -R local_metadata &amp;&amp; run_contract_check --sr SR23-02-04-01</t>
        </is>
      </c>
      <c r="K134" s="11" t="inlineStr">
        <is>
          <t>本地命中&lt;10μs；确定 miss p99&lt;5μs；远端查询QPS降低≥50%；FPR&lt;0.1%</t>
        </is>
      </c>
      <c r="L134" s="11" t="n"/>
      <c r="M134" s="11" t="inlineStr">
        <is>
          <t>SR23-02-03-01、SR23-02-05-01</t>
        </is>
      </c>
      <c r="N134" s="11" t="inlineStr">
        <is>
          <t>P0</t>
        </is>
      </c>
      <c r="O134" s="11" t="inlineStr">
        <is>
          <t>P0</t>
        </is>
      </c>
      <c r="P134" s="11" t="inlineStr">
        <is>
          <t>待认领</t>
        </is>
      </c>
      <c r="Q134" s="11" t="n"/>
      <c r="R134" s="11" t="n"/>
      <c r="S134" s="11">
        <f>IF(COUNTIF($A$5:$A$207,A134)=1,"PASS","FAIL")</f>
        <v/>
      </c>
      <c r="T134" s="11">
        <f>IF(COUNTIF('SR系统设计'!$A$5:$A$42,B134)=1,"PASS","FAIL")</f>
        <v/>
      </c>
    </row>
    <row r="135" ht="72" customHeight="1">
      <c r="A135" s="11" t="inlineStr">
        <is>
          <t>AR23-02-04-01-02</t>
        </is>
      </c>
      <c r="B135" s="11" t="inlineStr">
        <is>
          <t>SR23-02-04-01</t>
        </is>
      </c>
      <c r="C135" s="11" t="inlineStr">
        <is>
          <t>接口契约</t>
        </is>
      </c>
      <c r="D135" s="11" t="inlineStr">
        <is>
          <t>本地元数据缓存与批量快判组件｜接口契约</t>
        </is>
      </c>
      <c r="E135" s="11" t="inlineStr">
        <is>
          <t>本地元数据快路径组</t>
        </is>
      </c>
      <c r="F135" s="11" t="inlineStr">
        <is>
          <t>api/kvcache/v23/local_metadata.proto + src/index/local_metadata/api.{h,cc}</t>
        </is>
      </c>
      <c r="G135" s="11" t="inlineStr">
        <is>
          <t>冻结并实现接口/IDL、版本兼容、输入输出、错误码与 消费者（consumer） 示例：查询（lookup）/batchLookup、NegativeResult、FreshnessEvidence</t>
        </is>
      </c>
      <c r="H135" s="11" t="inlineStr">
        <is>
          <t>接口契约对应的可审查代码/IDL/配置/文档</t>
        </is>
      </c>
      <c r="I135" s="11" t="inlineStr">
        <is>
          <t>代码通过编译、静态检查和单元测试；接口/配置有版本；失败语义和 功能开关（feature flag） 可验证。</t>
        </is>
      </c>
      <c r="J135" s="11" t="inlineStr">
        <is>
          <t>ctest -R local_metadata &amp;&amp; run_contract_check --sr SR23-02-04-01</t>
        </is>
      </c>
      <c r="K135" s="11" t="inlineStr">
        <is>
          <t>本地命中&lt;10μs；确定 miss p99&lt;5μs；远端查询QPS降低≥50%；FPR&lt;0.1%</t>
        </is>
      </c>
      <c r="L135" s="11" t="inlineStr">
        <is>
          <t>AR23-02-04-01-01</t>
        </is>
      </c>
      <c r="M135" s="11" t="inlineStr">
        <is>
          <t>SR23-02-03-01、SR23-02-05-01</t>
        </is>
      </c>
      <c r="N135" s="11" t="inlineStr">
        <is>
          <t>P0</t>
        </is>
      </c>
      <c r="O135" s="11" t="inlineStr">
        <is>
          <t>P0</t>
        </is>
      </c>
      <c r="P135" s="11" t="inlineStr">
        <is>
          <t>待认领</t>
        </is>
      </c>
      <c r="Q135" s="11" t="n"/>
      <c r="R135" s="11" t="n"/>
      <c r="S135" s="11">
        <f>IF(COUNTIF($A$5:$A$207,A135)=1,"PASS","FAIL")</f>
        <v/>
      </c>
      <c r="T135" s="11">
        <f>IF(COUNTIF('SR系统设计'!$A$5:$A$42,B135)=1,"PASS","FAIL")</f>
        <v/>
      </c>
    </row>
    <row r="136" ht="72" customHeight="1">
      <c r="A136" s="11" t="inlineStr">
        <is>
          <t>AR23-02-04-01-03</t>
        </is>
      </c>
      <c r="B136" s="11" t="inlineStr">
        <is>
          <t>SR23-02-04-01</t>
        </is>
      </c>
      <c r="C136" s="11" t="inlineStr">
        <is>
          <t>状态模型</t>
        </is>
      </c>
      <c r="D136" s="11" t="inlineStr">
        <is>
          <t>本地元数据缓存与批量快判组件｜状态模型</t>
        </is>
      </c>
      <c r="E136" s="11" t="inlineStr">
        <is>
          <t>本地元数据快路径组</t>
        </is>
      </c>
      <c r="F136" s="11" t="inlineStr">
        <is>
          <t>src/index/local_metadata/state_model.{h,cc}</t>
        </is>
      </c>
      <c r="G136" s="11" t="inlineStr">
        <is>
          <t>实现状态、版本、并发互锁和持久/内存数据模型，覆盖正常转换与非法转换保护。</t>
        </is>
      </c>
      <c r="H136" s="11" t="inlineStr">
        <is>
          <t>状态模型对应的可审查代码/IDL/配置/文档</t>
        </is>
      </c>
      <c r="I136" s="11" t="inlineStr">
        <is>
          <t>代码通过编译、静态检查和单元测试；接口/配置有版本；失败语义和 功能开关（feature flag） 可验证。</t>
        </is>
      </c>
      <c r="J136" s="11" t="inlineStr">
        <is>
          <t>ctest -R local_metadata &amp;&amp; run_contract_check --sr SR23-02-04-01</t>
        </is>
      </c>
      <c r="K136" s="11" t="inlineStr">
        <is>
          <t>本地命中&lt;10μs；确定 miss p99&lt;5μs；远端查询QPS降低≥50%；FPR&lt;0.1%</t>
        </is>
      </c>
      <c r="L136" s="11" t="inlineStr">
        <is>
          <t>AR23-02-04-01-02</t>
        </is>
      </c>
      <c r="M136" s="11" t="inlineStr">
        <is>
          <t>SR23-02-03-01、SR23-02-05-01</t>
        </is>
      </c>
      <c r="N136" s="11" t="inlineStr">
        <is>
          <t>P0</t>
        </is>
      </c>
      <c r="O136" s="11" t="inlineStr">
        <is>
          <t>P0</t>
        </is>
      </c>
      <c r="P136" s="11" t="inlineStr">
        <is>
          <t>待认领</t>
        </is>
      </c>
      <c r="Q136" s="11" t="n"/>
      <c r="R136" s="11" t="n"/>
      <c r="S136" s="11">
        <f>IF(COUNTIF($A$5:$A$207,A136)=1,"PASS","FAIL")</f>
        <v/>
      </c>
      <c r="T136" s="11">
        <f>IF(COUNTIF('SR系统设计'!$A$5:$A$42,B136)=1,"PASS","FAIL")</f>
        <v/>
      </c>
    </row>
    <row r="137" ht="72" customHeight="1">
      <c r="A137" s="11" t="inlineStr">
        <is>
          <t>AR23-02-04-01-04</t>
        </is>
      </c>
      <c r="B137" s="11" t="inlineStr">
        <is>
          <t>SR23-02-04-01</t>
        </is>
      </c>
      <c r="C137" s="11" t="inlineStr">
        <is>
          <t>异常回滚</t>
        </is>
      </c>
      <c r="D137" s="11" t="inlineStr">
        <is>
          <t>本地元数据缓存与批量快判组件｜异常回滚</t>
        </is>
      </c>
      <c r="E137" s="11" t="inlineStr">
        <is>
          <t>本地元数据快路径组</t>
        </is>
      </c>
      <c r="F137" s="11" t="inlineStr">
        <is>
          <t>src/index/local_metadata/fallback.{h,cc} + config/feature_flags/local_metadata.yaml</t>
        </is>
      </c>
      <c r="G137" s="11" t="inlineStr">
        <is>
          <t>实现并验证失败、超时、取消、降级、回滚与关闭路径：缓存过期或不确定时发起精确查询；禁止将 陈旧（stale） 数据作为 可用命中（usable hit）</t>
        </is>
      </c>
      <c r="H137" s="11" t="inlineStr">
        <is>
          <t>异常回滚对应的可审查代码/IDL/配置/文档</t>
        </is>
      </c>
      <c r="I137" s="11" t="inlineStr">
        <is>
          <t>代码通过编译、静态检查和单元测试；接口/配置有版本；失败语义和 功能开关（feature flag） 可验证。</t>
        </is>
      </c>
      <c r="J137" s="11" t="inlineStr">
        <is>
          <t>ctest -R local_metadata &amp;&amp; run_contract_check --sr SR23-02-04-01</t>
        </is>
      </c>
      <c r="K137" s="11" t="inlineStr">
        <is>
          <t>本地命中&lt;10μs；确定 miss p99&lt;5μs；远端查询QPS降低≥50%；FPR&lt;0.1%</t>
        </is>
      </c>
      <c r="L137" s="11" t="inlineStr">
        <is>
          <t>AR23-02-04-01-03</t>
        </is>
      </c>
      <c r="M137" s="11" t="inlineStr">
        <is>
          <t>SR23-02-03-01、SR23-02-05-01</t>
        </is>
      </c>
      <c r="N137" s="11" t="inlineStr">
        <is>
          <t>P0</t>
        </is>
      </c>
      <c r="O137" s="11" t="inlineStr">
        <is>
          <t>P0</t>
        </is>
      </c>
      <c r="P137" s="11" t="inlineStr">
        <is>
          <t>待认领</t>
        </is>
      </c>
      <c r="Q137" s="11" t="n"/>
      <c r="R137" s="11" t="n"/>
      <c r="S137" s="11">
        <f>IF(COUNTIF($A$5:$A$207,A137)=1,"PASS","FAIL")</f>
        <v/>
      </c>
      <c r="T137" s="11">
        <f>IF(COUNTIF('SR系统设计'!$A$5:$A$42,B137)=1,"PASS","FAIL")</f>
        <v/>
      </c>
    </row>
    <row r="138" ht="72" customHeight="1">
      <c r="A138" s="11" t="inlineStr">
        <is>
          <t>AR23-02-04-01-05</t>
        </is>
      </c>
      <c r="B138" s="11" t="inlineStr">
        <is>
          <t>SR23-02-04-01</t>
        </is>
      </c>
      <c r="C138" s="11" t="inlineStr">
        <is>
          <t>独立验收</t>
        </is>
      </c>
      <c r="D138" s="11" t="inlineStr">
        <is>
          <t>本地元数据缓存与批量快判组件｜独立验收</t>
        </is>
      </c>
      <c r="E138" s="11" t="inlineStr">
        <is>
          <t>测试/验收负责人</t>
        </is>
      </c>
      <c r="F138" s="11" t="inlineStr">
        <is>
          <t>tests/local_metadata/ + benchmarks/local_metadata/ + evidence/local_metadata/manifest.yaml</t>
        </is>
      </c>
      <c r="G138" s="11" t="inlineStr">
        <is>
          <t>建立不依赖全项目的验收环境，执行功能、异常、兼容和性能门禁并生成可签字证据包。</t>
        </is>
      </c>
      <c r="H138" s="11" t="inlineStr">
        <is>
          <t>版本化测试结果、原始证据、Go/Conditional/No-Go 结论</t>
        </is>
      </c>
      <c r="I138" s="11" t="inlineStr">
        <is>
          <t>在“内存数据集 + fake 远端目录（remote directory） 即可独立验收”中完成主路径、异常、兼容和回滚；全部证据可一键复现。</t>
        </is>
      </c>
      <c r="J138" s="11" t="inlineStr">
        <is>
          <t>run_sr_acceptance --sr SR23-02-04-01 --baseline locked</t>
        </is>
      </c>
      <c r="K138" s="11" t="inlineStr">
        <is>
          <t>本地命中&lt;10μs；确定 miss p99&lt;5μs；远端查询QPS降低≥50%；FPR&lt;0.1%</t>
        </is>
      </c>
      <c r="L138" s="11" t="inlineStr">
        <is>
          <t>AR23-02-04-01-04</t>
        </is>
      </c>
      <c r="M138" s="11" t="inlineStr">
        <is>
          <t>SR23-02-03-01、SR23-02-05-01</t>
        </is>
      </c>
      <c r="N138" s="11" t="inlineStr">
        <is>
          <t>P0</t>
        </is>
      </c>
      <c r="O138" s="11" t="inlineStr">
        <is>
          <t>P0</t>
        </is>
      </c>
      <c r="P138" s="11" t="inlineStr">
        <is>
          <t>待认领</t>
        </is>
      </c>
      <c r="Q138" s="11" t="n"/>
      <c r="R138" s="11" t="n"/>
      <c r="S138" s="11">
        <f>IF(COUNTIF($A$5:$A$207,A138)=1,"PASS","FAIL")</f>
        <v/>
      </c>
      <c r="T138" s="11">
        <f>IF(COUNTIF('SR系统设计'!$A$5:$A$42,B138)=1,"PASS","FAIL")</f>
        <v/>
      </c>
    </row>
    <row r="139" ht="72" customHeight="1">
      <c r="A139" s="11" t="inlineStr">
        <is>
          <t>AR23-02-05-01-01</t>
        </is>
      </c>
      <c r="B139" s="11" t="inlineStr">
        <is>
          <t>SR23-02-05-01</t>
        </is>
      </c>
      <c r="C139" s="11" t="inlineStr">
        <is>
          <t>核心实现</t>
        </is>
      </c>
      <c r="D139" s="11" t="inlineStr">
        <is>
          <t>集群 前缀目录（PrefixDirectory） 核心与高可用服务｜核心实现</t>
        </is>
      </c>
      <c r="E139" s="11" t="inlineStr">
        <is>
          <t>分布式目录服务组</t>
        </is>
      </c>
      <c r="F139" s="11" t="inlineStr">
        <is>
          <t>src/directory/core/core.{h,cc}</t>
        </is>
      </c>
      <c r="G139" s="11" t="inlineStr">
        <is>
          <t>实现“集群 前缀目录（PrefixDirectory） 核心与高可用服务”的可运行主路径，交付 prefix-directory-service、模式（schema）、分片/复制/镜像、发布（publish）/invalidate API 的核心代码、构建入口和最小示例。</t>
        </is>
      </c>
      <c r="H139" s="11" t="inlineStr">
        <is>
          <t>核心实现对应的可审查代码/IDL/配置/文档</t>
        </is>
      </c>
      <c r="I139" s="11" t="inlineStr">
        <is>
          <t>代码通过编译、静态检查和单元测试；接口/配置有版本；失败语义和 功能开关（feature flag） 可验证。</t>
        </is>
      </c>
      <c r="J139" s="11" t="inlineStr">
        <is>
          <t>ctest -R directory_core &amp;&amp; run_contract_check --sr SR23-02-05-01</t>
        </is>
      </c>
      <c r="K139" s="11" t="inlineStr">
        <is>
          <t>可用性≥99.99%；陈旧命中（stale hit）=0；发布可见性一致；故障切换不丢记录</t>
        </is>
      </c>
      <c r="L139" s="11" t="n"/>
      <c r="M139" s="11" t="inlineStr">
        <is>
          <t>SR23-01-11-01</t>
        </is>
      </c>
      <c r="N139" s="11" t="inlineStr">
        <is>
          <t>P0</t>
        </is>
      </c>
      <c r="O139" s="11" t="inlineStr">
        <is>
          <t>P0</t>
        </is>
      </c>
      <c r="P139" s="11" t="inlineStr">
        <is>
          <t>待认领</t>
        </is>
      </c>
      <c r="Q139" s="11" t="n"/>
      <c r="R139" s="11" t="n"/>
      <c r="S139" s="11">
        <f>IF(COUNTIF($A$5:$A$207,A139)=1,"PASS","FAIL")</f>
        <v/>
      </c>
      <c r="T139" s="11">
        <f>IF(COUNTIF('SR系统设计'!$A$5:$A$42,B139)=1,"PASS","FAIL")</f>
        <v/>
      </c>
    </row>
    <row r="140" ht="72" customHeight="1">
      <c r="A140" s="11" t="inlineStr">
        <is>
          <t>AR23-02-05-01-02</t>
        </is>
      </c>
      <c r="B140" s="11" t="inlineStr">
        <is>
          <t>SR23-02-05-01</t>
        </is>
      </c>
      <c r="C140" s="11" t="inlineStr">
        <is>
          <t>接口契约</t>
        </is>
      </c>
      <c r="D140" s="11" t="inlineStr">
        <is>
          <t>集群 前缀目录（PrefixDirectory） 核心与高可用服务｜接口契约</t>
        </is>
      </c>
      <c r="E140" s="11" t="inlineStr">
        <is>
          <t>分布式目录服务组</t>
        </is>
      </c>
      <c r="F140" s="11" t="inlineStr">
        <is>
          <t>api/kvcache/v23/directory_core.proto + src/directory/core/api.{h,cc}</t>
        </is>
      </c>
      <c r="G140" s="11" t="inlineStr">
        <is>
          <t>冻结并实现接口/IDL、版本兼容、输入输出、错误码与 消费者（consumer） 示例：publish/invalidate/queryReplica、DirectoryRecord、version/墓碑标记（tombstone）</t>
        </is>
      </c>
      <c r="H140" s="11" t="inlineStr">
        <is>
          <t>接口契约对应的可审查代码/IDL/配置/文档</t>
        </is>
      </c>
      <c r="I140" s="11" t="inlineStr">
        <is>
          <t>代码通过编译、静态检查和单元测试；接口/配置有版本；失败语义和 功能开关（feature flag） 可验证。</t>
        </is>
      </c>
      <c r="J140" s="11" t="inlineStr">
        <is>
          <t>ctest -R directory_core &amp;&amp; run_contract_check --sr SR23-02-05-01</t>
        </is>
      </c>
      <c r="K140" s="11" t="inlineStr">
        <is>
          <t>可用性≥99.99%；陈旧命中（stale hit）=0；发布可见性一致；故障切换不丢记录</t>
        </is>
      </c>
      <c r="L140" s="11" t="inlineStr">
        <is>
          <t>AR23-02-05-01-01</t>
        </is>
      </c>
      <c r="M140" s="11" t="inlineStr">
        <is>
          <t>SR23-01-11-01</t>
        </is>
      </c>
      <c r="N140" s="11" t="inlineStr">
        <is>
          <t>P0</t>
        </is>
      </c>
      <c r="O140" s="11" t="inlineStr">
        <is>
          <t>P0</t>
        </is>
      </c>
      <c r="P140" s="11" t="inlineStr">
        <is>
          <t>待认领</t>
        </is>
      </c>
      <c r="Q140" s="11" t="n"/>
      <c r="R140" s="11" t="n"/>
      <c r="S140" s="11">
        <f>IF(COUNTIF($A$5:$A$207,A140)=1,"PASS","FAIL")</f>
        <v/>
      </c>
      <c r="T140" s="11">
        <f>IF(COUNTIF('SR系统设计'!$A$5:$A$42,B140)=1,"PASS","FAIL")</f>
        <v/>
      </c>
    </row>
    <row r="141" ht="72" customHeight="1">
      <c r="A141" s="11" t="inlineStr">
        <is>
          <t>AR23-02-05-01-03</t>
        </is>
      </c>
      <c r="B141" s="11" t="inlineStr">
        <is>
          <t>SR23-02-05-01</t>
        </is>
      </c>
      <c r="C141" s="11" t="inlineStr">
        <is>
          <t>状态模型</t>
        </is>
      </c>
      <c r="D141" s="11" t="inlineStr">
        <is>
          <t>集群 前缀目录（PrefixDirectory） 核心与高可用服务｜状态模型</t>
        </is>
      </c>
      <c r="E141" s="11" t="inlineStr">
        <is>
          <t>分布式目录服务组</t>
        </is>
      </c>
      <c r="F141" s="11" t="inlineStr">
        <is>
          <t>src/directory/core/state_model.{h,cc}</t>
        </is>
      </c>
      <c r="G141" s="11" t="inlineStr">
        <is>
          <t>实现状态、版本、并发互锁和持久/内存数据模型，覆盖正常转换与非法转换保护。</t>
        </is>
      </c>
      <c r="H141" s="11" t="inlineStr">
        <is>
          <t>状态模型对应的可审查代码/IDL/配置/文档</t>
        </is>
      </c>
      <c r="I141" s="11" t="inlineStr">
        <is>
          <t>代码通过编译、静态检查和单元测试；接口/配置有版本；失败语义和 功能开关（feature flag） 可验证。</t>
        </is>
      </c>
      <c r="J141" s="11" t="inlineStr">
        <is>
          <t>ctest -R directory_core &amp;&amp; run_contract_check --sr SR23-02-05-01</t>
        </is>
      </c>
      <c r="K141" s="11" t="inlineStr">
        <is>
          <t>可用性≥99.99%；陈旧命中（stale hit）=0；发布可见性一致；故障切换不丢记录</t>
        </is>
      </c>
      <c r="L141" s="11" t="inlineStr">
        <is>
          <t>AR23-02-05-01-02</t>
        </is>
      </c>
      <c r="M141" s="11" t="inlineStr">
        <is>
          <t>SR23-01-11-01</t>
        </is>
      </c>
      <c r="N141" s="11" t="inlineStr">
        <is>
          <t>P0</t>
        </is>
      </c>
      <c r="O141" s="11" t="inlineStr">
        <is>
          <t>P0</t>
        </is>
      </c>
      <c r="P141" s="11" t="inlineStr">
        <is>
          <t>待认领</t>
        </is>
      </c>
      <c r="Q141" s="11" t="n"/>
      <c r="R141" s="11" t="n"/>
      <c r="S141" s="11">
        <f>IF(COUNTIF($A$5:$A$207,A141)=1,"PASS","FAIL")</f>
        <v/>
      </c>
      <c r="T141" s="11">
        <f>IF(COUNTIF('SR系统设计'!$A$5:$A$42,B141)=1,"PASS","FAIL")</f>
        <v/>
      </c>
    </row>
    <row r="142" ht="72" customHeight="1">
      <c r="A142" s="11" t="inlineStr">
        <is>
          <t>AR23-02-05-01-04</t>
        </is>
      </c>
      <c r="B142" s="11" t="inlineStr">
        <is>
          <t>SR23-02-05-01</t>
        </is>
      </c>
      <c r="C142" s="11" t="inlineStr">
        <is>
          <t>异常回滚</t>
        </is>
      </c>
      <c r="D142" s="11" t="inlineStr">
        <is>
          <t>集群 前缀目录（PrefixDirectory） 核心与高可用服务｜异常回滚</t>
        </is>
      </c>
      <c r="E142" s="11" t="inlineStr">
        <is>
          <t>分布式目录服务组</t>
        </is>
      </c>
      <c r="F142" s="11" t="inlineStr">
        <is>
          <t>src/directory/core/fallback.{h,cc} + config/feature_flags/directory_core.yaml</t>
        </is>
      </c>
      <c r="G142" s="11" t="inlineStr">
        <is>
          <t>实现并验证失败、超时、取消、降级、回滚与关闭路径：主分片故障切副本；镜像过期强制精确查询；未 就绪状态（ready）/墓碑标记（tombstone） 不返回</t>
        </is>
      </c>
      <c r="H142" s="11" t="inlineStr">
        <is>
          <t>异常回滚对应的可审查代码/IDL/配置/文档</t>
        </is>
      </c>
      <c r="I142" s="11" t="inlineStr">
        <is>
          <t>代码通过编译、静态检查和单元测试；接口/配置有版本；失败语义和 功能开关（feature flag） 可验证。</t>
        </is>
      </c>
      <c r="J142" s="11" t="inlineStr">
        <is>
          <t>ctest -R directory_core &amp;&amp; run_contract_check --sr SR23-02-05-01</t>
        </is>
      </c>
      <c r="K142" s="11" t="inlineStr">
        <is>
          <t>可用性≥99.99%；陈旧命中（stale hit）=0；发布可见性一致；故障切换不丢记录</t>
        </is>
      </c>
      <c r="L142" s="11" t="inlineStr">
        <is>
          <t>AR23-02-05-01-03</t>
        </is>
      </c>
      <c r="M142" s="11" t="inlineStr">
        <is>
          <t>SR23-01-11-01</t>
        </is>
      </c>
      <c r="N142" s="11" t="inlineStr">
        <is>
          <t>P0</t>
        </is>
      </c>
      <c r="O142" s="11" t="inlineStr">
        <is>
          <t>P0</t>
        </is>
      </c>
      <c r="P142" s="11" t="inlineStr">
        <is>
          <t>待认领</t>
        </is>
      </c>
      <c r="Q142" s="11" t="n"/>
      <c r="R142" s="11" t="n"/>
      <c r="S142" s="11">
        <f>IF(COUNTIF($A$5:$A$207,A142)=1,"PASS","FAIL")</f>
        <v/>
      </c>
      <c r="T142" s="11">
        <f>IF(COUNTIF('SR系统设计'!$A$5:$A$42,B142)=1,"PASS","FAIL")</f>
        <v/>
      </c>
    </row>
    <row r="143" ht="72" customHeight="1">
      <c r="A143" s="11" t="inlineStr">
        <is>
          <t>AR23-02-05-01-05</t>
        </is>
      </c>
      <c r="B143" s="11" t="inlineStr">
        <is>
          <t>SR23-02-05-01</t>
        </is>
      </c>
      <c r="C143" s="11" t="inlineStr">
        <is>
          <t>独立验收</t>
        </is>
      </c>
      <c r="D143" s="11" t="inlineStr">
        <is>
          <t>集群 前缀目录（PrefixDirectory） 核心与高可用服务｜独立验收</t>
        </is>
      </c>
      <c r="E143" s="11" t="inlineStr">
        <is>
          <t>测试/验收负责人</t>
        </is>
      </c>
      <c r="F143" s="11" t="inlineStr">
        <is>
          <t>tests/directory_core/ + benchmarks/directory_core/ + evidence/directory_core/manifest.yaml</t>
        </is>
      </c>
      <c r="G143" s="11" t="inlineStr">
        <is>
          <t>建立不依赖全项目的验收环境，执行功能、异常、兼容和性能门禁并生成可签字证据包。</t>
        </is>
      </c>
      <c r="H143" s="11" t="inlineStr">
        <is>
          <t>版本化测试结果、原始证据、Go/Conditional/No-Go 结论</t>
        </is>
      </c>
      <c r="I143" s="11" t="inlineStr">
        <is>
          <t>在“3节点目录集群或内存一致性模拟器即可独立验收”中完成主路径、异常、兼容和回滚；全部证据可一键复现。</t>
        </is>
      </c>
      <c r="J143" s="11" t="inlineStr">
        <is>
          <t>run_sr_acceptance --sr SR23-02-05-01 --baseline locked</t>
        </is>
      </c>
      <c r="K143" s="11" t="inlineStr">
        <is>
          <t>可用性≥99.99%；陈旧命中（stale hit）=0；发布可见性一致；故障切换不丢记录</t>
        </is>
      </c>
      <c r="L143" s="11" t="inlineStr">
        <is>
          <t>AR23-02-05-01-04</t>
        </is>
      </c>
      <c r="M143" s="11" t="inlineStr">
        <is>
          <t>SR23-01-11-01</t>
        </is>
      </c>
      <c r="N143" s="11" t="inlineStr">
        <is>
          <t>P0</t>
        </is>
      </c>
      <c r="O143" s="11" t="inlineStr">
        <is>
          <t>P0</t>
        </is>
      </c>
      <c r="P143" s="11" t="inlineStr">
        <is>
          <t>待认领</t>
        </is>
      </c>
      <c r="Q143" s="11" t="n"/>
      <c r="R143" s="11" t="n"/>
      <c r="S143" s="11">
        <f>IF(COUNTIF($A$5:$A$207,A143)=1,"PASS","FAIL")</f>
        <v/>
      </c>
      <c r="T143" s="11">
        <f>IF(COUNTIF('SR系统设计'!$A$5:$A$42,B143)=1,"PASS","FAIL")</f>
        <v/>
      </c>
    </row>
    <row r="144" ht="72" customHeight="1">
      <c r="A144" s="11" t="inlineStr">
        <is>
          <t>AR23-02-05-01-06</t>
        </is>
      </c>
      <c r="B144" s="11" t="inlineStr">
        <is>
          <t>SR23-02-05-01</t>
        </is>
      </c>
      <c r="C144" s="11" t="inlineStr">
        <is>
          <t>性能观测</t>
        </is>
      </c>
      <c r="D144" s="11" t="inlineStr">
        <is>
          <t>集群 前缀目录（PrefixDirectory） 核心与高可用服务｜性能观测</t>
        </is>
      </c>
      <c r="E144" s="11" t="inlineStr">
        <is>
          <t>性能与可观测负责人</t>
        </is>
      </c>
      <c r="F144" s="11" t="inlineStr">
        <is>
          <t>src/directory/core/telemetry.{h,cc} + 仪表板（dashboards）/directory_core.json</t>
        </is>
      </c>
      <c r="G144" s="11" t="inlineStr">
        <is>
          <t>接入统一 遥测数据（telemetry），建立本 SR 专属性能/资源/正确性指标和回归阈值：可用性≥99.99%；陈旧命中（stale hit）=0；发布可见性一致；故障切换不丢记录</t>
        </is>
      </c>
      <c r="H144" s="11" t="inlineStr">
        <is>
          <t>性能观测对应的可审查代码/IDL/配置/文档</t>
        </is>
      </c>
      <c r="I144" s="11" t="inlineStr">
        <is>
          <t>代码通过编译、静态检查和单元测试；接口/配置有版本；失败语义和 功能开关（feature flag） 可验证。</t>
        </is>
      </c>
      <c r="J144" s="11" t="inlineStr">
        <is>
          <t>ctest -R directory_core &amp;&amp; run_contract_check --sr SR23-02-05-01</t>
        </is>
      </c>
      <c r="K144" s="11" t="inlineStr">
        <is>
          <t>可用性≥99.99%；陈旧命中（stale hit）=0；发布可见性一致；故障切换不丢记录</t>
        </is>
      </c>
      <c r="L144" s="11" t="inlineStr">
        <is>
          <t>AR23-02-05-01-05</t>
        </is>
      </c>
      <c r="M144" s="11" t="inlineStr">
        <is>
          <t>SR23-01-11-01</t>
        </is>
      </c>
      <c r="N144" s="11" t="inlineStr">
        <is>
          <t>P0</t>
        </is>
      </c>
      <c r="O144" s="11" t="inlineStr">
        <is>
          <t>P0</t>
        </is>
      </c>
      <c r="P144" s="11" t="inlineStr">
        <is>
          <t>待认领</t>
        </is>
      </c>
      <c r="Q144" s="11" t="n"/>
      <c r="R144" s="11" t="n"/>
      <c r="S144" s="11">
        <f>IF(COUNTIF($A$5:$A$207,A144)=1,"PASS","FAIL")</f>
        <v/>
      </c>
      <c r="T144" s="11">
        <f>IF(COUNTIF('SR系统设计'!$A$5:$A$42,B144)=1,"PASS","FAIL")</f>
        <v/>
      </c>
    </row>
    <row r="145" ht="72" customHeight="1">
      <c r="A145" s="11" t="inlineStr">
        <is>
          <t>AR23-02-05-02-01</t>
        </is>
      </c>
      <c r="B145" s="11" t="inlineStr">
        <is>
          <t>SR23-02-05-02</t>
        </is>
      </c>
      <c r="C145" s="11" t="inlineStr">
        <is>
          <t>核心实现</t>
        </is>
      </c>
      <c r="D145" s="11" t="inlineStr">
        <is>
          <t>前缀目录（PrefixDirectory） 本地快路径与消费资格组件｜核心实现</t>
        </is>
      </c>
      <c r="E145" s="11" t="inlineStr">
        <is>
          <t>目录快路径与资格判定组</t>
        </is>
      </c>
      <c r="F145" s="11" t="inlineStr">
        <is>
          <t>src/directory/fastpath/core.{h,cc}</t>
        </is>
      </c>
      <c r="G145" s="11" t="inlineStr">
        <is>
          <t>实现“前缀目录（PrefixDirectory） 本地快路径与消费资格组件”的可运行主路径，交付 directory-fastpath、hot 本地（local） index、range/batch 查询（lookup）、ConsumeEligibility 的核心代码、构建入口和最小示例。</t>
        </is>
      </c>
      <c r="H145" s="11" t="inlineStr">
        <is>
          <t>核心实现对应的可审查代码/IDL/配置/文档</t>
        </is>
      </c>
      <c r="I145" s="11" t="inlineStr">
        <is>
          <t>代码通过编译、静态检查和单元测试；接口/配置有版本；失败语义和 功能开关（feature flag） 可验证。</t>
        </is>
      </c>
      <c r="J145" s="11" t="inlineStr">
        <is>
          <t>ctest -R directory_fastpath &amp;&amp; run_contract_check --sr SR23-02-05-02</t>
        </is>
      </c>
      <c r="K145" s="11" t="inlineStr">
        <is>
          <t>查询（lookup） p99降低≥30%；陈旧命中（stale hit）=0；可用命中（usable hit） 转化提升≥15%；错误候选=0</t>
        </is>
      </c>
      <c r="L145" s="11" t="n"/>
      <c r="M145" s="11" t="inlineStr">
        <is>
          <t>SR23-02-05-01、SR23-02-04-01、SR23-01-10-01</t>
        </is>
      </c>
      <c r="N145" s="11" t="inlineStr">
        <is>
          <t>P0</t>
        </is>
      </c>
      <c r="O145" s="11" t="inlineStr">
        <is>
          <t>P0</t>
        </is>
      </c>
      <c r="P145" s="11" t="inlineStr">
        <is>
          <t>待认领</t>
        </is>
      </c>
      <c r="Q145" s="11" t="n"/>
      <c r="R145" s="11" t="n"/>
      <c r="S145" s="11">
        <f>IF(COUNTIF($A$5:$A$207,A145)=1,"PASS","FAIL")</f>
        <v/>
      </c>
      <c r="T145" s="11">
        <f>IF(COUNTIF('SR系统设计'!$A$5:$A$42,B145)=1,"PASS","FAIL")</f>
        <v/>
      </c>
    </row>
    <row r="146" ht="72" customHeight="1">
      <c r="A146" s="11" t="inlineStr">
        <is>
          <t>AR23-02-05-02-02</t>
        </is>
      </c>
      <c r="B146" s="11" t="inlineStr">
        <is>
          <t>SR23-02-05-02</t>
        </is>
      </c>
      <c r="C146" s="11" t="inlineStr">
        <is>
          <t>接口契约</t>
        </is>
      </c>
      <c r="D146" s="11" t="inlineStr">
        <is>
          <t>前缀目录（PrefixDirectory） 本地快路径与消费资格组件｜接口契约</t>
        </is>
      </c>
      <c r="E146" s="11" t="inlineStr">
        <is>
          <t>目录快路径与资格判定组</t>
        </is>
      </c>
      <c r="F146" s="11" t="inlineStr">
        <is>
          <t>api/kvcache/v23/directory_fastpath.proto + src/directory/fastpath/api.{h,cc}</t>
        </is>
      </c>
      <c r="G146" s="11" t="inlineStr">
        <is>
          <t>冻结并实现接口/IDL、版本兼容、输入输出、错误码与 消费者（consumer） 示例：lookupFast、ConsumeEligibilityResult、HitQuality、陈旧（stale） 原因（reason）</t>
        </is>
      </c>
      <c r="H146" s="11" t="inlineStr">
        <is>
          <t>接口契约对应的可审查代码/IDL/配置/文档</t>
        </is>
      </c>
      <c r="I146" s="11" t="inlineStr">
        <is>
          <t>代码通过编译、静态检查和单元测试；接口/配置有版本；失败语义和 功能开关（feature flag） 可验证。</t>
        </is>
      </c>
      <c r="J146" s="11" t="inlineStr">
        <is>
          <t>ctest -R directory_fastpath &amp;&amp; run_contract_check --sr SR23-02-05-02</t>
        </is>
      </c>
      <c r="K146" s="11" t="inlineStr">
        <is>
          <t>查询（lookup） p99降低≥30%；陈旧命中（stale hit）=0；可用命中（usable hit） 转化提升≥15%；错误候选=0</t>
        </is>
      </c>
      <c r="L146" s="11" t="inlineStr">
        <is>
          <t>AR23-02-05-02-01</t>
        </is>
      </c>
      <c r="M146" s="11" t="inlineStr">
        <is>
          <t>SR23-02-05-01、SR23-02-04-01、SR23-01-10-01</t>
        </is>
      </c>
      <c r="N146" s="11" t="inlineStr">
        <is>
          <t>P0</t>
        </is>
      </c>
      <c r="O146" s="11" t="inlineStr">
        <is>
          <t>P0</t>
        </is>
      </c>
      <c r="P146" s="11" t="inlineStr">
        <is>
          <t>待认领</t>
        </is>
      </c>
      <c r="Q146" s="11" t="n"/>
      <c r="R146" s="11" t="n"/>
      <c r="S146" s="11">
        <f>IF(COUNTIF($A$5:$A$207,A146)=1,"PASS","FAIL")</f>
        <v/>
      </c>
      <c r="T146" s="11">
        <f>IF(COUNTIF('SR系统设计'!$A$5:$A$42,B146)=1,"PASS","FAIL")</f>
        <v/>
      </c>
    </row>
    <row r="147" ht="72" customHeight="1">
      <c r="A147" s="11" t="inlineStr">
        <is>
          <t>AR23-02-05-02-03</t>
        </is>
      </c>
      <c r="B147" s="11" t="inlineStr">
        <is>
          <t>SR23-02-05-02</t>
        </is>
      </c>
      <c r="C147" s="11" t="inlineStr">
        <is>
          <t>状态模型</t>
        </is>
      </c>
      <c r="D147" s="11" t="inlineStr">
        <is>
          <t>前缀目录（PrefixDirectory） 本地快路径与消费资格组件｜状态模型</t>
        </is>
      </c>
      <c r="E147" s="11" t="inlineStr">
        <is>
          <t>目录快路径与资格判定组</t>
        </is>
      </c>
      <c r="F147" s="11" t="inlineStr">
        <is>
          <t>src/directory/fastpath/state_model.{h,cc}</t>
        </is>
      </c>
      <c r="G147" s="11" t="inlineStr">
        <is>
          <t>实现状态、版本、并发互锁和持久/内存数据模型，覆盖正常转换与非法转换保护。</t>
        </is>
      </c>
      <c r="H147" s="11" t="inlineStr">
        <is>
          <t>状态模型对应的可审查代码/IDL/配置/文档</t>
        </is>
      </c>
      <c r="I147" s="11" t="inlineStr">
        <is>
          <t>代码通过编译、静态检查和单元测试；接口/配置有版本；失败语义和 功能开关（feature flag） 可验证。</t>
        </is>
      </c>
      <c r="J147" s="11" t="inlineStr">
        <is>
          <t>ctest -R directory_fastpath &amp;&amp; run_contract_check --sr SR23-02-05-02</t>
        </is>
      </c>
      <c r="K147" s="11" t="inlineStr">
        <is>
          <t>查询（lookup） p99降低≥30%；陈旧命中（stale hit）=0；可用命中（usable hit） 转化提升≥15%；错误候选=0</t>
        </is>
      </c>
      <c r="L147" s="11" t="inlineStr">
        <is>
          <t>AR23-02-05-02-02</t>
        </is>
      </c>
      <c r="M147" s="11" t="inlineStr">
        <is>
          <t>SR23-02-05-01、SR23-02-04-01、SR23-01-10-01</t>
        </is>
      </c>
      <c r="N147" s="11" t="inlineStr">
        <is>
          <t>P0</t>
        </is>
      </c>
      <c r="O147" s="11" t="inlineStr">
        <is>
          <t>P0</t>
        </is>
      </c>
      <c r="P147" s="11" t="inlineStr">
        <is>
          <t>待认领</t>
        </is>
      </c>
      <c r="Q147" s="11" t="n"/>
      <c r="R147" s="11" t="n"/>
      <c r="S147" s="11">
        <f>IF(COUNTIF($A$5:$A$207,A147)=1,"PASS","FAIL")</f>
        <v/>
      </c>
      <c r="T147" s="11">
        <f>IF(COUNTIF('SR系统设计'!$A$5:$A$42,B147)=1,"PASS","FAIL")</f>
        <v/>
      </c>
    </row>
    <row r="148" ht="72" customHeight="1">
      <c r="A148" s="11" t="inlineStr">
        <is>
          <t>AR23-02-05-02-04</t>
        </is>
      </c>
      <c r="B148" s="11" t="inlineStr">
        <is>
          <t>SR23-02-05-02</t>
        </is>
      </c>
      <c r="C148" s="11" t="inlineStr">
        <is>
          <t>异常回滚</t>
        </is>
      </c>
      <c r="D148" s="11" t="inlineStr">
        <is>
          <t>前缀目录（PrefixDirectory） 本地快路径与消费资格组件｜异常回滚</t>
        </is>
      </c>
      <c r="E148" s="11" t="inlineStr">
        <is>
          <t>目录快路径与资格判定组</t>
        </is>
      </c>
      <c r="F148" s="11" t="inlineStr">
        <is>
          <t>src/directory/fastpath/fallback.{h,cc} + config/feature_flags/directory_fastpath.yaml</t>
        </is>
      </c>
      <c r="G148" s="11" t="inlineStr">
        <is>
          <t>实现并验证失败、超时、取消、降级、回滚与关闭路径：本地证据不足时精确查询 DIRECTORY_CORE；负收益候选标记 abandoned</t>
        </is>
      </c>
      <c r="H148" s="11" t="inlineStr">
        <is>
          <t>异常回滚对应的可审查代码/IDL/配置/文档</t>
        </is>
      </c>
      <c r="I148" s="11" t="inlineStr">
        <is>
          <t>代码通过编译、静态检查和单元测试；接口/配置有版本；失败语义和 功能开关（feature flag） 可验证。</t>
        </is>
      </c>
      <c r="J148" s="11" t="inlineStr">
        <is>
          <t>ctest -R directory_fastpath &amp;&amp; run_contract_check --sr SR23-02-05-02</t>
        </is>
      </c>
      <c r="K148" s="11" t="inlineStr">
        <is>
          <t>查询（lookup） p99降低≥30%；陈旧命中（stale hit）=0；可用命中（usable hit） 转化提升≥15%；错误候选=0</t>
        </is>
      </c>
      <c r="L148" s="11" t="inlineStr">
        <is>
          <t>AR23-02-05-02-03</t>
        </is>
      </c>
      <c r="M148" s="11" t="inlineStr">
        <is>
          <t>SR23-02-05-01、SR23-02-04-01、SR23-01-10-01</t>
        </is>
      </c>
      <c r="N148" s="11" t="inlineStr">
        <is>
          <t>P0</t>
        </is>
      </c>
      <c r="O148" s="11" t="inlineStr">
        <is>
          <t>P0</t>
        </is>
      </c>
      <c r="P148" s="11" t="inlineStr">
        <is>
          <t>待认领</t>
        </is>
      </c>
      <c r="Q148" s="11" t="n"/>
      <c r="R148" s="11" t="n"/>
      <c r="S148" s="11">
        <f>IF(COUNTIF($A$5:$A$207,A148)=1,"PASS","FAIL")</f>
        <v/>
      </c>
      <c r="T148" s="11">
        <f>IF(COUNTIF('SR系统设计'!$A$5:$A$42,B148)=1,"PASS","FAIL")</f>
        <v/>
      </c>
    </row>
    <row r="149" ht="72" customHeight="1">
      <c r="A149" s="11" t="inlineStr">
        <is>
          <t>AR23-02-05-02-05</t>
        </is>
      </c>
      <c r="B149" s="11" t="inlineStr">
        <is>
          <t>SR23-02-05-02</t>
        </is>
      </c>
      <c r="C149" s="11" t="inlineStr">
        <is>
          <t>独立验收</t>
        </is>
      </c>
      <c r="D149" s="11" t="inlineStr">
        <is>
          <t>前缀目录（PrefixDirectory） 本地快路径与消费资格组件｜独立验收</t>
        </is>
      </c>
      <c r="E149" s="11" t="inlineStr">
        <is>
          <t>测试/验收负责人</t>
        </is>
      </c>
      <c r="F149" s="11" t="inlineStr">
        <is>
          <t>tests/directory_fastpath/ + benchmarks/directory_fastpath/ + evidence/directory_fastpath/manifest.yaml</t>
        </is>
      </c>
      <c r="G149" s="11" t="inlineStr">
        <is>
          <t>建立不依赖全项目的验收环境，执行功能、异常、兼容和性能门禁并生成可签字证据包。</t>
        </is>
      </c>
      <c r="H149" s="11" t="inlineStr">
        <is>
          <t>版本化测试结果、原始证据、Go/Conditional/No-Go 结论</t>
        </is>
      </c>
      <c r="I149" s="11" t="inlineStr">
        <is>
          <t>在“录制目录快照 + 故障（fault） 测试夹具（fixture） 即可独立验收”中完成主路径、异常、兼容和回滚；全部证据可一键复现。</t>
        </is>
      </c>
      <c r="J149" s="11" t="inlineStr">
        <is>
          <t>run_sr_acceptance --sr SR23-02-05-02 --baseline locked</t>
        </is>
      </c>
      <c r="K149" s="11" t="inlineStr">
        <is>
          <t>查询（lookup） p99降低≥30%；陈旧命中（stale hit）=0；可用命中（usable hit） 转化提升≥15%；错误候选=0</t>
        </is>
      </c>
      <c r="L149" s="11" t="inlineStr">
        <is>
          <t>AR23-02-05-02-04</t>
        </is>
      </c>
      <c r="M149" s="11" t="inlineStr">
        <is>
          <t>SR23-02-05-01、SR23-02-04-01、SR23-01-10-01</t>
        </is>
      </c>
      <c r="N149" s="11" t="inlineStr">
        <is>
          <t>P0</t>
        </is>
      </c>
      <c r="O149" s="11" t="inlineStr">
        <is>
          <t>P0</t>
        </is>
      </c>
      <c r="P149" s="11" t="inlineStr">
        <is>
          <t>待认领</t>
        </is>
      </c>
      <c r="Q149" s="11" t="n"/>
      <c r="R149" s="11" t="n"/>
      <c r="S149" s="11">
        <f>IF(COUNTIF($A$5:$A$207,A149)=1,"PASS","FAIL")</f>
        <v/>
      </c>
      <c r="T149" s="11">
        <f>IF(COUNTIF('SR系统设计'!$A$5:$A$42,B149)=1,"PASS","FAIL")</f>
        <v/>
      </c>
    </row>
    <row r="150" ht="72" customHeight="1">
      <c r="A150" s="11" t="inlineStr">
        <is>
          <t>AR23-02-05-02-06</t>
        </is>
      </c>
      <c r="B150" s="11" t="inlineStr">
        <is>
          <t>SR23-02-05-02</t>
        </is>
      </c>
      <c r="C150" s="11" t="inlineStr">
        <is>
          <t>性能观测</t>
        </is>
      </c>
      <c r="D150" s="11" t="inlineStr">
        <is>
          <t>前缀目录（PrefixDirectory） 本地快路径与消费资格组件｜性能观测</t>
        </is>
      </c>
      <c r="E150" s="11" t="inlineStr">
        <is>
          <t>性能与可观测负责人</t>
        </is>
      </c>
      <c r="F150" s="11" t="inlineStr">
        <is>
          <t>src/directory/fastpath/telemetry.{h,cc} + 仪表板（dashboards）/directory_fastpath.json</t>
        </is>
      </c>
      <c r="G150" s="11" t="inlineStr">
        <is>
          <t>接入统一 遥测数据（telemetry），建立本 SR 专属性能/资源/正确性指标和回归阈值：查询（lookup） p99降低≥30%；陈旧命中（stale hit）=0；可用命中（usable hit） 转化提升≥15%；错误候选=0</t>
        </is>
      </c>
      <c r="H150" s="11" t="inlineStr">
        <is>
          <t>性能观测对应的可审查代码/IDL/配置/文档</t>
        </is>
      </c>
      <c r="I150" s="11" t="inlineStr">
        <is>
          <t>代码通过编译、静态检查和单元测试；接口/配置有版本；失败语义和 功能开关（feature flag） 可验证。</t>
        </is>
      </c>
      <c r="J150" s="11" t="inlineStr">
        <is>
          <t>ctest -R directory_fastpath &amp;&amp; run_contract_check --sr SR23-02-05-02</t>
        </is>
      </c>
      <c r="K150" s="11" t="inlineStr">
        <is>
          <t>查询（lookup） p99降低≥30%；陈旧命中（stale hit）=0；可用命中（usable hit） 转化提升≥15%；错误候选=0</t>
        </is>
      </c>
      <c r="L150" s="11" t="inlineStr">
        <is>
          <t>AR23-02-05-02-05</t>
        </is>
      </c>
      <c r="M150" s="11" t="inlineStr">
        <is>
          <t>SR23-02-05-01、SR23-02-04-01、SR23-01-10-01</t>
        </is>
      </c>
      <c r="N150" s="11" t="inlineStr">
        <is>
          <t>P0</t>
        </is>
      </c>
      <c r="O150" s="11" t="inlineStr">
        <is>
          <t>P0</t>
        </is>
      </c>
      <c r="P150" s="11" t="inlineStr">
        <is>
          <t>待认领</t>
        </is>
      </c>
      <c r="Q150" s="11" t="n"/>
      <c r="R150" s="11" t="n"/>
      <c r="S150" s="11">
        <f>IF(COUNTIF($A$5:$A$207,A150)=1,"PASS","FAIL")</f>
        <v/>
      </c>
      <c r="T150" s="11">
        <f>IF(COUNTIF('SR系统设计'!$A$5:$A$42,B150)=1,"PASS","FAIL")</f>
        <v/>
      </c>
    </row>
    <row r="151" ht="72" customHeight="1">
      <c r="A151" s="11" t="inlineStr">
        <is>
          <t>AR23-02-06-01-01</t>
        </is>
      </c>
      <c r="B151" s="11" t="inlineStr">
        <is>
          <t>SR23-02-06-01</t>
        </is>
      </c>
      <c r="C151" s="11" t="inlineStr">
        <is>
          <t>核心实现</t>
        </is>
      </c>
      <c r="D151" s="11" t="inlineStr">
        <is>
          <t>KV 卸载/加载、分层回源与流式 流水线（Pipeline）｜核心实现</t>
        </is>
      </c>
      <c r="E151" s="11" t="inlineStr">
        <is>
          <t>加载流水线与框架适配组</t>
        </is>
      </c>
      <c r="F151" s="11" t="inlineStr">
        <is>
          <t>src/runtime/load_pipeline/core.{h,cc}</t>
        </is>
      </c>
      <c r="G151" s="11" t="inlineStr">
        <is>
          <t>实现“KV 卸载/加载、分层回源与流式 流水线（Pipeline）”的可运行主路径，交付 kv-load-pipeline、vLLM/SGLang 适配器（adapter）、swap/bulk/streaming 加载（load） 控制器 的核心代码、构建入口和最小示例。</t>
        </is>
      </c>
      <c r="H151" s="11" t="inlineStr">
        <is>
          <t>核心实现对应的可审查代码/IDL/配置/文档</t>
        </is>
      </c>
      <c r="I151" s="11" t="inlineStr">
        <is>
          <t>代码通过编译、静态检查和单元测试；接口/配置有版本；失败语义和 功能开关（feature flag） 可验证。</t>
        </is>
      </c>
      <c r="J151" s="11" t="inlineStr">
        <is>
          <t>ctest -R load_pipeline &amp;&amp; run_contract_check --sr SR23-02-06-01</t>
        </is>
      </c>
      <c r="K151" s="11" t="inlineStr">
        <is>
          <t>计算/传输重叠≥60%；换入（swap-in） TTFT降低≥25%；批量时延降低≥50%；额外内存≤15%</t>
        </is>
      </c>
      <c r="L151" s="11" t="n"/>
      <c r="M151" s="11" t="inlineStr">
        <is>
          <t>SR23-02-01-01、SR23-01-04-01、SR23-01-08-01</t>
        </is>
      </c>
      <c r="N151" s="11" t="inlineStr">
        <is>
          <t>P2</t>
        </is>
      </c>
      <c r="O151" s="11" t="inlineStr">
        <is>
          <t>P2</t>
        </is>
      </c>
      <c r="P151" s="11" t="inlineStr">
        <is>
          <t>待认领</t>
        </is>
      </c>
      <c r="Q151" s="11" t="n"/>
      <c r="R151" s="11" t="n"/>
      <c r="S151" s="11">
        <f>IF(COUNTIF($A$5:$A$207,A151)=1,"PASS","FAIL")</f>
        <v/>
      </c>
      <c r="T151" s="11">
        <f>IF(COUNTIF('SR系统设计'!$A$5:$A$42,B151)=1,"PASS","FAIL")</f>
        <v/>
      </c>
    </row>
    <row r="152" ht="72" customHeight="1">
      <c r="A152" s="11" t="inlineStr">
        <is>
          <t>AR23-02-06-01-02</t>
        </is>
      </c>
      <c r="B152" s="11" t="inlineStr">
        <is>
          <t>SR23-02-06-01</t>
        </is>
      </c>
      <c r="C152" s="11" t="inlineStr">
        <is>
          <t>接口契约</t>
        </is>
      </c>
      <c r="D152" s="11" t="inlineStr">
        <is>
          <t>KV 卸载/加载、分层回源与流式 流水线（Pipeline）｜接口契约</t>
        </is>
      </c>
      <c r="E152" s="11" t="inlineStr">
        <is>
          <t>加载流水线与框架适配组</t>
        </is>
      </c>
      <c r="F152" s="11" t="inlineStr">
        <is>
          <t>api/kvcache/v23/load_pipeline.proto + src/runtime/load_pipeline/api.{h,cc}</t>
        </is>
      </c>
      <c r="G152" s="11" t="inlineStr">
        <is>
          <t>冻结并实现接口/IDL、版本兼容、输入输出、错误码与 消费者（consumer） 示例：LoadPlan、LayerReady、cancel/回退（fallback）、framework 适配器（adapter）</t>
        </is>
      </c>
      <c r="H152" s="11" t="inlineStr">
        <is>
          <t>接口契约对应的可审查代码/IDL/配置/文档</t>
        </is>
      </c>
      <c r="I152" s="11" t="inlineStr">
        <is>
          <t>代码通过编译、静态检查和单元测试；接口/配置有版本；失败语义和 功能开关（feature flag） 可验证。</t>
        </is>
      </c>
      <c r="J152" s="11" t="inlineStr">
        <is>
          <t>ctest -R load_pipeline &amp;&amp; run_contract_check --sr SR23-02-06-01</t>
        </is>
      </c>
      <c r="K152" s="11" t="inlineStr">
        <is>
          <t>计算/传输重叠≥60%；换入（swap-in） TTFT降低≥25%；批量时延降低≥50%；额外内存≤15%</t>
        </is>
      </c>
      <c r="L152" s="11" t="inlineStr">
        <is>
          <t>AR23-02-06-01-01</t>
        </is>
      </c>
      <c r="M152" s="11" t="inlineStr">
        <is>
          <t>SR23-02-01-01、SR23-01-04-01、SR23-01-08-01</t>
        </is>
      </c>
      <c r="N152" s="11" t="inlineStr">
        <is>
          <t>P2</t>
        </is>
      </c>
      <c r="O152" s="11" t="inlineStr">
        <is>
          <t>P2</t>
        </is>
      </c>
      <c r="P152" s="11" t="inlineStr">
        <is>
          <t>待认领</t>
        </is>
      </c>
      <c r="Q152" s="11" t="n"/>
      <c r="R152" s="11" t="n"/>
      <c r="S152" s="11">
        <f>IF(COUNTIF($A$5:$A$207,A152)=1,"PASS","FAIL")</f>
        <v/>
      </c>
      <c r="T152" s="11">
        <f>IF(COUNTIF('SR系统设计'!$A$5:$A$42,B152)=1,"PASS","FAIL")</f>
        <v/>
      </c>
    </row>
    <row r="153" ht="72" customHeight="1">
      <c r="A153" s="11" t="inlineStr">
        <is>
          <t>AR23-02-06-01-03</t>
        </is>
      </c>
      <c r="B153" s="11" t="inlineStr">
        <is>
          <t>SR23-02-06-01</t>
        </is>
      </c>
      <c r="C153" s="11" t="inlineStr">
        <is>
          <t>状态模型</t>
        </is>
      </c>
      <c r="D153" s="11" t="inlineStr">
        <is>
          <t>KV 卸载/加载、分层回源与流式 流水线（Pipeline）｜状态模型</t>
        </is>
      </c>
      <c r="E153" s="11" t="inlineStr">
        <is>
          <t>加载流水线与框架适配组</t>
        </is>
      </c>
      <c r="F153" s="11" t="inlineStr">
        <is>
          <t>src/runtime/load_pipeline/state_model.{h,cc}</t>
        </is>
      </c>
      <c r="G153" s="11" t="inlineStr">
        <is>
          <t>实现状态、版本、并发互锁和持久/内存数据模型，覆盖正常转换与非法转换保护。</t>
        </is>
      </c>
      <c r="H153" s="11" t="inlineStr">
        <is>
          <t>状态模型对应的可审查代码/IDL/配置/文档</t>
        </is>
      </c>
      <c r="I153" s="11" t="inlineStr">
        <is>
          <t>代码通过编译、静态检查和单元测试；接口/配置有版本；失败语义和 功能开关（feature flag） 可验证。</t>
        </is>
      </c>
      <c r="J153" s="11" t="inlineStr">
        <is>
          <t>ctest -R load_pipeline &amp;&amp; run_contract_check --sr SR23-02-06-01</t>
        </is>
      </c>
      <c r="K153" s="11" t="inlineStr">
        <is>
          <t>计算/传输重叠≥60%；换入（swap-in） TTFT降低≥25%；批量时延降低≥50%；额外内存≤15%</t>
        </is>
      </c>
      <c r="L153" s="11" t="inlineStr">
        <is>
          <t>AR23-02-06-01-02</t>
        </is>
      </c>
      <c r="M153" s="11" t="inlineStr">
        <is>
          <t>SR23-02-01-01、SR23-01-04-01、SR23-01-08-01</t>
        </is>
      </c>
      <c r="N153" s="11" t="inlineStr">
        <is>
          <t>P2</t>
        </is>
      </c>
      <c r="O153" s="11" t="inlineStr">
        <is>
          <t>P2</t>
        </is>
      </c>
      <c r="P153" s="11" t="inlineStr">
        <is>
          <t>待认领</t>
        </is>
      </c>
      <c r="Q153" s="11" t="n"/>
      <c r="R153" s="11" t="n"/>
      <c r="S153" s="11">
        <f>IF(COUNTIF($A$5:$A$207,A153)=1,"PASS","FAIL")</f>
        <v/>
      </c>
      <c r="T153" s="11">
        <f>IF(COUNTIF('SR系统设计'!$A$5:$A$42,B153)=1,"PASS","FAIL")</f>
        <v/>
      </c>
    </row>
    <row r="154" ht="72" customHeight="1">
      <c r="A154" s="11" t="inlineStr">
        <is>
          <t>AR23-02-06-01-04</t>
        </is>
      </c>
      <c r="B154" s="11" t="inlineStr">
        <is>
          <t>SR23-02-06-01</t>
        </is>
      </c>
      <c r="C154" s="11" t="inlineStr">
        <is>
          <t>异常回滚</t>
        </is>
      </c>
      <c r="D154" s="11" t="inlineStr">
        <is>
          <t>KV 卸载/加载、分层回源与流式 流水线（Pipeline）｜异常回滚</t>
        </is>
      </c>
      <c r="E154" s="11" t="inlineStr">
        <is>
          <t>加载流水线与框架适配组</t>
        </is>
      </c>
      <c r="F154" s="11" t="inlineStr">
        <is>
          <t>src/runtime/load_pipeline/fallback.{h,cc} + config/feature_flags/load_pipeline.yaml</t>
        </is>
      </c>
      <c r="G154" s="11" t="inlineStr">
        <is>
          <t>实现并验证失败、超时、取消、降级、回滚与关闭路径：超时/路径失败时 partial/重算（recompute）；额外内存超预算时退回整段加载</t>
        </is>
      </c>
      <c r="H154" s="11" t="inlineStr">
        <is>
          <t>异常回滚对应的可审查代码/IDL/配置/文档</t>
        </is>
      </c>
      <c r="I154" s="11" t="inlineStr">
        <is>
          <t>代码通过编译、静态检查和单元测试；接口/配置有版本；失败语义和 功能开关（feature flag） 可验证。</t>
        </is>
      </c>
      <c r="J154" s="11" t="inlineStr">
        <is>
          <t>ctest -R load_pipeline &amp;&amp; run_contract_check --sr SR23-02-06-01</t>
        </is>
      </c>
      <c r="K154" s="11" t="inlineStr">
        <is>
          <t>计算/传输重叠≥60%；换入（swap-in） TTFT降低≥25%；批量时延降低≥50%；额外内存≤15%</t>
        </is>
      </c>
      <c r="L154" s="11" t="inlineStr">
        <is>
          <t>AR23-02-06-01-03</t>
        </is>
      </c>
      <c r="M154" s="11" t="inlineStr">
        <is>
          <t>SR23-02-01-01、SR23-01-04-01、SR23-01-08-01</t>
        </is>
      </c>
      <c r="N154" s="11" t="inlineStr">
        <is>
          <t>P2</t>
        </is>
      </c>
      <c r="O154" s="11" t="inlineStr">
        <is>
          <t>P2</t>
        </is>
      </c>
      <c r="P154" s="11" t="inlineStr">
        <is>
          <t>待认领</t>
        </is>
      </c>
      <c r="Q154" s="11" t="n"/>
      <c r="R154" s="11" t="n"/>
      <c r="S154" s="11">
        <f>IF(COUNTIF($A$5:$A$207,A154)=1,"PASS","FAIL")</f>
        <v/>
      </c>
      <c r="T154" s="11">
        <f>IF(COUNTIF('SR系统设计'!$A$5:$A$42,B154)=1,"PASS","FAIL")</f>
        <v/>
      </c>
    </row>
    <row r="155" ht="72" customHeight="1">
      <c r="A155" s="11" t="inlineStr">
        <is>
          <t>AR23-02-06-01-05</t>
        </is>
      </c>
      <c r="B155" s="11" t="inlineStr">
        <is>
          <t>SR23-02-06-01</t>
        </is>
      </c>
      <c r="C155" s="11" t="inlineStr">
        <is>
          <t>独立验收</t>
        </is>
      </c>
      <c r="D155" s="11" t="inlineStr">
        <is>
          <t>KV 卸载/加载、分层回源与流式 流水线（Pipeline）｜独立验收</t>
        </is>
      </c>
      <c r="E155" s="11" t="inlineStr">
        <is>
          <t>测试/验收负责人</t>
        </is>
      </c>
      <c r="F155" s="11" t="inlineStr">
        <is>
          <t>tests/load_pipeline/ + benchmarks/load_pipeline/ + evidence/load_pipeline/manifest.yaml</t>
        </is>
      </c>
      <c r="G155" s="11" t="inlineStr">
        <is>
          <t>建立不依赖全项目的验收环境，执行功能、异常、兼容和性能门禁并生成可签字证据包。</t>
        </is>
      </c>
      <c r="H155" s="11" t="inlineStr">
        <is>
          <t>版本化测试结果、原始证据、Go/Conditional/No-Go 结论</t>
        </is>
      </c>
      <c r="I155" s="11" t="inlineStr">
        <is>
          <t>在“框架 测试支架（harness） + MockAsyncDAG 即可独立验收”中完成主路径、异常、兼容和回滚；全部证据可一键复现。</t>
        </is>
      </c>
      <c r="J155" s="11" t="inlineStr">
        <is>
          <t>run_sr_acceptance --sr SR23-02-06-01 --baseline locked</t>
        </is>
      </c>
      <c r="K155" s="11" t="inlineStr">
        <is>
          <t>计算/传输重叠≥60%；换入（swap-in） TTFT降低≥25%；批量时延降低≥50%；额外内存≤15%</t>
        </is>
      </c>
      <c r="L155" s="11" t="inlineStr">
        <is>
          <t>AR23-02-06-01-04</t>
        </is>
      </c>
      <c r="M155" s="11" t="inlineStr">
        <is>
          <t>SR23-02-01-01、SR23-01-04-01、SR23-01-08-01</t>
        </is>
      </c>
      <c r="N155" s="11" t="inlineStr">
        <is>
          <t>P2</t>
        </is>
      </c>
      <c r="O155" s="11" t="inlineStr">
        <is>
          <t>P2</t>
        </is>
      </c>
      <c r="P155" s="11" t="inlineStr">
        <is>
          <t>待认领</t>
        </is>
      </c>
      <c r="Q155" s="11" t="n"/>
      <c r="R155" s="11" t="n"/>
      <c r="S155" s="11">
        <f>IF(COUNTIF($A$5:$A$207,A155)=1,"PASS","FAIL")</f>
        <v/>
      </c>
      <c r="T155" s="11">
        <f>IF(COUNTIF('SR系统设计'!$A$5:$A$42,B155)=1,"PASS","FAIL")</f>
        <v/>
      </c>
    </row>
    <row r="156" ht="72" customHeight="1">
      <c r="A156" s="11" t="inlineStr">
        <is>
          <t>AR23-02-06-01-06</t>
        </is>
      </c>
      <c r="B156" s="11" t="inlineStr">
        <is>
          <t>SR23-02-06-01</t>
        </is>
      </c>
      <c r="C156" s="11" t="inlineStr">
        <is>
          <t>性能观测</t>
        </is>
      </c>
      <c r="D156" s="11" t="inlineStr">
        <is>
          <t>KV 卸载/加载、分层回源与流式 流水线（Pipeline）｜性能观测</t>
        </is>
      </c>
      <c r="E156" s="11" t="inlineStr">
        <is>
          <t>性能与可观测负责人</t>
        </is>
      </c>
      <c r="F156" s="11" t="inlineStr">
        <is>
          <t>src/runtime/load_pipeline/telemetry.{h,cc} + 仪表板（dashboards）/load_pipeline.json</t>
        </is>
      </c>
      <c r="G156" s="11" t="inlineStr">
        <is>
          <t>接入统一 遥测数据（telemetry），建立本 SR 专属性能/资源/正确性指标和回归阈值：计算/传输重叠≥60%；换入（swap-in） TTFT降低≥25%；批量时延降低≥50%；额外内存≤15%</t>
        </is>
      </c>
      <c r="H156" s="11" t="inlineStr">
        <is>
          <t>性能观测对应的可审查代码/IDL/配置/文档</t>
        </is>
      </c>
      <c r="I156" s="11" t="inlineStr">
        <is>
          <t>代码通过编译、静态检查和单元测试；接口/配置有版本；失败语义和 功能开关（feature flag） 可验证。</t>
        </is>
      </c>
      <c r="J156" s="11" t="inlineStr">
        <is>
          <t>ctest -R load_pipeline &amp;&amp; run_contract_check --sr SR23-02-06-01</t>
        </is>
      </c>
      <c r="K156" s="11" t="inlineStr">
        <is>
          <t>计算/传输重叠≥60%；换入（swap-in） TTFT降低≥25%；批量时延降低≥50%；额外内存≤15%</t>
        </is>
      </c>
      <c r="L156" s="11" t="inlineStr">
        <is>
          <t>AR23-02-06-01-05</t>
        </is>
      </c>
      <c r="M156" s="11" t="inlineStr">
        <is>
          <t>SR23-02-01-01、SR23-01-04-01、SR23-01-08-01</t>
        </is>
      </c>
      <c r="N156" s="11" t="inlineStr">
        <is>
          <t>P2</t>
        </is>
      </c>
      <c r="O156" s="11" t="inlineStr">
        <is>
          <t>P2</t>
        </is>
      </c>
      <c r="P156" s="11" t="inlineStr">
        <is>
          <t>待认领</t>
        </is>
      </c>
      <c r="Q156" s="11" t="n"/>
      <c r="R156" s="11" t="n"/>
      <c r="S156" s="11">
        <f>IF(COUNTIF($A$5:$A$207,A156)=1,"PASS","FAIL")</f>
        <v/>
      </c>
      <c r="T156" s="11">
        <f>IF(COUNTIF('SR系统设计'!$A$5:$A$42,B156)=1,"PASS","FAIL")</f>
        <v/>
      </c>
    </row>
    <row r="157" ht="72" customHeight="1">
      <c r="A157" s="11" t="inlineStr">
        <is>
          <t>AR23-02-07-01-01</t>
        </is>
      </c>
      <c r="B157" s="11" t="inlineStr">
        <is>
          <t>SR23-02-07-01</t>
        </is>
      </c>
      <c r="C157" s="11" t="inlineStr">
        <is>
          <t>核心实现</t>
        </is>
      </c>
      <c r="D157" s="11" t="inlineStr">
        <is>
          <t>投机预取与效果反馈组件｜核心实现</t>
        </is>
      </c>
      <c r="E157" s="11" t="inlineStr">
        <is>
          <t>预取策略组</t>
        </is>
      </c>
      <c r="F157" s="11" t="inlineStr">
        <is>
          <t>src/policy/prefetch/core.{h,cc}</t>
        </is>
      </c>
      <c r="G157" s="11" t="inlineStr">
        <is>
          <t>实现“投机预取与效果反馈组件”的可运行主路径，交付 prefetch-engine、复用预测器接口、准入（admission） 反馈（feedback） 和收益看板 的核心代码、构建入口和最小示例。</t>
        </is>
      </c>
      <c r="H157" s="11" t="inlineStr">
        <is>
          <t>核心实现对应的可审查代码/IDL/配置/文档</t>
        </is>
      </c>
      <c r="I157" s="11" t="inlineStr">
        <is>
          <t>代码通过编译、静态检查和单元测试；接口/配置有版本；失败语义和 功能开关（feature flag） 可验证。</t>
        </is>
      </c>
      <c r="J157" s="11" t="inlineStr">
        <is>
          <t>ctest -R prefetch_engine &amp;&amp; run_contract_check --sr SR23-02-07-01</t>
        </is>
      </c>
      <c r="K157" s="11" t="inlineStr">
        <is>
          <t>预取命中率≥70%；误预取率&lt;20%；额外HBM≤10%；命中等待降低≥60%</t>
        </is>
      </c>
      <c r="L157" s="11" t="n"/>
      <c r="M157" s="11" t="inlineStr">
        <is>
          <t>SR23-02-06-01、SR23-01-03-01</t>
        </is>
      </c>
      <c r="N157" s="11" t="inlineStr">
        <is>
          <t>P2</t>
        </is>
      </c>
      <c r="O157" s="11" t="inlineStr">
        <is>
          <t>P2</t>
        </is>
      </c>
      <c r="P157" s="11" t="inlineStr">
        <is>
          <t>待认领</t>
        </is>
      </c>
      <c r="Q157" s="11" t="n"/>
      <c r="R157" s="11" t="n"/>
      <c r="S157" s="11">
        <f>IF(COUNTIF($A$5:$A$207,A157)=1,"PASS","FAIL")</f>
        <v/>
      </c>
      <c r="T157" s="11">
        <f>IF(COUNTIF('SR系统设计'!$A$5:$A$42,B157)=1,"PASS","FAIL")</f>
        <v/>
      </c>
    </row>
    <row r="158" ht="72" customHeight="1">
      <c r="A158" s="11" t="inlineStr">
        <is>
          <t>AR23-02-07-01-02</t>
        </is>
      </c>
      <c r="B158" s="11" t="inlineStr">
        <is>
          <t>SR23-02-07-01</t>
        </is>
      </c>
      <c r="C158" s="11" t="inlineStr">
        <is>
          <t>接口契约</t>
        </is>
      </c>
      <c r="D158" s="11" t="inlineStr">
        <is>
          <t>投机预取与效果反馈组件｜接口契约</t>
        </is>
      </c>
      <c r="E158" s="11" t="inlineStr">
        <is>
          <t>预取策略组</t>
        </is>
      </c>
      <c r="F158" s="11" t="inlineStr">
        <is>
          <t>api/kvcache/v23/prefetch_engine.proto + src/policy/prefetch/api.{h,cc}</t>
        </is>
      </c>
      <c r="G158" s="11" t="inlineStr">
        <is>
          <t>冻结并实现接口/IDL、版本兼容、输入输出、错误码与 消费者（consumer） 示例：PrefetchCandidate、PrefetchDecision、OutcomeFeedback</t>
        </is>
      </c>
      <c r="H158" s="11" t="inlineStr">
        <is>
          <t>接口契约对应的可审查代码/IDL/配置/文档</t>
        </is>
      </c>
      <c r="I158" s="11" t="inlineStr">
        <is>
          <t>代码通过编译、静态检查和单元测试；接口/配置有版本；失败语义和 功能开关（feature flag） 可验证。</t>
        </is>
      </c>
      <c r="J158" s="11" t="inlineStr">
        <is>
          <t>ctest -R prefetch_engine &amp;&amp; run_contract_check --sr SR23-02-07-01</t>
        </is>
      </c>
      <c r="K158" s="11" t="inlineStr">
        <is>
          <t>预取命中率≥70%；误预取率&lt;20%；额外HBM≤10%；命中等待降低≥60%</t>
        </is>
      </c>
      <c r="L158" s="11" t="inlineStr">
        <is>
          <t>AR23-02-07-01-01</t>
        </is>
      </c>
      <c r="M158" s="11" t="inlineStr">
        <is>
          <t>SR23-02-06-01、SR23-01-03-01</t>
        </is>
      </c>
      <c r="N158" s="11" t="inlineStr">
        <is>
          <t>P2</t>
        </is>
      </c>
      <c r="O158" s="11" t="inlineStr">
        <is>
          <t>P2</t>
        </is>
      </c>
      <c r="P158" s="11" t="inlineStr">
        <is>
          <t>待认领</t>
        </is>
      </c>
      <c r="Q158" s="11" t="n"/>
      <c r="R158" s="11" t="n"/>
      <c r="S158" s="11">
        <f>IF(COUNTIF($A$5:$A$207,A158)=1,"PASS","FAIL")</f>
        <v/>
      </c>
      <c r="T158" s="11">
        <f>IF(COUNTIF('SR系统设计'!$A$5:$A$42,B158)=1,"PASS","FAIL")</f>
        <v/>
      </c>
    </row>
    <row r="159" ht="72" customHeight="1">
      <c r="A159" s="11" t="inlineStr">
        <is>
          <t>AR23-02-07-01-03</t>
        </is>
      </c>
      <c r="B159" s="11" t="inlineStr">
        <is>
          <t>SR23-02-07-01</t>
        </is>
      </c>
      <c r="C159" s="11" t="inlineStr">
        <is>
          <t>状态模型</t>
        </is>
      </c>
      <c r="D159" s="11" t="inlineStr">
        <is>
          <t>投机预取与效果反馈组件｜状态模型</t>
        </is>
      </c>
      <c r="E159" s="11" t="inlineStr">
        <is>
          <t>预取策略组</t>
        </is>
      </c>
      <c r="F159" s="11" t="inlineStr">
        <is>
          <t>src/policy/prefetch/state_model.{h,cc}</t>
        </is>
      </c>
      <c r="G159" s="11" t="inlineStr">
        <is>
          <t>实现状态、版本、并发互锁和持久/内存数据模型，覆盖正常转换与非法转换保护。</t>
        </is>
      </c>
      <c r="H159" s="11" t="inlineStr">
        <is>
          <t>状态模型对应的可审查代码/IDL/配置/文档</t>
        </is>
      </c>
      <c r="I159" s="11" t="inlineStr">
        <is>
          <t>代码通过编译、静态检查和单元测试；接口/配置有版本；失败语义和 功能开关（feature flag） 可验证。</t>
        </is>
      </c>
      <c r="J159" s="11" t="inlineStr">
        <is>
          <t>ctest -R prefetch_engine &amp;&amp; run_contract_check --sr SR23-02-07-01</t>
        </is>
      </c>
      <c r="K159" s="11" t="inlineStr">
        <is>
          <t>预取命中率≥70%；误预取率&lt;20%；额外HBM≤10%；命中等待降低≥60%</t>
        </is>
      </c>
      <c r="L159" s="11" t="inlineStr">
        <is>
          <t>AR23-02-07-01-02</t>
        </is>
      </c>
      <c r="M159" s="11" t="inlineStr">
        <is>
          <t>SR23-02-06-01、SR23-01-03-01</t>
        </is>
      </c>
      <c r="N159" s="11" t="inlineStr">
        <is>
          <t>P2</t>
        </is>
      </c>
      <c r="O159" s="11" t="inlineStr">
        <is>
          <t>P2</t>
        </is>
      </c>
      <c r="P159" s="11" t="inlineStr">
        <is>
          <t>待认领</t>
        </is>
      </c>
      <c r="Q159" s="11" t="n"/>
      <c r="R159" s="11" t="n"/>
      <c r="S159" s="11">
        <f>IF(COUNTIF($A$5:$A$207,A159)=1,"PASS","FAIL")</f>
        <v/>
      </c>
      <c r="T159" s="11">
        <f>IF(COUNTIF('SR系统设计'!$A$5:$A$42,B159)=1,"PASS","FAIL")</f>
        <v/>
      </c>
    </row>
    <row r="160" ht="72" customHeight="1">
      <c r="A160" s="11" t="inlineStr">
        <is>
          <t>AR23-02-07-01-04</t>
        </is>
      </c>
      <c r="B160" s="11" t="inlineStr">
        <is>
          <t>SR23-02-07-01</t>
        </is>
      </c>
      <c r="C160" s="11" t="inlineStr">
        <is>
          <t>异常回滚</t>
        </is>
      </c>
      <c r="D160" s="11" t="inlineStr">
        <is>
          <t>投机预取与效果反馈组件｜异常回滚</t>
        </is>
      </c>
      <c r="E160" s="11" t="inlineStr">
        <is>
          <t>预取策略组</t>
        </is>
      </c>
      <c r="F160" s="11" t="inlineStr">
        <is>
          <t>src/policy/prefetch/fallback.{h,cc} + config/feature_flags/prefetch_engine.yaml</t>
        </is>
      </c>
      <c r="G160" s="11" t="inlineStr">
        <is>
          <t>实现并验证失败、超时、取消、降级、回滚与关闭路径：收益不稳定时只对白名单启用；高水位/前台拥塞立即暂停</t>
        </is>
      </c>
      <c r="H160" s="11" t="inlineStr">
        <is>
          <t>异常回滚对应的可审查代码/IDL/配置/文档</t>
        </is>
      </c>
      <c r="I160" s="11" t="inlineStr">
        <is>
          <t>代码通过编译、静态检查和单元测试；接口/配置有版本；失败语义和 功能开关（feature flag） 可验证。</t>
        </is>
      </c>
      <c r="J160" s="11" t="inlineStr">
        <is>
          <t>ctest -R prefetch_engine &amp;&amp; run_contract_check --sr SR23-02-07-01</t>
        </is>
      </c>
      <c r="K160" s="11" t="inlineStr">
        <is>
          <t>预取命中率≥70%；误预取率&lt;20%；额外HBM≤10%；命中等待降低≥60%</t>
        </is>
      </c>
      <c r="L160" s="11" t="inlineStr">
        <is>
          <t>AR23-02-07-01-03</t>
        </is>
      </c>
      <c r="M160" s="11" t="inlineStr">
        <is>
          <t>SR23-02-06-01、SR23-01-03-01</t>
        </is>
      </c>
      <c r="N160" s="11" t="inlineStr">
        <is>
          <t>P2</t>
        </is>
      </c>
      <c r="O160" s="11" t="inlineStr">
        <is>
          <t>P2</t>
        </is>
      </c>
      <c r="P160" s="11" t="inlineStr">
        <is>
          <t>待认领</t>
        </is>
      </c>
      <c r="Q160" s="11" t="n"/>
      <c r="R160" s="11" t="n"/>
      <c r="S160" s="11">
        <f>IF(COUNTIF($A$5:$A$207,A160)=1,"PASS","FAIL")</f>
        <v/>
      </c>
      <c r="T160" s="11">
        <f>IF(COUNTIF('SR系统设计'!$A$5:$A$42,B160)=1,"PASS","FAIL")</f>
        <v/>
      </c>
    </row>
    <row r="161" ht="72" customHeight="1">
      <c r="A161" s="11" t="inlineStr">
        <is>
          <t>AR23-02-07-01-05</t>
        </is>
      </c>
      <c r="B161" s="11" t="inlineStr">
        <is>
          <t>SR23-02-07-01</t>
        </is>
      </c>
      <c r="C161" s="11" t="inlineStr">
        <is>
          <t>独立验收</t>
        </is>
      </c>
      <c r="D161" s="11" t="inlineStr">
        <is>
          <t>投机预取与效果反馈组件｜独立验收</t>
        </is>
      </c>
      <c r="E161" s="11" t="inlineStr">
        <is>
          <t>测试/验收负责人</t>
        </is>
      </c>
      <c r="F161" s="11" t="inlineStr">
        <is>
          <t>tests/prefetch_engine/ + benchmarks/prefetch_engine/ + evidence/prefetch_engine/manifest.yaml</t>
        </is>
      </c>
      <c r="G161" s="11" t="inlineStr">
        <is>
          <t>建立不依赖全项目的验收环境，执行功能、异常、兼容和性能门禁并生成可签字证据包。</t>
        </is>
      </c>
      <c r="H161" s="11" t="inlineStr">
        <is>
          <t>版本化测试结果、原始证据、Go/Conditional/No-Go 结论</t>
        </is>
      </c>
      <c r="I161" s="11" t="inlineStr">
        <is>
          <t>在“离线 追踪（trace） 回放（replay） + MockLoadPipeline 即可独立验收”中完成主路径、异常、兼容和回滚；全部证据可一键复现。</t>
        </is>
      </c>
      <c r="J161" s="11" t="inlineStr">
        <is>
          <t>run_sr_acceptance --sr SR23-02-07-01 --baseline locked</t>
        </is>
      </c>
      <c r="K161" s="11" t="inlineStr">
        <is>
          <t>预取命中率≥70%；误预取率&lt;20%；额外HBM≤10%；命中等待降低≥60%</t>
        </is>
      </c>
      <c r="L161" s="11" t="inlineStr">
        <is>
          <t>AR23-02-07-01-04</t>
        </is>
      </c>
      <c r="M161" s="11" t="inlineStr">
        <is>
          <t>SR23-02-06-01、SR23-01-03-01</t>
        </is>
      </c>
      <c r="N161" s="11" t="inlineStr">
        <is>
          <t>P2</t>
        </is>
      </c>
      <c r="O161" s="11" t="inlineStr">
        <is>
          <t>P2</t>
        </is>
      </c>
      <c r="P161" s="11" t="inlineStr">
        <is>
          <t>待认领</t>
        </is>
      </c>
      <c r="Q161" s="11" t="n"/>
      <c r="R161" s="11" t="n"/>
      <c r="S161" s="11">
        <f>IF(COUNTIF($A$5:$A$207,A161)=1,"PASS","FAIL")</f>
        <v/>
      </c>
      <c r="T161" s="11">
        <f>IF(COUNTIF('SR系统设计'!$A$5:$A$42,B161)=1,"PASS","FAIL")</f>
        <v/>
      </c>
    </row>
    <row r="162" ht="72" customHeight="1">
      <c r="A162" s="11" t="inlineStr">
        <is>
          <t>AR23-02-07-01-06</t>
        </is>
      </c>
      <c r="B162" s="11" t="inlineStr">
        <is>
          <t>SR23-02-07-01</t>
        </is>
      </c>
      <c r="C162" s="11" t="inlineStr">
        <is>
          <t>性能观测</t>
        </is>
      </c>
      <c r="D162" s="11" t="inlineStr">
        <is>
          <t>投机预取与效果反馈组件｜性能观测</t>
        </is>
      </c>
      <c r="E162" s="11" t="inlineStr">
        <is>
          <t>性能与可观测负责人</t>
        </is>
      </c>
      <c r="F162" s="11" t="inlineStr">
        <is>
          <t>src/policy/prefetch/telemetry.{h,cc} + 仪表板（dashboards）/prefetch_engine.json</t>
        </is>
      </c>
      <c r="G162" s="11" t="inlineStr">
        <is>
          <t>接入统一 遥测数据（telemetry），建立本 SR 专属性能/资源/正确性指标和回归阈值：预取命中率≥70%；误预取率&lt;20%；额外HBM≤10%；命中等待降低≥60%</t>
        </is>
      </c>
      <c r="H162" s="11" t="inlineStr">
        <is>
          <t>性能观测对应的可审查代码/IDL/配置/文档</t>
        </is>
      </c>
      <c r="I162" s="11" t="inlineStr">
        <is>
          <t>代码通过编译、静态检查和单元测试；接口/配置有版本；失败语义和 功能开关（feature flag） 可验证。</t>
        </is>
      </c>
      <c r="J162" s="11" t="inlineStr">
        <is>
          <t>ctest -R prefetch_engine &amp;&amp; run_contract_check --sr SR23-02-07-01</t>
        </is>
      </c>
      <c r="K162" s="11" t="inlineStr">
        <is>
          <t>预取命中率≥70%；误预取率&lt;20%；额外HBM≤10%；命中等待降低≥60%</t>
        </is>
      </c>
      <c r="L162" s="11" t="inlineStr">
        <is>
          <t>AR23-02-07-01-05</t>
        </is>
      </c>
      <c r="M162" s="11" t="inlineStr">
        <is>
          <t>SR23-02-06-01、SR23-01-03-01</t>
        </is>
      </c>
      <c r="N162" s="11" t="inlineStr">
        <is>
          <t>P2</t>
        </is>
      </c>
      <c r="O162" s="11" t="inlineStr">
        <is>
          <t>P2</t>
        </is>
      </c>
      <c r="P162" s="11" t="inlineStr">
        <is>
          <t>待认领</t>
        </is>
      </c>
      <c r="Q162" s="11" t="n"/>
      <c r="R162" s="11" t="n"/>
      <c r="S162" s="11">
        <f>IF(COUNTIF($A$5:$A$207,A162)=1,"PASS","FAIL")</f>
        <v/>
      </c>
      <c r="T162" s="11">
        <f>IF(COUNTIF('SR系统设计'!$A$5:$A$42,B162)=1,"PASS","FAIL")</f>
        <v/>
      </c>
    </row>
    <row r="163" ht="72" customHeight="1">
      <c r="A163" s="11" t="inlineStr">
        <is>
          <t>AR23-02-08-01-01</t>
        </is>
      </c>
      <c r="B163" s="11" t="inlineStr">
        <is>
          <t>SR23-02-08-01</t>
        </is>
      </c>
      <c r="C163" s="11" t="inlineStr">
        <is>
          <t>核心实现</t>
        </is>
      </c>
      <c r="D163" s="11" t="inlineStr">
        <is>
          <t>模型 KV 容量画像、水位与生命周期配置组件｜核心实现</t>
        </is>
      </c>
      <c r="E163" s="11" t="inlineStr">
        <is>
          <t>容量画像与生命周期配置组</t>
        </is>
      </c>
      <c r="F163" s="11" t="inlineStr">
        <is>
          <t>src/capacity/profile/core.{h,cc}</t>
        </is>
      </c>
      <c r="G163" s="11" t="inlineStr">
        <is>
          <t>实现“模型 KV 容量画像、水位与生命周期配置组件”的可运行主路径，交付 capacity-profiler、模型配置画像（ModelProfile）/KV块规格（KVBlockSpec）、水位（watermark） 配置和生命周期事件 SDK 的核心代码、构建入口和最小示例。</t>
        </is>
      </c>
      <c r="H163" s="11" t="inlineStr">
        <is>
          <t>核心实现对应的可审查代码/IDL/配置/文档</t>
        </is>
      </c>
      <c r="I163" s="11" t="inlineStr">
        <is>
          <t>代码通过编译、静态检查和单元测试；接口/配置有版本；失败语义和 功能开关（feature flag） 可验证。</t>
        </is>
      </c>
      <c r="J163" s="11" t="inlineStr">
        <is>
          <t>ctest -R capacity_profile &amp;&amp; run_contract_check --sr SR23-02-08-01</t>
        </is>
      </c>
      <c r="K163" s="11" t="inlineStr">
        <is>
          <t>容量估算误差&lt;5%；配置校验100%；OOM/抢占（preemption）降低≥50%；错误预算=0</t>
        </is>
      </c>
      <c r="L163" s="11" t="n"/>
      <c r="M163" s="11" t="inlineStr">
        <is>
          <t>SR23-01-01-01</t>
        </is>
      </c>
      <c r="N163" s="11" t="inlineStr">
        <is>
          <t>P0</t>
        </is>
      </c>
      <c r="O163" s="11" t="inlineStr">
        <is>
          <t>P0</t>
        </is>
      </c>
      <c r="P163" s="11" t="inlineStr">
        <is>
          <t>待认领</t>
        </is>
      </c>
      <c r="Q163" s="11" t="n"/>
      <c r="R163" s="11" t="n"/>
      <c r="S163" s="11">
        <f>IF(COUNTIF($A$5:$A$207,A163)=1,"PASS","FAIL")</f>
        <v/>
      </c>
      <c r="T163" s="11">
        <f>IF(COUNTIF('SR系统设计'!$A$5:$A$42,B163)=1,"PASS","FAIL")</f>
        <v/>
      </c>
    </row>
    <row r="164" ht="72" customHeight="1">
      <c r="A164" s="11" t="inlineStr">
        <is>
          <t>AR23-02-08-01-02</t>
        </is>
      </c>
      <c r="B164" s="11" t="inlineStr">
        <is>
          <t>SR23-02-08-01</t>
        </is>
      </c>
      <c r="C164" s="11" t="inlineStr">
        <is>
          <t>接口契约</t>
        </is>
      </c>
      <c r="D164" s="11" t="inlineStr">
        <is>
          <t>模型 KV 容量画像、水位与生命周期配置组件｜接口契约</t>
        </is>
      </c>
      <c r="E164" s="11" t="inlineStr">
        <is>
          <t>容量画像与生命周期配置组</t>
        </is>
      </c>
      <c r="F164" s="11" t="inlineStr">
        <is>
          <t>api/kvcache/v23/capacity_profile.proto + src/capacity/profile/api.{h,cc}</t>
        </is>
      </c>
      <c r="G164" s="11" t="inlineStr">
        <is>
          <t>冻结并实现接口/IDL、版本兼容、输入输出、错误码与 消费者（consumer） 示例：模型配置画像（ModelProfile）、KV块规格（KVBlockSpec）、CapacityBudget、LifecycleEvent</t>
        </is>
      </c>
      <c r="H164" s="11" t="inlineStr">
        <is>
          <t>接口契约对应的可审查代码/IDL/配置/文档</t>
        </is>
      </c>
      <c r="I164" s="11" t="inlineStr">
        <is>
          <t>代码通过编译、静态检查和单元测试；接口/配置有版本；失败语义和 功能开关（feature flag） 可验证。</t>
        </is>
      </c>
      <c r="J164" s="11" t="inlineStr">
        <is>
          <t>ctest -R capacity_profile &amp;&amp; run_contract_check --sr SR23-02-08-01</t>
        </is>
      </c>
      <c r="K164" s="11" t="inlineStr">
        <is>
          <t>容量估算误差&lt;5%；配置校验100%；OOM/抢占（preemption）降低≥50%；错误预算=0</t>
        </is>
      </c>
      <c r="L164" s="11" t="inlineStr">
        <is>
          <t>AR23-02-08-01-01</t>
        </is>
      </c>
      <c r="M164" s="11" t="inlineStr">
        <is>
          <t>SR23-01-01-01</t>
        </is>
      </c>
      <c r="N164" s="11" t="inlineStr">
        <is>
          <t>P0</t>
        </is>
      </c>
      <c r="O164" s="11" t="inlineStr">
        <is>
          <t>P0</t>
        </is>
      </c>
      <c r="P164" s="11" t="inlineStr">
        <is>
          <t>待认领</t>
        </is>
      </c>
      <c r="Q164" s="11" t="n"/>
      <c r="R164" s="11" t="n"/>
      <c r="S164" s="11">
        <f>IF(COUNTIF($A$5:$A$207,A164)=1,"PASS","FAIL")</f>
        <v/>
      </c>
      <c r="T164" s="11">
        <f>IF(COUNTIF('SR系统设计'!$A$5:$A$42,B164)=1,"PASS","FAIL")</f>
        <v/>
      </c>
    </row>
    <row r="165" ht="72" customHeight="1">
      <c r="A165" s="11" t="inlineStr">
        <is>
          <t>AR23-02-08-01-03</t>
        </is>
      </c>
      <c r="B165" s="11" t="inlineStr">
        <is>
          <t>SR23-02-08-01</t>
        </is>
      </c>
      <c r="C165" s="11" t="inlineStr">
        <is>
          <t>状态模型</t>
        </is>
      </c>
      <c r="D165" s="11" t="inlineStr">
        <is>
          <t>模型 KV 容量画像、水位与生命周期配置组件｜状态模型</t>
        </is>
      </c>
      <c r="E165" s="11" t="inlineStr">
        <is>
          <t>容量画像与生命周期配置组</t>
        </is>
      </c>
      <c r="F165" s="11" t="inlineStr">
        <is>
          <t>src/capacity/profile/state_model.{h,cc}</t>
        </is>
      </c>
      <c r="G165" s="11" t="inlineStr">
        <is>
          <t>实现状态、版本、并发互锁和持久/内存数据模型，覆盖正常转换与非法转换保护。</t>
        </is>
      </c>
      <c r="H165" s="11" t="inlineStr">
        <is>
          <t>状态模型对应的可审查代码/IDL/配置/文档</t>
        </is>
      </c>
      <c r="I165" s="11" t="inlineStr">
        <is>
          <t>代码通过编译、静态检查和单元测试；接口/配置有版本；失败语义和 功能开关（feature flag） 可验证。</t>
        </is>
      </c>
      <c r="J165" s="11" t="inlineStr">
        <is>
          <t>ctest -R capacity_profile &amp;&amp; run_contract_check --sr SR23-02-08-01</t>
        </is>
      </c>
      <c r="K165" s="11" t="inlineStr">
        <is>
          <t>容量估算误差&lt;5%；配置校验100%；OOM/抢占（preemption）降低≥50%；错误预算=0</t>
        </is>
      </c>
      <c r="L165" s="11" t="inlineStr">
        <is>
          <t>AR23-02-08-01-02</t>
        </is>
      </c>
      <c r="M165" s="11" t="inlineStr">
        <is>
          <t>SR23-01-01-01</t>
        </is>
      </c>
      <c r="N165" s="11" t="inlineStr">
        <is>
          <t>P0</t>
        </is>
      </c>
      <c r="O165" s="11" t="inlineStr">
        <is>
          <t>P0</t>
        </is>
      </c>
      <c r="P165" s="11" t="inlineStr">
        <is>
          <t>待认领</t>
        </is>
      </c>
      <c r="Q165" s="11" t="n"/>
      <c r="R165" s="11" t="n"/>
      <c r="S165" s="11">
        <f>IF(COUNTIF($A$5:$A$207,A165)=1,"PASS","FAIL")</f>
        <v/>
      </c>
      <c r="T165" s="11">
        <f>IF(COUNTIF('SR系统设计'!$A$5:$A$42,B165)=1,"PASS","FAIL")</f>
        <v/>
      </c>
    </row>
    <row r="166" ht="72" customHeight="1">
      <c r="A166" s="11" t="inlineStr">
        <is>
          <t>AR23-02-08-01-04</t>
        </is>
      </c>
      <c r="B166" s="11" t="inlineStr">
        <is>
          <t>SR23-02-08-01</t>
        </is>
      </c>
      <c r="C166" s="11" t="inlineStr">
        <is>
          <t>异常回滚</t>
        </is>
      </c>
      <c r="D166" s="11" t="inlineStr">
        <is>
          <t>模型 KV 容量画像、水位与生命周期配置组件｜异常回滚</t>
        </is>
      </c>
      <c r="E166" s="11" t="inlineStr">
        <is>
          <t>容量画像与生命周期配置组</t>
        </is>
      </c>
      <c r="F166" s="11" t="inlineStr">
        <is>
          <t>src/capacity/profile/fallback.{h,cc} + config/feature_flags/capacity_profile.yaml</t>
        </is>
      </c>
      <c r="G166" s="11" t="inlineStr">
        <is>
          <t>实现并验证失败、超时、取消、降级、回滚与关闭路径：画像缺失时使用保守上界；估算误差超阈值时禁止自动扩容</t>
        </is>
      </c>
      <c r="H166" s="11" t="inlineStr">
        <is>
          <t>异常回滚对应的可审查代码/IDL/配置/文档</t>
        </is>
      </c>
      <c r="I166" s="11" t="inlineStr">
        <is>
          <t>代码通过编译、静态检查和单元测试；接口/配置有版本；失败语义和 功能开关（feature flag） 可验证。</t>
        </is>
      </c>
      <c r="J166" s="11" t="inlineStr">
        <is>
          <t>ctest -R capacity_profile &amp;&amp; run_contract_check --sr SR23-02-08-01</t>
        </is>
      </c>
      <c r="K166" s="11" t="inlineStr">
        <is>
          <t>容量估算误差&lt;5%；配置校验100%；OOM/抢占（preemption）降低≥50%；错误预算=0</t>
        </is>
      </c>
      <c r="L166" s="11" t="inlineStr">
        <is>
          <t>AR23-02-08-01-03</t>
        </is>
      </c>
      <c r="M166" s="11" t="inlineStr">
        <is>
          <t>SR23-01-01-01</t>
        </is>
      </c>
      <c r="N166" s="11" t="inlineStr">
        <is>
          <t>P0</t>
        </is>
      </c>
      <c r="O166" s="11" t="inlineStr">
        <is>
          <t>P0</t>
        </is>
      </c>
      <c r="P166" s="11" t="inlineStr">
        <is>
          <t>待认领</t>
        </is>
      </c>
      <c r="Q166" s="11" t="n"/>
      <c r="R166" s="11" t="n"/>
      <c r="S166" s="11">
        <f>IF(COUNTIF($A$5:$A$207,A166)=1,"PASS","FAIL")</f>
        <v/>
      </c>
      <c r="T166" s="11">
        <f>IF(COUNTIF('SR系统设计'!$A$5:$A$42,B166)=1,"PASS","FAIL")</f>
        <v/>
      </c>
    </row>
    <row r="167" ht="72" customHeight="1">
      <c r="A167" s="11" t="inlineStr">
        <is>
          <t>AR23-02-08-01-05</t>
        </is>
      </c>
      <c r="B167" s="11" t="inlineStr">
        <is>
          <t>SR23-02-08-01</t>
        </is>
      </c>
      <c r="C167" s="11" t="inlineStr">
        <is>
          <t>独立验收</t>
        </is>
      </c>
      <c r="D167" s="11" t="inlineStr">
        <is>
          <t>模型 KV 容量画像、水位与生命周期配置组件｜独立验收</t>
        </is>
      </c>
      <c r="E167" s="11" t="inlineStr">
        <is>
          <t>测试/验收负责人</t>
        </is>
      </c>
      <c r="F167" s="11" t="inlineStr">
        <is>
          <t>tests/capacity_profile/ + benchmarks/capacity_profile/ + evidence/capacity_profile/manifest.yaml</t>
        </is>
      </c>
      <c r="G167" s="11" t="inlineStr">
        <is>
          <t>建立不依赖全项目的验收环境，执行功能、异常、兼容和性能门禁并生成可签字证据包。</t>
        </is>
      </c>
      <c r="H167" s="11" t="inlineStr">
        <is>
          <t>版本化测试结果、原始证据、Go/Conditional/No-Go 结论</t>
        </is>
      </c>
      <c r="I167" s="11" t="inlineStr">
        <is>
          <t>在“模型配置与 合成分配（synthetic allocation） 即可独立验收”中完成主路径、异常、兼容和回滚；全部证据可一键复现。</t>
        </is>
      </c>
      <c r="J167" s="11" t="inlineStr">
        <is>
          <t>run_sr_acceptance --sr SR23-02-08-01 --baseline locked</t>
        </is>
      </c>
      <c r="K167" s="11" t="inlineStr">
        <is>
          <t>容量估算误差&lt;5%；配置校验100%；OOM/抢占（preemption）降低≥50%；错误预算=0</t>
        </is>
      </c>
      <c r="L167" s="11" t="inlineStr">
        <is>
          <t>AR23-02-08-01-04</t>
        </is>
      </c>
      <c r="M167" s="11" t="inlineStr">
        <is>
          <t>SR23-01-01-01</t>
        </is>
      </c>
      <c r="N167" s="11" t="inlineStr">
        <is>
          <t>P0</t>
        </is>
      </c>
      <c r="O167" s="11" t="inlineStr">
        <is>
          <t>P0</t>
        </is>
      </c>
      <c r="P167" s="11" t="inlineStr">
        <is>
          <t>待认领</t>
        </is>
      </c>
      <c r="Q167" s="11" t="n"/>
      <c r="R167" s="11" t="n"/>
      <c r="S167" s="11">
        <f>IF(COUNTIF($A$5:$A$207,A167)=1,"PASS","FAIL")</f>
        <v/>
      </c>
      <c r="T167" s="11">
        <f>IF(COUNTIF('SR系统设计'!$A$5:$A$42,B167)=1,"PASS","FAIL")</f>
        <v/>
      </c>
    </row>
    <row r="168" ht="72" customHeight="1">
      <c r="A168" s="11" t="inlineStr">
        <is>
          <t>AR23-02-09-01-01</t>
        </is>
      </c>
      <c r="B168" s="11" t="inlineStr">
        <is>
          <t>SR23-02-09-01</t>
        </is>
      </c>
      <c r="C168" s="11" t="inlineStr">
        <is>
          <t>核心实现</t>
        </is>
      </c>
      <c r="D168" s="11" t="inlineStr">
        <is>
          <t>活跃/热/冷 KV 分层驻留与部分复用策略｜核心实现</t>
        </is>
      </c>
      <c r="E168" s="11" t="inlineStr">
        <is>
          <t>驻留与局部复用策略组</t>
        </is>
      </c>
      <c r="F168" s="11" t="inlineStr">
        <is>
          <t>src/policy/residency/core.{h,cc}</t>
        </is>
      </c>
      <c r="G168" s="11" t="inlineStr">
        <is>
          <t>实现“活跃/热/冷 KV 分层驻留与部分复用策略”的可运行主路径，交付 residency-policy、Active/Warm/Cold classifier、部分复用边界（partial boundary） 与 视图与复制对比（View-vs-Copy） 规划器（planner） 的核心代码、构建入口和最小示例。</t>
        </is>
      </c>
      <c r="H168" s="11" t="inlineStr">
        <is>
          <t>核心实现对应的可审查代码/IDL/配置/文档</t>
        </is>
      </c>
      <c r="I168" s="11" t="inlineStr">
        <is>
          <t>代码通过编译、静态检查和单元测试；接口/配置有版本；失败语义和 功能开关（feature flag） 可验证。</t>
        </is>
      </c>
      <c r="J168" s="11" t="inlineStr">
        <is>
          <t>ctest -R residency_policy &amp;&amp; run_contract_check --sr SR23-02-09-01</t>
        </is>
      </c>
      <c r="K168" s="11" t="inlineStr">
        <is>
          <t>HBM有效容量提升≥20%；TPOT p99回退&lt;3%；每GB 节省的令牌（saved tokens）提升≥25%</t>
        </is>
      </c>
      <c r="L168" s="11" t="n"/>
      <c r="M168" s="11" t="inlineStr">
        <is>
          <t>SR23-02-08-01、SR23-01-01-02、SR23-01-01-03</t>
        </is>
      </c>
      <c r="N168" s="11" t="inlineStr">
        <is>
          <t>P1</t>
        </is>
      </c>
      <c r="O168" s="11" t="inlineStr">
        <is>
          <t>P1</t>
        </is>
      </c>
      <c r="P168" s="11" t="inlineStr">
        <is>
          <t>待认领</t>
        </is>
      </c>
      <c r="Q168" s="11" t="n"/>
      <c r="R168" s="11" t="n"/>
      <c r="S168" s="11">
        <f>IF(COUNTIF($A$5:$A$207,A168)=1,"PASS","FAIL")</f>
        <v/>
      </c>
      <c r="T168" s="11">
        <f>IF(COUNTIF('SR系统设计'!$A$5:$A$42,B168)=1,"PASS","FAIL")</f>
        <v/>
      </c>
    </row>
    <row r="169" ht="72" customHeight="1">
      <c r="A169" s="11" t="inlineStr">
        <is>
          <t>AR23-02-09-01-02</t>
        </is>
      </c>
      <c r="B169" s="11" t="inlineStr">
        <is>
          <t>SR23-02-09-01</t>
        </is>
      </c>
      <c r="C169" s="11" t="inlineStr">
        <is>
          <t>接口契约</t>
        </is>
      </c>
      <c r="D169" s="11" t="inlineStr">
        <is>
          <t>活跃/热/冷 KV 分层驻留与部分复用策略｜接口契约</t>
        </is>
      </c>
      <c r="E169" s="11" t="inlineStr">
        <is>
          <t>驻留与局部复用策略组</t>
        </is>
      </c>
      <c r="F169" s="11" t="inlineStr">
        <is>
          <t>api/kvcache/v23/residency_policy.proto + src/policy/residency/api.{h,cc}</t>
        </is>
      </c>
      <c r="G169" s="11" t="inlineStr">
        <is>
          <t>冻结并实现接口/IDL、版本兼容、输入输出、错误码与 消费者（consumer） 示例：ResidencyClass、PartialReusePlan、ViewCopyDecision</t>
        </is>
      </c>
      <c r="H169" s="11" t="inlineStr">
        <is>
          <t>接口契约对应的可审查代码/IDL/配置/文档</t>
        </is>
      </c>
      <c r="I169" s="11" t="inlineStr">
        <is>
          <t>代码通过编译、静态检查和单元测试；接口/配置有版本；失败语义和 功能开关（feature flag） 可验证。</t>
        </is>
      </c>
      <c r="J169" s="11" t="inlineStr">
        <is>
          <t>ctest -R residency_policy &amp;&amp; run_contract_check --sr SR23-02-09-01</t>
        </is>
      </c>
      <c r="K169" s="11" t="inlineStr">
        <is>
          <t>HBM有效容量提升≥20%；TPOT p99回退&lt;3%；每GB 节省的令牌（saved tokens）提升≥25%</t>
        </is>
      </c>
      <c r="L169" s="11" t="inlineStr">
        <is>
          <t>AR23-02-09-01-01</t>
        </is>
      </c>
      <c r="M169" s="11" t="inlineStr">
        <is>
          <t>SR23-02-08-01、SR23-01-01-02、SR23-01-01-03</t>
        </is>
      </c>
      <c r="N169" s="11" t="inlineStr">
        <is>
          <t>P1</t>
        </is>
      </c>
      <c r="O169" s="11" t="inlineStr">
        <is>
          <t>P1</t>
        </is>
      </c>
      <c r="P169" s="11" t="inlineStr">
        <is>
          <t>待认领</t>
        </is>
      </c>
      <c r="Q169" s="11" t="n"/>
      <c r="R169" s="11" t="n"/>
      <c r="S169" s="11">
        <f>IF(COUNTIF($A$5:$A$207,A169)=1,"PASS","FAIL")</f>
        <v/>
      </c>
      <c r="T169" s="11">
        <f>IF(COUNTIF('SR系统设计'!$A$5:$A$42,B169)=1,"PASS","FAIL")</f>
        <v/>
      </c>
    </row>
    <row r="170" ht="72" customHeight="1">
      <c r="A170" s="11" t="inlineStr">
        <is>
          <t>AR23-02-09-01-03</t>
        </is>
      </c>
      <c r="B170" s="11" t="inlineStr">
        <is>
          <t>SR23-02-09-01</t>
        </is>
      </c>
      <c r="C170" s="11" t="inlineStr">
        <is>
          <t>状态模型</t>
        </is>
      </c>
      <c r="D170" s="11" t="inlineStr">
        <is>
          <t>活跃/热/冷 KV 分层驻留与部分复用策略｜状态模型</t>
        </is>
      </c>
      <c r="E170" s="11" t="inlineStr">
        <is>
          <t>驻留与局部复用策略组</t>
        </is>
      </c>
      <c r="F170" s="11" t="inlineStr">
        <is>
          <t>src/policy/residency/state_model.{h,cc}</t>
        </is>
      </c>
      <c r="G170" s="11" t="inlineStr">
        <is>
          <t>实现状态、版本、并发互锁和持久/内存数据模型，覆盖正常转换与非法转换保护。</t>
        </is>
      </c>
      <c r="H170" s="11" t="inlineStr">
        <is>
          <t>状态模型对应的可审查代码/IDL/配置/文档</t>
        </is>
      </c>
      <c r="I170" s="11" t="inlineStr">
        <is>
          <t>代码通过编译、静态检查和单元测试；接口/配置有版本；失败语义和 功能开关（feature flag） 可验证。</t>
        </is>
      </c>
      <c r="J170" s="11" t="inlineStr">
        <is>
          <t>ctest -R residency_policy &amp;&amp; run_contract_check --sr SR23-02-09-01</t>
        </is>
      </c>
      <c r="K170" s="11" t="inlineStr">
        <is>
          <t>HBM有效容量提升≥20%；TPOT p99回退&lt;3%；每GB 节省的令牌（saved tokens）提升≥25%</t>
        </is>
      </c>
      <c r="L170" s="11" t="inlineStr">
        <is>
          <t>AR23-02-09-01-02</t>
        </is>
      </c>
      <c r="M170" s="11" t="inlineStr">
        <is>
          <t>SR23-02-08-01、SR23-01-01-02、SR23-01-01-03</t>
        </is>
      </c>
      <c r="N170" s="11" t="inlineStr">
        <is>
          <t>P1</t>
        </is>
      </c>
      <c r="O170" s="11" t="inlineStr">
        <is>
          <t>P1</t>
        </is>
      </c>
      <c r="P170" s="11" t="inlineStr">
        <is>
          <t>待认领</t>
        </is>
      </c>
      <c r="Q170" s="11" t="n"/>
      <c r="R170" s="11" t="n"/>
      <c r="S170" s="11">
        <f>IF(COUNTIF($A$5:$A$207,A170)=1,"PASS","FAIL")</f>
        <v/>
      </c>
      <c r="T170" s="11">
        <f>IF(COUNTIF('SR系统设计'!$A$5:$A$42,B170)=1,"PASS","FAIL")</f>
        <v/>
      </c>
    </row>
    <row r="171" ht="72" customHeight="1">
      <c r="A171" s="11" t="inlineStr">
        <is>
          <t>AR23-02-09-01-04</t>
        </is>
      </c>
      <c r="B171" s="11" t="inlineStr">
        <is>
          <t>SR23-02-09-01</t>
        </is>
      </c>
      <c r="C171" s="11" t="inlineStr">
        <is>
          <t>异常回滚</t>
        </is>
      </c>
      <c r="D171" s="11" t="inlineStr">
        <is>
          <t>活跃/热/冷 KV 分层驻留与部分复用策略｜异常回滚</t>
        </is>
      </c>
      <c r="E171" s="11" t="inlineStr">
        <is>
          <t>驻留与局部复用策略组</t>
        </is>
      </c>
      <c r="F171" s="11" t="inlineStr">
        <is>
          <t>src/policy/residency/fallback.{h,cc} + config/feature_flags/residency_policy.yaml</t>
        </is>
      </c>
      <c r="G171" s="11" t="inlineStr">
        <is>
          <t>实现并验证失败、超时、取消、降级、回滚与关闭路径：分类不可信时保护 活跃状态（active） KV 并使用保守 复制到 HBM（copy-to-HBM）；负收益则重算</t>
        </is>
      </c>
      <c r="H171" s="11" t="inlineStr">
        <is>
          <t>异常回滚对应的可审查代码/IDL/配置/文档</t>
        </is>
      </c>
      <c r="I171" s="11" t="inlineStr">
        <is>
          <t>代码通过编译、静态检查和单元测试；接口/配置有版本；失败语义和 功能开关（feature flag） 可验证。</t>
        </is>
      </c>
      <c r="J171" s="11" t="inlineStr">
        <is>
          <t>ctest -R residency_policy &amp;&amp; run_contract_check --sr SR23-02-09-01</t>
        </is>
      </c>
      <c r="K171" s="11" t="inlineStr">
        <is>
          <t>HBM有效容量提升≥20%；TPOT p99回退&lt;3%；每GB 节省的令牌（saved tokens）提升≥25%</t>
        </is>
      </c>
      <c r="L171" s="11" t="inlineStr">
        <is>
          <t>AR23-02-09-01-03</t>
        </is>
      </c>
      <c r="M171" s="11" t="inlineStr">
        <is>
          <t>SR23-02-08-01、SR23-01-01-02、SR23-01-01-03</t>
        </is>
      </c>
      <c r="N171" s="11" t="inlineStr">
        <is>
          <t>P1</t>
        </is>
      </c>
      <c r="O171" s="11" t="inlineStr">
        <is>
          <t>P1</t>
        </is>
      </c>
      <c r="P171" s="11" t="inlineStr">
        <is>
          <t>待认领</t>
        </is>
      </c>
      <c r="Q171" s="11" t="n"/>
      <c r="R171" s="11" t="n"/>
      <c r="S171" s="11">
        <f>IF(COUNTIF($A$5:$A$207,A171)=1,"PASS","FAIL")</f>
        <v/>
      </c>
      <c r="T171" s="11">
        <f>IF(COUNTIF('SR系统设计'!$A$5:$A$42,B171)=1,"PASS","FAIL")</f>
        <v/>
      </c>
    </row>
    <row r="172" ht="72" customHeight="1">
      <c r="A172" s="11" t="inlineStr">
        <is>
          <t>AR23-02-09-01-05</t>
        </is>
      </c>
      <c r="B172" s="11" t="inlineStr">
        <is>
          <t>SR23-02-09-01</t>
        </is>
      </c>
      <c r="C172" s="11" t="inlineStr">
        <is>
          <t>独立验收</t>
        </is>
      </c>
      <c r="D172" s="11" t="inlineStr">
        <is>
          <t>活跃/热/冷 KV 分层驻留与部分复用策略｜独立验收</t>
        </is>
      </c>
      <c r="E172" s="11" t="inlineStr">
        <is>
          <t>测试/验收负责人</t>
        </is>
      </c>
      <c r="F172" s="11" t="inlineStr">
        <is>
          <t>tests/residency_policy/ + benchmarks/residency_policy/ + evidence/residency_policy/manifest.yaml</t>
        </is>
      </c>
      <c r="G172" s="11" t="inlineStr">
        <is>
          <t>建立不依赖全项目的验收环境，执行功能、异常、兼容和性能门禁并生成可签字证据包。</t>
        </is>
      </c>
      <c r="H172" s="11" t="inlineStr">
        <is>
          <t>版本化测试结果、原始证据、Go/Conditional/No-Go 结论</t>
        </is>
      </c>
      <c r="I172" s="11" t="inlineStr">
        <is>
          <t>在“追踪（trace） 回放（replay） + MockTier/加载（Load） 即可独立验收”中完成主路径、异常、兼容和回滚；全部证据可一键复现。</t>
        </is>
      </c>
      <c r="J172" s="11" t="inlineStr">
        <is>
          <t>run_sr_acceptance --sr SR23-02-09-01 --baseline locked</t>
        </is>
      </c>
      <c r="K172" s="11" t="inlineStr">
        <is>
          <t>HBM有效容量提升≥20%；TPOT p99回退&lt;3%；每GB 节省的令牌（saved tokens）提升≥25%</t>
        </is>
      </c>
      <c r="L172" s="11" t="inlineStr">
        <is>
          <t>AR23-02-09-01-04</t>
        </is>
      </c>
      <c r="M172" s="11" t="inlineStr">
        <is>
          <t>SR23-02-08-01、SR23-01-01-02、SR23-01-01-03</t>
        </is>
      </c>
      <c r="N172" s="11" t="inlineStr">
        <is>
          <t>P1</t>
        </is>
      </c>
      <c r="O172" s="11" t="inlineStr">
        <is>
          <t>P1</t>
        </is>
      </c>
      <c r="P172" s="11" t="inlineStr">
        <is>
          <t>待认领</t>
        </is>
      </c>
      <c r="Q172" s="11" t="n"/>
      <c r="R172" s="11" t="n"/>
      <c r="S172" s="11">
        <f>IF(COUNTIF($A$5:$A$207,A172)=1,"PASS","FAIL")</f>
        <v/>
      </c>
      <c r="T172" s="11">
        <f>IF(COUNTIF('SR系统设计'!$A$5:$A$42,B172)=1,"PASS","FAIL")</f>
        <v/>
      </c>
    </row>
    <row r="173" ht="72" customHeight="1">
      <c r="A173" s="11" t="inlineStr">
        <is>
          <t>AR23-02-09-01-06</t>
        </is>
      </c>
      <c r="B173" s="11" t="inlineStr">
        <is>
          <t>SR23-02-09-01</t>
        </is>
      </c>
      <c r="C173" s="11" t="inlineStr">
        <is>
          <t>性能观测</t>
        </is>
      </c>
      <c r="D173" s="11" t="inlineStr">
        <is>
          <t>活跃/热/冷 KV 分层驻留与部分复用策略｜性能观测</t>
        </is>
      </c>
      <c r="E173" s="11" t="inlineStr">
        <is>
          <t>性能与可观测负责人</t>
        </is>
      </c>
      <c r="F173" s="11" t="inlineStr">
        <is>
          <t>src/policy/residency/telemetry.{h,cc} + 仪表板（dashboards）/residency_policy.json</t>
        </is>
      </c>
      <c r="G173" s="11" t="inlineStr">
        <is>
          <t>接入统一 遥测数据（telemetry），建立本 SR 专属性能/资源/正确性指标和回归阈值：HBM有效容量提升≥20%；TPOT p99回退&lt;3%；每GB 节省的令牌（saved tokens）提升≥25%</t>
        </is>
      </c>
      <c r="H173" s="11" t="inlineStr">
        <is>
          <t>性能观测对应的可审查代码/IDL/配置/文档</t>
        </is>
      </c>
      <c r="I173" s="11" t="inlineStr">
        <is>
          <t>代码通过编译、静态检查和单元测试；接口/配置有版本；失败语义和 功能开关（feature flag） 可验证。</t>
        </is>
      </c>
      <c r="J173" s="11" t="inlineStr">
        <is>
          <t>ctest -R residency_policy &amp;&amp; run_contract_check --sr SR23-02-09-01</t>
        </is>
      </c>
      <c r="K173" s="11" t="inlineStr">
        <is>
          <t>HBM有效容量提升≥20%；TPOT p99回退&lt;3%；每GB 节省的令牌（saved tokens）提升≥25%</t>
        </is>
      </c>
      <c r="L173" s="11" t="inlineStr">
        <is>
          <t>AR23-02-09-01-05</t>
        </is>
      </c>
      <c r="M173" s="11" t="inlineStr">
        <is>
          <t>SR23-02-08-01、SR23-01-01-02、SR23-01-01-03</t>
        </is>
      </c>
      <c r="N173" s="11" t="inlineStr">
        <is>
          <t>P1</t>
        </is>
      </c>
      <c r="O173" s="11" t="inlineStr">
        <is>
          <t>P1</t>
        </is>
      </c>
      <c r="P173" s="11" t="inlineStr">
        <is>
          <t>待认领</t>
        </is>
      </c>
      <c r="Q173" s="11" t="n"/>
      <c r="R173" s="11" t="n"/>
      <c r="S173" s="11">
        <f>IF(COUNTIF($A$5:$A$207,A173)=1,"PASS","FAIL")</f>
        <v/>
      </c>
      <c r="T173" s="11">
        <f>IF(COUNTIF('SR系统设计'!$A$5:$A$42,B173)=1,"PASS","FAIL")</f>
        <v/>
      </c>
    </row>
    <row r="174" ht="72" customHeight="1">
      <c r="A174" s="11" t="inlineStr">
        <is>
          <t>AR23-02-10-01-01</t>
        </is>
      </c>
      <c r="B174" s="11" t="inlineStr">
        <is>
          <t>SR23-02-10-01</t>
        </is>
      </c>
      <c r="C174" s="11" t="inlineStr">
        <is>
          <t>核心实现</t>
        </is>
      </c>
      <c r="D174" s="11" t="inlineStr">
        <is>
          <t>多 并行秩（Rank） KV 一致消费与专家控制组件｜核心实现</t>
        </is>
      </c>
      <c r="E174" s="11" t="inlineStr">
        <is>
          <t>多卡协同组</t>
        </is>
      </c>
      <c r="F174" s="11" t="inlineStr">
        <is>
          <t>src/runtime/multirank/core.{h,cc}</t>
        </is>
      </c>
      <c r="G174" s="11" t="inlineStr">
        <is>
          <t>实现“多 并行秩（Rank） KV 一致消费与专家控制组件”的可运行主路径，交付 multi-rank-coordinator、意图（Intent） API、并行秩（rank） consensus、ExpertOverride 与指标字段 的核心代码、构建入口和最小示例。</t>
        </is>
      </c>
      <c r="H174" s="11" t="inlineStr">
        <is>
          <t>核心实现对应的可审查代码/IDL/配置/文档</t>
        </is>
      </c>
      <c r="I174" s="11" t="inlineStr">
        <is>
          <t>代码通过编译、静态检查和单元测试；接口/配置有版本；失败语义和 功能开关（feature flag） 可验证。</t>
        </is>
      </c>
      <c r="J174" s="11" t="inlineStr">
        <is>
          <t>ctest -R multirank_coord &amp;&amp; run_contract_check --sr SR23-02-10-01</t>
        </is>
      </c>
      <c r="K174" s="11" t="inlineStr">
        <is>
          <t>正确性故障（correctness fault）=0；并行秩等待（rank wait） p99&lt;100μs；字段覆盖100%；回退一致</t>
        </is>
      </c>
      <c r="L174" s="11" t="n"/>
      <c r="M174" s="11" t="inlineStr">
        <is>
          <t>SR23-02-01-01、SR23-01-10-01、SR23-01-11-01</t>
        </is>
      </c>
      <c r="N174" s="11" t="inlineStr">
        <is>
          <t>P0</t>
        </is>
      </c>
      <c r="O174" s="11" t="inlineStr">
        <is>
          <t>P0</t>
        </is>
      </c>
      <c r="P174" s="11" t="inlineStr">
        <is>
          <t>待认领</t>
        </is>
      </c>
      <c r="Q174" s="11" t="n"/>
      <c r="R174" s="11" t="n"/>
      <c r="S174" s="11">
        <f>IF(COUNTIF($A$5:$A$207,A174)=1,"PASS","FAIL")</f>
        <v/>
      </c>
      <c r="T174" s="11">
        <f>IF(COUNTIF('SR系统设计'!$A$5:$A$42,B174)=1,"PASS","FAIL")</f>
        <v/>
      </c>
    </row>
    <row r="175" ht="72" customHeight="1">
      <c r="A175" s="11" t="inlineStr">
        <is>
          <t>AR23-02-10-01-02</t>
        </is>
      </c>
      <c r="B175" s="11" t="inlineStr">
        <is>
          <t>SR23-02-10-01</t>
        </is>
      </c>
      <c r="C175" s="11" t="inlineStr">
        <is>
          <t>接口契约</t>
        </is>
      </c>
      <c r="D175" s="11" t="inlineStr">
        <is>
          <t>多 并行秩（Rank） KV 一致消费与专家控制组件｜接口契约</t>
        </is>
      </c>
      <c r="E175" s="11" t="inlineStr">
        <is>
          <t>多卡协同组</t>
        </is>
      </c>
      <c r="F175" s="11" t="inlineStr">
        <is>
          <t>api/kvcache/v23/multirank_coord.proto + src/runtime/multirank/api.{h,cc}</t>
        </is>
      </c>
      <c r="G175" s="11" t="inlineStr">
        <is>
          <t>冻结并实现接口/IDL、版本兼容、输入输出、错误码与 消费者（consumer） 示例：RankConsensus、PerRankResult、IntentOverride、semantic 指标（metrics）</t>
        </is>
      </c>
      <c r="H175" s="11" t="inlineStr">
        <is>
          <t>接口契约对应的可审查代码/IDL/配置/文档</t>
        </is>
      </c>
      <c r="I175" s="11" t="inlineStr">
        <is>
          <t>代码通过编译、静态检查和单元测试；接口/配置有版本；失败语义和 功能开关（feature flag） 可验证。</t>
        </is>
      </c>
      <c r="J175" s="11" t="inlineStr">
        <is>
          <t>ctest -R multirank_coord &amp;&amp; run_contract_check --sr SR23-02-10-01</t>
        </is>
      </c>
      <c r="K175" s="11" t="inlineStr">
        <is>
          <t>正确性故障（correctness fault）=0；并行秩等待（rank wait） p99&lt;100μs；字段覆盖100%；回退一致</t>
        </is>
      </c>
      <c r="L175" s="11" t="inlineStr">
        <is>
          <t>AR23-02-10-01-01</t>
        </is>
      </c>
      <c r="M175" s="11" t="inlineStr">
        <is>
          <t>SR23-02-01-01、SR23-01-10-01、SR23-01-11-01</t>
        </is>
      </c>
      <c r="N175" s="11" t="inlineStr">
        <is>
          <t>P0</t>
        </is>
      </c>
      <c r="O175" s="11" t="inlineStr">
        <is>
          <t>P0</t>
        </is>
      </c>
      <c r="P175" s="11" t="inlineStr">
        <is>
          <t>待认领</t>
        </is>
      </c>
      <c r="Q175" s="11" t="n"/>
      <c r="R175" s="11" t="n"/>
      <c r="S175" s="11">
        <f>IF(COUNTIF($A$5:$A$207,A175)=1,"PASS","FAIL")</f>
        <v/>
      </c>
      <c r="T175" s="11">
        <f>IF(COUNTIF('SR系统设计'!$A$5:$A$42,B175)=1,"PASS","FAIL")</f>
        <v/>
      </c>
    </row>
    <row r="176" ht="72" customHeight="1">
      <c r="A176" s="11" t="inlineStr">
        <is>
          <t>AR23-02-10-01-03</t>
        </is>
      </c>
      <c r="B176" s="11" t="inlineStr">
        <is>
          <t>SR23-02-10-01</t>
        </is>
      </c>
      <c r="C176" s="11" t="inlineStr">
        <is>
          <t>状态模型</t>
        </is>
      </c>
      <c r="D176" s="11" t="inlineStr">
        <is>
          <t>多 并行秩（Rank） KV 一致消费与专家控制组件｜状态模型</t>
        </is>
      </c>
      <c r="E176" s="11" t="inlineStr">
        <is>
          <t>多卡协同组</t>
        </is>
      </c>
      <c r="F176" s="11" t="inlineStr">
        <is>
          <t>src/runtime/multirank/state_model.{h,cc}</t>
        </is>
      </c>
      <c r="G176" s="11" t="inlineStr">
        <is>
          <t>实现状态、版本、并发互锁和持久/内存数据模型，覆盖正常转换与非法转换保护。</t>
        </is>
      </c>
      <c r="H176" s="11" t="inlineStr">
        <is>
          <t>状态模型对应的可审查代码/IDL/配置/文档</t>
        </is>
      </c>
      <c r="I176" s="11" t="inlineStr">
        <is>
          <t>代码通过编译、静态检查和单元测试；接口/配置有版本；失败语义和 功能开关（feature flag） 可验证。</t>
        </is>
      </c>
      <c r="J176" s="11" t="inlineStr">
        <is>
          <t>ctest -R multirank_coord &amp;&amp; run_contract_check --sr SR23-02-10-01</t>
        </is>
      </c>
      <c r="K176" s="11" t="inlineStr">
        <is>
          <t>正确性故障（correctness fault）=0；并行秩等待（rank wait） p99&lt;100μs；字段覆盖100%；回退一致</t>
        </is>
      </c>
      <c r="L176" s="11" t="inlineStr">
        <is>
          <t>AR23-02-10-01-02</t>
        </is>
      </c>
      <c r="M176" s="11" t="inlineStr">
        <is>
          <t>SR23-02-01-01、SR23-01-10-01、SR23-01-11-01</t>
        </is>
      </c>
      <c r="N176" s="11" t="inlineStr">
        <is>
          <t>P0</t>
        </is>
      </c>
      <c r="O176" s="11" t="inlineStr">
        <is>
          <t>P0</t>
        </is>
      </c>
      <c r="P176" s="11" t="inlineStr">
        <is>
          <t>待认领</t>
        </is>
      </c>
      <c r="Q176" s="11" t="n"/>
      <c r="R176" s="11" t="n"/>
      <c r="S176" s="11">
        <f>IF(COUNTIF($A$5:$A$207,A176)=1,"PASS","FAIL")</f>
        <v/>
      </c>
      <c r="T176" s="11">
        <f>IF(COUNTIF('SR系统设计'!$A$5:$A$42,B176)=1,"PASS","FAIL")</f>
        <v/>
      </c>
    </row>
    <row r="177" ht="72" customHeight="1">
      <c r="A177" s="11" t="inlineStr">
        <is>
          <t>AR23-02-10-01-04</t>
        </is>
      </c>
      <c r="B177" s="11" t="inlineStr">
        <is>
          <t>SR23-02-10-01</t>
        </is>
      </c>
      <c r="C177" s="11" t="inlineStr">
        <is>
          <t>异常回滚</t>
        </is>
      </c>
      <c r="D177" s="11" t="inlineStr">
        <is>
          <t>多 并行秩（Rank） KV 一致消费与专家控制组件｜异常回滚</t>
        </is>
      </c>
      <c r="E177" s="11" t="inlineStr">
        <is>
          <t>多卡协同组</t>
        </is>
      </c>
      <c r="F177" s="11" t="inlineStr">
        <is>
          <t>src/runtime/multirank/fallback.{h,cc} + config/feature_flags/multirank_coord.yaml</t>
        </is>
      </c>
      <c r="G177" s="11" t="inlineStr">
        <is>
          <t>实现并验证失败、超时、取消、降级、回滚与关闭路径：任一关键 并行秩（rank） 不一致时统一回退；expert override 必须审计且可关闭</t>
        </is>
      </c>
      <c r="H177" s="11" t="inlineStr">
        <is>
          <t>异常回滚对应的可审查代码/IDL/配置/文档</t>
        </is>
      </c>
      <c r="I177" s="11" t="inlineStr">
        <is>
          <t>代码通过编译、静态检查和单元测试；接口/配置有版本；失败语义和 功能开关（feature flag） 可验证。</t>
        </is>
      </c>
      <c r="J177" s="11" t="inlineStr">
        <is>
          <t>ctest -R multirank_coord &amp;&amp; run_contract_check --sr SR23-02-10-01</t>
        </is>
      </c>
      <c r="K177" s="11" t="inlineStr">
        <is>
          <t>正确性故障（correctness fault）=0；并行秩等待（rank wait） p99&lt;100μs；字段覆盖100%；回退一致</t>
        </is>
      </c>
      <c r="L177" s="11" t="inlineStr">
        <is>
          <t>AR23-02-10-01-03</t>
        </is>
      </c>
      <c r="M177" s="11" t="inlineStr">
        <is>
          <t>SR23-02-01-01、SR23-01-10-01、SR23-01-11-01</t>
        </is>
      </c>
      <c r="N177" s="11" t="inlineStr">
        <is>
          <t>P0</t>
        </is>
      </c>
      <c r="O177" s="11" t="inlineStr">
        <is>
          <t>P0</t>
        </is>
      </c>
      <c r="P177" s="11" t="inlineStr">
        <is>
          <t>待认领</t>
        </is>
      </c>
      <c r="Q177" s="11" t="n"/>
      <c r="R177" s="11" t="n"/>
      <c r="S177" s="11">
        <f>IF(COUNTIF($A$5:$A$207,A177)=1,"PASS","FAIL")</f>
        <v/>
      </c>
      <c r="T177" s="11">
        <f>IF(COUNTIF('SR系统设计'!$A$5:$A$42,B177)=1,"PASS","FAIL")</f>
        <v/>
      </c>
    </row>
    <row r="178" ht="72" customHeight="1">
      <c r="A178" s="11" t="inlineStr">
        <is>
          <t>AR23-02-10-01-05</t>
        </is>
      </c>
      <c r="B178" s="11" t="inlineStr">
        <is>
          <t>SR23-02-10-01</t>
        </is>
      </c>
      <c r="C178" s="11" t="inlineStr">
        <is>
          <t>独立验收</t>
        </is>
      </c>
      <c r="D178" s="11" t="inlineStr">
        <is>
          <t>多 并行秩（Rank） KV 一致消费与专家控制组件｜独立验收</t>
        </is>
      </c>
      <c r="E178" s="11" t="inlineStr">
        <is>
          <t>测试/验收负责人</t>
        </is>
      </c>
      <c r="F178" s="11" t="inlineStr">
        <is>
          <t>tests/multirank_coord/ + benchmarks/multirank_coord/ + evidence/multirank_coord/manifest.yaml</t>
        </is>
      </c>
      <c r="G178" s="11" t="inlineStr">
        <is>
          <t>建立不依赖全项目的验收环境，执行功能、异常、兼容和性能门禁并生成可签字证据包。</t>
        </is>
      </c>
      <c r="H178" s="11" t="inlineStr">
        <is>
          <t>版本化测试结果、原始证据、Go/Conditional/No-Go 结论</t>
        </is>
      </c>
      <c r="I178" s="11" t="inlineStr">
        <is>
          <t>在“1/2/4 并行秩（rank） 模拟器（simulator） 即可独立验收”中完成主路径、异常、兼容和回滚；全部证据可一键复现。</t>
        </is>
      </c>
      <c r="J178" s="11" t="inlineStr">
        <is>
          <t>run_sr_acceptance --sr SR23-02-10-01 --baseline locked</t>
        </is>
      </c>
      <c r="K178" s="11" t="inlineStr">
        <is>
          <t>正确性故障（correctness fault）=0；并行秩等待（rank wait） p99&lt;100μs；字段覆盖100%；回退一致</t>
        </is>
      </c>
      <c r="L178" s="11" t="inlineStr">
        <is>
          <t>AR23-02-10-01-04</t>
        </is>
      </c>
      <c r="M178" s="11" t="inlineStr">
        <is>
          <t>SR23-02-01-01、SR23-01-10-01、SR23-01-11-01</t>
        </is>
      </c>
      <c r="N178" s="11" t="inlineStr">
        <is>
          <t>P0</t>
        </is>
      </c>
      <c r="O178" s="11" t="inlineStr">
        <is>
          <t>P0</t>
        </is>
      </c>
      <c r="P178" s="11" t="inlineStr">
        <is>
          <t>待认领</t>
        </is>
      </c>
      <c r="Q178" s="11" t="n"/>
      <c r="R178" s="11" t="n"/>
      <c r="S178" s="11">
        <f>IF(COUNTIF($A$5:$A$207,A178)=1,"PASS","FAIL")</f>
        <v/>
      </c>
      <c r="T178" s="11">
        <f>IF(COUNTIF('SR系统设计'!$A$5:$A$42,B178)=1,"PASS","FAIL")</f>
        <v/>
      </c>
    </row>
    <row r="179" ht="72" customHeight="1">
      <c r="A179" s="11" t="inlineStr">
        <is>
          <t>AR23-02-11-01-01</t>
        </is>
      </c>
      <c r="B179" s="11" t="inlineStr">
        <is>
          <t>SR23-02-11-01</t>
        </is>
      </c>
      <c r="C179" s="11" t="inlineStr">
        <is>
          <t>核心实现</t>
        </is>
      </c>
      <c r="D179" s="11" t="inlineStr">
        <is>
          <t>KV 全路径 遥测数据（Telemetry） 与语义指标 SDK｜核心实现</t>
        </is>
      </c>
      <c r="E179" s="11" t="inlineStr">
        <is>
          <t>可观测 SDK 组</t>
        </is>
      </c>
      <c r="F179" s="11" t="inlineStr">
        <is>
          <t>src/observability/sdk/core.{h,cc}</t>
        </is>
      </c>
      <c r="G179" s="11" t="inlineStr">
        <is>
          <t>实现“KV 全路径 遥测数据（Telemetry） 与语义指标 SDK”的可运行主路径，交付 telemetry-sdk、统一字段字典、低开销 计数器/追踪（counters/traces） 和硬件 counter 适配器（adapter） 的核心代码、构建入口和最小示例。</t>
        </is>
      </c>
      <c r="H179" s="11" t="inlineStr">
        <is>
          <t>核心实现对应的可审查代码/IDL/配置/文档</t>
        </is>
      </c>
      <c r="I179" s="11" t="inlineStr">
        <is>
          <t>代码通过编译、静态检查和单元测试；接口/配置有版本；失败语义和 功能开关（feature flag） 可验证。</t>
        </is>
      </c>
      <c r="J179" s="11" t="inlineStr">
        <is>
          <t>ctest -R telemetry_sdk &amp;&amp; run_contract_check --sr SR23-02-11-01</t>
        </is>
      </c>
      <c r="K179" s="11" t="inlineStr">
        <is>
          <t>字段覆盖率100%；常态探针开销&lt;1%；核心指标丢失率&lt;0.1%</t>
        </is>
      </c>
      <c r="L179" s="11" t="n"/>
      <c r="M179" s="11" t="n"/>
      <c r="N179" s="11" t="inlineStr">
        <is>
          <t>P0</t>
        </is>
      </c>
      <c r="O179" s="11" t="inlineStr">
        <is>
          <t>P0</t>
        </is>
      </c>
      <c r="P179" s="11" t="inlineStr">
        <is>
          <t>待认领</t>
        </is>
      </c>
      <c r="Q179" s="11" t="n"/>
      <c r="R179" s="11" t="n"/>
      <c r="S179" s="11">
        <f>IF(COUNTIF($A$5:$A$207,A179)=1,"PASS","FAIL")</f>
        <v/>
      </c>
      <c r="T179" s="11">
        <f>IF(COUNTIF('SR系统设计'!$A$5:$A$42,B179)=1,"PASS","FAIL")</f>
        <v/>
      </c>
    </row>
    <row r="180" ht="72" customHeight="1">
      <c r="A180" s="11" t="inlineStr">
        <is>
          <t>AR23-02-11-01-02</t>
        </is>
      </c>
      <c r="B180" s="11" t="inlineStr">
        <is>
          <t>SR23-02-11-01</t>
        </is>
      </c>
      <c r="C180" s="11" t="inlineStr">
        <is>
          <t>接口契约</t>
        </is>
      </c>
      <c r="D180" s="11" t="inlineStr">
        <is>
          <t>KV 全路径 遥测数据（Telemetry） 与语义指标 SDK｜接口契约</t>
        </is>
      </c>
      <c r="E180" s="11" t="inlineStr">
        <is>
          <t>可观测 SDK 组</t>
        </is>
      </c>
      <c r="F180" s="11" t="inlineStr">
        <is>
          <t>api/kvcache/v23/telemetry_sdk.proto + src/observability/sdk/api.{h,cc}</t>
        </is>
      </c>
      <c r="G180" s="11" t="inlineStr">
        <is>
          <t>冻结并实现接口/IDL、版本兼容、输入输出、错误码与 消费者（consumer） 示例：TelemetryEvent、MetricDictionary、sampling/cardinality policy</t>
        </is>
      </c>
      <c r="H180" s="11" t="inlineStr">
        <is>
          <t>接口契约对应的可审查代码/IDL/配置/文档</t>
        </is>
      </c>
      <c r="I180" s="11" t="inlineStr">
        <is>
          <t>代码通过编译、静态检查和单元测试；接口/配置有版本；失败语义和 功能开关（feature flag） 可验证。</t>
        </is>
      </c>
      <c r="J180" s="11" t="inlineStr">
        <is>
          <t>ctest -R telemetry_sdk &amp;&amp; run_contract_check --sr SR23-02-11-01</t>
        </is>
      </c>
      <c r="K180" s="11" t="inlineStr">
        <is>
          <t>字段覆盖率100%；常态探针开销&lt;1%；核心指标丢失率&lt;0.1%</t>
        </is>
      </c>
      <c r="L180" s="11" t="inlineStr">
        <is>
          <t>AR23-02-11-01-01</t>
        </is>
      </c>
      <c r="M180" s="11" t="n"/>
      <c r="N180" s="11" t="inlineStr">
        <is>
          <t>P0</t>
        </is>
      </c>
      <c r="O180" s="11" t="inlineStr">
        <is>
          <t>P0</t>
        </is>
      </c>
      <c r="P180" s="11" t="inlineStr">
        <is>
          <t>待认领</t>
        </is>
      </c>
      <c r="Q180" s="11" t="n"/>
      <c r="R180" s="11" t="n"/>
      <c r="S180" s="11">
        <f>IF(COUNTIF($A$5:$A$207,A180)=1,"PASS","FAIL")</f>
        <v/>
      </c>
      <c r="T180" s="11">
        <f>IF(COUNTIF('SR系统设计'!$A$5:$A$42,B180)=1,"PASS","FAIL")</f>
        <v/>
      </c>
    </row>
    <row r="181" ht="72" customHeight="1">
      <c r="A181" s="11" t="inlineStr">
        <is>
          <t>AR23-02-11-01-03</t>
        </is>
      </c>
      <c r="B181" s="11" t="inlineStr">
        <is>
          <t>SR23-02-11-01</t>
        </is>
      </c>
      <c r="C181" s="11" t="inlineStr">
        <is>
          <t>状态模型</t>
        </is>
      </c>
      <c r="D181" s="11" t="inlineStr">
        <is>
          <t>KV 全路径 遥测数据（Telemetry） 与语义指标 SDK｜状态模型</t>
        </is>
      </c>
      <c r="E181" s="11" t="inlineStr">
        <is>
          <t>可观测 SDK 组</t>
        </is>
      </c>
      <c r="F181" s="11" t="inlineStr">
        <is>
          <t>src/observability/sdk/state_model.{h,cc}</t>
        </is>
      </c>
      <c r="G181" s="11" t="inlineStr">
        <is>
          <t>实现状态、版本、并发互锁和持久/内存数据模型，覆盖正常转换与非法转换保护。</t>
        </is>
      </c>
      <c r="H181" s="11" t="inlineStr">
        <is>
          <t>状态模型对应的可审查代码/IDL/配置/文档</t>
        </is>
      </c>
      <c r="I181" s="11" t="inlineStr">
        <is>
          <t>代码通过编译、静态检查和单元测试；接口/配置有版本；失败语义和 功能开关（feature flag） 可验证。</t>
        </is>
      </c>
      <c r="J181" s="11" t="inlineStr">
        <is>
          <t>ctest -R telemetry_sdk &amp;&amp; run_contract_check --sr SR23-02-11-01</t>
        </is>
      </c>
      <c r="K181" s="11" t="inlineStr">
        <is>
          <t>字段覆盖率100%；常态探针开销&lt;1%；核心指标丢失率&lt;0.1%</t>
        </is>
      </c>
      <c r="L181" s="11" t="inlineStr">
        <is>
          <t>AR23-02-11-01-02</t>
        </is>
      </c>
      <c r="M181" s="11" t="n"/>
      <c r="N181" s="11" t="inlineStr">
        <is>
          <t>P0</t>
        </is>
      </c>
      <c r="O181" s="11" t="inlineStr">
        <is>
          <t>P0</t>
        </is>
      </c>
      <c r="P181" s="11" t="inlineStr">
        <is>
          <t>待认领</t>
        </is>
      </c>
      <c r="Q181" s="11" t="n"/>
      <c r="R181" s="11" t="n"/>
      <c r="S181" s="11">
        <f>IF(COUNTIF($A$5:$A$207,A181)=1,"PASS","FAIL")</f>
        <v/>
      </c>
      <c r="T181" s="11">
        <f>IF(COUNTIF('SR系统设计'!$A$5:$A$42,B181)=1,"PASS","FAIL")</f>
        <v/>
      </c>
    </row>
    <row r="182" ht="72" customHeight="1">
      <c r="A182" s="11" t="inlineStr">
        <is>
          <t>AR23-02-11-01-04</t>
        </is>
      </c>
      <c r="B182" s="11" t="inlineStr">
        <is>
          <t>SR23-02-11-01</t>
        </is>
      </c>
      <c r="C182" s="11" t="inlineStr">
        <is>
          <t>异常回滚</t>
        </is>
      </c>
      <c r="D182" s="11" t="inlineStr">
        <is>
          <t>KV 全路径 遥测数据（Telemetry） 与语义指标 SDK｜异常回滚</t>
        </is>
      </c>
      <c r="E182" s="11" t="inlineStr">
        <is>
          <t>可观测 SDK 组</t>
        </is>
      </c>
      <c r="F182" s="11" t="inlineStr">
        <is>
          <t>src/observability/sdk/fallback.{h,cc} + config/feature_flags/telemetry_sdk.yaml</t>
        </is>
      </c>
      <c r="G182" s="11" t="inlineStr">
        <is>
          <t>实现并验证失败、超时、取消、降级、回滚与关闭路径：采集失败不得阻塞数据面；高基数标签限额；必要时降采样</t>
        </is>
      </c>
      <c r="H182" s="11" t="inlineStr">
        <is>
          <t>异常回滚对应的可审查代码/IDL/配置/文档</t>
        </is>
      </c>
      <c r="I182" s="11" t="inlineStr">
        <is>
          <t>代码通过编译、静态检查和单元测试；接口/配置有版本；失败语义和 功能开关（feature flag） 可验证。</t>
        </is>
      </c>
      <c r="J182" s="11" t="inlineStr">
        <is>
          <t>ctest -R telemetry_sdk &amp;&amp; run_contract_check --sr SR23-02-11-01</t>
        </is>
      </c>
      <c r="K182" s="11" t="inlineStr">
        <is>
          <t>字段覆盖率100%；常态探针开销&lt;1%；核心指标丢失率&lt;0.1%</t>
        </is>
      </c>
      <c r="L182" s="11" t="inlineStr">
        <is>
          <t>AR23-02-11-01-03</t>
        </is>
      </c>
      <c r="M182" s="11" t="n"/>
      <c r="N182" s="11" t="inlineStr">
        <is>
          <t>P0</t>
        </is>
      </c>
      <c r="O182" s="11" t="inlineStr">
        <is>
          <t>P0</t>
        </is>
      </c>
      <c r="P182" s="11" t="inlineStr">
        <is>
          <t>待认领</t>
        </is>
      </c>
      <c r="Q182" s="11" t="n"/>
      <c r="R182" s="11" t="n"/>
      <c r="S182" s="11">
        <f>IF(COUNTIF($A$5:$A$207,A182)=1,"PASS","FAIL")</f>
        <v/>
      </c>
      <c r="T182" s="11">
        <f>IF(COUNTIF('SR系统设计'!$A$5:$A$42,B182)=1,"PASS","FAIL")</f>
        <v/>
      </c>
    </row>
    <row r="183" ht="72" customHeight="1">
      <c r="A183" s="11" t="inlineStr">
        <is>
          <t>AR23-02-11-01-05</t>
        </is>
      </c>
      <c r="B183" s="11" t="inlineStr">
        <is>
          <t>SR23-02-11-01</t>
        </is>
      </c>
      <c r="C183" s="11" t="inlineStr">
        <is>
          <t>独立验收</t>
        </is>
      </c>
      <c r="D183" s="11" t="inlineStr">
        <is>
          <t>KV 全路径 遥测数据（Telemetry） 与语义指标 SDK｜独立验收</t>
        </is>
      </c>
      <c r="E183" s="11" t="inlineStr">
        <is>
          <t>测试/验收负责人</t>
        </is>
      </c>
      <c r="F183" s="11" t="inlineStr">
        <is>
          <t>tests/telemetry_sdk/ + benchmarks/telemetry_sdk/ + evidence/telemetry_sdk/manifest.yaml</t>
        </is>
      </c>
      <c r="G183" s="11" t="inlineStr">
        <is>
          <t>建立不依赖全项目的验收环境，执行功能、异常、兼容和性能门禁并生成可签字证据包。</t>
        </is>
      </c>
      <c r="H183" s="11" t="inlineStr">
        <is>
          <t>版本化测试结果、原始证据、Go/Conditional/No-Go 结论</t>
        </is>
      </c>
      <c r="I183" s="11" t="inlineStr">
        <is>
          <t>在“单进程 合成数据发射器（synthetic emitter） 即可独立验收”中完成主路径、异常、兼容和回滚；全部证据可一键复现。</t>
        </is>
      </c>
      <c r="J183" s="11" t="inlineStr">
        <is>
          <t>run_sr_acceptance --sr SR23-02-11-01 --baseline locked</t>
        </is>
      </c>
      <c r="K183" s="11" t="inlineStr">
        <is>
          <t>字段覆盖率100%；常态探针开销&lt;1%；核心指标丢失率&lt;0.1%</t>
        </is>
      </c>
      <c r="L183" s="11" t="inlineStr">
        <is>
          <t>AR23-02-11-01-04</t>
        </is>
      </c>
      <c r="M183" s="11" t="n"/>
      <c r="N183" s="11" t="inlineStr">
        <is>
          <t>P0</t>
        </is>
      </c>
      <c r="O183" s="11" t="inlineStr">
        <is>
          <t>P0</t>
        </is>
      </c>
      <c r="P183" s="11" t="inlineStr">
        <is>
          <t>待认领</t>
        </is>
      </c>
      <c r="Q183" s="11" t="n"/>
      <c r="R183" s="11" t="n"/>
      <c r="S183" s="11">
        <f>IF(COUNTIF($A$5:$A$207,A183)=1,"PASS","FAIL")</f>
        <v/>
      </c>
      <c r="T183" s="11">
        <f>IF(COUNTIF('SR系统设计'!$A$5:$A$42,B183)=1,"PASS","FAIL")</f>
        <v/>
      </c>
    </row>
    <row r="184" ht="72" customHeight="1">
      <c r="A184" s="11" t="inlineStr">
        <is>
          <t>AR23-02-11-01-06</t>
        </is>
      </c>
      <c r="B184" s="11" t="inlineStr">
        <is>
          <t>SR23-02-11-01</t>
        </is>
      </c>
      <c r="C184" s="11" t="inlineStr">
        <is>
          <t>性能观测</t>
        </is>
      </c>
      <c r="D184" s="11" t="inlineStr">
        <is>
          <t>KV 全路径 遥测数据（Telemetry） 与语义指标 SDK｜性能观测</t>
        </is>
      </c>
      <c r="E184" s="11" t="inlineStr">
        <is>
          <t>性能与可观测负责人</t>
        </is>
      </c>
      <c r="F184" s="11" t="inlineStr">
        <is>
          <t>src/observability/sdk/telemetry.{h,cc} + 仪表板（dashboards）/telemetry_sdk.json</t>
        </is>
      </c>
      <c r="G184" s="11" t="inlineStr">
        <is>
          <t>接入统一 遥测数据（telemetry），建立本 SR 专属性能/资源/正确性指标和回归阈值：字段覆盖率100%；常态探针开销&lt;1%；核心指标丢失率&lt;0.1%</t>
        </is>
      </c>
      <c r="H184" s="11" t="inlineStr">
        <is>
          <t>性能观测对应的可审查代码/IDL/配置/文档</t>
        </is>
      </c>
      <c r="I184" s="11" t="inlineStr">
        <is>
          <t>代码通过编译、静态检查和单元测试；接口/配置有版本；失败语义和 功能开关（feature flag） 可验证。</t>
        </is>
      </c>
      <c r="J184" s="11" t="inlineStr">
        <is>
          <t>ctest -R telemetry_sdk &amp;&amp; run_contract_check --sr SR23-02-11-01</t>
        </is>
      </c>
      <c r="K184" s="11" t="inlineStr">
        <is>
          <t>字段覆盖率100%；常态探针开销&lt;1%；核心指标丢失率&lt;0.1%</t>
        </is>
      </c>
      <c r="L184" s="11" t="inlineStr">
        <is>
          <t>AR23-02-11-01-05</t>
        </is>
      </c>
      <c r="M184" s="11" t="n"/>
      <c r="N184" s="11" t="inlineStr">
        <is>
          <t>P0</t>
        </is>
      </c>
      <c r="O184" s="11" t="inlineStr">
        <is>
          <t>P0</t>
        </is>
      </c>
      <c r="P184" s="11" t="inlineStr">
        <is>
          <t>待认领</t>
        </is>
      </c>
      <c r="Q184" s="11" t="n"/>
      <c r="R184" s="11" t="n"/>
      <c r="S184" s="11">
        <f>IF(COUNTIF($A$5:$A$207,A184)=1,"PASS","FAIL")</f>
        <v/>
      </c>
      <c r="T184" s="11">
        <f>IF(COUNTIF('SR系统设计'!$A$5:$A$42,B184)=1,"PASS","FAIL")</f>
        <v/>
      </c>
    </row>
    <row r="185" ht="72" customHeight="1">
      <c r="A185" s="11" t="inlineStr">
        <is>
          <t>AR23-02-11-02-01</t>
        </is>
      </c>
      <c r="B185" s="11" t="inlineStr">
        <is>
          <t>SR23-02-11-02</t>
        </is>
      </c>
      <c r="C185" s="11" t="inlineStr">
        <is>
          <t>核心实现</t>
        </is>
      </c>
      <c r="D185" s="11" t="inlineStr">
        <is>
          <t>链路追踪、回退（Fallback） 分析与 KV检视工具（KVInspect） 工具｜核心实现</t>
        </is>
      </c>
      <c r="E185" s="11" t="inlineStr">
        <is>
          <t>故障分析与运维工具组</t>
        </is>
      </c>
      <c r="F185" s="11" t="inlineStr">
        <is>
          <t>src/observability/inspect/core.{h,cc}</t>
        </is>
      </c>
      <c r="G185" s="11" t="inlineStr">
        <is>
          <t>实现“链路追踪、回退（Fallback） 分析与 KV检视工具（KVInspect） 工具”的可运行主路径，交付 trace-inspect 服务/CLI、回退（fallback）/state timeline、告警与排障手册 的核心代码、构建入口和最小示例。</t>
        </is>
      </c>
      <c r="H185" s="11" t="inlineStr">
        <is>
          <t>核心实现对应的可审查代码/IDL/配置/文档</t>
        </is>
      </c>
      <c r="I185" s="11" t="inlineStr">
        <is>
          <t>代码通过编译、静态检查和单元测试；接口/配置有版本；失败语义和 功能开关（feature flag） 可验证。</t>
        </is>
      </c>
      <c r="J185" s="11" t="inlineStr">
        <is>
          <t>ctest -R trace_inspect &amp;&amp; run_contract_check --sr SR23-02-11-02</t>
        </is>
      </c>
      <c r="K185" s="11" t="inlineStr">
        <is>
          <t>回退（fallback） 原因（reason）覆盖100%；关键路径可对账；故障定位降至分钟级</t>
        </is>
      </c>
      <c r="L185" s="11" t="n"/>
      <c r="M185" s="11" t="inlineStr">
        <is>
          <t>SR23-02-11-01</t>
        </is>
      </c>
      <c r="N185" s="11" t="inlineStr">
        <is>
          <t>P1</t>
        </is>
      </c>
      <c r="O185" s="11" t="inlineStr">
        <is>
          <t>P1</t>
        </is>
      </c>
      <c r="P185" s="11" t="inlineStr">
        <is>
          <t>待认领</t>
        </is>
      </c>
      <c r="Q185" s="11" t="n"/>
      <c r="R185" s="11" t="n"/>
      <c r="S185" s="11">
        <f>IF(COUNTIF($A$5:$A$207,A185)=1,"PASS","FAIL")</f>
        <v/>
      </c>
      <c r="T185" s="11">
        <f>IF(COUNTIF('SR系统设计'!$A$5:$A$42,B185)=1,"PASS","FAIL")</f>
        <v/>
      </c>
    </row>
    <row r="186" ht="72" customHeight="1">
      <c r="A186" s="11" t="inlineStr">
        <is>
          <t>AR23-02-11-02-02</t>
        </is>
      </c>
      <c r="B186" s="11" t="inlineStr">
        <is>
          <t>SR23-02-11-02</t>
        </is>
      </c>
      <c r="C186" s="11" t="inlineStr">
        <is>
          <t>接口契约</t>
        </is>
      </c>
      <c r="D186" s="11" t="inlineStr">
        <is>
          <t>链路追踪、回退（Fallback） 分析与 KV检视工具（KVInspect） 工具｜接口契约</t>
        </is>
      </c>
      <c r="E186" s="11" t="inlineStr">
        <is>
          <t>故障分析与运维工具组</t>
        </is>
      </c>
      <c r="F186" s="11" t="inlineStr">
        <is>
          <t>api/kvcache/v23/trace_inspect.proto + src/observability/inspect/api.{h,cc}</t>
        </is>
      </c>
      <c r="G186" s="11" t="inlineStr">
        <is>
          <t>冻结并实现接口/IDL、版本兼容、输入输出、错误码与 消费者（consumer） 示例：TraceQuery、KVInspectResponse、FallbackTimeline、alert 模式（schema）</t>
        </is>
      </c>
      <c r="H186" s="11" t="inlineStr">
        <is>
          <t>接口契约对应的可审查代码/IDL/配置/文档</t>
        </is>
      </c>
      <c r="I186" s="11" t="inlineStr">
        <is>
          <t>代码通过编译、静态检查和单元测试；接口/配置有版本；失败语义和 功能开关（feature flag） 可验证。</t>
        </is>
      </c>
      <c r="J186" s="11" t="inlineStr">
        <is>
          <t>ctest -R trace_inspect &amp;&amp; run_contract_check --sr SR23-02-11-02</t>
        </is>
      </c>
      <c r="K186" s="11" t="inlineStr">
        <is>
          <t>回退（fallback） 原因（reason）覆盖100%；关键路径可对账；故障定位降至分钟级</t>
        </is>
      </c>
      <c r="L186" s="11" t="inlineStr">
        <is>
          <t>AR23-02-11-02-01</t>
        </is>
      </c>
      <c r="M186" s="11" t="inlineStr">
        <is>
          <t>SR23-02-11-01</t>
        </is>
      </c>
      <c r="N186" s="11" t="inlineStr">
        <is>
          <t>P1</t>
        </is>
      </c>
      <c r="O186" s="11" t="inlineStr">
        <is>
          <t>P1</t>
        </is>
      </c>
      <c r="P186" s="11" t="inlineStr">
        <is>
          <t>待认领</t>
        </is>
      </c>
      <c r="Q186" s="11" t="n"/>
      <c r="R186" s="11" t="n"/>
      <c r="S186" s="11">
        <f>IF(COUNTIF($A$5:$A$207,A186)=1,"PASS","FAIL")</f>
        <v/>
      </c>
      <c r="T186" s="11">
        <f>IF(COUNTIF('SR系统设计'!$A$5:$A$42,B186)=1,"PASS","FAIL")</f>
        <v/>
      </c>
    </row>
    <row r="187" ht="72" customHeight="1">
      <c r="A187" s="11" t="inlineStr">
        <is>
          <t>AR23-02-11-02-03</t>
        </is>
      </c>
      <c r="B187" s="11" t="inlineStr">
        <is>
          <t>SR23-02-11-02</t>
        </is>
      </c>
      <c r="C187" s="11" t="inlineStr">
        <is>
          <t>异常回滚</t>
        </is>
      </c>
      <c r="D187" s="11" t="inlineStr">
        <is>
          <t>链路追踪、回退（Fallback） 分析与 KV检视工具（KVInspect） 工具｜异常回滚</t>
        </is>
      </c>
      <c r="E187" s="11" t="inlineStr">
        <is>
          <t>故障分析与运维工具组</t>
        </is>
      </c>
      <c r="F187" s="11" t="inlineStr">
        <is>
          <t>src/observability/inspect/fallback.{h,cc} + config/feature_flags/trace_inspect.yaml</t>
        </is>
      </c>
      <c r="G187" s="11" t="inlineStr">
        <is>
          <t>实现并验证失败、超时、取消、降级、回滚与关闭路径：部分事件缺失时标记证据不足；不得生成确定性错误结论</t>
        </is>
      </c>
      <c r="H187" s="11" t="inlineStr">
        <is>
          <t>异常回滚对应的可审查代码/IDL/配置/文档</t>
        </is>
      </c>
      <c r="I187" s="11" t="inlineStr">
        <is>
          <t>代码通过编译、静态检查和单元测试；接口/配置有版本；失败语义和 功能开关（feature flag） 可验证。</t>
        </is>
      </c>
      <c r="J187" s="11" t="inlineStr">
        <is>
          <t>ctest -R trace_inspect &amp;&amp; run_contract_check --sr SR23-02-11-02</t>
        </is>
      </c>
      <c r="K187" s="11" t="inlineStr">
        <is>
          <t>回退（fallback） 原因（reason）覆盖100%；关键路径可对账；故障定位降至分钟级</t>
        </is>
      </c>
      <c r="L187" s="11" t="inlineStr">
        <is>
          <t>AR23-02-11-02-02</t>
        </is>
      </c>
      <c r="M187" s="11" t="inlineStr">
        <is>
          <t>SR23-02-11-01</t>
        </is>
      </c>
      <c r="N187" s="11" t="inlineStr">
        <is>
          <t>P1</t>
        </is>
      </c>
      <c r="O187" s="11" t="inlineStr">
        <is>
          <t>P1</t>
        </is>
      </c>
      <c r="P187" s="11" t="inlineStr">
        <is>
          <t>待认领</t>
        </is>
      </c>
      <c r="Q187" s="11" t="n"/>
      <c r="R187" s="11" t="n"/>
      <c r="S187" s="11">
        <f>IF(COUNTIF($A$5:$A$207,A187)=1,"PASS","FAIL")</f>
        <v/>
      </c>
      <c r="T187" s="11">
        <f>IF(COUNTIF('SR系统设计'!$A$5:$A$42,B187)=1,"PASS","FAIL")</f>
        <v/>
      </c>
    </row>
    <row r="188" ht="72" customHeight="1">
      <c r="A188" s="11" t="inlineStr">
        <is>
          <t>AR23-02-11-02-04</t>
        </is>
      </c>
      <c r="B188" s="11" t="inlineStr">
        <is>
          <t>SR23-02-11-02</t>
        </is>
      </c>
      <c r="C188" s="11" t="inlineStr">
        <is>
          <t>独立验收</t>
        </is>
      </c>
      <c r="D188" s="11" t="inlineStr">
        <is>
          <t>链路追踪、回退（Fallback） 分析与 KV检视工具（KVInspect） 工具｜独立验收</t>
        </is>
      </c>
      <c r="E188" s="11" t="inlineStr">
        <is>
          <t>测试/验收负责人</t>
        </is>
      </c>
      <c r="F188" s="11" t="inlineStr">
        <is>
          <t>tests/trace_inspect/ + benchmarks/trace_inspect/ + evidence/trace_inspect/manifest.yaml</t>
        </is>
      </c>
      <c r="G188" s="11" t="inlineStr">
        <is>
          <t>建立不依赖全项目的验收环境，执行功能、异常、兼容和性能门禁并生成可签字证据包。</t>
        </is>
      </c>
      <c r="H188" s="11" t="inlineStr">
        <is>
          <t>版本化测试结果、原始证据、Go/Conditional/No-Go 结论</t>
        </is>
      </c>
      <c r="I188" s="11" t="inlineStr">
        <is>
          <t>在“录制 遥测数据（telemetry） 测试夹具（fixture） 即可独立验收”中完成主路径、异常、兼容和回滚；全部证据可一键复现。</t>
        </is>
      </c>
      <c r="J188" s="11" t="inlineStr">
        <is>
          <t>run_sr_acceptance --sr SR23-02-11-02 --baseline locked</t>
        </is>
      </c>
      <c r="K188" s="11" t="inlineStr">
        <is>
          <t>回退（fallback） 原因（reason）覆盖100%；关键路径可对账；故障定位降至分钟级</t>
        </is>
      </c>
      <c r="L188" s="11" t="inlineStr">
        <is>
          <t>AR23-02-11-02-03</t>
        </is>
      </c>
      <c r="M188" s="11" t="inlineStr">
        <is>
          <t>SR23-02-11-01</t>
        </is>
      </c>
      <c r="N188" s="11" t="inlineStr">
        <is>
          <t>P1</t>
        </is>
      </c>
      <c r="O188" s="11" t="inlineStr">
        <is>
          <t>P1</t>
        </is>
      </c>
      <c r="P188" s="11" t="inlineStr">
        <is>
          <t>待认领</t>
        </is>
      </c>
      <c r="Q188" s="11" t="n"/>
      <c r="R188" s="11" t="n"/>
      <c r="S188" s="11">
        <f>IF(COUNTIF($A$5:$A$207,A188)=1,"PASS","FAIL")</f>
        <v/>
      </c>
      <c r="T188" s="11">
        <f>IF(COUNTIF('SR系统设计'!$A$5:$A$42,B188)=1,"PASS","FAIL")</f>
        <v/>
      </c>
    </row>
    <row r="189" ht="72" customHeight="1">
      <c r="A189" s="11" t="inlineStr">
        <is>
          <t>AR23-02-12-01-01</t>
        </is>
      </c>
      <c r="B189" s="11" t="inlineStr">
        <is>
          <t>SR23-02-12-01</t>
        </is>
      </c>
      <c r="C189" s="11" t="inlineStr">
        <is>
          <t>工具实现</t>
        </is>
      </c>
      <c r="D189" s="11" t="inlineStr">
        <is>
          <t>KVCache 性能监控与告警交付包｜工具实现</t>
        </is>
      </c>
      <c r="E189" s="11" t="inlineStr">
        <is>
          <t>监控与 SRE 工具组</t>
        </is>
      </c>
      <c r="F189" s="11" t="inlineStr">
        <is>
          <t>tools/monitoring/main + tools/monitoring/lib</t>
        </is>
      </c>
      <c r="G189" s="11" t="inlineStr">
        <is>
          <t>实现“KVCache 性能监控与告警交付包”的命令、服务或流水线主入口，产出可重复运行的工具包。</t>
        </is>
      </c>
      <c r="H189" s="11" t="inlineStr">
        <is>
          <t>工具实现对应的可审查代码/IDL/配置/文档</t>
        </is>
      </c>
      <c r="I189" s="11" t="inlineStr">
        <is>
          <t>代码通过编译、静态检查和单元测试；接口/配置有版本；失败语义和 功能开关（feature flag） 可验证。</t>
        </is>
      </c>
      <c r="J189" s="11" t="inlineStr">
        <is>
          <t>ctest -R monitoring_tool &amp;&amp; run_contract_check --sr SR23-02-12-01</t>
        </is>
      </c>
      <c r="K189" s="11" t="inlineStr">
        <is>
          <t>刷新&lt;5s；主业务损耗&lt;1%；告警规则准确率100%</t>
        </is>
      </c>
      <c r="L189" s="11" t="n"/>
      <c r="M189" s="11" t="inlineStr">
        <is>
          <t>SR23-02-11-01、SR23-02-11-02</t>
        </is>
      </c>
      <c r="N189" s="11" t="inlineStr">
        <is>
          <t>P1</t>
        </is>
      </c>
      <c r="O189" s="11" t="inlineStr">
        <is>
          <t>P1</t>
        </is>
      </c>
      <c r="P189" s="11" t="inlineStr">
        <is>
          <t>待认领</t>
        </is>
      </c>
      <c r="Q189" s="11" t="n"/>
      <c r="R189" s="11" t="n"/>
      <c r="S189" s="11">
        <f>IF(COUNTIF($A$5:$A$207,A189)=1,"PASS","FAIL")</f>
        <v/>
      </c>
      <c r="T189" s="11">
        <f>IF(COUNTIF('SR系统设计'!$A$5:$A$42,B189)=1,"PASS","FAIL")</f>
        <v/>
      </c>
    </row>
    <row r="190" ht="72" customHeight="1">
      <c r="A190" s="11" t="inlineStr">
        <is>
          <t>AR23-02-12-01-02</t>
        </is>
      </c>
      <c r="B190" s="11" t="inlineStr">
        <is>
          <t>SR23-02-12-01</t>
        </is>
      </c>
      <c r="C190" s="11" t="inlineStr">
        <is>
          <t>配置集成</t>
        </is>
      </c>
      <c r="D190" s="11" t="inlineStr">
        <is>
          <t>KVCache 性能监控与告警交付包｜配置集成</t>
        </is>
      </c>
      <c r="E190" s="11" t="inlineStr">
        <is>
          <t>监控与 SRE 工具组</t>
        </is>
      </c>
      <c r="F190" s="11" t="inlineStr">
        <is>
          <t>config/monitoring_tool/ + deploy/monitoring_tool/</t>
        </is>
      </c>
      <c r="G190" s="11" t="inlineStr">
        <is>
          <t>交付版本化配置、部署/调用入口、默认值、样例及与上游工具链的集成。</t>
        </is>
      </c>
      <c r="H190" s="11" t="inlineStr">
        <is>
          <t>配置集成对应的可审查代码/IDL/配置/文档</t>
        </is>
      </c>
      <c r="I190" s="11" t="inlineStr">
        <is>
          <t>代码通过编译、静态检查和单元测试；接口/配置有版本；失败语义和 功能开关（feature flag） 可验证。</t>
        </is>
      </c>
      <c r="J190" s="11" t="inlineStr">
        <is>
          <t>ctest -R monitoring_tool &amp;&amp; run_contract_check --sr SR23-02-12-01</t>
        </is>
      </c>
      <c r="K190" s="11" t="inlineStr">
        <is>
          <t>刷新&lt;5s；主业务损耗&lt;1%；告警规则准确率100%</t>
        </is>
      </c>
      <c r="L190" s="11" t="inlineStr">
        <is>
          <t>AR23-02-12-01-01</t>
        </is>
      </c>
      <c r="M190" s="11" t="inlineStr">
        <is>
          <t>SR23-02-11-01、SR23-02-11-02</t>
        </is>
      </c>
      <c r="N190" s="11" t="inlineStr">
        <is>
          <t>P1</t>
        </is>
      </c>
      <c r="O190" s="11" t="inlineStr">
        <is>
          <t>P1</t>
        </is>
      </c>
      <c r="P190" s="11" t="inlineStr">
        <is>
          <t>待认领</t>
        </is>
      </c>
      <c r="Q190" s="11" t="n"/>
      <c r="R190" s="11" t="n"/>
      <c r="S190" s="11">
        <f>IF(COUNTIF($A$5:$A$207,A190)=1,"PASS","FAIL")</f>
        <v/>
      </c>
      <c r="T190" s="11">
        <f>IF(COUNTIF('SR系统设计'!$A$5:$A$42,B190)=1,"PASS","FAIL")</f>
        <v/>
      </c>
    </row>
    <row r="191" ht="72" customHeight="1">
      <c r="A191" s="11" t="inlineStr">
        <is>
          <t>AR23-02-12-01-03</t>
        </is>
      </c>
      <c r="B191" s="11" t="inlineStr">
        <is>
          <t>SR23-02-12-01</t>
        </is>
      </c>
      <c r="C191" s="11" t="inlineStr">
        <is>
          <t>异常回滚</t>
        </is>
      </c>
      <c r="D191" s="11" t="inlineStr">
        <is>
          <t>KVCache 性能监控与告警交付包｜异常回滚</t>
        </is>
      </c>
      <c r="E191" s="11" t="inlineStr">
        <is>
          <t>监控与 SRE 工具组</t>
        </is>
      </c>
      <c r="F191" s="11" t="inlineStr">
        <is>
          <t>tools/monitoring/fallback.{h,cc} + config/feature_flags/monitoring_tool.yaml</t>
        </is>
      </c>
      <c r="G191" s="11" t="inlineStr">
        <is>
          <t>实现并验证失败、超时、取消、降级、回滚与关闭路径：指标缺失时标记不可判定；大盘故障不阻塞数据面</t>
        </is>
      </c>
      <c r="H191" s="11" t="inlineStr">
        <is>
          <t>异常回滚对应的可审查代码/IDL/配置/文档</t>
        </is>
      </c>
      <c r="I191" s="11" t="inlineStr">
        <is>
          <t>代码通过编译、静态检查和单元测试；接口/配置有版本；失败语义和 功能开关（feature flag） 可验证。</t>
        </is>
      </c>
      <c r="J191" s="11" t="inlineStr">
        <is>
          <t>ctest -R monitoring_tool &amp;&amp; run_contract_check --sr SR23-02-12-01</t>
        </is>
      </c>
      <c r="K191" s="11" t="inlineStr">
        <is>
          <t>刷新&lt;5s；主业务损耗&lt;1%；告警规则准确率100%</t>
        </is>
      </c>
      <c r="L191" s="11" t="inlineStr">
        <is>
          <t>AR23-02-12-01-02</t>
        </is>
      </c>
      <c r="M191" s="11" t="inlineStr">
        <is>
          <t>SR23-02-11-01、SR23-02-11-02</t>
        </is>
      </c>
      <c r="N191" s="11" t="inlineStr">
        <is>
          <t>P1</t>
        </is>
      </c>
      <c r="O191" s="11" t="inlineStr">
        <is>
          <t>P1</t>
        </is>
      </c>
      <c r="P191" s="11" t="inlineStr">
        <is>
          <t>待认领</t>
        </is>
      </c>
      <c r="Q191" s="11" t="n"/>
      <c r="R191" s="11" t="n"/>
      <c r="S191" s="11">
        <f>IF(COUNTIF($A$5:$A$207,A191)=1,"PASS","FAIL")</f>
        <v/>
      </c>
      <c r="T191" s="11">
        <f>IF(COUNTIF('SR系统设计'!$A$5:$A$42,B191)=1,"PASS","FAIL")</f>
        <v/>
      </c>
    </row>
    <row r="192" ht="72" customHeight="1">
      <c r="A192" s="11" t="inlineStr">
        <is>
          <t>AR23-02-12-01-04</t>
        </is>
      </c>
      <c r="B192" s="11" t="inlineStr">
        <is>
          <t>SR23-02-12-01</t>
        </is>
      </c>
      <c r="C192" s="11" t="inlineStr">
        <is>
          <t>独立验收</t>
        </is>
      </c>
      <c r="D192" s="11" t="inlineStr">
        <is>
          <t>KVCache 性能监控与告警交付包｜独立验收</t>
        </is>
      </c>
      <c r="E192" s="11" t="inlineStr">
        <is>
          <t>测试/验收负责人</t>
        </is>
      </c>
      <c r="F192" s="11" t="inlineStr">
        <is>
          <t>tests/monitoring_tool/ + benchmarks/monitoring_tool/ + evidence/monitoring_tool/manifest.yaml</t>
        </is>
      </c>
      <c r="G192" s="11" t="inlineStr">
        <is>
          <t>建立不依赖全项目的验收环境，执行功能、异常、兼容和性能门禁并生成可签字证据包。</t>
        </is>
      </c>
      <c r="H192" s="11" t="inlineStr">
        <is>
          <t>版本化测试结果、原始证据、Go/Conditional/No-Go 结论</t>
        </is>
      </c>
      <c r="I192" s="11" t="inlineStr">
        <is>
          <t>在“录制 指标（metrics） 测试夹具（fixture） + 本地 Grafana 即可独立验收”中完成主路径、异常、兼容和回滚；全部证据可一键复现。</t>
        </is>
      </c>
      <c r="J192" s="11" t="inlineStr">
        <is>
          <t>run_sr_acceptance --sr SR23-02-12-01 --baseline locked</t>
        </is>
      </c>
      <c r="K192" s="11" t="inlineStr">
        <is>
          <t>刷新&lt;5s；主业务损耗&lt;1%；告警规则准确率100%</t>
        </is>
      </c>
      <c r="L192" s="11" t="inlineStr">
        <is>
          <t>AR23-02-12-01-03</t>
        </is>
      </c>
      <c r="M192" s="11" t="inlineStr">
        <is>
          <t>SR23-02-11-01、SR23-02-11-02</t>
        </is>
      </c>
      <c r="N192" s="11" t="inlineStr">
        <is>
          <t>P1</t>
        </is>
      </c>
      <c r="O192" s="11" t="inlineStr">
        <is>
          <t>P1</t>
        </is>
      </c>
      <c r="P192" s="11" t="inlineStr">
        <is>
          <t>待认领</t>
        </is>
      </c>
      <c r="Q192" s="11" t="n"/>
      <c r="R192" s="11" t="n"/>
      <c r="S192" s="11">
        <f>IF(COUNTIF($A$5:$A$207,A192)=1,"PASS","FAIL")</f>
        <v/>
      </c>
      <c r="T192" s="11">
        <f>IF(COUNTIF('SR系统设计'!$A$5:$A$42,B192)=1,"PASS","FAIL")</f>
        <v/>
      </c>
    </row>
    <row r="193" ht="72" customHeight="1">
      <c r="A193" s="11" t="inlineStr">
        <is>
          <t>AR23-02-12-02-01</t>
        </is>
      </c>
      <c r="B193" s="11" t="inlineStr">
        <is>
          <t>SR23-02-12-02</t>
        </is>
      </c>
      <c r="C193" s="11" t="inlineStr">
        <is>
          <t>工具实现</t>
        </is>
      </c>
      <c r="D193" s="11" t="inlineStr">
        <is>
          <t>核心组件单元/API 测试与硬件 Mock 框架｜工具实现</t>
        </is>
      </c>
      <c r="E193" s="11" t="inlineStr">
        <is>
          <t>自动化测试平台组</t>
        </is>
      </c>
      <c r="F193" s="11" t="inlineStr">
        <is>
          <t>tests/framework/main + tests/framework/lib</t>
        </is>
      </c>
      <c r="G193" s="11" t="inlineStr">
        <is>
          <t>实现“核心组件单元/API 测试与硬件 Mock 框架”的命令、服务或流水线主入口，产出可重复运行的工具包。</t>
        </is>
      </c>
      <c r="H193" s="11" t="inlineStr">
        <is>
          <t>工具实现对应的可审查代码/IDL/配置/文档</t>
        </is>
      </c>
      <c r="I193" s="11" t="inlineStr">
        <is>
          <t>代码通过编译、静态检查和单元测试；接口/配置有版本；失败语义和 功能开关（feature flag） 可验证。</t>
        </is>
      </c>
      <c r="J193" s="11" t="inlineStr">
        <is>
          <t>ctest -R unit_test_tool &amp;&amp; run_contract_check --sr SR23-02-12-02</t>
        </is>
      </c>
      <c r="K193" s="11" t="inlineStr">
        <is>
          <t>核心覆盖率&gt;85%；核心接口自动化通过率100%</t>
        </is>
      </c>
      <c r="L193" s="11" t="n"/>
      <c r="M193" s="11" t="inlineStr">
        <is>
          <t>SR23-02-01-01、SR23-02-11-01</t>
        </is>
      </c>
      <c r="N193" s="11" t="inlineStr">
        <is>
          <t>P1</t>
        </is>
      </c>
      <c r="O193" s="11" t="inlineStr">
        <is>
          <t>P1</t>
        </is>
      </c>
      <c r="P193" s="11" t="inlineStr">
        <is>
          <t>待认领</t>
        </is>
      </c>
      <c r="Q193" s="11" t="n"/>
      <c r="R193" s="11" t="n"/>
      <c r="S193" s="11">
        <f>IF(COUNTIF($A$5:$A$207,A193)=1,"PASS","FAIL")</f>
        <v/>
      </c>
      <c r="T193" s="11">
        <f>IF(COUNTIF('SR系统设计'!$A$5:$A$42,B193)=1,"PASS","FAIL")</f>
        <v/>
      </c>
    </row>
    <row r="194" ht="72" customHeight="1">
      <c r="A194" s="11" t="inlineStr">
        <is>
          <t>AR23-02-12-02-02</t>
        </is>
      </c>
      <c r="B194" s="11" t="inlineStr">
        <is>
          <t>SR23-02-12-02</t>
        </is>
      </c>
      <c r="C194" s="11" t="inlineStr">
        <is>
          <t>配置集成</t>
        </is>
      </c>
      <c r="D194" s="11" t="inlineStr">
        <is>
          <t>核心组件单元/API 测试与硬件 Mock 框架｜配置集成</t>
        </is>
      </c>
      <c r="E194" s="11" t="inlineStr">
        <is>
          <t>自动化测试平台组</t>
        </is>
      </c>
      <c r="F194" s="11" t="inlineStr">
        <is>
          <t>config/unit_test_tool/ + deploy/unit_test_tool/</t>
        </is>
      </c>
      <c r="G194" s="11" t="inlineStr">
        <is>
          <t>交付版本化配置、部署/调用入口、默认值、样例及与上游工具链的集成。</t>
        </is>
      </c>
      <c r="H194" s="11" t="inlineStr">
        <is>
          <t>配置集成对应的可审查代码/IDL/配置/文档</t>
        </is>
      </c>
      <c r="I194" s="11" t="inlineStr">
        <is>
          <t>代码通过编译、静态检查和单元测试；接口/配置有版本；失败语义和 功能开关（feature flag） 可验证。</t>
        </is>
      </c>
      <c r="J194" s="11" t="inlineStr">
        <is>
          <t>ctest -R unit_test_tool &amp;&amp; run_contract_check --sr SR23-02-12-02</t>
        </is>
      </c>
      <c r="K194" s="11" t="inlineStr">
        <is>
          <t>核心覆盖率&gt;85%；核心接口自动化通过率100%</t>
        </is>
      </c>
      <c r="L194" s="11" t="inlineStr">
        <is>
          <t>AR23-02-12-02-01</t>
        </is>
      </c>
      <c r="M194" s="11" t="inlineStr">
        <is>
          <t>SR23-02-01-01、SR23-02-11-01</t>
        </is>
      </c>
      <c r="N194" s="11" t="inlineStr">
        <is>
          <t>P1</t>
        </is>
      </c>
      <c r="O194" s="11" t="inlineStr">
        <is>
          <t>P1</t>
        </is>
      </c>
      <c r="P194" s="11" t="inlineStr">
        <is>
          <t>待认领</t>
        </is>
      </c>
      <c r="Q194" s="11" t="n"/>
      <c r="R194" s="11" t="n"/>
      <c r="S194" s="11">
        <f>IF(COUNTIF($A$5:$A$207,A194)=1,"PASS","FAIL")</f>
        <v/>
      </c>
      <c r="T194" s="11">
        <f>IF(COUNTIF('SR系统设计'!$A$5:$A$42,B194)=1,"PASS","FAIL")</f>
        <v/>
      </c>
    </row>
    <row r="195" ht="72" customHeight="1">
      <c r="A195" s="11" t="inlineStr">
        <is>
          <t>AR23-02-12-02-03</t>
        </is>
      </c>
      <c r="B195" s="11" t="inlineStr">
        <is>
          <t>SR23-02-12-02</t>
        </is>
      </c>
      <c r="C195" s="11" t="inlineStr">
        <is>
          <t>独立验收</t>
        </is>
      </c>
      <c r="D195" s="11" t="inlineStr">
        <is>
          <t>核心组件单元/API 测试与硬件 Mock 框架｜独立验收</t>
        </is>
      </c>
      <c r="E195" s="11" t="inlineStr">
        <is>
          <t>测试/验收负责人</t>
        </is>
      </c>
      <c r="F195" s="11" t="inlineStr">
        <is>
          <t>tests/unit_test_tool/ + benchmarks/unit_test_tool/ + evidence/unit_test_tool/manifest.yaml</t>
        </is>
      </c>
      <c r="G195" s="11" t="inlineStr">
        <is>
          <t>建立不依赖全项目的验收环境，执行功能、异常、兼容和性能门禁并生成可签字证据包。</t>
        </is>
      </c>
      <c r="H195" s="11" t="inlineStr">
        <is>
          <t>版本化测试结果、原始证据、Go/Conditional/No-Go 结论</t>
        </is>
      </c>
      <c r="I195" s="11" t="inlineStr">
        <is>
          <t>在“开发机/CI runner 即可独立验收”中完成主路径、异常、兼容和回滚；全部证据可一键复现。</t>
        </is>
      </c>
      <c r="J195" s="11" t="inlineStr">
        <is>
          <t>run_sr_acceptance --sr SR23-02-12-02 --baseline locked</t>
        </is>
      </c>
      <c r="K195" s="11" t="inlineStr">
        <is>
          <t>核心覆盖率&gt;85%；核心接口自动化通过率100%</t>
        </is>
      </c>
      <c r="L195" s="11" t="inlineStr">
        <is>
          <t>AR23-02-12-02-02</t>
        </is>
      </c>
      <c r="M195" s="11" t="inlineStr">
        <is>
          <t>SR23-02-01-01、SR23-02-11-01</t>
        </is>
      </c>
      <c r="N195" s="11" t="inlineStr">
        <is>
          <t>P1</t>
        </is>
      </c>
      <c r="O195" s="11" t="inlineStr">
        <is>
          <t>P1</t>
        </is>
      </c>
      <c r="P195" s="11" t="inlineStr">
        <is>
          <t>待认领</t>
        </is>
      </c>
      <c r="Q195" s="11" t="n"/>
      <c r="R195" s="11" t="n"/>
      <c r="S195" s="11">
        <f>IF(COUNTIF($A$5:$A$207,A195)=1,"PASS","FAIL")</f>
        <v/>
      </c>
      <c r="T195" s="11">
        <f>IF(COUNTIF('SR系统设计'!$A$5:$A$42,B195)=1,"PASS","FAIL")</f>
        <v/>
      </c>
    </row>
    <row r="196" ht="72" customHeight="1">
      <c r="A196" s="11" t="inlineStr">
        <is>
          <t>AR23-02-12-03-01</t>
        </is>
      </c>
      <c r="B196" s="11" t="inlineStr">
        <is>
          <t>SR23-02-12-03</t>
        </is>
      </c>
      <c r="C196" s="11" t="inlineStr">
        <is>
          <t>工具实现</t>
        </is>
      </c>
      <c r="D196" s="11" t="inlineStr">
        <is>
          <t>异构介质 E2E、长稳与混沌测试平台｜工具实现</t>
        </is>
      </c>
      <c r="E196" s="11" t="inlineStr">
        <is>
          <t>系统集成与混沌测试组</t>
        </is>
      </c>
      <c r="F196" s="11" t="inlineStr">
        <is>
          <t>tests/e2e/main + tests/e2e/lib</t>
        </is>
      </c>
      <c r="G196" s="11" t="inlineStr">
        <is>
          <t>实现“异构介质 E2E、长稳与混沌测试平台”的命令、服务或流水线主入口，产出可重复运行的工具包。</t>
        </is>
      </c>
      <c r="H196" s="11" t="inlineStr">
        <is>
          <t>工具实现对应的可审查代码/IDL/配置/文档</t>
        </is>
      </c>
      <c r="I196" s="11" t="inlineStr">
        <is>
          <t>代码通过编译、静态检查和单元测试；接口/配置有版本；失败语义和 功能开关（feature flag） 可验证。</t>
        </is>
      </c>
      <c r="J196" s="11" t="inlineStr">
        <is>
          <t>ctest -R e2e_chaos_tool &amp;&amp; run_contract_check --sr SR23-02-12-03</t>
        </is>
      </c>
      <c r="K196" s="11" t="inlineStr">
        <is>
          <t>72h零泄漏；故障回退（fallback）&lt;500ms且0错误；介质连通性一键通过</t>
        </is>
      </c>
      <c r="L196" s="11" t="n"/>
      <c r="M196" s="11" t="inlineStr">
        <is>
          <t>SR23-02-12-02、SR23-01-09-01</t>
        </is>
      </c>
      <c r="N196" s="11" t="inlineStr">
        <is>
          <t>P1</t>
        </is>
      </c>
      <c r="O196" s="11" t="inlineStr">
        <is>
          <t>P1</t>
        </is>
      </c>
      <c r="P196" s="11" t="inlineStr">
        <is>
          <t>待认领</t>
        </is>
      </c>
      <c r="Q196" s="11" t="n"/>
      <c r="R196" s="11" t="n"/>
      <c r="S196" s="11">
        <f>IF(COUNTIF($A$5:$A$207,A196)=1,"PASS","FAIL")</f>
        <v/>
      </c>
      <c r="T196" s="11">
        <f>IF(COUNTIF('SR系统设计'!$A$5:$A$42,B196)=1,"PASS","FAIL")</f>
        <v/>
      </c>
    </row>
    <row r="197" ht="72" customHeight="1">
      <c r="A197" s="11" t="inlineStr">
        <is>
          <t>AR23-02-12-03-02</t>
        </is>
      </c>
      <c r="B197" s="11" t="inlineStr">
        <is>
          <t>SR23-02-12-03</t>
        </is>
      </c>
      <c r="C197" s="11" t="inlineStr">
        <is>
          <t>配置集成</t>
        </is>
      </c>
      <c r="D197" s="11" t="inlineStr">
        <is>
          <t>异构介质 E2E、长稳与混沌测试平台｜配置集成</t>
        </is>
      </c>
      <c r="E197" s="11" t="inlineStr">
        <is>
          <t>系统集成与混沌测试组</t>
        </is>
      </c>
      <c r="F197" s="11" t="inlineStr">
        <is>
          <t>config/e2e_chaos_tool/ + deploy/e2e_chaos_tool/</t>
        </is>
      </c>
      <c r="G197" s="11" t="inlineStr">
        <is>
          <t>交付版本化配置、部署/调用入口、默认值、样例及与上游工具链的集成。</t>
        </is>
      </c>
      <c r="H197" s="11" t="inlineStr">
        <is>
          <t>配置集成对应的可审查代码/IDL/配置/文档</t>
        </is>
      </c>
      <c r="I197" s="11" t="inlineStr">
        <is>
          <t>代码通过编译、静态检查和单元测试；接口/配置有版本；失败语义和 功能开关（feature flag） 可验证。</t>
        </is>
      </c>
      <c r="J197" s="11" t="inlineStr">
        <is>
          <t>ctest -R e2e_chaos_tool &amp;&amp; run_contract_check --sr SR23-02-12-03</t>
        </is>
      </c>
      <c r="K197" s="11" t="inlineStr">
        <is>
          <t>72h零泄漏；故障回退（fallback）&lt;500ms且0错误；介质连通性一键通过</t>
        </is>
      </c>
      <c r="L197" s="11" t="inlineStr">
        <is>
          <t>AR23-02-12-03-01</t>
        </is>
      </c>
      <c r="M197" s="11" t="inlineStr">
        <is>
          <t>SR23-02-12-02、SR23-01-09-01</t>
        </is>
      </c>
      <c r="N197" s="11" t="inlineStr">
        <is>
          <t>P1</t>
        </is>
      </c>
      <c r="O197" s="11" t="inlineStr">
        <is>
          <t>P1</t>
        </is>
      </c>
      <c r="P197" s="11" t="inlineStr">
        <is>
          <t>待认领</t>
        </is>
      </c>
      <c r="Q197" s="11" t="n"/>
      <c r="R197" s="11" t="n"/>
      <c r="S197" s="11">
        <f>IF(COUNTIF($A$5:$A$207,A197)=1,"PASS","FAIL")</f>
        <v/>
      </c>
      <c r="T197" s="11">
        <f>IF(COUNTIF('SR系统设计'!$A$5:$A$42,B197)=1,"PASS","FAIL")</f>
        <v/>
      </c>
    </row>
    <row r="198" ht="72" customHeight="1">
      <c r="A198" s="11" t="inlineStr">
        <is>
          <t>AR23-02-12-03-03</t>
        </is>
      </c>
      <c r="B198" s="11" t="inlineStr">
        <is>
          <t>SR23-02-12-03</t>
        </is>
      </c>
      <c r="C198" s="11" t="inlineStr">
        <is>
          <t>异常回滚</t>
        </is>
      </c>
      <c r="D198" s="11" t="inlineStr">
        <is>
          <t>异构介质 E2E、长稳与混沌测试平台｜异常回滚</t>
        </is>
      </c>
      <c r="E198" s="11" t="inlineStr">
        <is>
          <t>系统集成与混沌测试组</t>
        </is>
      </c>
      <c r="F198" s="11" t="inlineStr">
        <is>
          <t>tests/e2e/fallback.{h,cc} + config/feature_flags/e2e_chaos_tool.yaml</t>
        </is>
      </c>
      <c r="G198" s="11" t="inlineStr">
        <is>
          <t>实现并验证失败、超时、取消、降级、回滚与关闭路径：真实硬件不足时使用受控模拟；未覆盖路径明确标记 Not Tested</t>
        </is>
      </c>
      <c r="H198" s="11" t="inlineStr">
        <is>
          <t>异常回滚对应的可审查代码/IDL/配置/文档</t>
        </is>
      </c>
      <c r="I198" s="11" t="inlineStr">
        <is>
          <t>代码通过编译、静态检查和单元测试；接口/配置有版本；失败语义和 功能开关（feature flag） 可验证。</t>
        </is>
      </c>
      <c r="J198" s="11" t="inlineStr">
        <is>
          <t>ctest -R e2e_chaos_tool &amp;&amp; run_contract_check --sr SR23-02-12-03</t>
        </is>
      </c>
      <c r="K198" s="11" t="inlineStr">
        <is>
          <t>72h零泄漏；故障回退（fallback）&lt;500ms且0错误；介质连通性一键通过</t>
        </is>
      </c>
      <c r="L198" s="11" t="inlineStr">
        <is>
          <t>AR23-02-12-03-02</t>
        </is>
      </c>
      <c r="M198" s="11" t="inlineStr">
        <is>
          <t>SR23-02-12-02、SR23-01-09-01</t>
        </is>
      </c>
      <c r="N198" s="11" t="inlineStr">
        <is>
          <t>P1</t>
        </is>
      </c>
      <c r="O198" s="11" t="inlineStr">
        <is>
          <t>P1</t>
        </is>
      </c>
      <c r="P198" s="11" t="inlineStr">
        <is>
          <t>待认领</t>
        </is>
      </c>
      <c r="Q198" s="11" t="n"/>
      <c r="R198" s="11" t="n"/>
      <c r="S198" s="11">
        <f>IF(COUNTIF($A$5:$A$207,A198)=1,"PASS","FAIL")</f>
        <v/>
      </c>
      <c r="T198" s="11">
        <f>IF(COUNTIF('SR系统设计'!$A$5:$A$42,B198)=1,"PASS","FAIL")</f>
        <v/>
      </c>
    </row>
    <row r="199" ht="72" customHeight="1">
      <c r="A199" s="11" t="inlineStr">
        <is>
          <t>AR23-02-12-03-04</t>
        </is>
      </c>
      <c r="B199" s="11" t="inlineStr">
        <is>
          <t>SR23-02-12-03</t>
        </is>
      </c>
      <c r="C199" s="11" t="inlineStr">
        <is>
          <t>独立验收</t>
        </is>
      </c>
      <c r="D199" s="11" t="inlineStr">
        <is>
          <t>异构介质 E2E、长稳与混沌测试平台｜独立验收</t>
        </is>
      </c>
      <c r="E199" s="11" t="inlineStr">
        <is>
          <t>测试/验收负责人</t>
        </is>
      </c>
      <c r="F199" s="11" t="inlineStr">
        <is>
          <t>tests/e2e_chaos_tool/ + benchmarks/e2e_chaos_tool/ + evidence/e2e_chaos_tool/manifest.yaml</t>
        </is>
      </c>
      <c r="G199" s="11" t="inlineStr">
        <is>
          <t>建立不依赖全项目的验收环境，执行功能、异常、兼容和性能门禁并生成可签字证据包。</t>
        </is>
      </c>
      <c r="H199" s="11" t="inlineStr">
        <is>
          <t>版本化测试结果、原始证据、Go/Conditional/No-Go 结论</t>
        </is>
      </c>
      <c r="I199" s="11" t="inlineStr">
        <is>
          <t>在“最小两节点异构测试环境或等价模拟器”中完成主路径、异常、兼容和回滚；全部证据可一键复现。</t>
        </is>
      </c>
      <c r="J199" s="11" t="inlineStr">
        <is>
          <t>run_sr_acceptance --sr SR23-02-12-03 --baseline locked</t>
        </is>
      </c>
      <c r="K199" s="11" t="inlineStr">
        <is>
          <t>72h零泄漏；故障回退（fallback）&lt;500ms且0错误；介质连通性一键通过</t>
        </is>
      </c>
      <c r="L199" s="11" t="inlineStr">
        <is>
          <t>AR23-02-12-03-03</t>
        </is>
      </c>
      <c r="M199" s="11" t="inlineStr">
        <is>
          <t>SR23-02-12-02、SR23-01-09-01</t>
        </is>
      </c>
      <c r="N199" s="11" t="inlineStr">
        <is>
          <t>P1</t>
        </is>
      </c>
      <c r="O199" s="11" t="inlineStr">
        <is>
          <t>P1</t>
        </is>
      </c>
      <c r="P199" s="11" t="inlineStr">
        <is>
          <t>待认领</t>
        </is>
      </c>
      <c r="Q199" s="11" t="n"/>
      <c r="R199" s="11" t="n"/>
      <c r="S199" s="11">
        <f>IF(COUNTIF($A$5:$A$207,A199)=1,"PASS","FAIL")</f>
        <v/>
      </c>
      <c r="T199" s="11">
        <f>IF(COUNTIF('SR系统设计'!$A$5:$A$42,B199)=1,"PASS","FAIL")</f>
        <v/>
      </c>
    </row>
    <row r="200" ht="72" customHeight="1">
      <c r="A200" s="11" t="inlineStr">
        <is>
          <t>AR23-02-12-04-01</t>
        </is>
      </c>
      <c r="B200" s="11" t="inlineStr">
        <is>
          <t>SR23-02-12-04</t>
        </is>
      </c>
      <c r="C200" s="11" t="inlineStr">
        <is>
          <t>工具实现</t>
        </is>
      </c>
      <c r="D200" s="11" t="inlineStr">
        <is>
          <t>跨平台构建、制品与灰度发布流水线｜工具实现</t>
        </is>
      </c>
      <c r="E200" s="11" t="inlineStr">
        <is>
          <t>构建与发布工程组</t>
        </is>
      </c>
      <c r="F200" s="11" t="inlineStr">
        <is>
          <t>ci/main + ci/lib</t>
        </is>
      </c>
      <c r="G200" s="11" t="inlineStr">
        <is>
          <t>实现“跨平台构建、制品与灰度发布流水线”的命令、服务或流水线主入口，产出可重复运行的工具包。</t>
        </is>
      </c>
      <c r="H200" s="11" t="inlineStr">
        <is>
          <t>工具实现对应的可审查代码/IDL/配置/文档</t>
        </is>
      </c>
      <c r="I200" s="11" t="inlineStr">
        <is>
          <t>代码通过编译、静态检查和单元测试；接口/配置有版本；失败语义和 功能开关（feature flag） 可验证。</t>
        </is>
      </c>
      <c r="J200" s="11" t="inlineStr">
        <is>
          <t>ctest -R cicd_tool &amp;&amp; run_contract_check --sr SR23-02-12-04</t>
        </is>
      </c>
      <c r="K200" s="11" t="inlineStr">
        <is>
          <t>MR反馈&lt;15min；规范/基础错误拦截100%；自动回滚&lt;1min</t>
        </is>
      </c>
      <c r="L200" s="11" t="n"/>
      <c r="M200" s="11" t="inlineStr">
        <is>
          <t>SR23-02-12-02、SR23-02-12-03</t>
        </is>
      </c>
      <c r="N200" s="11" t="inlineStr">
        <is>
          <t>P2</t>
        </is>
      </c>
      <c r="O200" s="11" t="inlineStr">
        <is>
          <t>P2</t>
        </is>
      </c>
      <c r="P200" s="11" t="inlineStr">
        <is>
          <t>待认领</t>
        </is>
      </c>
      <c r="Q200" s="11" t="n"/>
      <c r="R200" s="11" t="n"/>
      <c r="S200" s="11">
        <f>IF(COUNTIF($A$5:$A$207,A200)=1,"PASS","FAIL")</f>
        <v/>
      </c>
      <c r="T200" s="11">
        <f>IF(COUNTIF('SR系统设计'!$A$5:$A$42,B200)=1,"PASS","FAIL")</f>
        <v/>
      </c>
    </row>
    <row r="201" ht="72" customHeight="1">
      <c r="A201" s="11" t="inlineStr">
        <is>
          <t>AR23-02-12-04-02</t>
        </is>
      </c>
      <c r="B201" s="11" t="inlineStr">
        <is>
          <t>SR23-02-12-04</t>
        </is>
      </c>
      <c r="C201" s="11" t="inlineStr">
        <is>
          <t>配置集成</t>
        </is>
      </c>
      <c r="D201" s="11" t="inlineStr">
        <is>
          <t>跨平台构建、制品与灰度发布流水线｜配置集成</t>
        </is>
      </c>
      <c r="E201" s="11" t="inlineStr">
        <is>
          <t>构建与发布工程组</t>
        </is>
      </c>
      <c r="F201" s="11" t="inlineStr">
        <is>
          <t>config/cicd_tool/ + deploy/cicd_tool/</t>
        </is>
      </c>
      <c r="G201" s="11" t="inlineStr">
        <is>
          <t>交付版本化配置、部署/调用入口、默认值、样例及与上游工具链的集成。</t>
        </is>
      </c>
      <c r="H201" s="11" t="inlineStr">
        <is>
          <t>配置集成对应的可审查代码/IDL/配置/文档</t>
        </is>
      </c>
      <c r="I201" s="11" t="inlineStr">
        <is>
          <t>代码通过编译、静态检查和单元测试；接口/配置有版本；失败语义和 功能开关（feature flag） 可验证。</t>
        </is>
      </c>
      <c r="J201" s="11" t="inlineStr">
        <is>
          <t>ctest -R cicd_tool &amp;&amp; run_contract_check --sr SR23-02-12-04</t>
        </is>
      </c>
      <c r="K201" s="11" t="inlineStr">
        <is>
          <t>MR反馈&lt;15min；规范/基础错误拦截100%；自动回滚&lt;1min</t>
        </is>
      </c>
      <c r="L201" s="11" t="inlineStr">
        <is>
          <t>AR23-02-12-04-01</t>
        </is>
      </c>
      <c r="M201" s="11" t="inlineStr">
        <is>
          <t>SR23-02-12-02、SR23-02-12-03</t>
        </is>
      </c>
      <c r="N201" s="11" t="inlineStr">
        <is>
          <t>P2</t>
        </is>
      </c>
      <c r="O201" s="11" t="inlineStr">
        <is>
          <t>P2</t>
        </is>
      </c>
      <c r="P201" s="11" t="inlineStr">
        <is>
          <t>待认领</t>
        </is>
      </c>
      <c r="Q201" s="11" t="n"/>
      <c r="R201" s="11" t="n"/>
      <c r="S201" s="11">
        <f>IF(COUNTIF($A$5:$A$207,A201)=1,"PASS","FAIL")</f>
        <v/>
      </c>
      <c r="T201" s="11">
        <f>IF(COUNTIF('SR系统设计'!$A$5:$A$42,B201)=1,"PASS","FAIL")</f>
        <v/>
      </c>
    </row>
    <row r="202" ht="72" customHeight="1">
      <c r="A202" s="11" t="inlineStr">
        <is>
          <t>AR23-02-12-04-03</t>
        </is>
      </c>
      <c r="B202" s="11" t="inlineStr">
        <is>
          <t>SR23-02-12-04</t>
        </is>
      </c>
      <c r="C202" s="11" t="inlineStr">
        <is>
          <t>异常回滚</t>
        </is>
      </c>
      <c r="D202" s="11" t="inlineStr">
        <is>
          <t>跨平台构建、制品与灰度发布流水线｜异常回滚</t>
        </is>
      </c>
      <c r="E202" s="11" t="inlineStr">
        <is>
          <t>构建与发布工程组</t>
        </is>
      </c>
      <c r="F202" s="11" t="inlineStr">
        <is>
          <t>ci/回退（fallback）.{h,cc} + config/feature_flags/cicd_tool.yaml</t>
        </is>
      </c>
      <c r="G202" s="11" t="inlineStr">
        <is>
          <t>实现并验证失败、超时、取消、降级、回滚与关闭路径：任一质量门禁失败阻断；线上异常自动停止并回滚上一制品</t>
        </is>
      </c>
      <c r="H202" s="11" t="inlineStr">
        <is>
          <t>异常回滚对应的可审查代码/IDL/配置/文档</t>
        </is>
      </c>
      <c r="I202" s="11" t="inlineStr">
        <is>
          <t>代码通过编译、静态检查和单元测试；接口/配置有版本；失败语义和 功能开关（feature flag） 可验证。</t>
        </is>
      </c>
      <c r="J202" s="11" t="inlineStr">
        <is>
          <t>ctest -R cicd_tool &amp;&amp; run_contract_check --sr SR23-02-12-04</t>
        </is>
      </c>
      <c r="K202" s="11" t="inlineStr">
        <is>
          <t>MR反馈&lt;15min；规范/基础错误拦截100%；自动回滚&lt;1min</t>
        </is>
      </c>
      <c r="L202" s="11" t="inlineStr">
        <is>
          <t>AR23-02-12-04-02</t>
        </is>
      </c>
      <c r="M202" s="11" t="inlineStr">
        <is>
          <t>SR23-02-12-02、SR23-02-12-03</t>
        </is>
      </c>
      <c r="N202" s="11" t="inlineStr">
        <is>
          <t>P2</t>
        </is>
      </c>
      <c r="O202" s="11" t="inlineStr">
        <is>
          <t>P2</t>
        </is>
      </c>
      <c r="P202" s="11" t="inlineStr">
        <is>
          <t>待认领</t>
        </is>
      </c>
      <c r="Q202" s="11" t="n"/>
      <c r="R202" s="11" t="n"/>
      <c r="S202" s="11">
        <f>IF(COUNTIF($A$5:$A$207,A202)=1,"PASS","FAIL")</f>
        <v/>
      </c>
      <c r="T202" s="11">
        <f>IF(COUNTIF('SR系统设计'!$A$5:$A$42,B202)=1,"PASS","FAIL")</f>
        <v/>
      </c>
    </row>
    <row r="203" ht="72" customHeight="1">
      <c r="A203" s="11" t="inlineStr">
        <is>
          <t>AR23-02-12-04-04</t>
        </is>
      </c>
      <c r="B203" s="11" t="inlineStr">
        <is>
          <t>SR23-02-12-04</t>
        </is>
      </c>
      <c r="C203" s="11" t="inlineStr">
        <is>
          <t>独立验收</t>
        </is>
      </c>
      <c r="D203" s="11" t="inlineStr">
        <is>
          <t>跨平台构建、制品与灰度发布流水线｜独立验收</t>
        </is>
      </c>
      <c r="E203" s="11" t="inlineStr">
        <is>
          <t>测试/验收负责人</t>
        </is>
      </c>
      <c r="F203" s="11" t="inlineStr">
        <is>
          <t>tests/cicd_tool/ + benchmarks/cicd_tool/ + evidence/cicd_tool/manifest.yaml</t>
        </is>
      </c>
      <c r="G203" s="11" t="inlineStr">
        <is>
          <t>建立不依赖全项目的验收环境，执行功能、异常、兼容和性能门禁并生成可签字证据包。</t>
        </is>
      </c>
      <c r="H203" s="11" t="inlineStr">
        <is>
          <t>版本化测试结果、原始证据、Go/Conditional/No-Go 结论</t>
        </is>
      </c>
      <c r="I203" s="11" t="inlineStr">
        <is>
          <t>在“CI runner + 测试 namespace 即可独立验收”中完成主路径、异常、兼容和回滚；全部证据可一键复现。</t>
        </is>
      </c>
      <c r="J203" s="11" t="inlineStr">
        <is>
          <t>run_sr_acceptance --sr SR23-02-12-04 --baseline locked</t>
        </is>
      </c>
      <c r="K203" s="11" t="inlineStr">
        <is>
          <t>MR反馈&lt;15min；规范/基础错误拦截100%；自动回滚&lt;1min</t>
        </is>
      </c>
      <c r="L203" s="11" t="inlineStr">
        <is>
          <t>AR23-02-12-04-03</t>
        </is>
      </c>
      <c r="M203" s="11" t="inlineStr">
        <is>
          <t>SR23-02-12-02、SR23-02-12-03</t>
        </is>
      </c>
      <c r="N203" s="11" t="inlineStr">
        <is>
          <t>P2</t>
        </is>
      </c>
      <c r="O203" s="11" t="inlineStr">
        <is>
          <t>P2</t>
        </is>
      </c>
      <c r="P203" s="11" t="inlineStr">
        <is>
          <t>待认领</t>
        </is>
      </c>
      <c r="Q203" s="11" t="n"/>
      <c r="R203" s="11" t="n"/>
      <c r="S203" s="11">
        <f>IF(COUNTIF($A$5:$A$207,A203)=1,"PASS","FAIL")</f>
        <v/>
      </c>
      <c r="T203" s="11">
        <f>IF(COUNTIF('SR系统设计'!$A$5:$A$42,B203)=1,"PASS","FAIL")</f>
        <v/>
      </c>
    </row>
    <row r="204" ht="72" customHeight="1">
      <c r="A204" s="11" t="inlineStr">
        <is>
          <t>AR23-02-12-05-01</t>
        </is>
      </c>
      <c r="B204" s="11" t="inlineStr">
        <is>
          <t>SR23-02-12-05</t>
        </is>
      </c>
      <c r="C204" s="11" t="inlineStr">
        <is>
          <t>工具实现</t>
        </is>
      </c>
      <c r="D204" s="11" t="inlineStr">
        <is>
          <t>KVCache 工作负载回放与性能基准平台｜工具实现</t>
        </is>
      </c>
      <c r="E204" s="11" t="inlineStr">
        <is>
          <t>性能与容量基准组</t>
        </is>
      </c>
      <c r="F204" s="11" t="inlineStr">
        <is>
          <t>benchmarks/platform/main + benchmarks/platform/lib</t>
        </is>
      </c>
      <c r="G204" s="11" t="inlineStr">
        <is>
          <t>实现“KVCache 工作负载回放与性能基准平台”的命令、服务或流水线主入口，产出可重复运行的工具包。</t>
        </is>
      </c>
      <c r="H204" s="11" t="inlineStr">
        <is>
          <t>工具实现对应的可审查代码/IDL/配置/文档</t>
        </is>
      </c>
      <c r="I204" s="11" t="inlineStr">
        <is>
          <t>代码通过编译、静态检查和单元测试；接口/配置有版本；失败语义和 功能开关（feature flag） 可验证。</t>
        </is>
      </c>
      <c r="J204" s="11" t="inlineStr">
        <is>
          <t>ctest -R perf_tool &amp;&amp; run_contract_check --sr SR23-02-12-05</t>
        </is>
      </c>
      <c r="K204" s="11" t="inlineStr">
        <is>
          <t>可模拟10W+QPS；重复实验CV&lt;5%；报告包含吞吐/TTFT/TPOT/资源曲线</t>
        </is>
      </c>
      <c r="L204" s="11" t="n"/>
      <c r="M204" s="11" t="inlineStr">
        <is>
          <t>SR23-02-11-01</t>
        </is>
      </c>
      <c r="N204" s="11" t="inlineStr">
        <is>
          <t>P2</t>
        </is>
      </c>
      <c r="O204" s="11" t="inlineStr">
        <is>
          <t>P2</t>
        </is>
      </c>
      <c r="P204" s="11" t="inlineStr">
        <is>
          <t>待认领</t>
        </is>
      </c>
      <c r="Q204" s="11" t="n"/>
      <c r="R204" s="11" t="n"/>
      <c r="S204" s="11">
        <f>IF(COUNTIF($A$5:$A$207,A204)=1,"PASS","FAIL")</f>
        <v/>
      </c>
      <c r="T204" s="11">
        <f>IF(COUNTIF('SR系统设计'!$A$5:$A$42,B204)=1,"PASS","FAIL")</f>
        <v/>
      </c>
    </row>
    <row r="205" ht="72" customHeight="1">
      <c r="A205" s="11" t="inlineStr">
        <is>
          <t>AR23-02-12-05-02</t>
        </is>
      </c>
      <c r="B205" s="11" t="inlineStr">
        <is>
          <t>SR23-02-12-05</t>
        </is>
      </c>
      <c r="C205" s="11" t="inlineStr">
        <is>
          <t>配置集成</t>
        </is>
      </c>
      <c r="D205" s="11" t="inlineStr">
        <is>
          <t>KVCache 工作负载回放与性能基准平台｜配置集成</t>
        </is>
      </c>
      <c r="E205" s="11" t="inlineStr">
        <is>
          <t>性能与容量基准组</t>
        </is>
      </c>
      <c r="F205" s="11" t="inlineStr">
        <is>
          <t>config/perf_tool/ + deploy/perf_tool/</t>
        </is>
      </c>
      <c r="G205" s="11" t="inlineStr">
        <is>
          <t>交付版本化配置、部署/调用入口、默认值、样例及与上游工具链的集成。</t>
        </is>
      </c>
      <c r="H205" s="11" t="inlineStr">
        <is>
          <t>配置集成对应的可审查代码/IDL/配置/文档</t>
        </is>
      </c>
      <c r="I205" s="11" t="inlineStr">
        <is>
          <t>代码通过编译、静态检查和单元测试；接口/配置有版本；失败语义和 功能开关（feature flag） 可验证。</t>
        </is>
      </c>
      <c r="J205" s="11" t="inlineStr">
        <is>
          <t>ctest -R perf_tool &amp;&amp; run_contract_check --sr SR23-02-12-05</t>
        </is>
      </c>
      <c r="K205" s="11" t="inlineStr">
        <is>
          <t>可模拟10W+QPS；重复实验CV&lt;5%；报告包含吞吐/TTFT/TPOT/资源曲线</t>
        </is>
      </c>
      <c r="L205" s="11" t="inlineStr">
        <is>
          <t>AR23-02-12-05-01</t>
        </is>
      </c>
      <c r="M205" s="11" t="inlineStr">
        <is>
          <t>SR23-02-11-01</t>
        </is>
      </c>
      <c r="N205" s="11" t="inlineStr">
        <is>
          <t>P2</t>
        </is>
      </c>
      <c r="O205" s="11" t="inlineStr">
        <is>
          <t>P2</t>
        </is>
      </c>
      <c r="P205" s="11" t="inlineStr">
        <is>
          <t>待认领</t>
        </is>
      </c>
      <c r="Q205" s="11" t="n"/>
      <c r="R205" s="11" t="n"/>
      <c r="S205" s="11">
        <f>IF(COUNTIF($A$5:$A$207,A205)=1,"PASS","FAIL")</f>
        <v/>
      </c>
      <c r="T205" s="11">
        <f>IF(COUNTIF('SR系统设计'!$A$5:$A$42,B205)=1,"PASS","FAIL")</f>
        <v/>
      </c>
    </row>
    <row r="206" ht="72" customHeight="1">
      <c r="A206" s="11" t="inlineStr">
        <is>
          <t>AR23-02-12-05-03</t>
        </is>
      </c>
      <c r="B206" s="11" t="inlineStr">
        <is>
          <t>SR23-02-12-05</t>
        </is>
      </c>
      <c r="C206" s="11" t="inlineStr">
        <is>
          <t>异常回滚</t>
        </is>
      </c>
      <c r="D206" s="11" t="inlineStr">
        <is>
          <t>KVCache 工作负载回放与性能基准平台｜异常回滚</t>
        </is>
      </c>
      <c r="E206" s="11" t="inlineStr">
        <is>
          <t>性能与容量基准组</t>
        </is>
      </c>
      <c r="F206" s="11" t="inlineStr">
        <is>
          <t>benchmarks/platform/fallback.{h,cc} + config/feature_flags/perf_tool.yaml</t>
        </is>
      </c>
      <c r="G206" s="11" t="inlineStr">
        <is>
          <t>实现并验证失败、超时、取消、降级、回滚与关闭路径：真实 追踪（trace） 不可用时使用固定 ShareGPT+Zipf 双轨；禁止把合成热点外推为生产承诺</t>
        </is>
      </c>
      <c r="H206" s="11" t="inlineStr">
        <is>
          <t>异常回滚对应的可审查代码/IDL/配置/文档</t>
        </is>
      </c>
      <c r="I206" s="11" t="inlineStr">
        <is>
          <t>代码通过编译、静态检查和单元测试；接口/配置有版本；失败语义和 功能开关（feature flag） 可验证。</t>
        </is>
      </c>
      <c r="J206" s="11" t="inlineStr">
        <is>
          <t>ctest -R perf_tool &amp;&amp; run_contract_check --sr SR23-02-12-05</t>
        </is>
      </c>
      <c r="K206" s="11" t="inlineStr">
        <is>
          <t>可模拟10W+QPS；重复实验CV&lt;5%；报告包含吞吐/TTFT/TPOT/资源曲线</t>
        </is>
      </c>
      <c r="L206" s="11" t="inlineStr">
        <is>
          <t>AR23-02-12-05-02</t>
        </is>
      </c>
      <c r="M206" s="11" t="inlineStr">
        <is>
          <t>SR23-02-11-01</t>
        </is>
      </c>
      <c r="N206" s="11" t="inlineStr">
        <is>
          <t>P2</t>
        </is>
      </c>
      <c r="O206" s="11" t="inlineStr">
        <is>
          <t>P2</t>
        </is>
      </c>
      <c r="P206" s="11" t="inlineStr">
        <is>
          <t>待认领</t>
        </is>
      </c>
      <c r="Q206" s="11" t="n"/>
      <c r="R206" s="11" t="n"/>
      <c r="S206" s="11">
        <f>IF(COUNTIF($A$5:$A$207,A206)=1,"PASS","FAIL")</f>
        <v/>
      </c>
      <c r="T206" s="11">
        <f>IF(COUNTIF('SR系统设计'!$A$5:$A$42,B206)=1,"PASS","FAIL")</f>
        <v/>
      </c>
    </row>
    <row r="207" ht="72" customHeight="1">
      <c r="A207" s="11" t="inlineStr">
        <is>
          <t>AR23-02-12-05-04</t>
        </is>
      </c>
      <c r="B207" s="11" t="inlineStr">
        <is>
          <t>SR23-02-12-05</t>
        </is>
      </c>
      <c r="C207" s="11" t="inlineStr">
        <is>
          <t>独立验收</t>
        </is>
      </c>
      <c r="D207" s="11" t="inlineStr">
        <is>
          <t>KVCache 工作负载回放与性能基准平台｜独立验收</t>
        </is>
      </c>
      <c r="E207" s="11" t="inlineStr">
        <is>
          <t>测试/验收负责人</t>
        </is>
      </c>
      <c r="F207" s="11" t="inlineStr">
        <is>
          <t>tests/perf_tool/ + benchmarks/perf_tool/ + evidence/perf_tool/manifest.yaml</t>
        </is>
      </c>
      <c r="G207" s="11" t="inlineStr">
        <is>
          <t>建立不依赖全项目的验收环境，执行功能、异常、兼容和性能门禁并生成可签字证据包。</t>
        </is>
      </c>
      <c r="H207" s="11" t="inlineStr">
        <is>
          <t>版本化测试结果、原始证据、Go/Conditional/No-Go 结论</t>
        </is>
      </c>
      <c r="I207" s="11" t="inlineStr">
        <is>
          <t>在“单机可做功能验收；异构测试集群用于规模门禁”中完成主路径、异常、兼容和回滚；全部证据可一键复现。</t>
        </is>
      </c>
      <c r="J207" s="11" t="inlineStr">
        <is>
          <t>run_sr_acceptance --sr SR23-02-12-05 --baseline locked</t>
        </is>
      </c>
      <c r="K207" s="11" t="inlineStr">
        <is>
          <t>可模拟10W+QPS；重复实验CV&lt;5%；报告包含吞吐/TTFT/TPOT/资源曲线</t>
        </is>
      </c>
      <c r="L207" s="11" t="inlineStr">
        <is>
          <t>AR23-02-12-05-03</t>
        </is>
      </c>
      <c r="M207" s="11" t="inlineStr">
        <is>
          <t>SR23-02-11-01</t>
        </is>
      </c>
      <c r="N207" s="11" t="inlineStr">
        <is>
          <t>P2</t>
        </is>
      </c>
      <c r="O207" s="11" t="inlineStr">
        <is>
          <t>P2</t>
        </is>
      </c>
      <c r="P207" s="11" t="inlineStr">
        <is>
          <t>待认领</t>
        </is>
      </c>
      <c r="Q207" s="11" t="n"/>
      <c r="R207" s="11" t="n"/>
      <c r="S207" s="11">
        <f>IF(COUNTIF($A$5:$A$207,A207)=1,"PASS","FAIL")</f>
        <v/>
      </c>
      <c r="T207" s="11">
        <f>IF(COUNTIF('SR系统设计'!$A$5:$A$42,B207)=1,"PASS","FAIL")</f>
        <v/>
      </c>
    </row>
  </sheetData>
  <mergeCells count="2">
    <mergeCell ref="A1:T1"/>
    <mergeCell ref="A2:T2"/>
  </mergeCells>
  <dataValidations count="1">
    <dataValidation sqref="P5:P207" showDropDown="0" showInputMessage="0" showErrorMessage="0" allowBlank="0" type="list">
      <formula1>"待认领,进行中,已完成,阻塞"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3"/>
  <sheetViews>
    <sheetView showGridLines="0" workbookViewId="0">
      <selection activeCell="A1" sqref="A1"/>
    </sheetView>
  </sheetViews>
  <sheetFormatPr baseColWidth="8" defaultRowHeight="13.80000019073486"/>
  <cols>
    <col width="22" customWidth="1" min="1" max="1"/>
    <col width="18" customWidth="1" min="2" max="2"/>
    <col width="16" customWidth="1" min="3" max="3"/>
    <col width="18" customWidth="1" min="4" max="4"/>
    <col width="24" customWidth="1" min="5" max="5"/>
    <col width="10" customWidth="1" min="6" max="6"/>
    <col width="18" customWidth="1" min="7" max="7"/>
    <col width="42" customWidth="1" min="8" max="8"/>
    <col width="34" customWidth="1" min="9" max="9"/>
    <col width="20" customWidth="1" min="10" max="10"/>
    <col width="30" customWidth="1" min="11" max="11"/>
    <col width="12" customWidth="1" min="12" max="12"/>
    <col width="48" customWidth="1" min="13" max="13"/>
    <col width="12" customWidth="1" min="14" max="15"/>
    <col width="18" customWidth="1" min="16" max="16"/>
  </cols>
  <sheetData>
    <row r="1" ht="28.04999923706055" customHeight="1">
      <c r="A1" s="26" t="inlineStr">
        <is>
          <t>来源需求—SR 功能闭包追溯</t>
        </is>
      </c>
    </row>
    <row r="2" ht="42" customHeight="1">
      <c r="A2" s="17" t="inlineStr">
        <is>
          <t>149 条来源需求全部保留；每条来源唯一映射至一个 SR 功能闭包。SR 可以承接多条来源需求，来源需求作为功能、约束、风险或验收输入。</t>
        </is>
      </c>
    </row>
    <row r="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</row>
    <row r="4" ht="34.04999923706055" customHeight="1">
      <c r="A4" s="10" t="inlineStr">
        <is>
          <t>来源需求 ID</t>
        </is>
      </c>
      <c r="B4" s="10" t="inlineStr">
        <is>
          <t>旧 SR ID</t>
        </is>
      </c>
      <c r="C4" s="10" t="inlineStr">
        <is>
          <t>来源类型</t>
        </is>
      </c>
      <c r="D4" s="10" t="inlineStr">
        <is>
          <t>分配层级</t>
        </is>
      </c>
      <c r="E4" s="10" t="inlineStr">
        <is>
          <t>核心模块</t>
        </is>
      </c>
      <c r="F4" s="10" t="inlineStr">
        <is>
          <t>优先级</t>
        </is>
      </c>
      <c r="G4" s="10" t="inlineStr">
        <is>
          <t>原阶段</t>
        </is>
      </c>
      <c r="H4" s="10" t="inlineStr">
        <is>
          <t>来源名称/场景</t>
        </is>
      </c>
      <c r="I4" s="10" t="inlineStr">
        <is>
          <t>来源直接 KPI</t>
        </is>
      </c>
      <c r="J4" s="10" t="inlineStr">
        <is>
          <t>V2.3.1 SR ID</t>
        </is>
      </c>
      <c r="K4" s="10" t="inlineStr">
        <is>
          <t>V2.3.1 SR 名称</t>
        </is>
      </c>
      <c r="L4" s="10" t="inlineStr">
        <is>
          <t>父 IR</t>
        </is>
      </c>
      <c r="M4" s="10" t="inlineStr">
        <is>
          <t>映射理由</t>
        </is>
      </c>
      <c r="N4" s="10" t="inlineStr">
        <is>
          <t>来源唯一性</t>
        </is>
      </c>
      <c r="O4" s="10" t="inlineStr">
        <is>
          <t>SR 存在性</t>
        </is>
      </c>
      <c r="P4" s="10" t="inlineStr">
        <is>
          <t>语义状态</t>
        </is>
      </c>
    </row>
    <row r="5" ht="66" customHeight="1">
      <c r="A5" s="11" t="inlineStr">
        <is>
          <t>L3-MC-ExtentManifest-076</t>
        </is>
      </c>
      <c r="B5" s="11" t="inlineStr">
        <is>
          <t>SR-01-01-01</t>
        </is>
      </c>
      <c r="C5" s="11" t="inlineStr">
        <is>
          <t>V2.2校准基线</t>
        </is>
      </c>
      <c r="D5" s="11" t="inlineStr">
        <is>
          <t>L3 传输管理层</t>
        </is>
      </c>
      <c r="E5" s="11" t="inlineStr">
        <is>
          <t>统一存储池与分层管理</t>
        </is>
      </c>
      <c r="F5" s="11" t="inlineStr">
        <is>
          <t>P0</t>
        </is>
      </c>
      <c r="G5" s="11" t="inlineStr">
        <is>
          <t>P0</t>
        </is>
      </c>
      <c r="H5" s="11" t="inlineStr">
        <is>
          <t>非连续 KV 块存储与批量传输｜L3-MC-ExtentManifest-076</t>
        </is>
      </c>
      <c r="I5" s="11" t="inlineStr">
        <is>
          <t>全局内存利用率提升至≥85%，跨级冷热数据迁移过程中的TPOT抖动 &lt; 5%。</t>
        </is>
      </c>
      <c r="J5" s="11" t="inlineStr">
        <is>
          <t>SR23-01-01-01</t>
        </is>
      </c>
      <c r="K5" s="11" t="inlineStr">
        <is>
          <t>统一 KV 对象池核心组件</t>
        </is>
      </c>
      <c r="L5" s="11" t="inlineStr">
        <is>
          <t>IR-01-01</t>
        </is>
      </c>
      <c r="M5" s="11" t="inlineStr">
        <is>
          <t>该来源作为“统一 KV 对象池核心组件”功能闭包的内部需求、约束或验收输入；不再单独定义为 SR。</t>
        </is>
      </c>
      <c r="N5" s="11">
        <f>IF(COUNTIF($A$5:$A$153,A5)=1,"PASS","FAIL")</f>
        <v/>
      </c>
      <c r="O5" s="11">
        <f>IF(COUNTIF('SR系统设计'!$A$5:$A$42,J5)=1,"PASS","FAIL")</f>
        <v/>
      </c>
      <c r="P5" s="11" t="inlineStr">
        <is>
          <t>已纳入独立交付闭包</t>
        </is>
      </c>
    </row>
    <row r="6" ht="66" customHeight="1">
      <c r="A6" s="11" t="inlineStr">
        <is>
          <t>L3-MC-KVBlockStorageSchema-075</t>
        </is>
      </c>
      <c r="B6" s="11" t="inlineStr">
        <is>
          <t>SR-01-01-02</t>
        </is>
      </c>
      <c r="C6" s="11" t="inlineStr">
        <is>
          <t>V2.2校准基线</t>
        </is>
      </c>
      <c r="D6" s="11" t="inlineStr">
        <is>
          <t>L3 传输管理层</t>
        </is>
      </c>
      <c r="E6" s="11" t="inlineStr">
        <is>
          <t>统一存储池与分层管理</t>
        </is>
      </c>
      <c r="F6" s="11" t="inlineStr">
        <is>
          <t>P0</t>
        </is>
      </c>
      <c r="G6" s="11" t="inlineStr">
        <is>
          <t>P0</t>
        </is>
      </c>
      <c r="H6" s="11" t="inlineStr">
        <is>
          <t>KV 块跨介质统一存储结构｜L3-MC-KVBlockStorageSchema-075</t>
        </is>
      </c>
      <c r="I6" s="11" t="inlineStr">
        <is>
          <t>节点动态加入/退出时的缓存失效控制在局部范围内（遵循一致性哈希比例）。</t>
        </is>
      </c>
      <c r="J6" s="11" t="inlineStr">
        <is>
          <t>SR23-01-01-01</t>
        </is>
      </c>
      <c r="K6" s="11" t="inlineStr">
        <is>
          <t>统一 KV 对象池核心组件</t>
        </is>
      </c>
      <c r="L6" s="11" t="inlineStr">
        <is>
          <t>IR-01-01</t>
        </is>
      </c>
      <c r="M6" s="11" t="inlineStr">
        <is>
          <t>该来源作为“统一 KV 对象池核心组件”功能闭包的内部需求、约束或验收输入；不再单独定义为 SR。</t>
        </is>
      </c>
      <c r="N6" s="11">
        <f>IF(COUNTIF($A$5:$A$153,A6)=1,"PASS","FAIL")</f>
        <v/>
      </c>
      <c r="O6" s="11">
        <f>IF(COUNTIF('SR系统设计'!$A$5:$A$42,J6)=1,"PASS","FAIL")</f>
        <v/>
      </c>
      <c r="P6" s="11" t="inlineStr">
        <is>
          <t>已纳入独立交付闭包</t>
        </is>
      </c>
    </row>
    <row r="7" ht="66" customHeight="1">
      <c r="A7" s="11" t="inlineStr">
        <is>
          <t>L3-MC-POOL-GLOBAL-001</t>
        </is>
      </c>
      <c r="B7" s="11" t="inlineStr">
        <is>
          <t>SR-01-01-03</t>
        </is>
      </c>
      <c r="C7" s="11" t="inlineStr">
        <is>
          <t>V2.2校准基线</t>
        </is>
      </c>
      <c r="D7" s="11" t="inlineStr">
        <is>
          <t>L3 传输管理层</t>
        </is>
      </c>
      <c r="E7" s="11" t="inlineStr">
        <is>
          <t>统一存储池与分层管理</t>
        </is>
      </c>
      <c r="F7" s="11" t="inlineStr">
        <is>
          <t>P0</t>
        </is>
      </c>
      <c r="G7" s="11" t="inlineStr">
        <is>
          <t>P0</t>
        </is>
      </c>
      <c r="H7" s="11" t="inlineStr">
        <is>
          <t>集群KVCache统一管理｜L3-MC-POOL-GLOBAL-001</t>
        </is>
      </c>
      <c r="I7" s="11" t="inlineStr">
        <is>
          <t>同机架内本地及远端DDR命中率（本地可用命中率（Local Usable Hit Rate））提升≥30%。</t>
        </is>
      </c>
      <c r="J7" s="11" t="inlineStr">
        <is>
          <t>SR23-01-01-01</t>
        </is>
      </c>
      <c r="K7" s="11" t="inlineStr">
        <is>
          <t>统一 KV 对象池核心组件</t>
        </is>
      </c>
      <c r="L7" s="11" t="inlineStr">
        <is>
          <t>IR-01-01</t>
        </is>
      </c>
      <c r="M7" s="11" t="inlineStr">
        <is>
          <t>该来源作为“统一 KV 对象池核心组件”功能闭包的内部需求、约束或验收输入；不再单独定义为 SR。</t>
        </is>
      </c>
      <c r="N7" s="11">
        <f>IF(COUNTIF($A$5:$A$153,A7)=1,"PASS","FAIL")</f>
        <v/>
      </c>
      <c r="O7" s="11">
        <f>IF(COUNTIF('SR系统设计'!$A$5:$A$42,J7)=1,"PASS","FAIL")</f>
        <v/>
      </c>
      <c r="P7" s="11" t="inlineStr">
        <is>
          <t>已纳入独立交付闭包</t>
        </is>
      </c>
    </row>
    <row r="8" ht="66" customHeight="1">
      <c r="A8" s="11" t="inlineStr">
        <is>
          <t>L3-MS-KVObjectStateMachine-058</t>
        </is>
      </c>
      <c r="B8" s="11" t="inlineStr">
        <is>
          <t>SR-01-01-04</t>
        </is>
      </c>
      <c r="C8" s="11" t="inlineStr">
        <is>
          <t>V2.2校准基线</t>
        </is>
      </c>
      <c r="D8" s="11" t="inlineStr">
        <is>
          <t>L3 传输管理层</t>
        </is>
      </c>
      <c r="E8" s="11" t="inlineStr">
        <is>
          <t>统一存储池与分层管理</t>
        </is>
      </c>
      <c r="F8" s="11" t="inlineStr">
        <is>
          <t>P0</t>
        </is>
      </c>
      <c r="G8" s="11" t="inlineStr">
        <is>
          <t>P0</t>
        </is>
      </c>
      <c r="H8" s="11" t="inlineStr">
        <is>
          <t>KV 全生命周期状态一致性管理｜L3-MS-KVObjectStateMachine-058</t>
        </is>
      </c>
      <c r="I8" s="11" t="inlineStr">
        <is>
          <t>KV 对象状态机能准确防范半写入或悬空内存泄漏，状态机流转清晰，覆盖所有关键物理介质迁移状态。</t>
        </is>
      </c>
      <c r="J8" s="11" t="inlineStr">
        <is>
          <t>SR23-01-01-01</t>
        </is>
      </c>
      <c r="K8" s="11" t="inlineStr">
        <is>
          <t>统一 KV 对象池核心组件</t>
        </is>
      </c>
      <c r="L8" s="11" t="inlineStr">
        <is>
          <t>IR-01-01</t>
        </is>
      </c>
      <c r="M8" s="11" t="inlineStr">
        <is>
          <t>该来源作为“统一 KV 对象池核心组件”功能闭包的内部需求、约束或验收输入；不再单独定义为 SR。</t>
        </is>
      </c>
      <c r="N8" s="11">
        <f>IF(COUNTIF($A$5:$A$153,A8)=1,"PASS","FAIL")</f>
        <v/>
      </c>
      <c r="O8" s="11">
        <f>IF(COUNTIF('SR系统设计'!$A$5:$A$42,J8)=1,"PASS","FAIL")</f>
        <v/>
      </c>
      <c r="P8" s="11" t="inlineStr">
        <is>
          <t>已纳入独立交付闭包</t>
        </is>
      </c>
    </row>
    <row r="9" ht="66" customHeight="1">
      <c r="A9" s="11" t="inlineStr">
        <is>
          <t>L3-MS-MigrationInterlock-062</t>
        </is>
      </c>
      <c r="B9" s="11" t="inlineStr">
        <is>
          <t>SR-01-01-05</t>
        </is>
      </c>
      <c r="C9" s="11" t="inlineStr">
        <is>
          <t>V2.2校准基线</t>
        </is>
      </c>
      <c r="D9" s="11" t="inlineStr">
        <is>
          <t>L3 传输管理层</t>
        </is>
      </c>
      <c r="E9" s="11" t="inlineStr">
        <is>
          <t>统一存储池与分层管理</t>
        </is>
      </c>
      <c r="F9" s="11" t="inlineStr">
        <is>
          <t>P0</t>
        </is>
      </c>
      <c r="G9" s="11" t="inlineStr">
        <is>
          <t>P0</t>
        </is>
      </c>
      <c r="H9" s="11" t="inlineStr">
        <is>
          <t>KV 升降级/碎片整理期间的安全消费｜L3-MS-MigrationInterlock-062</t>
        </is>
      </c>
      <c r="I9" s="11" t="inlineStr">
        <is>
          <t>节点动态加入/退出时的缓存失效控制在局部范围内（遵循一致性哈希比例）。</t>
        </is>
      </c>
      <c r="J9" s="11" t="inlineStr">
        <is>
          <t>SR23-01-01-03</t>
        </is>
      </c>
      <c r="K9" s="11" t="inlineStr">
        <is>
          <t>KV 生命周期、迁移与空间治理控制器</t>
        </is>
      </c>
      <c r="L9" s="11" t="inlineStr">
        <is>
          <t>IR-01-01</t>
        </is>
      </c>
      <c r="M9" s="11" t="inlineStr">
        <is>
          <t>该来源作为“KV 生命周期、迁移与空间治理控制器”功能闭包的内部需求、约束或验收输入；不再单独定义为 SR。</t>
        </is>
      </c>
      <c r="N9" s="11">
        <f>IF(COUNTIF($A$5:$A$153,A9)=1,"PASS","FAIL")</f>
        <v/>
      </c>
      <c r="O9" s="11">
        <f>IF(COUNTIF('SR系统设计'!$A$5:$A$42,J9)=1,"PASS","FAIL")</f>
        <v/>
      </c>
      <c r="P9" s="11" t="inlineStr">
        <is>
          <t>已纳入独立交付闭包</t>
        </is>
      </c>
    </row>
    <row r="10" ht="66" customHeight="1">
      <c r="A10" s="11" t="inlineStr">
        <is>
          <t>L3-MS-StateAwareEviction-082</t>
        </is>
      </c>
      <c r="B10" s="11" t="inlineStr">
        <is>
          <t>SR-01-01-06</t>
        </is>
      </c>
      <c r="C10" s="11" t="inlineStr">
        <is>
          <t>V2.2校准基线</t>
        </is>
      </c>
      <c r="D10" s="11" t="inlineStr">
        <is>
          <t>L3 传输管理层</t>
        </is>
      </c>
      <c r="E10" s="11" t="inlineStr">
        <is>
          <t>统一存储池与分层管理</t>
        </is>
      </c>
      <c r="F10" s="11" t="inlineStr">
        <is>
          <t>P0</t>
        </is>
      </c>
      <c r="G10" s="11" t="inlineStr">
        <is>
          <t>P0</t>
        </is>
      </c>
      <c r="H10" s="11" t="inlineStr">
        <is>
          <t>防止活跃 KV 被误淘汰｜L3-MS-StateAwareEviction-082</t>
        </is>
      </c>
      <c r="I10" s="11" t="inlineStr">
        <is>
          <t>节点动态加入/退出时的缓存失效控制在局部范围内（遵循一致性哈希比例）。</t>
        </is>
      </c>
      <c r="J10" s="11" t="inlineStr">
        <is>
          <t>SR23-01-01-03</t>
        </is>
      </c>
      <c r="K10" s="11" t="inlineStr">
        <is>
          <t>KV 生命周期、迁移与空间治理控制器</t>
        </is>
      </c>
      <c r="L10" s="11" t="inlineStr">
        <is>
          <t>IR-01-01</t>
        </is>
      </c>
      <c r="M10" s="11" t="inlineStr">
        <is>
          <t>该来源作为“KV 生命周期、迁移与空间治理控制器”功能闭包的内部需求、约束或验收输入；不再单独定义为 SR。</t>
        </is>
      </c>
      <c r="N10" s="11">
        <f>IF(COUNTIF($A$5:$A$153,A10)=1,"PASS","FAIL")</f>
        <v/>
      </c>
      <c r="O10" s="11">
        <f>IF(COUNTIF('SR系统设计'!$A$5:$A$42,J10)=1,"PASS","FAIL")</f>
        <v/>
      </c>
      <c r="P10" s="11" t="inlineStr">
        <is>
          <t>已纳入独立交付闭包</t>
        </is>
      </c>
    </row>
    <row r="11" ht="66" customHeight="1">
      <c r="A11" s="11" t="inlineStr">
        <is>
          <t>L3-MS-Tiering-038</t>
        </is>
      </c>
      <c r="B11" s="11" t="inlineStr">
        <is>
          <t>SR-01-01-07</t>
        </is>
      </c>
      <c r="C11" s="11" t="inlineStr">
        <is>
          <t>V2.2校准基线</t>
        </is>
      </c>
      <c r="D11" s="11" t="inlineStr">
        <is>
          <t>L3 传输管理层</t>
        </is>
      </c>
      <c r="E11" s="11" t="inlineStr">
        <is>
          <t>统一存储池与分层管理</t>
        </is>
      </c>
      <c r="F11" s="11" t="inlineStr">
        <is>
          <t>P0</t>
        </is>
      </c>
      <c r="G11" s="11" t="inlineStr">
        <is>
          <t>P0</t>
        </is>
      </c>
      <c r="H11" s="11" t="inlineStr">
        <is>
          <t>KV 热存储容量扩展｜L3-MS-Tiering-038</t>
        </is>
      </c>
      <c r="I11" s="11" t="inlineStr">
        <is>
          <t>输出可解释的 存储层级（tier）/path 决策；禁用 DDR 有效载荷（Payload） 存储层级（tier） 后仍可通过 HBM↔SSD 完成卸载、加载和回退闭环。</t>
        </is>
      </c>
      <c r="J11" s="11" t="inlineStr">
        <is>
          <t>SR23-01-01-02</t>
        </is>
      </c>
      <c r="K11" s="11" t="inlineStr">
        <is>
          <t>HBM↔SSD 分层容量与 DDR 角色插件</t>
        </is>
      </c>
      <c r="L11" s="11" t="inlineStr">
        <is>
          <t>IR-01-01</t>
        </is>
      </c>
      <c r="M11" s="11" t="inlineStr">
        <is>
          <t>该来源作为“HBM↔SSD 分层容量与 DDR 角色插件”功能闭包的内部需求、约束或验收输入；不再单独定义为 SR。</t>
        </is>
      </c>
      <c r="N11" s="11">
        <f>IF(COUNTIF($A$5:$A$153,A11)=1,"PASS","FAIL")</f>
        <v/>
      </c>
      <c r="O11" s="11">
        <f>IF(COUNTIF('SR系统设计'!$A$5:$A$42,J11)=1,"PASS","FAIL")</f>
        <v/>
      </c>
      <c r="P11" s="11" t="inlineStr">
        <is>
          <t>已纳入独立交付闭包</t>
        </is>
      </c>
    </row>
    <row r="12" ht="66" customHeight="1">
      <c r="A12" s="11" t="inlineStr">
        <is>
          <t>L3-MC-CompactionEngine-056</t>
        </is>
      </c>
      <c r="B12" s="11" t="inlineStr">
        <is>
          <t>SR-01-01-08</t>
        </is>
      </c>
      <c r="C12" s="11" t="inlineStr">
        <is>
          <t>V2.2校准基线</t>
        </is>
      </c>
      <c r="D12" s="11" t="inlineStr">
        <is>
          <t>L3 传输管理层</t>
        </is>
      </c>
      <c r="E12" s="11" t="inlineStr">
        <is>
          <t>统一存储池与分层管理</t>
        </is>
      </c>
      <c r="F12" s="11" t="inlineStr">
        <is>
          <t>P1</t>
        </is>
      </c>
      <c r="G12" s="11" t="inlineStr">
        <is>
          <t>P1</t>
        </is>
      </c>
      <c r="H12" s="11" t="inlineStr">
        <is>
          <t>长周期运行内存紧凑整理｜L3-MC-CompactionEngine-056</t>
        </is>
      </c>
      <c r="I12" s="11" t="inlineStr">
        <is>
          <t>节点动态加入/退出时的缓存失效控制在局部范围内（遵循一致性哈希比例）。</t>
        </is>
      </c>
      <c r="J12" s="11" t="inlineStr">
        <is>
          <t>SR23-01-01-03</t>
        </is>
      </c>
      <c r="K12" s="11" t="inlineStr">
        <is>
          <t>KV 生命周期、迁移与空间治理控制器</t>
        </is>
      </c>
      <c r="L12" s="11" t="inlineStr">
        <is>
          <t>IR-01-01</t>
        </is>
      </c>
      <c r="M12" s="11" t="inlineStr">
        <is>
          <t>该来源作为“KV 生命周期、迁移与空间治理控制器”功能闭包的内部需求、约束或验收输入；不再单独定义为 SR。</t>
        </is>
      </c>
      <c r="N12" s="11">
        <f>IF(COUNTIF($A$5:$A$153,A12)=1,"PASS","FAIL")</f>
        <v/>
      </c>
      <c r="O12" s="11">
        <f>IF(COUNTIF('SR系统设计'!$A$5:$A$42,J12)=1,"PASS","FAIL")</f>
        <v/>
      </c>
      <c r="P12" s="11" t="inlineStr">
        <is>
          <t>已纳入独立交付闭包</t>
        </is>
      </c>
    </row>
    <row r="13" ht="66" customHeight="1">
      <c r="A13" s="11" t="inlineStr">
        <is>
          <t>L3-MC-HIER-STORE-002</t>
        </is>
      </c>
      <c r="B13" s="11" t="inlineStr">
        <is>
          <t>SR-01-01-09</t>
        </is>
      </c>
      <c r="C13" s="11" t="inlineStr">
        <is>
          <t>V2.2校准基线</t>
        </is>
      </c>
      <c r="D13" s="11" t="inlineStr">
        <is>
          <t>L3 传输管理层</t>
        </is>
      </c>
      <c r="E13" s="11" t="inlineStr">
        <is>
          <t>统一存储池与分层管理</t>
        </is>
      </c>
      <c r="F13" s="11" t="inlineStr">
        <is>
          <t>P1</t>
        </is>
      </c>
      <c r="G13" s="11" t="inlineStr">
        <is>
          <t>P1</t>
        </is>
      </c>
      <c r="H13" s="11" t="inlineStr">
        <is>
          <t>DDR 成本受限、SSD 容量主力、热点 KV 与远端 DDR 加速｜L3-MC-HIER-STORE-002</t>
        </is>
      </c>
      <c r="I13" s="11" t="inlineStr">
        <is>
          <t>形成 SSD 容量主路径和 DDR 净收益准入；DDR 容量缩减不影响基本卸载闭环。</t>
        </is>
      </c>
      <c r="J13" s="11" t="inlineStr">
        <is>
          <t>SR23-01-01-02</t>
        </is>
      </c>
      <c r="K13" s="11" t="inlineStr">
        <is>
          <t>HBM↔SSD 分层容量与 DDR 角色插件</t>
        </is>
      </c>
      <c r="L13" s="11" t="inlineStr">
        <is>
          <t>IR-01-01</t>
        </is>
      </c>
      <c r="M13" s="11" t="inlineStr">
        <is>
          <t>该来源作为“HBM↔SSD 分层容量与 DDR 角色插件”功能闭包的内部需求、约束或验收输入；不再单独定义为 SR。</t>
        </is>
      </c>
      <c r="N13" s="11">
        <f>IF(COUNTIF($A$5:$A$153,A13)=1,"PASS","FAIL")</f>
        <v/>
      </c>
      <c r="O13" s="11">
        <f>IF(COUNTIF('SR系统设计'!$A$5:$A$42,J13)=1,"PASS","FAIL")</f>
        <v/>
      </c>
      <c r="P13" s="11" t="inlineStr">
        <is>
          <t>已纳入独立交付闭包</t>
        </is>
      </c>
    </row>
    <row r="14" ht="66" customHeight="1">
      <c r="A14" s="11" t="inlineStr">
        <is>
          <t>L3-MC-IntelligentMigration-057</t>
        </is>
      </c>
      <c r="B14" s="11" t="inlineStr">
        <is>
          <t>SR-01-01-10</t>
        </is>
      </c>
      <c r="C14" s="11" t="inlineStr">
        <is>
          <t>V2.2校准基线</t>
        </is>
      </c>
      <c r="D14" s="11" t="inlineStr">
        <is>
          <t>L3 传输管理层</t>
        </is>
      </c>
      <c r="E14" s="11" t="inlineStr">
        <is>
          <t>统一存储池与分层管理</t>
        </is>
      </c>
      <c r="F14" s="11" t="inlineStr">
        <is>
          <t>P1</t>
        </is>
      </c>
      <c r="G14" s="11" t="inlineStr">
        <is>
          <t>P1</t>
        </is>
      </c>
      <c r="H14" s="11" t="inlineStr">
        <is>
          <t>跨异构介质智能主动搬移｜L3-MC-IntelligentMigration-057</t>
        </is>
      </c>
      <c r="I14" s="11" t="inlineStr">
        <is>
          <t>节点动态加入/退出时的缓存失效控制在局部范围内（遵循一致性哈希比例）。</t>
        </is>
      </c>
      <c r="J14" s="11" t="inlineStr">
        <is>
          <t>SR23-01-01-03</t>
        </is>
      </c>
      <c r="K14" s="11" t="inlineStr">
        <is>
          <t>KV 生命周期、迁移与空间治理控制器</t>
        </is>
      </c>
      <c r="L14" s="11" t="inlineStr">
        <is>
          <t>IR-01-01</t>
        </is>
      </c>
      <c r="M14" s="11" t="inlineStr">
        <is>
          <t>该来源作为“KV 生命周期、迁移与空间治理控制器”功能闭包的内部需求、约束或验收输入；不再单独定义为 SR。</t>
        </is>
      </c>
      <c r="N14" s="11">
        <f>IF(COUNTIF($A$5:$A$153,A14)=1,"PASS","FAIL")</f>
        <v/>
      </c>
      <c r="O14" s="11">
        <f>IF(COUNTIF('SR系统设计'!$A$5:$A$42,J14)=1,"PASS","FAIL")</f>
        <v/>
      </c>
      <c r="P14" s="11" t="inlineStr">
        <is>
          <t>已纳入独立交付闭包</t>
        </is>
      </c>
    </row>
    <row r="15" ht="66" customHeight="1">
      <c r="A15" s="11" t="inlineStr">
        <is>
          <t>L3-MC-PageExtentAllocator-077</t>
        </is>
      </c>
      <c r="B15" s="11" t="inlineStr">
        <is>
          <t>SR-01-01-11</t>
        </is>
      </c>
      <c r="C15" s="11" t="inlineStr">
        <is>
          <t>V2.2校准基线</t>
        </is>
      </c>
      <c r="D15" s="11" t="inlineStr">
        <is>
          <t>L3 传输管理层</t>
        </is>
      </c>
      <c r="E15" s="11" t="inlineStr">
        <is>
          <t>统一存储池与分层管理</t>
        </is>
      </c>
      <c r="F15" s="11" t="inlineStr">
        <is>
          <t>P1</t>
        </is>
      </c>
      <c r="G15" s="11" t="inlineStr">
        <is>
          <t>P1</t>
        </is>
      </c>
      <c r="H15" s="11" t="inlineStr">
        <is>
          <t>长周期运行下 KV 存储碎片控制｜L3-MC-PageExtentAllocator-077</t>
        </is>
      </c>
      <c r="I15" s="11" t="inlineStr">
        <is>
          <t>节点动态加入/退出时的缓存失效控制在局部范围内（遵循一致性哈希比例）。</t>
        </is>
      </c>
      <c r="J15" s="11" t="inlineStr">
        <is>
          <t>SR23-01-01-01</t>
        </is>
      </c>
      <c r="K15" s="11" t="inlineStr">
        <is>
          <t>统一 KV 对象池核心组件</t>
        </is>
      </c>
      <c r="L15" s="11" t="inlineStr">
        <is>
          <t>IR-01-01</t>
        </is>
      </c>
      <c r="M15" s="11" t="inlineStr">
        <is>
          <t>该来源作为“统一 KV 对象池核心组件”功能闭包的内部需求、约束或验收输入；不再单独定义为 SR。</t>
        </is>
      </c>
      <c r="N15" s="11">
        <f>IF(COUNTIF($A$5:$A$153,A15)=1,"PASS","FAIL")</f>
        <v/>
      </c>
      <c r="O15" s="11">
        <f>IF(COUNTIF('SR系统设计'!$A$5:$A$42,J15)=1,"PASS","FAIL")</f>
        <v/>
      </c>
      <c r="P15" s="11" t="inlineStr">
        <is>
          <t>已纳入独立交付闭包</t>
        </is>
      </c>
    </row>
    <row r="16" ht="66" customHeight="1">
      <c r="A16" s="11" t="inlineStr">
        <is>
          <t>L3-MS-CostEviction-039</t>
        </is>
      </c>
      <c r="B16" s="11" t="inlineStr">
        <is>
          <t>SR-01-01-12</t>
        </is>
      </c>
      <c r="C16" s="11" t="inlineStr">
        <is>
          <t>V2.2校准基线</t>
        </is>
      </c>
      <c r="D16" s="11" t="inlineStr">
        <is>
          <t>L3 传输管理层</t>
        </is>
      </c>
      <c r="E16" s="11" t="inlineStr">
        <is>
          <t>统一存储池与分层管理</t>
        </is>
      </c>
      <c r="F16" s="11" t="inlineStr">
        <is>
          <t>P1</t>
        </is>
      </c>
      <c r="G16" s="11" t="inlineStr">
        <is>
          <t>P1</t>
        </is>
      </c>
      <c r="H16" s="11" t="inlineStr">
        <is>
          <t>KVCache 成本感知淘汰与降级｜L3-MS-CostEviction-039</t>
        </is>
      </c>
      <c r="I16" s="11" t="inlineStr">
        <is>
          <t>每 GB KV 带来的 saved prefill tokens 提升 ≥25%；</t>
        </is>
      </c>
      <c r="J16" s="11" t="inlineStr">
        <is>
          <t>SR23-01-01-03</t>
        </is>
      </c>
      <c r="K16" s="11" t="inlineStr">
        <is>
          <t>KV 生命周期、迁移与空间治理控制器</t>
        </is>
      </c>
      <c r="L16" s="11" t="inlineStr">
        <is>
          <t>IR-01-01</t>
        </is>
      </c>
      <c r="M16" s="11" t="inlineStr">
        <is>
          <t>该来源作为“KV 生命周期、迁移与空间治理控制器”功能闭包的内部需求、约束或验收输入；不再单独定义为 SR。</t>
        </is>
      </c>
      <c r="N16" s="11">
        <f>IF(COUNTIF($A$5:$A$153,A16)=1,"PASS","FAIL")</f>
        <v/>
      </c>
      <c r="O16" s="11">
        <f>IF(COUNTIF('SR系统设计'!$A$5:$A$42,J16)=1,"PASS","FAIL")</f>
        <v/>
      </c>
      <c r="P16" s="11" t="inlineStr">
        <is>
          <t>已纳入独立交付闭包</t>
        </is>
      </c>
    </row>
    <row r="17" ht="66" customHeight="1">
      <c r="A17" s="11" t="inlineStr">
        <is>
          <t>L3-MS-DDRRolePolicy-092</t>
        </is>
      </c>
      <c r="B17" s="11" t="inlineStr">
        <is>
          <t>SR-01-01-13</t>
        </is>
      </c>
      <c r="C17" s="11" t="inlineStr">
        <is>
          <t>V2.2校准基线</t>
        </is>
      </c>
      <c r="D17" s="11" t="inlineStr">
        <is>
          <t>L3 传输管理层</t>
        </is>
      </c>
      <c r="E17" s="11" t="inlineStr">
        <is>
          <t>统一存储池与分层管理</t>
        </is>
      </c>
      <c r="F17" s="11" t="inlineStr">
        <is>
          <t>P1</t>
        </is>
      </c>
      <c r="G17" s="11" t="inlineStr">
        <is>
          <t>P1</t>
        </is>
      </c>
      <c r="H17" s="11" t="inlineStr">
        <is>
          <t>热点 KV、远端低时延容量、预取与SSD尾时延屏蔽｜L3-MS-DDRRolePolicy-092</t>
        </is>
      </c>
      <c r="I17" s="11" t="inlineStr">
        <is>
          <t>输出各 DDR 角色的容量、带宽和净收益曲线，明确主用、条件启用和禁用边界。</t>
        </is>
      </c>
      <c r="J17" s="11" t="inlineStr">
        <is>
          <t>SR23-01-01-02</t>
        </is>
      </c>
      <c r="K17" s="11" t="inlineStr">
        <is>
          <t>HBM↔SSD 分层容量与 DDR 角色插件</t>
        </is>
      </c>
      <c r="L17" s="11" t="inlineStr">
        <is>
          <t>IR-01-01</t>
        </is>
      </c>
      <c r="M17" s="11" t="inlineStr">
        <is>
          <t>该来源作为“HBM↔SSD 分层容量与 DDR 角色插件”功能闭包的内部需求、约束或验收输入；不再单独定义为 SR。</t>
        </is>
      </c>
      <c r="N17" s="11">
        <f>IF(COUNTIF($A$5:$A$153,A17)=1,"PASS","FAIL")</f>
        <v/>
      </c>
      <c r="O17" s="11">
        <f>IF(COUNTIF('SR系统设计'!$A$5:$A$42,J17)=1,"PASS","FAIL")</f>
        <v/>
      </c>
      <c r="P17" s="11" t="inlineStr">
        <is>
          <t>已纳入独立交付闭包</t>
        </is>
      </c>
    </row>
    <row r="18" ht="66" customHeight="1">
      <c r="A18" s="11" t="inlineStr">
        <is>
          <t>L3-MC-POOL-ALLOC-005</t>
        </is>
      </c>
      <c r="B18" s="11" t="inlineStr">
        <is>
          <t>SR-01-01-14</t>
        </is>
      </c>
      <c r="C18" s="11" t="inlineStr">
        <is>
          <t>V2.2校准基线</t>
        </is>
      </c>
      <c r="D18" s="11" t="inlineStr">
        <is>
          <t>L3 传输管理层</t>
        </is>
      </c>
      <c r="E18" s="11" t="inlineStr">
        <is>
          <t>统一存储池与分层管理</t>
        </is>
      </c>
      <c r="F18" s="11" t="inlineStr">
        <is>
          <t>P2</t>
        </is>
      </c>
      <c r="G18" s="11" t="inlineStr">
        <is>
          <t>P2</t>
        </is>
      </c>
      <c r="H18" s="11" t="inlineStr">
        <is>
          <t>NUMA亲和性KV分配｜L3-MC-POOL-ALLOC-005</t>
        </is>
      </c>
      <c r="I18" s="11" t="inlineStr">
        <is>
          <t>节点动态加入/退出时的缓存失效控制在局部范围内（遵循一致性哈希比例）。</t>
        </is>
      </c>
      <c r="J18" s="11" t="inlineStr">
        <is>
          <t>SR23-01-01-03</t>
        </is>
      </c>
      <c r="K18" s="11" t="inlineStr">
        <is>
          <t>KV 生命周期、迁移与空间治理控制器</t>
        </is>
      </c>
      <c r="L18" s="11" t="inlineStr">
        <is>
          <t>IR-01-01</t>
        </is>
      </c>
      <c r="M18" s="11" t="inlineStr">
        <is>
          <t>该来源作为“KV 生命周期、迁移与空间治理控制器”功能闭包的内部需求、约束或验收输入；不再单独定义为 SR。</t>
        </is>
      </c>
      <c r="N18" s="11">
        <f>IF(COUNTIF($A$5:$A$153,A18)=1,"PASS","FAIL")</f>
        <v/>
      </c>
      <c r="O18" s="11">
        <f>IF(COUNTIF('SR系统设计'!$A$5:$A$42,J18)=1,"PASS","FAIL")</f>
        <v/>
      </c>
      <c r="P18" s="11" t="inlineStr">
        <is>
          <t>已纳入独立交付闭包</t>
        </is>
      </c>
    </row>
    <row r="19" ht="66" customHeight="1">
      <c r="A19" s="11" t="inlineStr">
        <is>
          <t>L3-MC-UBAllocator-049</t>
        </is>
      </c>
      <c r="B19" s="11" t="inlineStr">
        <is>
          <t>SR-01-01-15</t>
        </is>
      </c>
      <c r="C19" s="11" t="inlineStr">
        <is>
          <t>V2.2校准基线</t>
        </is>
      </c>
      <c r="D19" s="11" t="inlineStr">
        <is>
          <t>L3 传输管理层</t>
        </is>
      </c>
      <c r="E19" s="11" t="inlineStr">
        <is>
          <t>统一存储池与分层管理</t>
        </is>
      </c>
      <c r="F19" s="11" t="inlineStr">
        <is>
          <t>P2</t>
        </is>
      </c>
      <c r="G19" s="11" t="inlineStr">
        <is>
          <t>P2</t>
        </is>
      </c>
      <c r="H19" s="11" t="inlineStr">
        <is>
          <t>UB 共享 KV 热存储池管理｜L3-MC-UBAllocator-049</t>
        </is>
      </c>
      <c r="I19" s="11" t="inlineStr">
        <is>
          <t>全局内存利用率提升至≥85%，跨级冷热数据迁移过程中的TPOT抖动 &lt; 5%。</t>
        </is>
      </c>
      <c r="J19" s="11" t="inlineStr">
        <is>
          <t>SR23-01-01-01</t>
        </is>
      </c>
      <c r="K19" s="11" t="inlineStr">
        <is>
          <t>统一 KV 对象池核心组件</t>
        </is>
      </c>
      <c r="L19" s="11" t="inlineStr">
        <is>
          <t>IR-01-01</t>
        </is>
      </c>
      <c r="M19" s="11" t="inlineStr">
        <is>
          <t>该来源作为“统一 KV 对象池核心组件”功能闭包的内部需求、约束或验收输入；不再单独定义为 SR。</t>
        </is>
      </c>
      <c r="N19" s="11">
        <f>IF(COUNTIF($A$5:$A$153,A19)=1,"PASS","FAIL")</f>
        <v/>
      </c>
      <c r="O19" s="11">
        <f>IF(COUNTIF('SR系统设计'!$A$5:$A$42,J19)=1,"PASS","FAIL")</f>
        <v/>
      </c>
      <c r="P19" s="11" t="inlineStr">
        <is>
          <t>已纳入独立交付闭包</t>
        </is>
      </c>
    </row>
    <row r="20" ht="66" customHeight="1">
      <c r="A20" s="11" t="inlineStr">
        <is>
          <t>L3-SE-DescriptorFromManifest-079</t>
        </is>
      </c>
      <c r="B20" s="11" t="inlineStr">
        <is>
          <t>SR-01-02-01</t>
        </is>
      </c>
      <c r="C20" s="11" t="inlineStr">
        <is>
          <t>V2.2校准基线</t>
        </is>
      </c>
      <c r="D20" s="11" t="inlineStr">
        <is>
          <t>L3 传输管理层</t>
        </is>
      </c>
      <c r="E20" s="11" t="inlineStr">
        <is>
          <t>语义策略与路径管理</t>
        </is>
      </c>
      <c r="F20" s="11" t="inlineStr">
        <is>
          <t>P0</t>
        </is>
      </c>
      <c r="G20" s="11" t="inlineStr">
        <is>
          <t>P0</t>
        </is>
      </c>
      <c r="H20" s="11" t="inlineStr">
        <is>
          <t>从 KV 存储结构自动生成高效传输描述符｜L3-SE-DescriptorFromManifest-079</t>
        </is>
      </c>
      <c r="I20" s="11" t="inlineStr">
        <is>
          <t>节点动态加入/退出时的缓存失效控制在局部范围内（遵循一致性哈希比例）。</t>
        </is>
      </c>
      <c r="J20" s="11" t="inlineStr">
        <is>
          <t>SR23-01-02-01</t>
        </is>
      </c>
      <c r="K20" s="11" t="inlineStr">
        <is>
          <t>跨框架布局与批量传输描述编译器</t>
        </is>
      </c>
      <c r="L20" s="11" t="inlineStr">
        <is>
          <t>IR-01-02</t>
        </is>
      </c>
      <c r="M20" s="11" t="inlineStr">
        <is>
          <t>该来源作为“跨框架布局与批量传输描述编译器”功能闭包的内部需求、约束或验收输入；不再单独定义为 SR。</t>
        </is>
      </c>
      <c r="N20" s="11">
        <f>IF(COUNTIF($A$5:$A$153,A20)=1,"PASS","FAIL")</f>
        <v/>
      </c>
      <c r="O20" s="11">
        <f>IF(COUNTIF('SR系统设计'!$A$5:$A$42,J20)=1,"PASS","FAIL")</f>
        <v/>
      </c>
      <c r="P20" s="11" t="inlineStr">
        <is>
          <t>已纳入独立交付闭包</t>
        </is>
      </c>
    </row>
    <row r="21" ht="66" customHeight="1">
      <c r="A21" s="11" t="inlineStr">
        <is>
          <t>L2-KV-PartialAttachPlan-038</t>
        </is>
      </c>
      <c r="B21" s="11" t="inlineStr">
        <is>
          <t>SR-01-02-02</t>
        </is>
      </c>
      <c r="C21" s="11" t="inlineStr">
        <is>
          <t>V2.2校准基线</t>
        </is>
      </c>
      <c r="D21" s="11" t="inlineStr">
        <is>
          <t>L2 KV连接器（KVConnector）层</t>
        </is>
      </c>
      <c r="E21" s="11" t="inlineStr">
        <is>
          <t>传输描述与布局协商</t>
        </is>
      </c>
      <c r="F21" s="11" t="inlineStr">
        <is>
          <t>P1</t>
        </is>
      </c>
      <c r="G21" s="11" t="inlineStr">
        <is>
          <t>P1</t>
        </is>
      </c>
      <c r="H21" s="11" t="inlineStr">
        <is>
          <t>部分前缀命中复用｜L2-KV-PartialAttachPlan-038</t>
        </is>
      </c>
      <c r="I21" s="11" t="inlineStr">
        <is>
          <t>前缀（Prefix）命中判定P99耗时 &lt; 200us；在共享前缀（Share-Prefix）业务下，可用命中率（Usable Hit Rate）提升≥15%。</t>
        </is>
      </c>
      <c r="J21" s="11" t="inlineStr">
        <is>
          <t>SR23-01-02-01</t>
        </is>
      </c>
      <c r="K21" s="11" t="inlineStr">
        <is>
          <t>跨框架布局与批量传输描述编译器</t>
        </is>
      </c>
      <c r="L21" s="11" t="inlineStr">
        <is>
          <t>IR-01-02</t>
        </is>
      </c>
      <c r="M21" s="11" t="inlineStr">
        <is>
          <t>该来源作为“跨框架布局与批量传输描述编译器”功能闭包的内部需求、约束或验收输入；不再单独定义为 SR。</t>
        </is>
      </c>
      <c r="N21" s="11">
        <f>IF(COUNTIF($A$5:$A$153,A21)=1,"PASS","FAIL")</f>
        <v/>
      </c>
      <c r="O21" s="11">
        <f>IF(COUNTIF('SR系统设计'!$A$5:$A$42,J21)=1,"PASS","FAIL")</f>
        <v/>
      </c>
      <c r="P21" s="11" t="inlineStr">
        <is>
          <t>已纳入独立交付闭包</t>
        </is>
      </c>
    </row>
    <row r="22" ht="66" customHeight="1">
      <c r="A22" s="11" t="inlineStr">
        <is>
          <t>L2-OL-BulkDescriptor-025</t>
        </is>
      </c>
      <c r="B22" s="11" t="inlineStr">
        <is>
          <t>SR-01-02-03</t>
        </is>
      </c>
      <c r="C22" s="11" t="inlineStr">
        <is>
          <t>V2.2校准基线</t>
        </is>
      </c>
      <c r="D22" s="11" t="inlineStr">
        <is>
          <t>L2 KV连接器（KVConnector）层</t>
        </is>
      </c>
      <c r="E22" s="11" t="inlineStr">
        <is>
          <t>传输描述与布局协商</t>
        </is>
      </c>
      <c r="F22" s="11" t="inlineStr">
        <is>
          <t>P1</t>
        </is>
      </c>
      <c r="G22" s="11" t="inlineStr">
        <is>
          <t>P1</t>
        </is>
      </c>
      <c r="H22" s="11" t="inlineStr">
        <is>
          <t>KVCache 批量卸载与批量加载｜L2-OL-BulkDescriptor-025</t>
        </is>
      </c>
      <c r="I22" s="11" t="inlineStr">
        <is>
          <t>CPU提交时延（CPU submit time） 降低 ≥40%；</t>
        </is>
      </c>
      <c r="J22" s="11" t="inlineStr">
        <is>
          <t>SR23-01-02-01</t>
        </is>
      </c>
      <c r="K22" s="11" t="inlineStr">
        <is>
          <t>跨框架布局与批量传输描述编译器</t>
        </is>
      </c>
      <c r="L22" s="11" t="inlineStr">
        <is>
          <t>IR-01-02</t>
        </is>
      </c>
      <c r="M22" s="11" t="inlineStr">
        <is>
          <t>该来源作为“跨框架布局与批量传输描述编译器”功能闭包的内部需求、约束或验收输入；不再单独定义为 SR。</t>
        </is>
      </c>
      <c r="N22" s="11">
        <f>IF(COUNTIF($A$5:$A$153,A22)=1,"PASS","FAIL")</f>
        <v/>
      </c>
      <c r="O22" s="11">
        <f>IF(COUNTIF('SR系统设计'!$A$5:$A$42,J22)=1,"PASS","FAIL")</f>
        <v/>
      </c>
      <c r="P22" s="11" t="inlineStr">
        <is>
          <t>已纳入独立交付闭包</t>
        </is>
      </c>
    </row>
    <row r="23" ht="66" customHeight="1">
      <c r="A23" s="11" t="inlineStr">
        <is>
          <t>L2-OL-LayoutNegotiation-024</t>
        </is>
      </c>
      <c r="B23" s="11" t="inlineStr">
        <is>
          <t>SR-01-02-04</t>
        </is>
      </c>
      <c r="C23" s="11" t="inlineStr">
        <is>
          <t>V2.2校准基线</t>
        </is>
      </c>
      <c r="D23" s="11" t="inlineStr">
        <is>
          <t>L2 KV连接器（KVConnector）层</t>
        </is>
      </c>
      <c r="E23" s="11" t="inlineStr">
        <is>
          <t>传输描述与布局协商</t>
        </is>
      </c>
      <c r="F23" s="11" t="inlineStr">
        <is>
          <t>P1</t>
        </is>
      </c>
      <c r="G23" s="11" t="inlineStr">
        <is>
          <t>P1</t>
        </is>
      </c>
      <c r="H23" s="11" t="inlineStr">
        <is>
          <t>KVCache 高效传输布局协商｜L2-OL-LayoutNegotiation-024</t>
        </is>
      </c>
      <c r="I23" s="11" t="inlineStr">
        <is>
          <t>描述符（descriptor） 数降低 ≥50%；effective BW 提升 ≥30%；</t>
        </is>
      </c>
      <c r="J23" s="11" t="inlineStr">
        <is>
          <t>SR23-01-02-01</t>
        </is>
      </c>
      <c r="K23" s="11" t="inlineStr">
        <is>
          <t>跨框架布局与批量传输描述编译器</t>
        </is>
      </c>
      <c r="L23" s="11" t="inlineStr">
        <is>
          <t>IR-01-02</t>
        </is>
      </c>
      <c r="M23" s="11" t="inlineStr">
        <is>
          <t>该来源作为“跨框架布局与批量传输描述编译器”功能闭包的内部需求、约束或验收输入；不再单独定义为 SR。</t>
        </is>
      </c>
      <c r="N23" s="11">
        <f>IF(COUNTIF($A$5:$A$153,A23)=1,"PASS","FAIL")</f>
        <v/>
      </c>
      <c r="O23" s="11">
        <f>IF(COUNTIF('SR系统设计'!$A$5:$A$42,J23)=1,"PASS","FAIL")</f>
        <v/>
      </c>
      <c r="P23" s="11" t="inlineStr">
        <is>
          <t>已纳入独立交付闭包</t>
        </is>
      </c>
    </row>
    <row r="24" ht="66" customHeight="1">
      <c r="A24" s="11" t="inlineStr">
        <is>
          <t>L3-MC-LayoutTransformPlan-078</t>
        </is>
      </c>
      <c r="B24" s="11" t="inlineStr">
        <is>
          <t>SR-01-02-05</t>
        </is>
      </c>
      <c r="C24" s="11" t="inlineStr">
        <is>
          <t>V2.2校准基线</t>
        </is>
      </c>
      <c r="D24" s="11" t="inlineStr">
        <is>
          <t>L3 传输管理层</t>
        </is>
      </c>
      <c r="E24" s="11" t="inlineStr">
        <is>
          <t>统一存储池与分层管理</t>
        </is>
      </c>
      <c r="F24" s="11" t="inlineStr">
        <is>
          <t>P1</t>
        </is>
      </c>
      <c r="G24" s="11" t="inlineStr">
        <is>
          <t>P1</t>
        </is>
      </c>
      <c r="H24" s="11" t="inlineStr">
        <is>
          <t>HND/NHD/page-first/cross-layer 布局兼容｜L3-MC-LayoutTransformPlan-078</t>
        </is>
      </c>
      <c r="I24" s="11" t="inlineStr">
        <is>
          <t>节点动态加入/退出时的缓存失效控制在局部范围内（遵循一致性哈希比例）。</t>
        </is>
      </c>
      <c r="J24" s="11" t="inlineStr">
        <is>
          <t>SR23-01-02-01</t>
        </is>
      </c>
      <c r="K24" s="11" t="inlineStr">
        <is>
          <t>跨框架布局与批量传输描述编译器</t>
        </is>
      </c>
      <c r="L24" s="11" t="inlineStr">
        <is>
          <t>IR-01-02</t>
        </is>
      </c>
      <c r="M24" s="11" t="inlineStr">
        <is>
          <t>该来源作为“跨框架布局与批量传输描述编译器”功能闭包的内部需求、约束或验收输入；不再单独定义为 SR。</t>
        </is>
      </c>
      <c r="N24" s="11">
        <f>IF(COUNTIF($A$5:$A$153,A24)=1,"PASS","FAIL")</f>
        <v/>
      </c>
      <c r="O24" s="11">
        <f>IF(COUNTIF('SR系统设计'!$A$5:$A$42,J24)=1,"PASS","FAIL")</f>
        <v/>
      </c>
      <c r="P24" s="11" t="inlineStr">
        <is>
          <t>已纳入独立交付闭包</t>
        </is>
      </c>
    </row>
    <row r="25" ht="66" customHeight="1">
      <c r="A25" s="11" t="inlineStr">
        <is>
          <t>L3-SE-PlacementResolver-061</t>
        </is>
      </c>
      <c r="B25" s="11" t="inlineStr">
        <is>
          <t>SR-01-03-01</t>
        </is>
      </c>
      <c r="C25" s="11" t="inlineStr">
        <is>
          <t>V2.2校准基线</t>
        </is>
      </c>
      <c r="D25" s="11" t="inlineStr">
        <is>
          <t>L3 传输管理层</t>
        </is>
      </c>
      <c r="E25" s="11" t="inlineStr">
        <is>
          <t>语义策略与路径管理</t>
        </is>
      </c>
      <c r="F25" s="11" t="inlineStr">
        <is>
          <t>P0</t>
        </is>
      </c>
      <c r="G25" s="11" t="inlineStr">
        <is>
          <t>P0</t>
        </is>
      </c>
      <c r="H25" s="11" t="inlineStr">
        <is>
          <t>多位置 KV 副本的最优读取源选择｜L3-SE-PlacementResolver-061</t>
        </is>
      </c>
      <c r="I25" s="11" t="inlineStr">
        <is>
          <t>节点动态加入/退出时的缓存失效控制在局部范围内（遵循一致性哈希比例）。</t>
        </is>
      </c>
      <c r="J25" s="11" t="inlineStr">
        <is>
          <t>SR23-01-03-01</t>
        </is>
      </c>
      <c r="K25" s="11" t="inlineStr">
        <is>
          <t>查询计划（QueryPlan） 与多副本成本决策引擎</t>
        </is>
      </c>
      <c r="L25" s="11" t="inlineStr">
        <is>
          <t>IR-01-03</t>
        </is>
      </c>
      <c r="M25" s="11" t="inlineStr">
        <is>
          <t>该来源作为“查询计划（QueryPlan） 与多副本成本决策引擎”功能闭包的内部需求、约束或验收输入；不再单独定义为 SR。</t>
        </is>
      </c>
      <c r="N25" s="11">
        <f>IF(COUNTIF($A$5:$A$153,A25)=1,"PASS","FAIL")</f>
        <v/>
      </c>
      <c r="O25" s="11">
        <f>IF(COUNTIF('SR系统设计'!$A$5:$A$42,J25)=1,"PASS","FAIL")</f>
        <v/>
      </c>
      <c r="P25" s="11" t="inlineStr">
        <is>
          <t>已纳入独立交付闭包</t>
        </is>
      </c>
    </row>
    <row r="26" ht="66" customHeight="1">
      <c r="A26" s="11" t="inlineStr">
        <is>
          <t>L3-SE-PolicyEngine-032</t>
        </is>
      </c>
      <c r="B26" s="11" t="inlineStr">
        <is>
          <t>SR-01-03-02</t>
        </is>
      </c>
      <c r="C26" s="11" t="inlineStr">
        <is>
          <t>V2.2校准基线</t>
        </is>
      </c>
      <c r="D26" s="11" t="inlineStr">
        <is>
          <t>L3 传输管理层</t>
        </is>
      </c>
      <c r="E26" s="11" t="inlineStr">
        <is>
          <t>语义策略与路径管理</t>
        </is>
      </c>
      <c r="F26" s="11" t="inlineStr">
        <is>
          <t>P0</t>
        </is>
      </c>
      <c r="G26" s="11" t="inlineStr">
        <is>
          <t>P0</t>
        </is>
      </c>
      <c r="H26" s="11" t="inlineStr">
        <is>
          <t>统一 KVCache 存储池智能路径选择｜L3-SE-PolicyEngine-032</t>
        </is>
      </c>
      <c r="I26" s="11" t="inlineStr">
        <is>
          <t>可用命中（usable hit） rate 提升 ≥20%；</t>
        </is>
      </c>
      <c r="J26" s="11" t="inlineStr">
        <is>
          <t>SR23-01-03-01</t>
        </is>
      </c>
      <c r="K26" s="11" t="inlineStr">
        <is>
          <t>查询计划（QueryPlan） 与多副本成本决策引擎</t>
        </is>
      </c>
      <c r="L26" s="11" t="inlineStr">
        <is>
          <t>IR-01-03</t>
        </is>
      </c>
      <c r="M26" s="11" t="inlineStr">
        <is>
          <t>该来源作为“查询计划（QueryPlan） 与多副本成本决策引擎”功能闭包的内部需求、约束或验收输入；不再单独定义为 SR。</t>
        </is>
      </c>
      <c r="N26" s="11">
        <f>IF(COUNTIF($A$5:$A$153,A26)=1,"PASS","FAIL")</f>
        <v/>
      </c>
      <c r="O26" s="11">
        <f>IF(COUNTIF('SR系统设计'!$A$5:$A$42,J26)=1,"PASS","FAIL")</f>
        <v/>
      </c>
      <c r="P26" s="11" t="inlineStr">
        <is>
          <t>已纳入独立交付闭包</t>
        </is>
      </c>
    </row>
    <row r="27" ht="66" customHeight="1">
      <c r="A27" s="11" t="inlineStr">
        <is>
          <t>L3-SE-QueryPlanFastPath-072</t>
        </is>
      </c>
      <c r="B27" s="11" t="inlineStr">
        <is>
          <t>SR-01-03-03</t>
        </is>
      </c>
      <c r="C27" s="11" t="inlineStr">
        <is>
          <t>V2.2校准基线</t>
        </is>
      </c>
      <c r="D27" s="11" t="inlineStr">
        <is>
          <t>L3 传输管理层</t>
        </is>
      </c>
      <c r="E27" s="11" t="inlineStr">
        <is>
          <t>语义策略与路径管理</t>
        </is>
      </c>
      <c r="F27" s="11" t="inlineStr">
        <is>
          <t>P0</t>
        </is>
      </c>
      <c r="G27" s="11" t="inlineStr">
        <is>
          <t>P0</t>
        </is>
      </c>
      <c r="H27" s="11" t="inlineStr">
        <is>
          <t>TTFT 关键路径上的单次查询决策｜L3-SE-QueryPlanFastPath-072</t>
        </is>
      </c>
      <c r="I27" s="11" t="inlineStr">
        <is>
          <t>确保底层物理存储直接向外暴露“可执行查询计划(查询计划（QueryPlan）)”，而非裸机物理地址(Raw Address)。</t>
        </is>
      </c>
      <c r="J27" s="11" t="inlineStr">
        <is>
          <t>SR23-01-03-01</t>
        </is>
      </c>
      <c r="K27" s="11" t="inlineStr">
        <is>
          <t>查询计划（QueryPlan） 与多副本成本决策引擎</t>
        </is>
      </c>
      <c r="L27" s="11" t="inlineStr">
        <is>
          <t>IR-01-03</t>
        </is>
      </c>
      <c r="M27" s="11" t="inlineStr">
        <is>
          <t>该来源作为“查询计划（QueryPlan） 与多副本成本决策引擎”功能闭包的内部需求、约束或验收输入；不再单独定义为 SR。</t>
        </is>
      </c>
      <c r="N27" s="11">
        <f>IF(COUNTIF($A$5:$A$153,A27)=1,"PASS","FAIL")</f>
        <v/>
      </c>
      <c r="O27" s="11">
        <f>IF(COUNTIF('SR系统设计'!$A$5:$A$42,J27)=1,"PASS","FAIL")</f>
        <v/>
      </c>
      <c r="P27" s="11" t="inlineStr">
        <is>
          <t>已纳入独立交付闭包</t>
        </is>
      </c>
    </row>
    <row r="28" ht="66" customHeight="1">
      <c r="A28" s="11" t="inlineStr">
        <is>
          <t>L3-SE-TierBypassPolicy-091</t>
        </is>
      </c>
      <c r="B28" s="11" t="inlineStr">
        <is>
          <t>SR-01-03-04</t>
        </is>
      </c>
      <c r="C28" s="11" t="inlineStr">
        <is>
          <t>V2.2校准基线</t>
        </is>
      </c>
      <c r="D28" s="11" t="inlineStr">
        <is>
          <t>L3 传输管理层</t>
        </is>
      </c>
      <c r="E28" s="11" t="inlineStr">
        <is>
          <t>语义策略与路径管理</t>
        </is>
      </c>
      <c r="F28" s="11" t="inlineStr">
        <is>
          <t>P0</t>
        </is>
      </c>
      <c r="G28" s="11" t="inlineStr">
        <is>
          <t>P0</t>
        </is>
      </c>
      <c r="H28" s="11" t="inlineStr">
        <is>
          <t>DDR成本约束、SSD容量主路径、异构路径动态选择｜L3-SE-TierBypassPolicy-091</t>
        </is>
      </c>
      <c r="I28" s="11" t="inlineStr">
        <is>
          <t>禁用 DDR 有效载荷（Payload） 存储层级（tier） 后，前缀命中（Prefix Hit）、加载（Load）/附加（Attach）、Publish/Lifecycle 仍可通过 SSD 或重算形成闭环；不得出现隐式 CPU staging。</t>
        </is>
      </c>
      <c r="J28" s="11" t="inlineStr">
        <is>
          <t>SR23-01-03-01</t>
        </is>
      </c>
      <c r="K28" s="11" t="inlineStr">
        <is>
          <t>查询计划（QueryPlan） 与多副本成本决策引擎</t>
        </is>
      </c>
      <c r="L28" s="11" t="inlineStr">
        <is>
          <t>IR-01-03</t>
        </is>
      </c>
      <c r="M28" s="11" t="inlineStr">
        <is>
          <t>该来源作为“查询计划（QueryPlan） 与多副本成本决策引擎”功能闭包的内部需求、约束或验收输入；不再单独定义为 SR。</t>
        </is>
      </c>
      <c r="N28" s="11">
        <f>IF(COUNTIF($A$5:$A$153,A28)=1,"PASS","FAIL")</f>
        <v/>
      </c>
      <c r="O28" s="11">
        <f>IF(COUNTIF('SR系统设计'!$A$5:$A$42,J28)=1,"PASS","FAIL")</f>
        <v/>
      </c>
      <c r="P28" s="11" t="inlineStr">
        <is>
          <t>已纳入独立交付闭包</t>
        </is>
      </c>
    </row>
    <row r="29" ht="66" customHeight="1">
      <c r="A29" s="11" t="inlineStr">
        <is>
          <t>L3-SE-UnifiedDescriptor-018</t>
        </is>
      </c>
      <c r="B29" s="11" t="inlineStr">
        <is>
          <t>SR-01-03-05</t>
        </is>
      </c>
      <c r="C29" s="11" t="inlineStr">
        <is>
          <t>V2.2校准基线</t>
        </is>
      </c>
      <c r="D29" s="11" t="inlineStr">
        <is>
          <t>L3 传输管理层</t>
        </is>
      </c>
      <c r="E29" s="11" t="inlineStr">
        <is>
          <t>语义策略与路径管理</t>
        </is>
      </c>
      <c r="F29" s="11" t="inlineStr">
        <is>
          <t>P0</t>
        </is>
      </c>
      <c r="G29" s="11" t="inlineStr">
        <is>
          <t>P0</t>
        </is>
      </c>
      <c r="H29" s="11" t="inlineStr">
        <is>
          <t>跨框架 KVCache 传输任务统一编排｜L3-SE-UnifiedDescriptor-018</t>
        </is>
      </c>
      <c r="I29" s="11" t="inlineStr">
        <is>
          <t>节点动态加入/退出时的缓存失效控制在局部范围内（遵循一致性哈希比例）。</t>
        </is>
      </c>
      <c r="J29" s="11" t="inlineStr">
        <is>
          <t>SR23-01-03-02</t>
        </is>
      </c>
      <c r="K29" s="11" t="inlineStr">
        <is>
          <t>统一传输意图与粒度分发组件</t>
        </is>
      </c>
      <c r="L29" s="11" t="inlineStr">
        <is>
          <t>IR-01-03</t>
        </is>
      </c>
      <c r="M29" s="11" t="inlineStr">
        <is>
          <t>该来源作为“统一传输意图与粒度分发组件”功能闭包的内部需求、约束或验收输入；不再单独定义为 SR。</t>
        </is>
      </c>
      <c r="N29" s="11">
        <f>IF(COUNTIF($A$5:$A$153,A29)=1,"PASS","FAIL")</f>
        <v/>
      </c>
      <c r="O29" s="11">
        <f>IF(COUNTIF('SR系统设计'!$A$5:$A$42,J29)=1,"PASS","FAIL")</f>
        <v/>
      </c>
      <c r="P29" s="11" t="inlineStr">
        <is>
          <t>已纳入独立交付闭包</t>
        </is>
      </c>
    </row>
    <row r="30" ht="66" customHeight="1">
      <c r="A30" s="11" t="inlineStr">
        <is>
          <t>L3-TRANS-SEM-ENGINE-001</t>
        </is>
      </c>
      <c r="B30" s="11" t="inlineStr">
        <is>
          <t>SR-01-03-06</t>
        </is>
      </c>
      <c r="C30" s="11" t="inlineStr">
        <is>
          <t>V2.2校准基线</t>
        </is>
      </c>
      <c r="D30" s="11" t="inlineStr">
        <is>
          <t>L3 传输管理层</t>
        </is>
      </c>
      <c r="E30" s="11" t="inlineStr">
        <is>
          <t>语义策略与路径管理</t>
        </is>
      </c>
      <c r="F30" s="11" t="inlineStr">
        <is>
          <t>P0</t>
        </is>
      </c>
      <c r="G30" s="11" t="inlineStr">
        <is>
          <t>P0</t>
        </is>
      </c>
      <c r="H30" s="11" t="inlineStr">
        <is>
          <t>多平台统一传输管理｜L3-TRANS-SEM-ENGINE-001</t>
        </is>
      </c>
      <c r="I30" s="11" t="inlineStr">
        <is>
          <t>同机架内本地及远端DDR命中率（本地可用命中率（Local Usable Hit Rate））提升≥30%。</t>
        </is>
      </c>
      <c r="J30" s="11" t="inlineStr">
        <is>
          <t>SR23-01-03-02</t>
        </is>
      </c>
      <c r="K30" s="11" t="inlineStr">
        <is>
          <t>统一传输意图与粒度分发组件</t>
        </is>
      </c>
      <c r="L30" s="11" t="inlineStr">
        <is>
          <t>IR-01-03</t>
        </is>
      </c>
      <c r="M30" s="11" t="inlineStr">
        <is>
          <t>该来源作为“统一传输意图与粒度分发组件”功能闭包的内部需求、约束或验收输入；不再单独定义为 SR。</t>
        </is>
      </c>
      <c r="N30" s="11">
        <f>IF(COUNTIF($A$5:$A$153,A30)=1,"PASS","FAIL")</f>
        <v/>
      </c>
      <c r="O30" s="11">
        <f>IF(COUNTIF('SR系统设计'!$A$5:$A$42,J30)=1,"PASS","FAIL")</f>
        <v/>
      </c>
      <c r="P30" s="11" t="inlineStr">
        <is>
          <t>已纳入独立交付闭包</t>
        </is>
      </c>
    </row>
    <row r="31" ht="66" customHeight="1">
      <c r="A31" s="11" t="inlineStr">
        <is>
          <t>L3-SE-GranularityDispatch-033</t>
        </is>
      </c>
      <c r="B31" s="11" t="inlineStr">
        <is>
          <t>SR-01-03-07</t>
        </is>
      </c>
      <c r="C31" s="11" t="inlineStr">
        <is>
          <t>V2.2校准基线</t>
        </is>
      </c>
      <c r="D31" s="11" t="inlineStr">
        <is>
          <t>L3 传输管理层</t>
        </is>
      </c>
      <c r="E31" s="11" t="inlineStr">
        <is>
          <t>语义策略与路径管理</t>
        </is>
      </c>
      <c r="F31" s="11" t="inlineStr">
        <is>
          <t>P1</t>
        </is>
      </c>
      <c r="G31" s="11" t="inlineStr">
        <is>
          <t>P1</t>
        </is>
      </c>
      <c r="H31" s="11" t="inlineStr">
        <is>
          <t>KV 元数据与 KV 数据分流传输｜L3-SE-GranularityDispatch-033</t>
        </is>
      </c>
      <c r="I31" s="11" t="inlineStr">
        <is>
          <t>查询（lookup） p99 降低 ≥30%，bulk BW 提升 ≥20%；</t>
        </is>
      </c>
      <c r="J31" s="11" t="inlineStr">
        <is>
          <t>SR23-01-03-02</t>
        </is>
      </c>
      <c r="K31" s="11" t="inlineStr">
        <is>
          <t>统一传输意图与粒度分发组件</t>
        </is>
      </c>
      <c r="L31" s="11" t="inlineStr">
        <is>
          <t>IR-01-03</t>
        </is>
      </c>
      <c r="M31" s="11" t="inlineStr">
        <is>
          <t>该来源作为“统一传输意图与粒度分发组件”功能闭包的内部需求、约束或验收输入；不再单独定义为 SR。</t>
        </is>
      </c>
      <c r="N31" s="11">
        <f>IF(COUNTIF($A$5:$A$153,A31)=1,"PASS","FAIL")</f>
        <v/>
      </c>
      <c r="O31" s="11">
        <f>IF(COUNTIF('SR系统设计'!$A$5:$A$42,J31)=1,"PASS","FAIL")</f>
        <v/>
      </c>
      <c r="P31" s="11" t="inlineStr">
        <is>
          <t>已纳入独立交付闭包</t>
        </is>
      </c>
    </row>
    <row r="32" ht="66" customHeight="1">
      <c r="A32" s="11" t="inlineStr">
        <is>
          <t>L3-SE-MultiReplicaResolver-089</t>
        </is>
      </c>
      <c r="B32" s="11" t="inlineStr">
        <is>
          <t>SR-01-03-08</t>
        </is>
      </c>
      <c r="C32" s="11" t="inlineStr">
        <is>
          <t>V2.2校准基线</t>
        </is>
      </c>
      <c r="D32" s="11" t="inlineStr">
        <is>
          <t>L3 传输管理层</t>
        </is>
      </c>
      <c r="E32" s="11" t="inlineStr">
        <is>
          <t>语义策略与路径管理</t>
        </is>
      </c>
      <c r="F32" s="11" t="inlineStr">
        <is>
          <t>P1</t>
        </is>
      </c>
      <c r="G32" s="11" t="inlineStr">
        <is>
          <t>P1</t>
        </is>
      </c>
      <c r="H32" s="11" t="inlineStr">
        <is>
          <t>异构分布式多副本的最优路径路由决策｜L3-SE-MultiReplicaResolver-089</t>
        </is>
      </c>
      <c r="I32" s="11" t="inlineStr">
        <is>
          <t>同机架内本地及远端DDR命中率（本地可用命中率（Local Usable Hit Rate））提升≥30%。</t>
        </is>
      </c>
      <c r="J32" s="11" t="inlineStr">
        <is>
          <t>SR23-01-03-01</t>
        </is>
      </c>
      <c r="K32" s="11" t="inlineStr">
        <is>
          <t>查询计划（QueryPlan） 与多副本成本决策引擎</t>
        </is>
      </c>
      <c r="L32" s="11" t="inlineStr">
        <is>
          <t>IR-01-03</t>
        </is>
      </c>
      <c r="M32" s="11" t="inlineStr">
        <is>
          <t>该来源作为“查询计划（QueryPlan） 与多副本成本决策引擎”功能闭包的内部需求、约束或验收输入；不再单独定义为 SR。</t>
        </is>
      </c>
      <c r="N32" s="11">
        <f>IF(COUNTIF($A$5:$A$153,A32)=1,"PASS","FAIL")</f>
        <v/>
      </c>
      <c r="O32" s="11">
        <f>IF(COUNTIF('SR系统设计'!$A$5:$A$42,J32)=1,"PASS","FAIL")</f>
        <v/>
      </c>
      <c r="P32" s="11" t="inlineStr">
        <is>
          <t>已纳入独立交付闭包</t>
        </is>
      </c>
    </row>
    <row r="33" ht="66" customHeight="1">
      <c r="A33" s="11" t="inlineStr">
        <is>
          <t>L3-SE-ViewCopyCostModel-034</t>
        </is>
      </c>
      <c r="B33" s="11" t="inlineStr">
        <is>
          <t>SR-01-03-09</t>
        </is>
      </c>
      <c r="C33" s="11" t="inlineStr">
        <is>
          <t>V2.2校准基线</t>
        </is>
      </c>
      <c r="D33" s="11" t="inlineStr">
        <is>
          <t>L3 传输管理层</t>
        </is>
      </c>
      <c r="E33" s="11" t="inlineStr">
        <is>
          <t>语义策略与路径管理</t>
        </is>
      </c>
      <c r="F33" s="11" t="inlineStr">
        <is>
          <t>P1</t>
        </is>
      </c>
      <c r="G33" s="11" t="inlineStr">
        <is>
          <t>P1</t>
        </is>
      </c>
      <c r="H33" s="11" t="inlineStr">
        <is>
          <t>近端热 KV 直访与回填优化｜L3-SE-ViewCopyCostModel-034</t>
        </is>
      </c>
      <c r="I33" s="11" t="inlineStr">
        <is>
          <t>TPOT 回退 &lt;3%，TTFT 降低 ≥10%；</t>
        </is>
      </c>
      <c r="J33" s="11" t="inlineStr">
        <is>
          <t>SR23-01-03-01</t>
        </is>
      </c>
      <c r="K33" s="11" t="inlineStr">
        <is>
          <t>查询计划（QueryPlan） 与多副本成本决策引擎</t>
        </is>
      </c>
      <c r="L33" s="11" t="inlineStr">
        <is>
          <t>IR-01-03</t>
        </is>
      </c>
      <c r="M33" s="11" t="inlineStr">
        <is>
          <t>该来源作为“查询计划（QueryPlan） 与多副本成本决策引擎”功能闭包的内部需求、约束或验收输入；不再单独定义为 SR。</t>
        </is>
      </c>
      <c r="N33" s="11">
        <f>IF(COUNTIF($A$5:$A$153,A33)=1,"PASS","FAIL")</f>
        <v/>
      </c>
      <c r="O33" s="11">
        <f>IF(COUNTIF('SR系统设计'!$A$5:$A$42,J33)=1,"PASS","FAIL")</f>
        <v/>
      </c>
      <c r="P33" s="11" t="inlineStr">
        <is>
          <t>已纳入独立交付闭包</t>
        </is>
      </c>
    </row>
    <row r="34" ht="66" customHeight="1">
      <c r="A34" s="11" t="inlineStr">
        <is>
          <t>L3-MS-HotReplication-040</t>
        </is>
      </c>
      <c r="B34" s="11" t="inlineStr">
        <is>
          <t>SR-01-04-01</t>
        </is>
      </c>
      <c r="C34" s="11" t="inlineStr">
        <is>
          <t>V2.2校准基线</t>
        </is>
      </c>
      <c r="D34" s="11" t="inlineStr">
        <is>
          <t>L3 传输管理层</t>
        </is>
      </c>
      <c r="E34" s="11" t="inlineStr">
        <is>
          <t>传输编排与广播</t>
        </is>
      </c>
      <c r="F34" s="11" t="inlineStr">
        <is>
          <t>P1</t>
        </is>
      </c>
      <c r="G34" s="11" t="inlineStr">
        <is>
          <t>P1</t>
        </is>
      </c>
      <c r="H34" s="11" t="inlineStr">
        <is>
          <t>热点前缀 KVCache 多副本扩散｜L3-MS-HotReplication-040</t>
        </is>
      </c>
      <c r="I34" s="11" t="inlineStr">
        <is>
          <t>hot shard p99 降低 ≥40%；</t>
        </is>
      </c>
      <c r="J34" s="11" t="inlineStr">
        <is>
          <t>SR23-01-04-01</t>
        </is>
      </c>
      <c r="K34" s="11" t="inlineStr">
        <is>
          <t>异步传输 有向无环图（DAG） 与流水加载执行器</t>
        </is>
      </c>
      <c r="L34" s="11" t="inlineStr">
        <is>
          <t>IR-01-04</t>
        </is>
      </c>
      <c r="M34" s="11" t="inlineStr">
        <is>
          <t>该来源作为“异步传输 有向无环图（DAG） 与流水加载执行器”功能闭包的内部需求、约束或验收输入；不再单独定义为 SR。</t>
        </is>
      </c>
      <c r="N34" s="11">
        <f>IF(COUNTIF($A$5:$A$153,A34)=1,"PASS","FAIL")</f>
        <v/>
      </c>
      <c r="O34" s="11">
        <f>IF(COUNTIF('SR系统设计'!$A$5:$A$42,J34)=1,"PASS","FAIL")</f>
        <v/>
      </c>
      <c r="P34" s="11" t="inlineStr">
        <is>
          <t>已纳入独立交付闭包</t>
        </is>
      </c>
    </row>
    <row r="35" ht="66" customHeight="1">
      <c r="A35" s="11" t="inlineStr">
        <is>
          <t>L3-MS-StateAwarePrefetch-081</t>
        </is>
      </c>
      <c r="B35" s="11" t="inlineStr">
        <is>
          <t>SR-01-04-02</t>
        </is>
      </c>
      <c r="C35" s="11" t="inlineStr">
        <is>
          <t>V2.2校准基线</t>
        </is>
      </c>
      <c r="D35" s="11" t="inlineStr">
        <is>
          <t>L3 传输管理层</t>
        </is>
      </c>
      <c r="E35" s="11" t="inlineStr">
        <is>
          <t>传输编排与广播</t>
        </is>
      </c>
      <c r="F35" s="11" t="inlineStr">
        <is>
          <t>P1</t>
        </is>
      </c>
      <c r="G35" s="11" t="inlineStr">
        <is>
          <t>P1</t>
        </is>
      </c>
      <c r="H35" s="11" t="inlineStr">
        <is>
          <t>状态感知的 KV 预取｜L3-MS-StateAwarePrefetch-081</t>
        </is>
      </c>
      <c r="I35" s="11" t="inlineStr">
        <is>
          <t>节点动态加入/退出时的缓存失效控制在局部范围内（遵循一致性哈希比例）。</t>
        </is>
      </c>
      <c r="J35" s="11" t="inlineStr">
        <is>
          <t>SR23-01-04-01</t>
        </is>
      </c>
      <c r="K35" s="11" t="inlineStr">
        <is>
          <t>异步传输 有向无环图（DAG） 与流水加载执行器</t>
        </is>
      </c>
      <c r="L35" s="11" t="inlineStr">
        <is>
          <t>IR-01-04</t>
        </is>
      </c>
      <c r="M35" s="11" t="inlineStr">
        <is>
          <t>该来源作为“异步传输 有向无环图（DAG） 与流水加载执行器”功能闭包的内部需求、约束或验收输入；不再单独定义为 SR。</t>
        </is>
      </c>
      <c r="N35" s="11">
        <f>IF(COUNTIF($A$5:$A$153,A35)=1,"PASS","FAIL")</f>
        <v/>
      </c>
      <c r="O35" s="11">
        <f>IF(COUNTIF('SR系统设计'!$A$5:$A$42,J35)=1,"PASS","FAIL")</f>
        <v/>
      </c>
      <c r="P35" s="11" t="inlineStr">
        <is>
          <t>已纳入独立交付闭包</t>
        </is>
      </c>
    </row>
    <row r="36" ht="66" customHeight="1">
      <c r="A36" s="11" t="inlineStr">
        <is>
          <t>L3-C2C-POOL-SCHED-002</t>
        </is>
      </c>
      <c r="B36" s="11" t="inlineStr">
        <is>
          <t>SR-01-04-03</t>
        </is>
      </c>
      <c r="C36" s="11" t="inlineStr">
        <is>
          <t>V2.2校准基线</t>
        </is>
      </c>
      <c r="D36" s="11" t="inlineStr">
        <is>
          <t>L3 传输管理层</t>
        </is>
      </c>
      <c r="E36" s="11" t="inlineStr">
        <is>
          <t>传输编排与广播</t>
        </is>
      </c>
      <c r="F36" s="11" t="inlineStr">
        <is>
          <t>P2</t>
        </is>
      </c>
      <c r="G36" s="11" t="inlineStr">
        <is>
          <t>P2</t>
        </is>
      </c>
      <c r="H36" s="11" t="inlineStr">
        <is>
          <t>C2C统一内存热度调度｜L3-C2C-POOL-SCHED-002</t>
        </is>
      </c>
      <c r="I36" s="11" t="inlineStr">
        <is>
          <t>节点动态加入/退出时的缓存失效控制在局部范围内（遵循一致性哈希比例）。</t>
        </is>
      </c>
      <c r="J36" s="11" t="inlineStr">
        <is>
          <t>SR23-01-04-01</t>
        </is>
      </c>
      <c r="K36" s="11" t="inlineStr">
        <is>
          <t>异步传输 有向无环图（DAG） 与流水加载执行器</t>
        </is>
      </c>
      <c r="L36" s="11" t="inlineStr">
        <is>
          <t>IR-01-04</t>
        </is>
      </c>
      <c r="M36" s="11" t="inlineStr">
        <is>
          <t>该来源作为“异步传输 有向无环图（DAG） 与流水加载执行器”功能闭包的内部需求、约束或验收输入；不再单独定义为 SR。</t>
        </is>
      </c>
      <c r="N36" s="11">
        <f>IF(COUNTIF($A$5:$A$153,A36)=1,"PASS","FAIL")</f>
        <v/>
      </c>
      <c r="O36" s="11">
        <f>IF(COUNTIF('SR系统设计'!$A$5:$A$42,J36)=1,"PASS","FAIL")</f>
        <v/>
      </c>
      <c r="P36" s="11" t="inlineStr">
        <is>
          <t>已纳入独立交付闭包</t>
        </is>
      </c>
    </row>
    <row r="37" ht="66" customHeight="1">
      <c r="A37" s="11" t="inlineStr">
        <is>
          <t>L3-LMC-PRFCH-ENGINE-001</t>
        </is>
      </c>
      <c r="B37" s="11" t="inlineStr">
        <is>
          <t>SR-01-04-04</t>
        </is>
      </c>
      <c r="C37" s="11" t="inlineStr">
        <is>
          <t>V2.2校准基线</t>
        </is>
      </c>
      <c r="D37" s="11" t="inlineStr">
        <is>
          <t>L3 传输管理层</t>
        </is>
      </c>
      <c r="E37" s="11" t="inlineStr">
        <is>
          <t>传输编排与广播</t>
        </is>
      </c>
      <c r="F37" s="11" t="inlineStr">
        <is>
          <t>P2</t>
        </is>
      </c>
      <c r="G37" s="11" t="inlineStr">
        <is>
          <t>P2</t>
        </is>
      </c>
      <c r="H37" s="11" t="inlineStr">
        <is>
          <t>冷KVCache预取加热｜L3-LMC-PRFCH-ENGINE-001</t>
        </is>
      </c>
      <c r="I37" s="11" t="inlineStr">
        <is>
          <t>前缀（Prefix）命中判定P99耗时 &lt; 200us；在共享前缀（Share-Prefix）业务下，可用命中率（Usable Hit Rate）提升≥15%。</t>
        </is>
      </c>
      <c r="J37" s="11" t="inlineStr">
        <is>
          <t>SR23-01-04-01</t>
        </is>
      </c>
      <c r="K37" s="11" t="inlineStr">
        <is>
          <t>异步传输 有向无环图（DAG） 与流水加载执行器</t>
        </is>
      </c>
      <c r="L37" s="11" t="inlineStr">
        <is>
          <t>IR-01-04</t>
        </is>
      </c>
      <c r="M37" s="11" t="inlineStr">
        <is>
          <t>该来源作为“异步传输 有向无环图（DAG） 与流水加载执行器”功能闭包的内部需求、约束或验收输入；不再单独定义为 SR。</t>
        </is>
      </c>
      <c r="N37" s="11">
        <f>IF(COUNTIF($A$5:$A$153,A37)=1,"PASS","FAIL")</f>
        <v/>
      </c>
      <c r="O37" s="11">
        <f>IF(COUNTIF('SR系统设计'!$A$5:$A$42,J37)=1,"PASS","FAIL")</f>
        <v/>
      </c>
      <c r="P37" s="11" t="inlineStr">
        <is>
          <t>已纳入独立交付闭包</t>
        </is>
      </c>
    </row>
    <row r="38" ht="66" customHeight="1">
      <c r="A38" s="11" t="inlineStr">
        <is>
          <t>L3-UB-TOPO-ROUTE-001</t>
        </is>
      </c>
      <c r="B38" s="11" t="inlineStr">
        <is>
          <t>SR-01-04-05</t>
        </is>
      </c>
      <c r="C38" s="11" t="inlineStr">
        <is>
          <t>V2.2校准基线</t>
        </is>
      </c>
      <c r="D38" s="11" t="inlineStr">
        <is>
          <t>L3 传输管理层</t>
        </is>
      </c>
      <c r="E38" s="11" t="inlineStr">
        <is>
          <t>传输编排与广播</t>
        </is>
      </c>
      <c r="F38" s="11" t="inlineStr">
        <is>
          <t>P2</t>
        </is>
      </c>
      <c r="G38" s="11" t="inlineStr">
        <is>
          <t>P2</t>
        </is>
      </c>
      <c r="H38" s="11" t="inlineStr">
        <is>
          <t>机内NPU KVCache P2P高速传输｜L3-UB-TOPO-ROUTE-001</t>
        </is>
      </c>
      <c r="I38" s="11" t="inlineStr">
        <is>
          <t>节点动态加入/退出时的缓存失效控制在局部范围内（遵循一致性哈希比例）。</t>
        </is>
      </c>
      <c r="J38" s="11" t="inlineStr">
        <is>
          <t>SR23-01-04-01</t>
        </is>
      </c>
      <c r="K38" s="11" t="inlineStr">
        <is>
          <t>异步传输 有向无环图（DAG） 与流水加载执行器</t>
        </is>
      </c>
      <c r="L38" s="11" t="inlineStr">
        <is>
          <t>IR-01-04</t>
        </is>
      </c>
      <c r="M38" s="11" t="inlineStr">
        <is>
          <t>该来源作为“异步传输 有向无环图（DAG） 与流水加载执行器”功能闭包的内部需求、约束或验收输入；不再单独定义为 SR。</t>
        </is>
      </c>
      <c r="N38" s="11">
        <f>IF(COUNTIF($A$5:$A$153,A38)=1,"PASS","FAIL")</f>
        <v/>
      </c>
      <c r="O38" s="11">
        <f>IF(COUNTIF('SR系统设计'!$A$5:$A$42,J38)=1,"PASS","FAIL")</f>
        <v/>
      </c>
      <c r="P38" s="11" t="inlineStr">
        <is>
          <t>已纳入独立交付闭包</t>
        </is>
      </c>
    </row>
    <row r="39" ht="66" customHeight="1">
      <c r="A39" s="11" t="inlineStr">
        <is>
          <t>L3-TRANS-MUL-ENGINE-003</t>
        </is>
      </c>
      <c r="B39" s="11" t="inlineStr">
        <is>
          <t>SR-01-04-06</t>
        </is>
      </c>
      <c r="C39" s="11" t="inlineStr">
        <is>
          <t>V2.2校准基线</t>
        </is>
      </c>
      <c r="D39" s="11" t="inlineStr">
        <is>
          <t>L3 传输管理层</t>
        </is>
      </c>
      <c r="E39" s="11" t="inlineStr">
        <is>
          <t>传输编排与广播</t>
        </is>
      </c>
      <c r="F39" s="11" t="inlineStr">
        <is>
          <t>P3</t>
        </is>
      </c>
      <c r="G39" s="11" t="inlineStr">
        <is>
          <t>P3</t>
        </is>
      </c>
      <c r="H39" s="11" t="inlineStr">
        <is>
          <t>一对多KVCache高效分发｜L3-TRANS-MUL-ENGINE-003</t>
        </is>
      </c>
      <c r="I39" s="11" t="inlineStr">
        <is>
          <t>探索直接视图(直接视图（direct view）)、硬件多播及硬件原子页迁移等远期能力，避免 TPOT 被直接视图意外拖慢，不强求 &lt;500ns 等极端指标。</t>
        </is>
      </c>
      <c r="J39" s="11" t="inlineStr">
        <is>
          <t>SR23-01-04-02</t>
        </is>
      </c>
      <c r="K39" s="11" t="inlineStr">
        <is>
          <t>一对多共享与可选多播 提供器（Provider）</t>
        </is>
      </c>
      <c r="L39" s="11" t="inlineStr">
        <is>
          <t>IR-01-04</t>
        </is>
      </c>
      <c r="M39" s="11" t="inlineStr">
        <is>
          <t>该来源作为“一对多共享与可选多播 提供器（Provider）”功能闭包的内部需求、约束或验收输入；不再单独定义为 SR。</t>
        </is>
      </c>
      <c r="N39" s="11">
        <f>IF(COUNTIF($A$5:$A$153,A39)=1,"PASS","FAIL")</f>
        <v/>
      </c>
      <c r="O39" s="11">
        <f>IF(COUNTIF('SR系统设计'!$A$5:$A$42,J39)=1,"PASS","FAIL")</f>
        <v/>
      </c>
      <c r="P39" s="11" t="inlineStr">
        <is>
          <t>已纳入独立交付闭包</t>
        </is>
      </c>
    </row>
    <row r="40" ht="66" customHeight="1">
      <c r="A40" s="11" t="inlineStr">
        <is>
          <t>L4-RDMA-MUL-FABRIC-002</t>
        </is>
      </c>
      <c r="B40" s="11" t="inlineStr">
        <is>
          <t>SR-01-04-07</t>
        </is>
      </c>
      <c r="C40" s="11" t="inlineStr">
        <is>
          <t>V2.2校准基线</t>
        </is>
      </c>
      <c r="D40" s="11" t="inlineStr">
        <is>
          <t>L4 底层传输层</t>
        </is>
      </c>
      <c r="E40" s="11" t="inlineStr">
        <is>
          <t>RDMA与零拷贝传输</t>
        </is>
      </c>
      <c r="F40" s="11" t="inlineStr">
        <is>
          <t>P3</t>
        </is>
      </c>
      <c r="G40" s="11" t="inlineStr">
        <is>
          <t>P3</t>
        </is>
      </c>
      <c r="H40" s="11" t="inlineStr">
        <is>
          <t>共享前缀KVCache批量广播｜L4-RDMA-MUL-FABRIC-002</t>
        </is>
      </c>
      <c r="I40" s="11" t="inlineStr">
        <is>
          <t>探索直接视图(直接视图（direct view）)、硬件多播及硬件原子页迁移等远期能力，避免 TPOT 被直接视图意外拖慢，不强求 &lt;500ns 等极端指标。</t>
        </is>
      </c>
      <c r="J40" s="11" t="inlineStr">
        <is>
          <t>SR23-01-04-02</t>
        </is>
      </c>
      <c r="K40" s="11" t="inlineStr">
        <is>
          <t>一对多共享与可选多播 提供器（Provider）</t>
        </is>
      </c>
      <c r="L40" s="11" t="inlineStr">
        <is>
          <t>IR-01-04</t>
        </is>
      </c>
      <c r="M40" s="11" t="inlineStr">
        <is>
          <t>该来源作为“一对多共享与可选多播 提供器（Provider）”功能闭包的内部需求、约束或验收输入；不再单独定义为 SR。</t>
        </is>
      </c>
      <c r="N40" s="11">
        <f>IF(COUNTIF($A$5:$A$153,A40)=1,"PASS","FAIL")</f>
        <v/>
      </c>
      <c r="O40" s="11">
        <f>IF(COUNTIF('SR系统设计'!$A$5:$A$42,J40)=1,"PASS","FAIL")</f>
        <v/>
      </c>
      <c r="P40" s="11" t="inlineStr">
        <is>
          <t>已纳入独立交付闭包</t>
        </is>
      </c>
    </row>
    <row r="41" ht="66" customHeight="1">
      <c r="A41" s="11" t="inlineStr">
        <is>
          <t>L2-CONN-TOPO-ROUTE-002</t>
        </is>
      </c>
      <c r="B41" s="11" t="inlineStr">
        <is>
          <t>SR-01-05-01</t>
        </is>
      </c>
      <c r="C41" s="11" t="inlineStr">
        <is>
          <t>V2.2校准基线</t>
        </is>
      </c>
      <c r="D41" s="11" t="inlineStr">
        <is>
          <t>L2 KV连接器（KVConnector）层</t>
        </is>
      </c>
      <c r="E41" s="11" t="inlineStr">
        <is>
          <t>路径路由与能力探测</t>
        </is>
      </c>
      <c r="F41" s="11" t="inlineStr">
        <is>
          <t>P1</t>
        </is>
      </c>
      <c r="G41" s="11" t="inlineStr">
        <is>
          <t>P1</t>
        </is>
      </c>
      <c r="H41" s="11" t="inlineStr">
        <is>
          <t>动态传输路径路由｜L2-CONN-TOPO-ROUTE-002</t>
        </is>
      </c>
      <c r="I41" s="11" t="inlineStr">
        <is>
          <t>同机架内本地及远端DDR命中率（本地可用命中率（Local Usable Hit Rate））提升≥30%。</t>
        </is>
      </c>
      <c r="J41" s="11" t="inlineStr">
        <is>
          <t>SR23-01-05-01</t>
        </is>
      </c>
      <c r="K41" s="11" t="inlineStr">
        <is>
          <t>路径质量探测与动态路由组件</t>
        </is>
      </c>
      <c r="L41" s="11" t="inlineStr">
        <is>
          <t>IR-01-05</t>
        </is>
      </c>
      <c r="M41" s="11" t="inlineStr">
        <is>
          <t>该来源作为“路径质量探测与动态路由组件”功能闭包的内部需求、约束或验收输入；不再单独定义为 SR。</t>
        </is>
      </c>
      <c r="N41" s="11">
        <f>IF(COUNTIF($A$5:$A$153,A41)=1,"PASS","FAIL")</f>
        <v/>
      </c>
      <c r="O41" s="11">
        <f>IF(COUNTIF('SR系统设计'!$A$5:$A$42,J41)=1,"PASS","FAIL")</f>
        <v/>
      </c>
      <c r="P41" s="11" t="inlineStr">
        <is>
          <t>已纳入独立交付闭包</t>
        </is>
      </c>
    </row>
    <row r="42" ht="66" customHeight="1">
      <c r="A42" s="11" t="inlineStr">
        <is>
          <t>L2-CONN-WatermarkQuery-032</t>
        </is>
      </c>
      <c r="B42" s="11" t="inlineStr">
        <is>
          <t>SR-01-05-02</t>
        </is>
      </c>
      <c r="C42" s="11" t="inlineStr">
        <is>
          <t>V2.2校准基线</t>
        </is>
      </c>
      <c r="D42" s="11" t="inlineStr">
        <is>
          <t>L2 KV连接器（KVConnector）层</t>
        </is>
      </c>
      <c r="E42" s="11" t="inlineStr">
        <is>
          <t>路径路由与能力探测</t>
        </is>
      </c>
      <c r="F42" s="11" t="inlineStr">
        <is>
          <t>P1</t>
        </is>
      </c>
      <c r="G42" s="11" t="inlineStr">
        <is>
          <t>P1</t>
        </is>
      </c>
      <c r="H42" s="11" t="inlineStr">
        <is>
          <t>动态拓扑水位路径规避｜L2-CONN-WatermarkQuery-032</t>
        </is>
      </c>
      <c r="I42" s="11" t="inlineStr">
        <is>
          <t>同机架内本地及远端DDR命中率（本地可用命中率（Local Usable Hit Rate））提升≥30%。</t>
        </is>
      </c>
      <c r="J42" s="11" t="inlineStr">
        <is>
          <t>SR23-01-05-01</t>
        </is>
      </c>
      <c r="K42" s="11" t="inlineStr">
        <is>
          <t>路径质量探测与动态路由组件</t>
        </is>
      </c>
      <c r="L42" s="11" t="inlineStr">
        <is>
          <t>IR-01-05</t>
        </is>
      </c>
      <c r="M42" s="11" t="inlineStr">
        <is>
          <t>该来源作为“路径质量探测与动态路由组件”功能闭包的内部需求、约束或验收输入；不再单独定义为 SR。</t>
        </is>
      </c>
      <c r="N42" s="11">
        <f>IF(COUNTIF($A$5:$A$153,A42)=1,"PASS","FAIL")</f>
        <v/>
      </c>
      <c r="O42" s="11">
        <f>IF(COUNTIF('SR系统设计'!$A$5:$A$42,J42)=1,"PASS","FAIL")</f>
        <v/>
      </c>
      <c r="P42" s="11" t="inlineStr">
        <is>
          <t>已纳入独立交付闭包</t>
        </is>
      </c>
    </row>
    <row r="43" ht="66" customHeight="1">
      <c r="A43" s="11" t="inlineStr">
        <is>
          <t>L3-TRANS-TOPO-SENSE-004</t>
        </is>
      </c>
      <c r="B43" s="11" t="inlineStr">
        <is>
          <t>SR-01-05-03</t>
        </is>
      </c>
      <c r="C43" s="11" t="inlineStr">
        <is>
          <t>V2.2校准基线</t>
        </is>
      </c>
      <c r="D43" s="11" t="inlineStr">
        <is>
          <t>L3 传输管理层</t>
        </is>
      </c>
      <c r="E43" s="11" t="inlineStr">
        <is>
          <t>语义策略与路径管理</t>
        </is>
      </c>
      <c r="F43" s="11" t="inlineStr">
        <is>
          <t>P1</t>
        </is>
      </c>
      <c r="G43" s="11" t="inlineStr">
        <is>
          <t>P1</t>
        </is>
      </c>
      <c r="H43" s="11" t="inlineStr">
        <is>
          <t>动态传输质量适应｜L3-TRANS-TOPO-SENSE-004</t>
        </is>
      </c>
      <c r="I43" s="11" t="inlineStr">
        <is>
          <t>传输端到端延迟降低≥40%，CPU占用率(System 加载（Load）)下降。</t>
        </is>
      </c>
      <c r="J43" s="11" t="inlineStr">
        <is>
          <t>SR23-01-05-01</t>
        </is>
      </c>
      <c r="K43" s="11" t="inlineStr">
        <is>
          <t>路径质量探测与动态路由组件</t>
        </is>
      </c>
      <c r="L43" s="11" t="inlineStr">
        <is>
          <t>IR-01-05</t>
        </is>
      </c>
      <c r="M43" s="11" t="inlineStr">
        <is>
          <t>该来源作为“路径质量探测与动态路由组件”功能闭包的内部需求、约束或验收输入；不再单独定义为 SR。</t>
        </is>
      </c>
      <c r="N43" s="11">
        <f>IF(COUNTIF($A$5:$A$153,A43)=1,"PASS","FAIL")</f>
        <v/>
      </c>
      <c r="O43" s="11">
        <f>IF(COUNTIF('SR系统设计'!$A$5:$A$42,J43)=1,"PASS","FAIL")</f>
        <v/>
      </c>
      <c r="P43" s="11" t="inlineStr">
        <is>
          <t>已纳入独立交付闭包</t>
        </is>
      </c>
    </row>
    <row r="44" ht="66" customHeight="1">
      <c r="A44" s="11" t="inlineStr">
        <is>
          <t>L4-OL-RegisteredPool-053</t>
        </is>
      </c>
      <c r="B44" s="11" t="inlineStr">
        <is>
          <t>SR-01-06-01</t>
        </is>
      </c>
      <c r="C44" s="11" t="inlineStr">
        <is>
          <t>V2.2校准基线</t>
        </is>
      </c>
      <c r="D44" s="11" t="inlineStr">
        <is>
          <t>L4 底层传输层</t>
        </is>
      </c>
      <c r="E44" s="11" t="inlineStr">
        <is>
          <t>RDMA与零拷贝传输</t>
        </is>
      </c>
      <c r="F44" s="11" t="inlineStr">
        <is>
          <t>P0</t>
        </is>
      </c>
      <c r="G44" s="11" t="inlineStr">
        <is>
          <t>P0</t>
        </is>
      </c>
      <c r="H44" s="11" t="inlineStr">
        <is>
          <t>高频 KV 传输注册内存池化｜L4-OL-RegisteredPool-053</t>
        </is>
      </c>
      <c r="I44" s="11" t="inlineStr">
        <is>
          <t>建立前置硬件能力矩阵和注册内存池机制，确保 KV 块（block） 布局（layout） 不被碎片化，并能进行有效的硬件边界隔离。</t>
        </is>
      </c>
      <c r="J44" s="11" t="inlineStr">
        <is>
          <t>SR23-01-06-01</t>
        </is>
      </c>
      <c r="K44" s="11" t="inlineStr">
        <is>
          <t>跨节点 RDMA 零拷贝 提供器（Provider）</t>
        </is>
      </c>
      <c r="L44" s="11" t="inlineStr">
        <is>
          <t>IR-01-06</t>
        </is>
      </c>
      <c r="M44" s="11" t="inlineStr">
        <is>
          <t>该来源作为“跨节点 RDMA 零拷贝 提供器（Provider）”功能闭包的内部需求、约束或验收输入；不再单独定义为 SR。</t>
        </is>
      </c>
      <c r="N44" s="11">
        <f>IF(COUNTIF($A$5:$A$153,A44)=1,"PASS","FAIL")</f>
        <v/>
      </c>
      <c r="O44" s="11">
        <f>IF(COUNTIF('SR系统设计'!$A$5:$A$42,J44)=1,"PASS","FAIL")</f>
        <v/>
      </c>
      <c r="P44" s="11" t="inlineStr">
        <is>
          <t>已纳入独立交付闭包</t>
        </is>
      </c>
    </row>
    <row r="45" ht="66" customHeight="1">
      <c r="A45" s="11" t="inlineStr">
        <is>
          <t>L4-RDMA-RemoteExtentHandle-071</t>
        </is>
      </c>
      <c r="B45" s="11" t="inlineStr">
        <is>
          <t>SR-01-06-02</t>
        </is>
      </c>
      <c r="C45" s="11" t="inlineStr">
        <is>
          <t>V2.2校准基线</t>
        </is>
      </c>
      <c r="D45" s="11" t="inlineStr">
        <is>
          <t>L4 底层传输层</t>
        </is>
      </c>
      <c r="E45" s="11" t="inlineStr">
        <is>
          <t>RDMA与零拷贝传输</t>
        </is>
      </c>
      <c r="F45" s="11" t="inlineStr">
        <is>
          <t>P0</t>
        </is>
      </c>
      <c r="G45" s="11" t="inlineStr">
        <is>
          <t>P0</t>
        </is>
      </c>
      <c r="H45" s="11" t="inlineStr">
        <is>
          <t>远端 KV 副本安全寻址｜L4-RDMA-RemoteExtentHandle-071</t>
        </is>
      </c>
      <c r="I45" s="11" t="inlineStr">
        <is>
          <t>全局内存利用率提升至≥85%，跨级冷热数据迁移过程中的TPOT抖动 &lt; 5%。</t>
        </is>
      </c>
      <c r="J45" s="11" t="inlineStr">
        <is>
          <t>SR23-01-06-01</t>
        </is>
      </c>
      <c r="K45" s="11" t="inlineStr">
        <is>
          <t>跨节点 RDMA 零拷贝 提供器（Provider）</t>
        </is>
      </c>
      <c r="L45" s="11" t="inlineStr">
        <is>
          <t>IR-01-06</t>
        </is>
      </c>
      <c r="M45" s="11" t="inlineStr">
        <is>
          <t>该来源作为“跨节点 RDMA 零拷贝 提供器（Provider）”功能闭包的内部需求、约束或验收输入；不再单独定义为 SR。</t>
        </is>
      </c>
      <c r="N45" s="11">
        <f>IF(COUNTIF($A$5:$A$153,A45)=1,"PASS","FAIL")</f>
        <v/>
      </c>
      <c r="O45" s="11">
        <f>IF(COUNTIF('SR系统设计'!$A$5:$A$42,J45)=1,"PASS","FAIL")</f>
        <v/>
      </c>
      <c r="P45" s="11" t="inlineStr">
        <is>
          <t>已纳入独立交付闭包</t>
        </is>
      </c>
    </row>
    <row r="46" ht="66" customHeight="1">
      <c r="A46" s="11" t="inlineStr">
        <is>
          <t>L4-RDMA-P2P-NPU-001</t>
        </is>
      </c>
      <c r="B46" s="11" t="inlineStr">
        <is>
          <t>SR-01-06-03</t>
        </is>
      </c>
      <c r="C46" s="11" t="inlineStr">
        <is>
          <t>V2.2校准基线</t>
        </is>
      </c>
      <c r="D46" s="11" t="inlineStr">
        <is>
          <t>L4 底层传输层</t>
        </is>
      </c>
      <c r="E46" s="11" t="inlineStr">
        <is>
          <t>RDMA与零拷贝传输</t>
        </is>
      </c>
      <c r="F46" s="11" t="inlineStr">
        <is>
          <t>P1</t>
        </is>
      </c>
      <c r="G46" s="11" t="inlineStr">
        <is>
          <t>P1</t>
        </is>
      </c>
      <c r="H46" s="11" t="inlineStr">
        <is>
          <t>跨节点KVCache零拷贝传输｜L4-RDMA-P2P-NPU-001</t>
        </is>
      </c>
      <c r="I46" s="11" t="inlineStr">
        <is>
          <t>传输端到端延迟降低≥40%，CPU占用率(System 加载（Load）)下降。</t>
        </is>
      </c>
      <c r="J46" s="11" t="inlineStr">
        <is>
          <t>SR23-01-06-01</t>
        </is>
      </c>
      <c r="K46" s="11" t="inlineStr">
        <is>
          <t>跨节点 RDMA 零拷贝 提供器（Provider）</t>
        </is>
      </c>
      <c r="L46" s="11" t="inlineStr">
        <is>
          <t>IR-01-06</t>
        </is>
      </c>
      <c r="M46" s="11" t="inlineStr">
        <is>
          <t>该来源作为“跨节点 RDMA 零拷贝 提供器（Provider）”功能闭包的内部需求、约束或验收输入；不再单独定义为 SR。</t>
        </is>
      </c>
      <c r="N46" s="11">
        <f>IF(COUNTIF($A$5:$A$153,A46)=1,"PASS","FAIL")</f>
        <v/>
      </c>
      <c r="O46" s="11">
        <f>IF(COUNTIF('SR系统设计'!$A$5:$A$42,J46)=1,"PASS","FAIL")</f>
        <v/>
      </c>
      <c r="P46" s="11" t="inlineStr">
        <is>
          <t>已纳入独立交付闭包</t>
        </is>
      </c>
    </row>
    <row r="47" ht="66" customHeight="1">
      <c r="A47" s="11" t="inlineStr">
        <is>
          <t>L4-UB-DirectViewGuard-072</t>
        </is>
      </c>
      <c r="B47" s="11" t="inlineStr">
        <is>
          <t>SR-01-07-01</t>
        </is>
      </c>
      <c r="C47" s="11" t="inlineStr">
        <is>
          <t>V2.2校准基线</t>
        </is>
      </c>
      <c r="D47" s="11" t="inlineStr">
        <is>
          <t>L4 底层传输层</t>
        </is>
      </c>
      <c r="E47" s="11" t="inlineStr">
        <is>
          <t>统一内存与内存语义访问</t>
        </is>
      </c>
      <c r="F47" s="11" t="inlineStr">
        <is>
          <t>P0</t>
        </is>
      </c>
      <c r="G47" s="11" t="inlineStr">
        <is>
          <t>P0</t>
        </is>
      </c>
      <c r="H47" s="11" t="inlineStr">
        <is>
          <t>近端/远端 内存视图（memory view） 安全消费｜L4-UB-DirectViewGuard-072</t>
        </is>
      </c>
      <c r="I47" s="11" t="inlineStr">
        <is>
          <t>高拥塞背景下，KVCache关键小包的P99延迟不随大流数据量线性增加。</t>
        </is>
      </c>
      <c r="J47" s="11" t="inlineStr">
        <is>
          <t>SR23-01-07-01</t>
        </is>
      </c>
      <c r="K47" s="11" t="inlineStr">
        <is>
          <t>UBMEM/C2C 直接视图（Direct View） 安全访问 提供器（Provider）</t>
        </is>
      </c>
      <c r="L47" s="11" t="inlineStr">
        <is>
          <t>IR-01-07</t>
        </is>
      </c>
      <c r="M47" s="11" t="inlineStr">
        <is>
          <t>该来源作为“UBMEM/C2C 直接视图（Direct View） 安全访问 提供器（Provider）”功能闭包的内部需求、约束或验收输入；不再单独定义为 SR。</t>
        </is>
      </c>
      <c r="N47" s="11">
        <f>IF(COUNTIF($A$5:$A$153,A47)=1,"PASS","FAIL")</f>
        <v/>
      </c>
      <c r="O47" s="11">
        <f>IF(COUNTIF('SR系统设计'!$A$5:$A$42,J47)=1,"PASS","FAIL")</f>
        <v/>
      </c>
      <c r="P47" s="11" t="inlineStr">
        <is>
          <t>已纳入独立交付闭包</t>
        </is>
      </c>
    </row>
    <row r="48" ht="66" customHeight="1">
      <c r="A48" s="11" t="inlineStr">
        <is>
          <t>L3-MS-UBC2CTier-055</t>
        </is>
      </c>
      <c r="B48" s="11" t="inlineStr">
        <is>
          <t>SR-01-07-02</t>
        </is>
      </c>
      <c r="C48" s="11" t="inlineStr">
        <is>
          <t>V2.2校准基线</t>
        </is>
      </c>
      <c r="D48" s="11" t="inlineStr">
        <is>
          <t>L3 传输管理层</t>
        </is>
      </c>
      <c r="E48" s="11" t="inlineStr">
        <is>
          <t>全路径观测与故障追踪</t>
        </is>
      </c>
      <c r="F48" s="11" t="inlineStr">
        <is>
          <t>P1</t>
        </is>
      </c>
      <c r="G48" s="11" t="inlineStr">
        <is>
          <t>P1</t>
        </is>
      </c>
      <c r="H48" s="11" t="inlineStr">
        <is>
          <t>UBlink-C2C 近端热 KV 存储扩展｜L3-MS-UBC2CTier-055</t>
        </is>
      </c>
      <c r="I48" s="11" t="inlineStr">
        <is>
          <t>前缀（Prefix）命中判定P99耗时 &lt; 200us；在共享前缀（Share-Prefix）业务下，可用命中率（Usable Hit Rate）提升≥15%。</t>
        </is>
      </c>
      <c r="J48" s="11" t="inlineStr">
        <is>
          <t>SR23-01-07-01</t>
        </is>
      </c>
      <c r="K48" s="11" t="inlineStr">
        <is>
          <t>UBMEM/C2C 直接视图（Direct View） 安全访问 提供器（Provider）</t>
        </is>
      </c>
      <c r="L48" s="11" t="inlineStr">
        <is>
          <t>IR-01-07</t>
        </is>
      </c>
      <c r="M48" s="11" t="inlineStr">
        <is>
          <t>该来源作为“UBMEM/C2C 直接视图（Direct View） 安全访问 提供器（Provider）”功能闭包的内部需求、约束或验收输入；不再单独定义为 SR。</t>
        </is>
      </c>
      <c r="N48" s="11">
        <f>IF(COUNTIF($A$5:$A$153,A48)=1,"PASS","FAIL")</f>
        <v/>
      </c>
      <c r="O48" s="11">
        <f>IF(COUNTIF('SR系统设计'!$A$5:$A$42,J48)=1,"PASS","FAIL")</f>
        <v/>
      </c>
      <c r="P48" s="11" t="inlineStr">
        <is>
          <t>已纳入独立交付闭包</t>
        </is>
      </c>
    </row>
    <row r="49" ht="66" customHeight="1">
      <c r="A49" s="11" t="inlineStr">
        <is>
          <t>L4-C2C-UNIFY-POOL-001</t>
        </is>
      </c>
      <c r="B49" s="11" t="inlineStr">
        <is>
          <t>SR-01-07-03</t>
        </is>
      </c>
      <c r="C49" s="11" t="inlineStr">
        <is>
          <t>V2.2校准基线</t>
        </is>
      </c>
      <c r="D49" s="11" t="inlineStr">
        <is>
          <t>L4 底层传输层</t>
        </is>
      </c>
      <c r="E49" s="11" t="inlineStr">
        <is>
          <t>统一内存与内存语义访问</t>
        </is>
      </c>
      <c r="F49" s="11" t="inlineStr">
        <is>
          <t>P1</t>
        </is>
      </c>
      <c r="G49" s="11" t="inlineStr">
        <is>
          <t>P1</t>
        </is>
      </c>
      <c r="H49" s="11" t="inlineStr">
        <is>
          <t>CPU/NPU统一内存池｜L4-C2C-UNIFY-POOL-001</t>
        </is>
      </c>
      <c r="I49" s="11" t="inlineStr">
        <is>
          <t>高拥塞背景下，KVCache关键小包的P99延迟不随大流数据量线性增加。</t>
        </is>
      </c>
      <c r="J49" s="11" t="inlineStr">
        <is>
          <t>SR23-01-07-01</t>
        </is>
      </c>
      <c r="K49" s="11" t="inlineStr">
        <is>
          <t>UBMEM/C2C 直接视图（Direct View） 安全访问 提供器（Provider）</t>
        </is>
      </c>
      <c r="L49" s="11" t="inlineStr">
        <is>
          <t>IR-01-07</t>
        </is>
      </c>
      <c r="M49" s="11" t="inlineStr">
        <is>
          <t>该来源作为“UBMEM/C2C 直接视图（Direct View） 安全访问 提供器（Provider）”功能闭包的内部需求、约束或验收输入；不再单独定义为 SR。</t>
        </is>
      </c>
      <c r="N49" s="11">
        <f>IF(COUNTIF($A$5:$A$153,A49)=1,"PASS","FAIL")</f>
        <v/>
      </c>
      <c r="O49" s="11">
        <f>IF(COUNTIF('SR系统设计'!$A$5:$A$42,J49)=1,"PASS","FAIL")</f>
        <v/>
      </c>
      <c r="P49" s="11" t="inlineStr">
        <is>
          <t>已纳入独立交付闭包</t>
        </is>
      </c>
    </row>
    <row r="50" ht="66" customHeight="1">
      <c r="A50" s="11" t="inlineStr">
        <is>
          <t>L4-UB-C2C-UNIFY-002</t>
        </is>
      </c>
      <c r="B50" s="11" t="inlineStr">
        <is>
          <t>SR-01-07-04</t>
        </is>
      </c>
      <c r="C50" s="11" t="inlineStr">
        <is>
          <t>V2.2校准基线</t>
        </is>
      </c>
      <c r="D50" s="11" t="inlineStr">
        <is>
          <t>L4 底层传输层</t>
        </is>
      </c>
      <c r="E50" s="11" t="inlineStr">
        <is>
          <t>统一内存与内存语义访问</t>
        </is>
      </c>
      <c r="F50" s="11" t="inlineStr">
        <is>
          <t>P3</t>
        </is>
      </c>
      <c r="G50" s="11" t="inlineStr">
        <is>
          <t>P3</t>
        </is>
      </c>
      <c r="H50" s="11" t="inlineStr">
        <is>
          <t>内存语义零拷贝KV访问｜L4-UB-C2C-UNIFY-002</t>
        </is>
      </c>
      <c r="I50" s="11" t="inlineStr">
        <is>
          <t>探索直接视图(直接视图（direct view）)、硬件多播及硬件原子页迁移等远期能力，避免 TPOT 被直接视图意外拖慢，不强求 &lt;500ns 等极端指标。</t>
        </is>
      </c>
      <c r="J50" s="11" t="inlineStr">
        <is>
          <t>SR23-01-07-01</t>
        </is>
      </c>
      <c r="K50" s="11" t="inlineStr">
        <is>
          <t>UBMEM/C2C 直接视图（Direct View） 安全访问 提供器（Provider）</t>
        </is>
      </c>
      <c r="L50" s="11" t="inlineStr">
        <is>
          <t>IR-01-07</t>
        </is>
      </c>
      <c r="M50" s="11" t="inlineStr">
        <is>
          <t>该来源作为“UBMEM/C2C 直接视图（Direct View） 安全访问 提供器（Provider）”功能闭包的内部需求、约束或验收输入；不再单独定义为 SR。</t>
        </is>
      </c>
      <c r="N50" s="11">
        <f>IF(COUNTIF($A$5:$A$153,A50)=1,"PASS","FAIL")</f>
        <v/>
      </c>
      <c r="O50" s="11">
        <f>IF(COUNTIF('SR系统设计'!$A$5:$A$42,J50)=1,"PASS","FAIL")</f>
        <v/>
      </c>
      <c r="P50" s="11" t="inlineStr">
        <is>
          <t>已纳入独立交付闭包</t>
        </is>
      </c>
    </row>
    <row r="51" ht="66" customHeight="1">
      <c r="A51" s="11" t="inlineStr">
        <is>
          <t>L4-UB-P2P-FABRIC-003</t>
        </is>
      </c>
      <c r="B51" s="11" t="inlineStr">
        <is>
          <t>SR-01-07-05</t>
        </is>
      </c>
      <c r="C51" s="11" t="inlineStr">
        <is>
          <t>V2.2校准基线</t>
        </is>
      </c>
      <c r="D51" s="11" t="inlineStr">
        <is>
          <t>L4 底层传输层</t>
        </is>
      </c>
      <c r="E51" s="11" t="inlineStr">
        <is>
          <t>统一内存与内存语义访问</t>
        </is>
      </c>
      <c r="F51" s="11" t="inlineStr">
        <is>
          <t>P3</t>
        </is>
      </c>
      <c r="G51" s="11" t="inlineStr">
        <is>
          <t>P3</t>
        </is>
      </c>
      <c r="H51" s="11" t="inlineStr">
        <is>
          <t>跨节点内存语义KV访问｜L4-UB-P2P-FABRIC-003</t>
        </is>
      </c>
      <c r="I51" s="11" t="inlineStr">
        <is>
          <t>探索直接视图(直接视图（direct view）)、硬件多播及硬件原子页迁移等远期能力，避免 TPOT 被直接视图意外拖慢，不强求 &lt;500ns 等极端指标。</t>
        </is>
      </c>
      <c r="J51" s="11" t="inlineStr">
        <is>
          <t>SR23-01-07-01</t>
        </is>
      </c>
      <c r="K51" s="11" t="inlineStr">
        <is>
          <t>UBMEM/C2C 直接视图（Direct View） 安全访问 提供器（Provider）</t>
        </is>
      </c>
      <c r="L51" s="11" t="inlineStr">
        <is>
          <t>IR-01-07</t>
        </is>
      </c>
      <c r="M51" s="11" t="inlineStr">
        <is>
          <t>该来源作为“UBMEM/C2C 直接视图（Direct View） 安全访问 提供器（Provider）”功能闭包的内部需求、约束或验收输入；不再单独定义为 SR。</t>
        </is>
      </c>
      <c r="N51" s="11">
        <f>IF(COUNTIF($A$5:$A$153,A51)=1,"PASS","FAIL")</f>
        <v/>
      </c>
      <c r="O51" s="11">
        <f>IF(COUNTIF('SR系统设计'!$A$5:$A$42,J51)=1,"PASS","FAIL")</f>
        <v/>
      </c>
      <c r="P51" s="11" t="inlineStr">
        <is>
          <t>已纳入独立交付闭包</t>
        </is>
      </c>
    </row>
    <row r="52" ht="66" customHeight="1">
      <c r="A52" s="11" t="inlineStr">
        <is>
          <t>L4-MC-HIER-STORE-001</t>
        </is>
      </c>
      <c r="B52" s="11" t="inlineStr">
        <is>
          <t>SR-01-08-01</t>
        </is>
      </c>
      <c r="C52" s="11" t="inlineStr">
        <is>
          <t>V2.2校准基线</t>
        </is>
      </c>
      <c r="D52" s="11" t="inlineStr">
        <is>
          <t>L4 底层传输层</t>
        </is>
      </c>
      <c r="E52" s="11" t="inlineStr">
        <is>
          <t>DPU卸载与分层存储I/O</t>
        </is>
      </c>
      <c r="F52" s="11" t="inlineStr">
        <is>
          <t>P0</t>
        </is>
      </c>
      <c r="G52" s="11" t="inlineStr">
        <is>
          <t>P0 子集 + P1 完整</t>
        </is>
      </c>
      <c r="H52" s="11" t="inlineStr">
        <is>
          <t>SSD 作为 KVCache 存储主力、DDR 可旁路、降低 Host 干预｜L4-MC-HIER-STORE-001</t>
        </is>
      </c>
      <c r="I52" s="11" t="inlineStr">
        <is>
          <t>形成 HBM↔SSD 主路径 能力（capability） matrix；完成至少一条真实数据闭环并具备可关闭回退。</t>
        </is>
      </c>
      <c r="J52" s="11" t="inlineStr">
        <is>
          <t>SR23-01-08-01</t>
        </is>
      </c>
      <c r="K52" s="11" t="inlineStr">
        <is>
          <t>HBM↔SSD/对象存储（SSD/Object） 容量后端</t>
        </is>
      </c>
      <c r="L52" s="11" t="inlineStr">
        <is>
          <t>IR-01-08</t>
        </is>
      </c>
      <c r="M52" s="11" t="inlineStr">
        <is>
          <t>该来源作为“HBM↔SSD/对象存储（SSD/Object） 容量后端”功能闭包的内部需求、约束或验收输入；不再单独定义为 SR。</t>
        </is>
      </c>
      <c r="N52" s="11">
        <f>IF(COUNTIF($A$5:$A$153,A52)=1,"PASS","FAIL")</f>
        <v/>
      </c>
      <c r="O52" s="11">
        <f>IF(COUNTIF('SR系统设计'!$A$5:$A$42,J52)=1,"PASS","FAIL")</f>
        <v/>
      </c>
      <c r="P52" s="11" t="inlineStr">
        <is>
          <t>已纳入独立交付闭包</t>
        </is>
      </c>
    </row>
    <row r="53" ht="66" customHeight="1">
      <c r="A53" s="11" t="inlineStr">
        <is>
          <t>L4-MC-PersistentExtentHandle-070</t>
        </is>
      </c>
      <c r="B53" s="11" t="inlineStr">
        <is>
          <t>SR-01-08-02</t>
        </is>
      </c>
      <c r="C53" s="11" t="inlineStr">
        <is>
          <t>V2.2校准基线</t>
        </is>
      </c>
      <c r="D53" s="11" t="inlineStr">
        <is>
          <t>L4 底层传输层</t>
        </is>
      </c>
      <c r="E53" s="11" t="inlineStr">
        <is>
          <t>DPU卸载与分层存储I/O</t>
        </is>
      </c>
      <c r="F53" s="11" t="inlineStr">
        <is>
          <t>P1</t>
        </is>
      </c>
      <c r="G53" s="11" t="inlineStr">
        <is>
          <t>P1</t>
        </is>
      </c>
      <c r="H53" s="11" t="inlineStr">
        <is>
          <t>SSD/object KV 副本统一寻址｜L4-MC-PersistentExtentHandle-070</t>
        </is>
      </c>
      <c r="I53" s="11" t="inlineStr">
        <is>
          <t>高拥塞背景下，KVCache关键小包的P99延迟不随大流数据量线性增加。</t>
        </is>
      </c>
      <c r="J53" s="11" t="inlineStr">
        <is>
          <t>SR23-01-08-01</t>
        </is>
      </c>
      <c r="K53" s="11" t="inlineStr">
        <is>
          <t>HBM↔SSD/对象存储（SSD/Object） 容量后端</t>
        </is>
      </c>
      <c r="L53" s="11" t="inlineStr">
        <is>
          <t>IR-01-08</t>
        </is>
      </c>
      <c r="M53" s="11" t="inlineStr">
        <is>
          <t>该来源作为“HBM↔SSD/对象存储（SSD/Object） 容量后端”功能闭包的内部需求、约束或验收输入；不再单独定义为 SR。</t>
        </is>
      </c>
      <c r="N53" s="11">
        <f>IF(COUNTIF($A$5:$A$153,A53)=1,"PASS","FAIL")</f>
        <v/>
      </c>
      <c r="O53" s="11">
        <f>IF(COUNTIF('SR系统设计'!$A$5:$A$42,J53)=1,"PASS","FAIL")</f>
        <v/>
      </c>
      <c r="P53" s="11" t="inlineStr">
        <is>
          <t>已纳入独立交付闭包</t>
        </is>
      </c>
    </row>
    <row r="54" ht="66" customHeight="1">
      <c r="A54" s="11" t="inlineStr">
        <is>
          <t>L4-MC-HIER-STORE-002</t>
        </is>
      </c>
      <c r="B54" s="11" t="inlineStr">
        <is>
          <t>SR-01-08-03</t>
        </is>
      </c>
      <c r="C54" s="11" t="inlineStr">
        <is>
          <t>V2.2校准基线</t>
        </is>
      </c>
      <c r="D54" s="11" t="inlineStr">
        <is>
          <t>L4 底层传输层</t>
        </is>
      </c>
      <c r="E54" s="11" t="inlineStr">
        <is>
          <t>DPU卸载与分层存储I/O</t>
        </is>
      </c>
      <c r="F54" s="11" t="inlineStr">
        <is>
          <t>P3</t>
        </is>
      </c>
      <c r="G54" s="11" t="inlineStr">
        <is>
          <t>P3</t>
        </is>
      </c>
      <c r="H54" s="11" t="inlineStr">
        <is>
          <t>硬件原生压缩条件能力；不属于当前关键路径基线｜L4-MC-HIER-STORE-002</t>
        </is>
      </c>
      <c r="I54" s="11" t="inlineStr">
        <is>
          <t>仅形成 能力（capability） 与净收益结论，不承诺默认启用。</t>
        </is>
      </c>
      <c r="J54" s="11" t="inlineStr">
        <is>
          <t>SR23-01-08-02</t>
        </is>
      </c>
      <c r="K54" s="11" t="inlineStr">
        <is>
          <t>DPU/硬件 编解码器（Codec） 条件卸载插件包</t>
        </is>
      </c>
      <c r="L54" s="11" t="inlineStr">
        <is>
          <t>IR-01-08</t>
        </is>
      </c>
      <c r="M54" s="11" t="inlineStr">
        <is>
          <t>该来源作为“DPU/硬件 编解码器（Codec） 条件卸载插件包”功能闭包的内部需求、约束或验收输入；不再单独定义为 SR。</t>
        </is>
      </c>
      <c r="N54" s="11">
        <f>IF(COUNTIF($A$5:$A$153,A54)=1,"PASS","FAIL")</f>
        <v/>
      </c>
      <c r="O54" s="11">
        <f>IF(COUNTIF('SR系统设计'!$A$5:$A$42,J54)=1,"PASS","FAIL")</f>
        <v/>
      </c>
      <c r="P54" s="11" t="inlineStr">
        <is>
          <t>已纳入独立交付闭包</t>
        </is>
      </c>
    </row>
    <row r="55" ht="66" customHeight="1">
      <c r="A55" s="11" t="inlineStr">
        <is>
          <t>L4-MC-HIER-STORE-003</t>
        </is>
      </c>
      <c r="B55" s="11" t="inlineStr">
        <is>
          <t>SR-01-08-04</t>
        </is>
      </c>
      <c r="C55" s="11" t="inlineStr">
        <is>
          <t>V2.2校准基线</t>
        </is>
      </c>
      <c r="D55" s="11" t="inlineStr">
        <is>
          <t>L4 底层传输层</t>
        </is>
      </c>
      <c r="E55" s="11" t="inlineStr">
        <is>
          <t>DPU卸载与分层存储I/O</t>
        </is>
      </c>
      <c r="F55" s="11" t="inlineStr">
        <is>
          <t>P3</t>
        </is>
      </c>
      <c r="G55" s="11" t="inlineStr">
        <is>
          <t>P3</t>
        </is>
      </c>
      <c r="H55" s="11" t="inlineStr">
        <is>
          <t>硬件原生解压条件能力；不属于当前关键路径基线｜L4-MC-HIER-STORE-003</t>
        </is>
      </c>
      <c r="I55" s="11" t="inlineStr">
        <is>
          <t>仅形成 能力（capability）、布局兼容与净收益结论。</t>
        </is>
      </c>
      <c r="J55" s="11" t="inlineStr">
        <is>
          <t>SR23-01-08-02</t>
        </is>
      </c>
      <c r="K55" s="11" t="inlineStr">
        <is>
          <t>DPU/硬件 编解码器（Codec） 条件卸载插件包</t>
        </is>
      </c>
      <c r="L55" s="11" t="inlineStr">
        <is>
          <t>IR-01-08</t>
        </is>
      </c>
      <c r="M55" s="11" t="inlineStr">
        <is>
          <t>该来源作为“DPU/硬件 编解码器（Codec） 条件卸载插件包”功能闭包的内部需求、约束或验收输入；不再单独定义为 SR。</t>
        </is>
      </c>
      <c r="N55" s="11">
        <f>IF(COUNTIF($A$5:$A$153,A55)=1,"PASS","FAIL")</f>
        <v/>
      </c>
      <c r="O55" s="11">
        <f>IF(COUNTIF('SR系统设计'!$A$5:$A$42,J55)=1,"PASS","FAIL")</f>
        <v/>
      </c>
      <c r="P55" s="11" t="inlineStr">
        <is>
          <t>已纳入独立交付闭包</t>
        </is>
      </c>
    </row>
    <row r="56" ht="66" customHeight="1">
      <c r="A56" s="11" t="inlineStr">
        <is>
          <t>L4-NET-OFFLOAD-DPU-001</t>
        </is>
      </c>
      <c r="B56" s="11" t="inlineStr">
        <is>
          <t>SR-01-08-05</t>
        </is>
      </c>
      <c r="C56" s="11" t="inlineStr">
        <is>
          <t>V2.2校准基线</t>
        </is>
      </c>
      <c r="D56" s="11" t="inlineStr">
        <is>
          <t>L4 底层传输层</t>
        </is>
      </c>
      <c r="E56" s="11" t="inlineStr">
        <is>
          <t>DPU卸载与分层存储I/O</t>
        </is>
      </c>
      <c r="F56" s="11" t="inlineStr">
        <is>
          <t>P3</t>
        </is>
      </c>
      <c r="G56" s="11" t="inlineStr">
        <is>
          <t>P3</t>
        </is>
      </c>
      <c r="H56" s="11" t="inlineStr">
        <is>
          <t>传输数据路径CPU卸载｜L4-NET-OFFLOAD-DPU-001</t>
        </is>
      </c>
      <c r="I56" s="11" t="inlineStr">
        <is>
          <t>作为平台补充能力，在支持 DPU 卸载的硬件上验证数据面/控制面卸载效果，P99 延迟不显著恶化。</t>
        </is>
      </c>
      <c r="J56" s="11" t="inlineStr">
        <is>
          <t>SR23-01-08-02</t>
        </is>
      </c>
      <c r="K56" s="11" t="inlineStr">
        <is>
          <t>DPU/硬件 编解码器（Codec） 条件卸载插件包</t>
        </is>
      </c>
      <c r="L56" s="11" t="inlineStr">
        <is>
          <t>IR-01-08</t>
        </is>
      </c>
      <c r="M56" s="11" t="inlineStr">
        <is>
          <t>该来源作为“DPU/硬件 编解码器（Codec） 条件卸载插件包”功能闭包的内部需求、约束或验收输入；不再单独定义为 SR。</t>
        </is>
      </c>
      <c r="N56" s="11">
        <f>IF(COUNTIF($A$5:$A$153,A56)=1,"PASS","FAIL")</f>
        <v/>
      </c>
      <c r="O56" s="11">
        <f>IF(COUNTIF('SR系统设计'!$A$5:$A$42,J56)=1,"PASS","FAIL")</f>
        <v/>
      </c>
      <c r="P56" s="11" t="inlineStr">
        <is>
          <t>已纳入独立交付闭包</t>
        </is>
      </c>
    </row>
    <row r="57" ht="66" customHeight="1">
      <c r="A57" s="11" t="inlineStr">
        <is>
          <t>L3-TRANS-CAP-API-002</t>
        </is>
      </c>
      <c r="B57" s="11" t="inlineStr">
        <is>
          <t>SR-01-09-01</t>
        </is>
      </c>
      <c r="C57" s="11" t="inlineStr">
        <is>
          <t>V2.2校准基线</t>
        </is>
      </c>
      <c r="D57" s="11" t="inlineStr">
        <is>
          <t>L3 传输管理层</t>
        </is>
      </c>
      <c r="E57" s="11" t="inlineStr">
        <is>
          <t>语义策略与路径管理</t>
        </is>
      </c>
      <c r="F57" s="11" t="inlineStr">
        <is>
          <t>P0</t>
        </is>
      </c>
      <c r="G57" s="11" t="inlineStr">
        <is>
          <t>P0</t>
        </is>
      </c>
      <c r="H57" s="11" t="inlineStr">
        <is>
          <t>平台无关能力感知｜L3-TRANS-CAP-API-002</t>
        </is>
      </c>
      <c r="I57" s="11" t="inlineStr">
        <is>
          <t>新推理后端接入适配代码量减少80%，单一接口调用开销(Overhead) &lt; 5us。</t>
        </is>
      </c>
      <c r="J57" s="11" t="inlineStr">
        <is>
          <t>SR23-01-09-01</t>
        </is>
      </c>
      <c r="K57" s="11" t="inlineStr">
        <is>
          <t>统一 能力（Capability） 注册表（Registry） 与 互联网络路由器（Fabric Router）</t>
        </is>
      </c>
      <c r="L57" s="11" t="inlineStr">
        <is>
          <t>IR-01-09</t>
        </is>
      </c>
      <c r="M57" s="11" t="inlineStr">
        <is>
          <t>该来源作为“统一 能力（Capability） 注册表（Registry） 与 互联网络路由器（Fabric Router）”功能闭包的内部需求、约束或验收输入；不再单独定义为 SR。</t>
        </is>
      </c>
      <c r="N57" s="11">
        <f>IF(COUNTIF($A$5:$A$153,A57)=1,"PASS","FAIL")</f>
        <v/>
      </c>
      <c r="O57" s="11">
        <f>IF(COUNTIF('SR系统设计'!$A$5:$A$42,J57)=1,"PASS","FAIL")</f>
        <v/>
      </c>
      <c r="P57" s="11" t="inlineStr">
        <is>
          <t>已纳入独立交付闭包</t>
        </is>
      </c>
    </row>
    <row r="58" ht="66" customHeight="1">
      <c r="A58" s="11" t="inlineStr">
        <is>
          <t>L4-FABRIC-ROUTER-001</t>
        </is>
      </c>
      <c r="B58" s="11" t="inlineStr">
        <is>
          <t>SR-01-09-02</t>
        </is>
      </c>
      <c r="C58" s="11" t="inlineStr">
        <is>
          <t>V2.2校准基线</t>
        </is>
      </c>
      <c r="D58" s="11" t="inlineStr">
        <is>
          <t>L4 底层传输层</t>
        </is>
      </c>
      <c r="E58" s="11" t="inlineStr">
        <is>
          <t>互联网络（Fabric）能力与统一路由</t>
        </is>
      </c>
      <c r="F58" s="11" t="inlineStr">
        <is>
          <t>P0</t>
        </is>
      </c>
      <c r="G58" s="11" t="inlineStr">
        <is>
          <t>P0</t>
        </is>
      </c>
      <c r="H58" s="11" t="inlineStr">
        <is>
          <t>多语义底层传输统一路由｜L4-FABRIC-ROUTER-001</t>
        </is>
      </c>
      <c r="I58" s="11" t="inlineStr">
        <is>
          <t>同机架内本地及远端DDR命中率（本地可用命中率（Local Usable Hit Rate））提升≥30%。</t>
        </is>
      </c>
      <c r="J58" s="11" t="inlineStr">
        <is>
          <t>SR23-01-09-01</t>
        </is>
      </c>
      <c r="K58" s="11" t="inlineStr">
        <is>
          <t>统一 能力（Capability） 注册表（Registry） 与 互联网络路由器（Fabric Router）</t>
        </is>
      </c>
      <c r="L58" s="11" t="inlineStr">
        <is>
          <t>IR-01-09</t>
        </is>
      </c>
      <c r="M58" s="11" t="inlineStr">
        <is>
          <t>该来源作为“统一 能力（Capability） 注册表（Registry） 与 互联网络路由器（Fabric Router）”功能闭包的内部需求、约束或验收输入；不再单独定义为 SR。</t>
        </is>
      </c>
      <c r="N58" s="11">
        <f>IF(COUNTIF($A$5:$A$153,A58)=1,"PASS","FAIL")</f>
        <v/>
      </c>
      <c r="O58" s="11">
        <f>IF(COUNTIF('SR系统设计'!$A$5:$A$42,J58)=1,"PASS","FAIL")</f>
        <v/>
      </c>
      <c r="P58" s="11" t="inlineStr">
        <is>
          <t>已纳入独立交付闭包</t>
        </is>
      </c>
    </row>
    <row r="59" ht="66" customHeight="1">
      <c r="A59" s="11" t="inlineStr">
        <is>
          <t>L4-HW-HostPayloadTouchBudget-076</t>
        </is>
      </c>
      <c r="B59" s="11" t="inlineStr">
        <is>
          <t>SR-01-09-03</t>
        </is>
      </c>
      <c r="C59" s="11" t="inlineStr">
        <is>
          <t>V2.2校准基线</t>
        </is>
      </c>
      <c r="D59" s="11" t="inlineStr">
        <is>
          <t>L4 底层传输层</t>
        </is>
      </c>
      <c r="E59" s="11" t="inlineStr">
        <is>
          <t>互联网络（Fabric）能力与统一路由</t>
        </is>
      </c>
      <c r="F59" s="11" t="inlineStr">
        <is>
          <t>P0</t>
        </is>
      </c>
      <c r="G59" s="11" t="inlineStr">
        <is>
          <t>P0</t>
        </is>
      </c>
      <c r="H59" s="11" t="inlineStr">
        <is>
          <t>识别 direct 路径真实性，防止名义 direct 实际绕行 CPU/DDR｜L4-HW-HostPayloadTouchBudget-076</t>
        </is>
      </c>
      <c r="I59" s="11" t="inlineStr">
        <is>
          <t>路径报告可审计；默认主路径 CPU 有效载荷（Payload） touch=0，任何例外均可见、可禁用并进入成本模型。</t>
        </is>
      </c>
      <c r="J59" s="11" t="inlineStr">
        <is>
          <t>SR23-01-09-01</t>
        </is>
      </c>
      <c r="K59" s="11" t="inlineStr">
        <is>
          <t>统一 能力（Capability） 注册表（Registry） 与 互联网络路由器（Fabric Router）</t>
        </is>
      </c>
      <c r="L59" s="11" t="inlineStr">
        <is>
          <t>IR-01-09</t>
        </is>
      </c>
      <c r="M59" s="11" t="inlineStr">
        <is>
          <t>该来源作为“统一 能力（Capability） 注册表（Registry） 与 互联网络路由器（Fabric Router）”功能闭包的内部需求、约束或验收输入；不再单独定义为 SR。</t>
        </is>
      </c>
      <c r="N59" s="11">
        <f>IF(COUNTIF($A$5:$A$153,A59)=1,"PASS","FAIL")</f>
        <v/>
      </c>
      <c r="O59" s="11">
        <f>IF(COUNTIF('SR系统设计'!$A$5:$A$42,J59)=1,"PASS","FAIL")</f>
        <v/>
      </c>
      <c r="P59" s="11" t="inlineStr">
        <is>
          <t>已纳入独立交付闭包</t>
        </is>
      </c>
    </row>
    <row r="60" ht="66" customHeight="1">
      <c r="A60" s="11" t="inlineStr">
        <is>
          <t>L4-HW-SemCapTable-050</t>
        </is>
      </c>
      <c r="B60" s="11" t="inlineStr">
        <is>
          <t>SR-01-09-04</t>
        </is>
      </c>
      <c r="C60" s="11" t="inlineStr">
        <is>
          <t>V2.2校准基线</t>
        </is>
      </c>
      <c r="D60" s="11" t="inlineStr">
        <is>
          <t>L4 底层传输层</t>
        </is>
      </c>
      <c r="E60" s="11" t="inlineStr">
        <is>
          <t>互联网络（Fabric）能力与统一路由</t>
        </is>
      </c>
      <c r="F60" s="11" t="inlineStr">
        <is>
          <t>P0</t>
        </is>
      </c>
      <c r="G60" s="11" t="inlineStr">
        <is>
          <t>P0</t>
        </is>
      </c>
      <c r="H60" s="11" t="inlineStr">
        <is>
          <t>异构 KV 传输硬件能力建模｜L4-HW-SemCapTable-050</t>
        </is>
      </c>
      <c r="I60" s="11" t="inlineStr">
        <is>
          <t>建立前置硬件能力矩阵和注册内存池机制，确保 KV 块（block） 布局（layout） 不被碎片化，并能进行有效的硬件边界隔离。</t>
        </is>
      </c>
      <c r="J60" s="11" t="inlineStr">
        <is>
          <t>SR23-01-09-01</t>
        </is>
      </c>
      <c r="K60" s="11" t="inlineStr">
        <is>
          <t>统一 能力（Capability） 注册表（Registry） 与 互联网络路由器（Fabric Router）</t>
        </is>
      </c>
      <c r="L60" s="11" t="inlineStr">
        <is>
          <t>IR-01-09</t>
        </is>
      </c>
      <c r="M60" s="11" t="inlineStr">
        <is>
          <t>该来源作为“统一 能力（Capability） 注册表（Registry） 与 互联网络路由器（Fabric Router）”功能闭包的内部需求、约束或验收输入；不再单独定义为 SR。</t>
        </is>
      </c>
      <c r="N60" s="11">
        <f>IF(COUNTIF($A$5:$A$153,A60)=1,"PASS","FAIL")</f>
        <v/>
      </c>
      <c r="O60" s="11">
        <f>IF(COUNTIF('SR系统设计'!$A$5:$A$42,J60)=1,"PASS","FAIL")</f>
        <v/>
      </c>
      <c r="P60" s="11" t="inlineStr">
        <is>
          <t>已纳入独立交付闭包</t>
        </is>
      </c>
    </row>
    <row r="61" ht="66" customHeight="1">
      <c r="A61" s="11" t="inlineStr">
        <is>
          <t>L4-HW-StorageLayoutCapability-067</t>
        </is>
      </c>
      <c r="B61" s="11" t="inlineStr">
        <is>
          <t>SR-01-09-05</t>
        </is>
      </c>
      <c r="C61" s="11" t="inlineStr">
        <is>
          <t>V2.2校准基线</t>
        </is>
      </c>
      <c r="D61" s="11" t="inlineStr">
        <is>
          <t>L4 底层传输层</t>
        </is>
      </c>
      <c r="E61" s="11" t="inlineStr">
        <is>
          <t>互联网络（Fabric）能力与统一路由</t>
        </is>
      </c>
      <c r="F61" s="11" t="inlineStr">
        <is>
          <t>P0</t>
        </is>
      </c>
      <c r="G61" s="11" t="inlineStr">
        <is>
          <t>P0</t>
        </is>
      </c>
      <c r="H61" s="11" t="inlineStr">
        <is>
          <t>KV 存储布局与底层能力匹配｜L4-HW-StorageLayoutCapability-067</t>
        </is>
      </c>
      <c r="I61" s="11" t="inlineStr">
        <is>
          <t>建立前置硬件能力矩阵和注册内存池机制，确保 KV 块（block） 布局（layout） 不被碎片化，并能进行有效的硬件边界隔离。</t>
        </is>
      </c>
      <c r="J61" s="11" t="inlineStr">
        <is>
          <t>SR23-01-09-01</t>
        </is>
      </c>
      <c r="K61" s="11" t="inlineStr">
        <is>
          <t>统一 能力（Capability） 注册表（Registry） 与 互联网络路由器（Fabric Router）</t>
        </is>
      </c>
      <c r="L61" s="11" t="inlineStr">
        <is>
          <t>IR-01-09</t>
        </is>
      </c>
      <c r="M61" s="11" t="inlineStr">
        <is>
          <t>该来源作为“统一 能力（Capability） 注册表（Registry） 与 互联网络路由器（Fabric Router）”功能闭包的内部需求、约束或验收输入；不再单独定义为 SR。</t>
        </is>
      </c>
      <c r="N61" s="11">
        <f>IF(COUNTIF($A$5:$A$153,A61)=1,"PASS","FAIL")</f>
        <v/>
      </c>
      <c r="O61" s="11">
        <f>IF(COUNTIF('SR系统设计'!$A$5:$A$42,J61)=1,"PASS","FAIL")</f>
        <v/>
      </c>
      <c r="P61" s="11" t="inlineStr">
        <is>
          <t>已纳入独立交付闭包</t>
        </is>
      </c>
    </row>
    <row r="62" ht="66" customHeight="1">
      <c r="A62" s="11" t="inlineStr">
        <is>
          <t>L4-HW-AddrTrans-051</t>
        </is>
      </c>
      <c r="B62" s="11" t="inlineStr">
        <is>
          <t>SR-01-09-06</t>
        </is>
      </c>
      <c r="C62" s="11" t="inlineStr">
        <is>
          <t>V2.2校准基线</t>
        </is>
      </c>
      <c r="D62" s="11" t="inlineStr">
        <is>
          <t>L4 底层传输层</t>
        </is>
      </c>
      <c r="E62" s="11" t="inlineStr">
        <is>
          <t>互联网络（Fabric）能力与统一路由</t>
        </is>
      </c>
      <c r="F62" s="11" t="inlineStr">
        <is>
          <t>P1</t>
        </is>
      </c>
      <c r="G62" s="11" t="inlineStr">
        <is>
          <t>P1</t>
        </is>
      </c>
      <c r="H62" s="11" t="inlineStr">
        <is>
          <t>共享内存 KV 访问地址转换优化｜L4-HW-AddrTrans-051</t>
        </is>
      </c>
      <c r="I62" s="11" t="inlineStr">
        <is>
          <t>直接视图（direct view） p99 可解释；</t>
        </is>
      </c>
      <c r="J62" s="11" t="inlineStr">
        <is>
          <t>SR23-01-09-01</t>
        </is>
      </c>
      <c r="K62" s="11" t="inlineStr">
        <is>
          <t>统一 能力（Capability） 注册表（Registry） 与 互联网络路由器（Fabric Router）</t>
        </is>
      </c>
      <c r="L62" s="11" t="inlineStr">
        <is>
          <t>IR-01-09</t>
        </is>
      </c>
      <c r="M62" s="11" t="inlineStr">
        <is>
          <t>该来源作为“统一 能力（Capability） 注册表（Registry） 与 互联网络路由器（Fabric Router）”功能闭包的内部需求、约束或验收输入；不再单独定义为 SR。</t>
        </is>
      </c>
      <c r="N62" s="11">
        <f>IF(COUNTIF($A$5:$A$153,A62)=1,"PASS","FAIL")</f>
        <v/>
      </c>
      <c r="O62" s="11">
        <f>IF(COUNTIF('SR系统设计'!$A$5:$A$42,J62)=1,"PASS","FAIL")</f>
        <v/>
      </c>
      <c r="P62" s="11" t="inlineStr">
        <is>
          <t>已纳入独立交付闭包</t>
        </is>
      </c>
    </row>
    <row r="63" ht="66" customHeight="1">
      <c r="A63" s="11" t="inlineStr">
        <is>
          <t>L4-HW-NICSpecConstraint-075</t>
        </is>
      </c>
      <c r="B63" s="11" t="inlineStr">
        <is>
          <t>SR-01-09-07</t>
        </is>
      </c>
      <c r="C63" s="11" t="inlineStr">
        <is>
          <t>V2.2校准基线</t>
        </is>
      </c>
      <c r="D63" s="11" t="inlineStr">
        <is>
          <t>L4 底层传输层</t>
        </is>
      </c>
      <c r="E63" s="11" t="inlineStr">
        <is>
          <t>互联网络（Fabric）能力与统一路由</t>
        </is>
      </c>
      <c r="F63" s="11" t="inlineStr">
        <is>
          <t>P3</t>
        </is>
      </c>
      <c r="G63" s="11" t="inlineStr">
        <is>
          <t>P3</t>
        </is>
      </c>
      <c r="H63" s="11" t="inlineStr">
        <is>
          <t>大规模集群网络软硬件协同性能兜底｜L4-HW-NICSpecConstraint-075</t>
        </is>
      </c>
      <c r="I63" s="11" t="inlineStr">
        <is>
          <t>在极高并发下OOM、非法内存访问(Segfault)、租户数据串模率为0。</t>
        </is>
      </c>
      <c r="J63" s="11" t="inlineStr">
        <is>
          <t>SR23-01-09-01</t>
        </is>
      </c>
      <c r="K63" s="11" t="inlineStr">
        <is>
          <t>统一 能力（Capability） 注册表（Registry） 与 互联网络路由器（Fabric Router）</t>
        </is>
      </c>
      <c r="L63" s="11" t="inlineStr">
        <is>
          <t>IR-01-09</t>
        </is>
      </c>
      <c r="M63" s="11" t="inlineStr">
        <is>
          <t>该来源作为“统一 能力（Capability） 注册表（Registry） 与 互联网络路由器（Fabric Router）”功能闭包的内部需求、约束或验收输入；不再单独定义为 SR。</t>
        </is>
      </c>
      <c r="N63" s="11">
        <f>IF(COUNTIF($A$5:$A$153,A63)=1,"PASS","FAIL")</f>
        <v/>
      </c>
      <c r="O63" s="11">
        <f>IF(COUNTIF('SR系统设计'!$A$5:$A$42,J63)=1,"PASS","FAIL")</f>
        <v/>
      </c>
      <c r="P63" s="11" t="inlineStr">
        <is>
          <t>已纳入独立交付闭包</t>
        </is>
      </c>
    </row>
    <row r="64" ht="66" customHeight="1">
      <c r="A64" s="11" t="inlineStr">
        <is>
          <t>L2-FT-FallbackContract-029</t>
        </is>
      </c>
      <c r="B64" s="11" t="inlineStr">
        <is>
          <t>SR-01-10-01</t>
        </is>
      </c>
      <c r="C64" s="11" t="inlineStr">
        <is>
          <t>V2.2校准基线</t>
        </is>
      </c>
      <c r="D64" s="11" t="inlineStr">
        <is>
          <t>L2 KV连接器（KVConnector）层</t>
        </is>
      </c>
      <c r="E64" s="11" t="inlineStr">
        <is>
          <t>共享访问与故障控制</t>
        </is>
      </c>
      <c r="F64" s="11" t="inlineStr">
        <is>
          <t>P0</t>
        </is>
      </c>
      <c r="G64" s="11" t="inlineStr">
        <is>
          <t>P0</t>
        </is>
      </c>
      <c r="H64" s="11" t="inlineStr">
        <is>
          <t>KV 加载失败快速降级恢复｜L2-FT-FallbackContract-029</t>
        </is>
      </c>
      <c r="I64" s="11" t="inlineStr">
        <is>
          <t>TTFT p99 outlier 降低 ≥30%；</t>
        </is>
      </c>
      <c r="J64" s="11" t="inlineStr">
        <is>
          <t>SR23-01-10-01</t>
        </is>
      </c>
      <c r="K64" s="11" t="inlineStr">
        <is>
          <t>共享 附加（Attach）、租约引用与快速回退组件</t>
        </is>
      </c>
      <c r="L64" s="11" t="inlineStr">
        <is>
          <t>IR-01-10</t>
        </is>
      </c>
      <c r="M64" s="11" t="inlineStr">
        <is>
          <t>该来源作为“共享 附加（Attach）、租约引用与快速回退组件”功能闭包的内部需求、约束或验收输入；不再单独定义为 SR。</t>
        </is>
      </c>
      <c r="N64" s="11">
        <f>IF(COUNTIF($A$5:$A$153,A64)=1,"PASS","FAIL")</f>
        <v/>
      </c>
      <c r="O64" s="11">
        <f>IF(COUNTIF('SR系统设计'!$A$5:$A$42,J64)=1,"PASS","FAIL")</f>
        <v/>
      </c>
      <c r="P64" s="11" t="inlineStr">
        <is>
          <t>已纳入独立交付闭包</t>
        </is>
      </c>
    </row>
    <row r="65" ht="66" customHeight="1">
      <c r="A65" s="11" t="inlineStr">
        <is>
          <t>L2-KV-AttachHandle-034</t>
        </is>
      </c>
      <c r="B65" s="11" t="inlineStr">
        <is>
          <t>SR-01-10-02</t>
        </is>
      </c>
      <c r="C65" s="11" t="inlineStr">
        <is>
          <t>V2.2校准基线</t>
        </is>
      </c>
      <c r="D65" s="11" t="inlineStr">
        <is>
          <t>L2 KV连接器（KVConnector）层</t>
        </is>
      </c>
      <c r="E65" s="11" t="inlineStr">
        <is>
          <t>共享访问与故障控制</t>
        </is>
      </c>
      <c r="F65" s="11" t="inlineStr">
        <is>
          <t>P0</t>
        </is>
      </c>
      <c r="G65" s="11" t="inlineStr">
        <is>
          <t>P0</t>
        </is>
      </c>
      <c r="H65" s="11" t="inlineStr">
        <is>
          <t>前缀命中后 KV 安全消费｜L2-KV-AttachHandle-034</t>
        </is>
      </c>
      <c r="I65" s="11" t="inlineStr">
        <is>
          <t>前缀（Prefix）命中判定P99耗时 &lt; 200us；在共享前缀（Share-Prefix）业务下，可用命中率（Usable Hit Rate）提升≥15%。</t>
        </is>
      </c>
      <c r="J65" s="11" t="inlineStr">
        <is>
          <t>SR23-01-10-01</t>
        </is>
      </c>
      <c r="K65" s="11" t="inlineStr">
        <is>
          <t>共享 附加（Attach）、租约引用与快速回退组件</t>
        </is>
      </c>
      <c r="L65" s="11" t="inlineStr">
        <is>
          <t>IR-01-10</t>
        </is>
      </c>
      <c r="M65" s="11" t="inlineStr">
        <is>
          <t>该来源作为“共享 附加（Attach）、租约引用与快速回退组件”功能闭包的内部需求、约束或验收输入；不再单独定义为 SR。</t>
        </is>
      </c>
      <c r="N65" s="11">
        <f>IF(COUNTIF($A$5:$A$153,A65)=1,"PASS","FAIL")</f>
        <v/>
      </c>
      <c r="O65" s="11">
        <f>IF(COUNTIF('SR系统设计'!$A$5:$A$42,J65)=1,"PASS","FAIL")</f>
        <v/>
      </c>
      <c r="P65" s="11" t="inlineStr">
        <is>
          <t>已纳入独立交付闭包</t>
        </is>
      </c>
    </row>
    <row r="66" ht="66" customHeight="1">
      <c r="A66" s="11" t="inlineStr">
        <is>
          <t>L2-KV-StateErrorCode-037</t>
        </is>
      </c>
      <c r="B66" s="11" t="inlineStr">
        <is>
          <t>SR-01-10-03</t>
        </is>
      </c>
      <c r="C66" s="11" t="inlineStr">
        <is>
          <t>V2.2校准基线</t>
        </is>
      </c>
      <c r="D66" s="11" t="inlineStr">
        <is>
          <t>L2 KV连接器（KVConnector）层</t>
        </is>
      </c>
      <c r="E66" s="11" t="inlineStr">
        <is>
          <t>共享访问与故障控制</t>
        </is>
      </c>
      <c r="F66" s="11" t="inlineStr">
        <is>
          <t>P0</t>
        </is>
      </c>
      <c r="G66" s="11" t="inlineStr">
        <is>
          <t>P0</t>
        </is>
      </c>
      <c r="H66" s="11" t="inlineStr">
        <is>
          <t>KV 状态复杂场景下的快速降级与恢复｜L2-KV-StateErrorCode-037</t>
        </is>
      </c>
      <c r="I66" s="11" t="inlineStr">
        <is>
          <t>元数据转换和序列化开销降低至&lt;200ns/次。</t>
        </is>
      </c>
      <c r="J66" s="11" t="inlineStr">
        <is>
          <t>SR23-01-10-01</t>
        </is>
      </c>
      <c r="K66" s="11" t="inlineStr">
        <is>
          <t>共享 附加（Attach）、租约引用与快速回退组件</t>
        </is>
      </c>
      <c r="L66" s="11" t="inlineStr">
        <is>
          <t>IR-01-10</t>
        </is>
      </c>
      <c r="M66" s="11" t="inlineStr">
        <is>
          <t>该来源作为“共享 附加（Attach）、租约引用与快速回退组件”功能闭包的内部需求、约束或验收输入；不再单独定义为 SR。</t>
        </is>
      </c>
      <c r="N66" s="11">
        <f>IF(COUNTIF($A$5:$A$153,A66)=1,"PASS","FAIL")</f>
        <v/>
      </c>
      <c r="O66" s="11">
        <f>IF(COUNTIF('SR系统设计'!$A$5:$A$42,J66)=1,"PASS","FAIL")</f>
        <v/>
      </c>
      <c r="P66" s="11" t="inlineStr">
        <is>
          <t>已纳入独立交付闭包</t>
        </is>
      </c>
    </row>
    <row r="67" ht="66" customHeight="1">
      <c r="A67" s="11" t="inlineStr">
        <is>
          <t>L2-MM-ViewLease-028</t>
        </is>
      </c>
      <c r="B67" s="11" t="inlineStr">
        <is>
          <t>SR-01-10-04</t>
        </is>
      </c>
      <c r="C67" s="11" t="inlineStr">
        <is>
          <t>V2.2校准基线</t>
        </is>
      </c>
      <c r="D67" s="11" t="inlineStr">
        <is>
          <t>L2 KV连接器（KVConnector）层</t>
        </is>
      </c>
      <c r="E67" s="11" t="inlineStr">
        <is>
          <t>共享访问与故障控制</t>
        </is>
      </c>
      <c r="F67" s="11" t="inlineStr">
        <is>
          <t>P0</t>
        </is>
      </c>
      <c r="G67" s="11" t="inlineStr">
        <is>
          <t>P0</t>
        </is>
      </c>
      <c r="H67" s="11" t="inlineStr">
        <is>
          <t>共享内存 KVCache 安全租约访问｜L2-MM-ViewLease-028</t>
        </is>
      </c>
      <c r="I67" s="11" t="inlineStr">
        <is>
          <t>陈旧视图故障（stale view fault） = 0；</t>
        </is>
      </c>
      <c r="J67" s="11" t="inlineStr">
        <is>
          <t>SR23-01-10-01</t>
        </is>
      </c>
      <c r="K67" s="11" t="inlineStr">
        <is>
          <t>共享 附加（Attach）、租约引用与快速回退组件</t>
        </is>
      </c>
      <c r="L67" s="11" t="inlineStr">
        <is>
          <t>IR-01-10</t>
        </is>
      </c>
      <c r="M67" s="11" t="inlineStr">
        <is>
          <t>该来源作为“共享 附加（Attach）、租约引用与快速回退组件”功能闭包的内部需求、约束或验收输入；不再单独定义为 SR。</t>
        </is>
      </c>
      <c r="N67" s="11">
        <f>IF(COUNTIF($A$5:$A$153,A67)=1,"PASS","FAIL")</f>
        <v/>
      </c>
      <c r="O67" s="11">
        <f>IF(COUNTIF('SR系统设计'!$A$5:$A$42,J67)=1,"PASS","FAIL")</f>
        <v/>
      </c>
      <c r="P67" s="11" t="inlineStr">
        <is>
          <t>已纳入独立交付闭包</t>
        </is>
      </c>
    </row>
    <row r="68" ht="66" customHeight="1">
      <c r="A68" s="11" t="inlineStr">
        <is>
          <t>L2-CONN-DefragPause-031</t>
        </is>
      </c>
      <c r="B68" s="11" t="inlineStr">
        <is>
          <t>SR-01-10-05</t>
        </is>
      </c>
      <c r="C68" s="11" t="inlineStr">
        <is>
          <t>V2.2校准基线</t>
        </is>
      </c>
      <c r="D68" s="11" t="inlineStr">
        <is>
          <t>L2 KV连接器（KVConnector）层</t>
        </is>
      </c>
      <c r="E68" s="11" t="inlineStr">
        <is>
          <t>共享访问与故障控制</t>
        </is>
      </c>
      <c r="F68" s="11" t="inlineStr">
        <is>
          <t>P1</t>
        </is>
      </c>
      <c r="G68" s="11" t="inlineStr">
        <is>
          <t>P1</t>
        </is>
      </c>
      <c r="H68" s="11" t="inlineStr">
        <is>
          <t>活跃租约下内存无感整理｜L2-CONN-DefragPause-031</t>
        </is>
      </c>
      <c r="I68" s="11" t="inlineStr">
        <is>
          <t>元数据转换和序列化开销降低至&lt;200ns/次。</t>
        </is>
      </c>
      <c r="J68" s="11" t="inlineStr">
        <is>
          <t>SR23-01-10-01</t>
        </is>
      </c>
      <c r="K68" s="11" t="inlineStr">
        <is>
          <t>共享 附加（Attach）、租约引用与快速回退组件</t>
        </is>
      </c>
      <c r="L68" s="11" t="inlineStr">
        <is>
          <t>IR-01-10</t>
        </is>
      </c>
      <c r="M68" s="11" t="inlineStr">
        <is>
          <t>该来源作为“共享 附加（Attach）、租约引用与快速回退组件”功能闭包的内部需求、约束或验收输入；不再单独定义为 SR。</t>
        </is>
      </c>
      <c r="N68" s="11">
        <f>IF(COUNTIF($A$5:$A$153,A68)=1,"PASS","FAIL")</f>
        <v/>
      </c>
      <c r="O68" s="11">
        <f>IF(COUNTIF('SR系统设计'!$A$5:$A$42,J68)=1,"PASS","FAIL")</f>
        <v/>
      </c>
      <c r="P68" s="11" t="inlineStr">
        <is>
          <t>已纳入独立交付闭包</t>
        </is>
      </c>
    </row>
    <row r="69" ht="66" customHeight="1">
      <c r="A69" s="11" t="inlineStr">
        <is>
          <t>L2-MM-MultiConsumer-027</t>
        </is>
      </c>
      <c r="B69" s="11" t="inlineStr">
        <is>
          <t>SR-01-10-06</t>
        </is>
      </c>
      <c r="C69" s="11" t="inlineStr">
        <is>
          <t>V2.2校准基线</t>
        </is>
      </c>
      <c r="D69" s="11" t="inlineStr">
        <is>
          <t>L2 KV连接器（KVConnector）层</t>
        </is>
      </c>
      <c r="E69" s="11" t="inlineStr">
        <is>
          <t>共享访问与故障控制</t>
        </is>
      </c>
      <c r="F69" s="11" t="inlineStr">
        <is>
          <t>P2</t>
        </is>
      </c>
      <c r="G69" s="11" t="inlineStr">
        <is>
          <t>P2</t>
        </is>
      </c>
      <c r="H69" s="11" t="inlineStr">
        <is>
          <t>共享前缀 KVCache 批量广播｜L2-MM-MultiConsumer-027</t>
        </is>
      </c>
      <c r="I69" s="11" t="inlineStr">
        <is>
          <t>重复远端拉取次数降低 ≥50%；</t>
        </is>
      </c>
      <c r="J69" s="11" t="inlineStr">
        <is>
          <t>SR23-01-10-01</t>
        </is>
      </c>
      <c r="K69" s="11" t="inlineStr">
        <is>
          <t>共享 附加（Attach）、租约引用与快速回退组件</t>
        </is>
      </c>
      <c r="L69" s="11" t="inlineStr">
        <is>
          <t>IR-01-10</t>
        </is>
      </c>
      <c r="M69" s="11" t="inlineStr">
        <is>
          <t>该来源作为“共享 附加（Attach）、租约引用与快速回退组件”功能闭包的内部需求、约束或验收输入；不再单独定义为 SR。</t>
        </is>
      </c>
      <c r="N69" s="11">
        <f>IF(COUNTIF($A$5:$A$153,A69)=1,"PASS","FAIL")</f>
        <v/>
      </c>
      <c r="O69" s="11">
        <f>IF(COUNTIF('SR系统设计'!$A$5:$A$42,J69)=1,"PASS","FAIL")</f>
        <v/>
      </c>
      <c r="P69" s="11" t="inlineStr">
        <is>
          <t>已纳入独立交付闭包</t>
        </is>
      </c>
    </row>
    <row r="70" ht="66" customHeight="1">
      <c r="A70" s="11" t="inlineStr">
        <is>
          <t>L3-CO-AttachDetachLease-063</t>
        </is>
      </c>
      <c r="B70" s="11" t="inlineStr">
        <is>
          <t>SR-01-11-01</t>
        </is>
      </c>
      <c r="C70" s="11" t="inlineStr">
        <is>
          <t>V2.2校准基线</t>
        </is>
      </c>
      <c r="D70" s="11" t="inlineStr">
        <is>
          <t>L3 传输管理层</t>
        </is>
      </c>
      <c r="E70" s="11" t="inlineStr">
        <is>
          <t>一致性、隔离与QoS</t>
        </is>
      </c>
      <c r="F70" s="11" t="inlineStr">
        <is>
          <t>P0</t>
        </is>
      </c>
      <c r="G70" s="11" t="inlineStr">
        <is>
          <t>P0</t>
        </is>
      </c>
      <c r="H70" s="11" t="inlineStr">
        <is>
          <t>解码阶段（Decode） 使用 KV 期间防止被迁移或释放｜L3-CO-AttachDetachLease-063</t>
        </is>
      </c>
      <c r="I70" s="11" t="inlineStr">
        <is>
          <t>节点动态加入/退出时的缓存失效控制在局部范围内（遵循一致性哈希比例）。</t>
        </is>
      </c>
      <c r="J70" s="11" t="inlineStr">
        <is>
          <t>SR23-01-11-01</t>
        </is>
      </c>
      <c r="K70" s="11" t="inlineStr">
        <is>
          <t>KV 发布、可见性与迁移一致性服务</t>
        </is>
      </c>
      <c r="L70" s="11" t="inlineStr">
        <is>
          <t>IR-01-11</t>
        </is>
      </c>
      <c r="M70" s="11" t="inlineStr">
        <is>
          <t>该来源作为“KV 发布、可见性与迁移一致性服务”功能闭包的内部需求、约束或验收输入；不再单独定义为 SR。</t>
        </is>
      </c>
      <c r="N70" s="11">
        <f>IF(COUNTIF($A$5:$A$153,A70)=1,"PASS","FAIL")</f>
        <v/>
      </c>
      <c r="O70" s="11">
        <f>IF(COUNTIF('SR系统设计'!$A$5:$A$42,J70)=1,"PASS","FAIL")</f>
        <v/>
      </c>
      <c r="P70" s="11" t="inlineStr">
        <is>
          <t>已纳入独立交付闭包</t>
        </is>
      </c>
    </row>
    <row r="71" ht="66" customHeight="1">
      <c r="A71" s="11" t="inlineStr">
        <is>
          <t>L3-CO-KVOwnershipGC-080</t>
        </is>
      </c>
      <c r="B71" s="11" t="inlineStr">
        <is>
          <t>SR-01-11-02</t>
        </is>
      </c>
      <c r="C71" s="11" t="inlineStr">
        <is>
          <t>V2.2校准基线</t>
        </is>
      </c>
      <c r="D71" s="11" t="inlineStr">
        <is>
          <t>L3 传输管理层</t>
        </is>
      </c>
      <c r="E71" s="11" t="inlineStr">
        <is>
          <t>一致性、隔离与QoS</t>
        </is>
      </c>
      <c r="F71" s="11" t="inlineStr">
        <is>
          <t>P0</t>
        </is>
      </c>
      <c r="G71" s="11" t="inlineStr">
        <is>
          <t>P0</t>
        </is>
      </c>
      <c r="H71" s="11" t="inlineStr">
        <is>
          <t>KV 对象所有权与异常回收｜L3-CO-KVOwnershipGC-080</t>
        </is>
      </c>
      <c r="I71" s="11" t="inlineStr">
        <is>
          <t>节点动态加入/退出时的缓存失效控制在局部范围内（遵循一致性哈希比例）。</t>
        </is>
      </c>
      <c r="J71" s="11" t="inlineStr">
        <is>
          <t>SR23-01-11-01</t>
        </is>
      </c>
      <c r="K71" s="11" t="inlineStr">
        <is>
          <t>KV 发布、可见性与迁移一致性服务</t>
        </is>
      </c>
      <c r="L71" s="11" t="inlineStr">
        <is>
          <t>IR-01-11</t>
        </is>
      </c>
      <c r="M71" s="11" t="inlineStr">
        <is>
          <t>该来源作为“KV 发布、可见性与迁移一致性服务”功能闭包的内部需求、约束或验收输入；不再单独定义为 SR。</t>
        </is>
      </c>
      <c r="N71" s="11">
        <f>IF(COUNTIF($A$5:$A$153,A71)=1,"PASS","FAIL")</f>
        <v/>
      </c>
      <c r="O71" s="11">
        <f>IF(COUNTIF('SR系统设计'!$A$5:$A$42,J71)=1,"PASS","FAIL")</f>
        <v/>
      </c>
      <c r="P71" s="11" t="inlineStr">
        <is>
          <t>已纳入独立交付闭包</t>
        </is>
      </c>
    </row>
    <row r="72" ht="66" customHeight="1">
      <c r="A72" s="11" t="inlineStr">
        <is>
          <t>L3-CO-PublishCommitLog-065</t>
        </is>
      </c>
      <c r="B72" s="11" t="inlineStr">
        <is>
          <t>SR-01-11-03</t>
        </is>
      </c>
      <c r="C72" s="11" t="inlineStr">
        <is>
          <t>V2.2校准基线</t>
        </is>
      </c>
      <c r="D72" s="11" t="inlineStr">
        <is>
          <t>L3 传输管理层</t>
        </is>
      </c>
      <c r="E72" s="11" t="inlineStr">
        <is>
          <t>一致性、隔离与QoS</t>
        </is>
      </c>
      <c r="F72" s="11" t="inlineStr">
        <is>
          <t>P0</t>
        </is>
      </c>
      <c r="G72" s="11" t="inlineStr">
        <is>
          <t>P0</t>
        </is>
      </c>
      <c r="H72" s="11" t="inlineStr">
        <is>
          <t>KV 发布过程异常恢复｜L3-CO-PublishCommitLog-065</t>
        </is>
      </c>
      <c r="I72" s="11" t="inlineStr">
        <is>
          <t>节点动态加入/退出时的缓存失效控制在局部范围内（遵循一致性哈希比例）。</t>
        </is>
      </c>
      <c r="J72" s="11" t="inlineStr">
        <is>
          <t>SR23-01-11-01</t>
        </is>
      </c>
      <c r="K72" s="11" t="inlineStr">
        <is>
          <t>KV 发布、可见性与迁移一致性服务</t>
        </is>
      </c>
      <c r="L72" s="11" t="inlineStr">
        <is>
          <t>IR-01-11</t>
        </is>
      </c>
      <c r="M72" s="11" t="inlineStr">
        <is>
          <t>该来源作为“KV 发布、可见性与迁移一致性服务”功能闭包的内部需求、约束或验收输入；不再单独定义为 SR。</t>
        </is>
      </c>
      <c r="N72" s="11">
        <f>IF(COUNTIF($A$5:$A$153,A72)=1,"PASS","FAIL")</f>
        <v/>
      </c>
      <c r="O72" s="11">
        <f>IF(COUNTIF('SR系统设计'!$A$5:$A$42,J72)=1,"PASS","FAIL")</f>
        <v/>
      </c>
      <c r="P72" s="11" t="inlineStr">
        <is>
          <t>已纳入独立交付闭包</t>
        </is>
      </c>
    </row>
    <row r="73" ht="66" customHeight="1">
      <c r="A73" s="11" t="inlineStr">
        <is>
          <t>L3-CO-RefCountLifecycle-086</t>
        </is>
      </c>
      <c r="B73" s="11" t="inlineStr">
        <is>
          <t>SR-01-11-04</t>
        </is>
      </c>
      <c r="C73" s="11" t="inlineStr">
        <is>
          <t>V2.2校准基线</t>
        </is>
      </c>
      <c r="D73" s="11" t="inlineStr">
        <is>
          <t>L3 传输管理层</t>
        </is>
      </c>
      <c r="E73" s="11" t="inlineStr">
        <is>
          <t>一致性、隔离与QoS</t>
        </is>
      </c>
      <c r="F73" s="11" t="inlineStr">
        <is>
          <t>P0</t>
        </is>
      </c>
      <c r="G73" s="11" t="inlineStr">
        <is>
          <t>P0</t>
        </is>
      </c>
      <c r="H73" s="11" t="inlineStr">
        <is>
          <t>活动计算流中 KVCache 块的驱逐保护｜L3-CO-RefCountLifecycle-086</t>
        </is>
      </c>
      <c r="I73" s="11" t="inlineStr">
        <is>
          <t>全局内存利用率提升至≥85%，跨级冷热数据迁移过程中的TPOT抖动 &lt; 5%。</t>
        </is>
      </c>
      <c r="J73" s="11" t="inlineStr">
        <is>
          <t>SR23-01-11-01</t>
        </is>
      </c>
      <c r="K73" s="11" t="inlineStr">
        <is>
          <t>KV 发布、可见性与迁移一致性服务</t>
        </is>
      </c>
      <c r="L73" s="11" t="inlineStr">
        <is>
          <t>IR-01-11</t>
        </is>
      </c>
      <c r="M73" s="11" t="inlineStr">
        <is>
          <t>该来源作为“KV 发布、可见性与迁移一致性服务”功能闭包的内部需求、约束或验收输入；不再单独定义为 SR。</t>
        </is>
      </c>
      <c r="N73" s="11">
        <f>IF(COUNTIF($A$5:$A$153,A73)=1,"PASS","FAIL")</f>
        <v/>
      </c>
      <c r="O73" s="11">
        <f>IF(COUNTIF('SR系统设计'!$A$5:$A$42,J73)=1,"PASS","FAIL")</f>
        <v/>
      </c>
      <c r="P73" s="11" t="inlineStr">
        <is>
          <t>已纳入独立交付闭包</t>
        </is>
      </c>
    </row>
    <row r="74" ht="66" customHeight="1">
      <c r="A74" s="11" t="inlineStr">
        <is>
          <t>L3-CO-VersionPublish-043</t>
        </is>
      </c>
      <c r="B74" s="11" t="inlineStr">
        <is>
          <t>SR-01-11-05</t>
        </is>
      </c>
      <c r="C74" s="11" t="inlineStr">
        <is>
          <t>V2.2校准基线</t>
        </is>
      </c>
      <c r="D74" s="11" t="inlineStr">
        <is>
          <t>L3 传输管理层</t>
        </is>
      </c>
      <c r="E74" s="11" t="inlineStr">
        <is>
          <t>一致性、隔离与QoS</t>
        </is>
      </c>
      <c r="F74" s="11" t="inlineStr">
        <is>
          <t>P0</t>
        </is>
      </c>
      <c r="G74" s="11" t="inlineStr">
        <is>
          <t>P0</t>
        </is>
      </c>
      <c r="H74" s="11" t="inlineStr">
        <is>
          <t>KVCache 对象一致发布｜L3-CO-VersionPublish-043</t>
        </is>
      </c>
      <c r="I74" s="11" t="inlineStr">
        <is>
          <t>data corruption = 0；</t>
        </is>
      </c>
      <c r="J74" s="11" t="inlineStr">
        <is>
          <t>SR23-01-11-01</t>
        </is>
      </c>
      <c r="K74" s="11" t="inlineStr">
        <is>
          <t>KV 发布、可见性与迁移一致性服务</t>
        </is>
      </c>
      <c r="L74" s="11" t="inlineStr">
        <is>
          <t>IR-01-11</t>
        </is>
      </c>
      <c r="M74" s="11" t="inlineStr">
        <is>
          <t>该来源作为“KV 发布、可见性与迁移一致性服务”功能闭包的内部需求、约束或验收输入；不再单独定义为 SR。</t>
        </is>
      </c>
      <c r="N74" s="11">
        <f>IF(COUNTIF($A$5:$A$153,A74)=1,"PASS","FAIL")</f>
        <v/>
      </c>
      <c r="O74" s="11">
        <f>IF(COUNTIF('SR系统设计'!$A$5:$A$42,J74)=1,"PASS","FAIL")</f>
        <v/>
      </c>
      <c r="P74" s="11" t="inlineStr">
        <is>
          <t>已纳入独立交付闭包</t>
        </is>
      </c>
    </row>
    <row r="75" ht="66" customHeight="1">
      <c r="A75" s="11" t="inlineStr">
        <is>
          <t>L3-CO-VisibilityReadyBitmap-064</t>
        </is>
      </c>
      <c r="B75" s="11" t="inlineStr">
        <is>
          <t>SR-01-11-06</t>
        </is>
      </c>
      <c r="C75" s="11" t="inlineStr">
        <is>
          <t>V2.2校准基线</t>
        </is>
      </c>
      <c r="D75" s="11" t="inlineStr">
        <is>
          <t>L3 传输管理层</t>
        </is>
      </c>
      <c r="E75" s="11" t="inlineStr">
        <is>
          <t>一致性、隔离与QoS</t>
        </is>
      </c>
      <c r="F75" s="11" t="inlineStr">
        <is>
          <t>P0</t>
        </is>
      </c>
      <c r="G75" s="11" t="inlineStr">
        <is>
          <t>P0</t>
        </is>
      </c>
      <c r="H75" s="11" t="inlineStr">
        <is>
          <t>KV 写入完成与可见性边界控制｜L3-CO-VisibilityReadyBitmap-064</t>
        </is>
      </c>
      <c r="I75" s="11" t="inlineStr">
        <is>
          <t>节点动态加入/退出时的缓存失效控制在局部范围内（遵循一致性哈希比例）。</t>
        </is>
      </c>
      <c r="J75" s="11" t="inlineStr">
        <is>
          <t>SR23-01-11-01</t>
        </is>
      </c>
      <c r="K75" s="11" t="inlineStr">
        <is>
          <t>KV 发布、可见性与迁移一致性服务</t>
        </is>
      </c>
      <c r="L75" s="11" t="inlineStr">
        <is>
          <t>IR-01-11</t>
        </is>
      </c>
      <c r="M75" s="11" t="inlineStr">
        <is>
          <t>该来源作为“KV 发布、可见性与迁移一致性服务”功能闭包的内部需求、约束或验收输入；不再单独定义为 SR。</t>
        </is>
      </c>
      <c r="N75" s="11">
        <f>IF(COUNTIF($A$5:$A$153,A75)=1,"PASS","FAIL")</f>
        <v/>
      </c>
      <c r="O75" s="11">
        <f>IF(COUNTIF('SR系统设计'!$A$5:$A$42,J75)=1,"PASS","FAIL")</f>
        <v/>
      </c>
      <c r="P75" s="11" t="inlineStr">
        <is>
          <t>已纳入独立交付闭包</t>
        </is>
      </c>
    </row>
    <row r="76" ht="66" customHeight="1">
      <c r="A76" s="11" t="inlineStr">
        <is>
          <t>L3-QO-SemanticQoS-045</t>
        </is>
      </c>
      <c r="B76" s="11" t="inlineStr">
        <is>
          <t>SR-01-11-07</t>
        </is>
      </c>
      <c r="C76" s="11" t="inlineStr">
        <is>
          <t>V2.2校准基线</t>
        </is>
      </c>
      <c r="D76" s="11" t="inlineStr">
        <is>
          <t>L3 传输管理层</t>
        </is>
      </c>
      <c r="E76" s="11" t="inlineStr">
        <is>
          <t>一致性、隔离与QoS</t>
        </is>
      </c>
      <c r="F76" s="11" t="inlineStr">
        <is>
          <t>P0</t>
        </is>
      </c>
      <c r="G76" s="11" t="inlineStr">
        <is>
          <t>P0</t>
        </is>
      </c>
      <c r="H76" s="11" t="inlineStr">
        <is>
          <t>前台推理与后台 KV 任务流量隔离｜L3-QO-SemanticQoS-045</t>
        </is>
      </c>
      <c r="I76" s="11" t="inlineStr">
        <is>
          <t>p99 TTFT 降低 ≥25%；后台任务不影响 TPOT &gt;3%；</t>
        </is>
      </c>
      <c r="J76" s="11" t="inlineStr">
        <is>
          <t>SR23-01-11-02</t>
        </is>
      </c>
      <c r="K76" s="11" t="inlineStr">
        <is>
          <t>多租户隔离与前后台传输 QoS 控制器</t>
        </is>
      </c>
      <c r="L76" s="11" t="inlineStr">
        <is>
          <t>IR-01-11</t>
        </is>
      </c>
      <c r="M76" s="11" t="inlineStr">
        <is>
          <t>该来源作为“多租户隔离与前后台传输 QoS 控制器”功能闭包的内部需求、约束或验收输入；不再单独定义为 SR。</t>
        </is>
      </c>
      <c r="N76" s="11">
        <f>IF(COUNTIF($A$5:$A$153,A76)=1,"PASS","FAIL")</f>
        <v/>
      </c>
      <c r="O76" s="11">
        <f>IF(COUNTIF('SR系统设计'!$A$5:$A$42,J76)=1,"PASS","FAIL")</f>
        <v/>
      </c>
      <c r="P76" s="11" t="inlineStr">
        <is>
          <t>已纳入独立交付闭包</t>
        </is>
      </c>
    </row>
    <row r="77" ht="66" customHeight="1">
      <c r="A77" s="11" t="inlineStr">
        <is>
          <t>L3-SC-PoolIsolation-048</t>
        </is>
      </c>
      <c r="B77" s="11" t="inlineStr">
        <is>
          <t>SR-01-11-08</t>
        </is>
      </c>
      <c r="C77" s="11" t="inlineStr">
        <is>
          <t>V2.2校准基线</t>
        </is>
      </c>
      <c r="D77" s="11" t="inlineStr">
        <is>
          <t>L3 传输管理层</t>
        </is>
      </c>
      <c r="E77" s="11" t="inlineStr">
        <is>
          <t>一致性、隔离与QoS</t>
        </is>
      </c>
      <c r="F77" s="11" t="inlineStr">
        <is>
          <t>P0</t>
        </is>
      </c>
      <c r="G77" s="11" t="inlineStr">
        <is>
          <t>P0</t>
        </is>
      </c>
      <c r="H77" s="11" t="inlineStr">
        <is>
          <t>多租户统一 KV 存储池资源隔离｜L3-SC-PoolIsolation-048</t>
        </is>
      </c>
      <c r="I77" s="11" t="inlineStr">
        <is>
          <t>租户间干扰 &lt;5%；越权访问 = 0；</t>
        </is>
      </c>
      <c r="J77" s="11" t="inlineStr">
        <is>
          <t>SR23-01-11-02</t>
        </is>
      </c>
      <c r="K77" s="11" t="inlineStr">
        <is>
          <t>多租户隔离与前后台传输 QoS 控制器</t>
        </is>
      </c>
      <c r="L77" s="11" t="inlineStr">
        <is>
          <t>IR-01-11</t>
        </is>
      </c>
      <c r="M77" s="11" t="inlineStr">
        <is>
          <t>该来源作为“多租户隔离与前后台传输 QoS 控制器”功能闭包的内部需求、约束或验收输入；不再单独定义为 SR。</t>
        </is>
      </c>
      <c r="N77" s="11">
        <f>IF(COUNTIF($A$5:$A$153,A77)=1,"PASS","FAIL")</f>
        <v/>
      </c>
      <c r="O77" s="11">
        <f>IF(COUNTIF('SR系统设计'!$A$5:$A$42,J77)=1,"PASS","FAIL")</f>
        <v/>
      </c>
      <c r="P77" s="11" t="inlineStr">
        <is>
          <t>已纳入独立交付闭包</t>
        </is>
      </c>
    </row>
    <row r="78" ht="66" customHeight="1">
      <c r="A78" s="11" t="inlineStr">
        <is>
          <t>L4-QO-MigrationQoS-064</t>
        </is>
      </c>
      <c r="B78" s="11" t="inlineStr">
        <is>
          <t>SR-01-11-09</t>
        </is>
      </c>
      <c r="C78" s="11" t="inlineStr">
        <is>
          <t>V2.2校准基线</t>
        </is>
      </c>
      <c r="D78" s="11" t="inlineStr">
        <is>
          <t>L4 底层传输层</t>
        </is>
      </c>
      <c r="E78" s="11" t="inlineStr">
        <is>
          <t>一致性、安全与可靠性</t>
        </is>
      </c>
      <c r="F78" s="11" t="inlineStr">
        <is>
          <t>P0</t>
        </is>
      </c>
      <c r="G78" s="11" t="inlineStr">
        <is>
          <t>P0</t>
        </is>
      </c>
      <c r="H78" s="11" t="inlineStr">
        <is>
          <t>主动迁移流量硬件隔离保障｜L4-QO-MigrationQoS-064</t>
        </is>
      </c>
      <c r="I78" s="11" t="inlineStr">
        <is>
          <t>高拥塞背景下，KVCache关键小包的P99延迟不随大流数据量线性增加。</t>
        </is>
      </c>
      <c r="J78" s="11" t="inlineStr">
        <is>
          <t>SR23-01-11-02</t>
        </is>
      </c>
      <c r="K78" s="11" t="inlineStr">
        <is>
          <t>多租户隔离与前后台传输 QoS 控制器</t>
        </is>
      </c>
      <c r="L78" s="11" t="inlineStr">
        <is>
          <t>IR-01-11</t>
        </is>
      </c>
      <c r="M78" s="11" t="inlineStr">
        <is>
          <t>该来源作为“多租户隔离与前后台传输 QoS 控制器”功能闭包的内部需求、约束或验收输入；不再单独定义为 SR。</t>
        </is>
      </c>
      <c r="N78" s="11">
        <f>IF(COUNTIF($A$5:$A$153,A78)=1,"PASS","FAIL")</f>
        <v/>
      </c>
      <c r="O78" s="11">
        <f>IF(COUNTIF('SR系统设计'!$A$5:$A$42,J78)=1,"PASS","FAIL")</f>
        <v/>
      </c>
      <c r="P78" s="11" t="inlineStr">
        <is>
          <t>已纳入独立交付闭包</t>
        </is>
      </c>
    </row>
    <row r="79" ht="66" customHeight="1">
      <c r="A79" s="11" t="inlineStr">
        <is>
          <t>L4-QO-StateAwareTrafficClass-068</t>
        </is>
      </c>
      <c r="B79" s="11" t="inlineStr">
        <is>
          <t>SR-01-11-10</t>
        </is>
      </c>
      <c r="C79" s="11" t="inlineStr">
        <is>
          <t>V2.2校准基线</t>
        </is>
      </c>
      <c r="D79" s="11" t="inlineStr">
        <is>
          <t>L4 底层传输层</t>
        </is>
      </c>
      <c r="E79" s="11" t="inlineStr">
        <is>
          <t>一致性、安全与可靠性</t>
        </is>
      </c>
      <c r="F79" s="11" t="inlineStr">
        <is>
          <t>P0</t>
        </is>
      </c>
      <c r="G79" s="11" t="inlineStr">
        <is>
          <t>P0</t>
        </is>
      </c>
      <c r="H79" s="11" t="inlineStr">
        <is>
          <t>KV 状态迁移流量隔离｜L4-QO-StateAwareTrafficClass-068</t>
        </is>
      </c>
      <c r="I79" s="11" t="inlineStr">
        <is>
          <t>高拥塞背景下，KVCache关键小包的P99延迟不随大流数据量线性增加。</t>
        </is>
      </c>
      <c r="J79" s="11" t="inlineStr">
        <is>
          <t>SR23-01-11-02</t>
        </is>
      </c>
      <c r="K79" s="11" t="inlineStr">
        <is>
          <t>多租户隔离与前后台传输 QoS 控制器</t>
        </is>
      </c>
      <c r="L79" s="11" t="inlineStr">
        <is>
          <t>IR-01-11</t>
        </is>
      </c>
      <c r="M79" s="11" t="inlineStr">
        <is>
          <t>该来源作为“多租户隔离与前后台传输 QoS 控制器”功能闭包的内部需求、约束或验收输入；不再单独定义为 SR。</t>
        </is>
      </c>
      <c r="N79" s="11">
        <f>IF(COUNTIF($A$5:$A$153,A79)=1,"PASS","FAIL")</f>
        <v/>
      </c>
      <c r="O79" s="11">
        <f>IF(COUNTIF('SR系统设计'!$A$5:$A$42,J79)=1,"PASS","FAIL")</f>
        <v/>
      </c>
      <c r="P79" s="11" t="inlineStr">
        <is>
          <t>已纳入独立交付闭包</t>
        </is>
      </c>
    </row>
    <row r="80" ht="66" customHeight="1">
      <c r="A80" s="11" t="inlineStr">
        <is>
          <t>L4-QO-TrafficClass-056</t>
        </is>
      </c>
      <c r="B80" s="11" t="inlineStr">
        <is>
          <t>SR-01-11-11</t>
        </is>
      </c>
      <c r="C80" s="11" t="inlineStr">
        <is>
          <t>V2.2校准基线</t>
        </is>
      </c>
      <c r="D80" s="11" t="inlineStr">
        <is>
          <t>L4 底层传输层</t>
        </is>
      </c>
      <c r="E80" s="11" t="inlineStr">
        <is>
          <t>一致性、安全与可靠性</t>
        </is>
      </c>
      <c r="F80" s="11" t="inlineStr">
        <is>
          <t>P0</t>
        </is>
      </c>
      <c r="G80" s="11" t="inlineStr">
        <is>
          <t>P0</t>
        </is>
      </c>
      <c r="H80" s="11" t="inlineStr">
        <is>
          <t>KVCache 多类业务流量硬件隔离｜L4-QO-TrafficClass-056</t>
        </is>
      </c>
      <c r="I80" s="11" t="inlineStr">
        <is>
          <t>background interference 降低 ≥50%；</t>
        </is>
      </c>
      <c r="J80" s="11" t="inlineStr">
        <is>
          <t>SR23-01-11-02</t>
        </is>
      </c>
      <c r="K80" s="11" t="inlineStr">
        <is>
          <t>多租户隔离与前后台传输 QoS 控制器</t>
        </is>
      </c>
      <c r="L80" s="11" t="inlineStr">
        <is>
          <t>IR-01-11</t>
        </is>
      </c>
      <c r="M80" s="11" t="inlineStr">
        <is>
          <t>该来源作为“多租户隔离与前后台传输 QoS 控制器”功能闭包的内部需求、约束或验收输入；不再单独定义为 SR。</t>
        </is>
      </c>
      <c r="N80" s="11">
        <f>IF(COUNTIF($A$5:$A$153,A80)=1,"PASS","FAIL")</f>
        <v/>
      </c>
      <c r="O80" s="11">
        <f>IF(COUNTIF('SR系统设计'!$A$5:$A$42,J80)=1,"PASS","FAIL")</f>
        <v/>
      </c>
      <c r="P80" s="11" t="inlineStr">
        <is>
          <t>已纳入独立交付闭包</t>
        </is>
      </c>
    </row>
    <row r="81" ht="66" customHeight="1">
      <c r="A81" s="11" t="inlineStr">
        <is>
          <t>L3-CO-MigrationRCULock-090</t>
        </is>
      </c>
      <c r="B81" s="11" t="inlineStr">
        <is>
          <t>SR-01-11-12</t>
        </is>
      </c>
      <c r="C81" s="11" t="inlineStr">
        <is>
          <t>V2.2校准基线</t>
        </is>
      </c>
      <c r="D81" s="11" t="inlineStr">
        <is>
          <t>L3 传输管理层</t>
        </is>
      </c>
      <c r="E81" s="11" t="inlineStr">
        <is>
          <t>一致性、隔离与QoS</t>
        </is>
      </c>
      <c r="F81" s="11" t="inlineStr">
        <is>
          <t>P1</t>
        </is>
      </c>
      <c r="G81" s="11" t="inlineStr">
        <is>
          <t>P1</t>
        </is>
      </c>
      <c r="H81" s="11" t="inlineStr">
        <is>
          <t>动态升降级与碎片整理期间的并发无感消费｜L3-CO-MigrationRCULock-090</t>
        </is>
      </c>
      <c r="I81" s="11" t="inlineStr">
        <is>
          <t>同机架内本地及远端DDR命中率（本地可用命中率（Local Usable Hit Rate））提升≥30%。</t>
        </is>
      </c>
      <c r="J81" s="11" t="inlineStr">
        <is>
          <t>SR23-01-11-01</t>
        </is>
      </c>
      <c r="K81" s="11" t="inlineStr">
        <is>
          <t>KV 发布、可见性与迁移一致性服务</t>
        </is>
      </c>
      <c r="L81" s="11" t="inlineStr">
        <is>
          <t>IR-01-11</t>
        </is>
      </c>
      <c r="M81" s="11" t="inlineStr">
        <is>
          <t>该来源作为“KV 发布、可见性与迁移一致性服务”功能闭包的内部需求、约束或验收输入；不再单独定义为 SR。</t>
        </is>
      </c>
      <c r="N81" s="11">
        <f>IF(COUNTIF($A$5:$A$153,A81)=1,"PASS","FAIL")</f>
        <v/>
      </c>
      <c r="O81" s="11">
        <f>IF(COUNTIF('SR系统设计'!$A$5:$A$42,J81)=1,"PASS","FAIL")</f>
        <v/>
      </c>
      <c r="P81" s="11" t="inlineStr">
        <is>
          <t>已纳入独立交付闭包</t>
        </is>
      </c>
    </row>
    <row r="82" ht="66" customHeight="1">
      <c r="A82" s="11" t="inlineStr">
        <is>
          <t>L3-CO-ReplicaQuarantine-068</t>
        </is>
      </c>
      <c r="B82" s="11" t="inlineStr">
        <is>
          <t>SR-01-11-13</t>
        </is>
      </c>
      <c r="C82" s="11" t="inlineStr">
        <is>
          <t>V2.2校准基线</t>
        </is>
      </c>
      <c r="D82" s="11" t="inlineStr">
        <is>
          <t>L3 传输管理层</t>
        </is>
      </c>
      <c r="E82" s="11" t="inlineStr">
        <is>
          <t>一致性、隔离与QoS</t>
        </is>
      </c>
      <c r="F82" s="11" t="inlineStr">
        <is>
          <t>P1</t>
        </is>
      </c>
      <c r="G82" s="11" t="inlineStr">
        <is>
          <t>P1</t>
        </is>
      </c>
      <c r="H82" s="11" t="inlineStr">
        <is>
          <t>异常 KV 副本隔离｜L3-CO-ReplicaQuarantine-068</t>
        </is>
      </c>
      <c r="I82" s="11" t="inlineStr">
        <is>
          <t>前缀（Prefix）命中判定P99耗时 &lt; 200us；在共享前缀（Share-Prefix）业务下，可用命中率（Usable Hit Rate）提升≥15%。</t>
        </is>
      </c>
      <c r="J82" s="11" t="inlineStr">
        <is>
          <t>SR23-01-11-01</t>
        </is>
      </c>
      <c r="K82" s="11" t="inlineStr">
        <is>
          <t>KV 发布、可见性与迁移一致性服务</t>
        </is>
      </c>
      <c r="L82" s="11" t="inlineStr">
        <is>
          <t>IR-01-11</t>
        </is>
      </c>
      <c r="M82" s="11" t="inlineStr">
        <is>
          <t>该来源作为“KV 发布、可见性与迁移一致性服务”功能闭包的内部需求、约束或验收输入；不再单独定义为 SR。</t>
        </is>
      </c>
      <c r="N82" s="11">
        <f>IF(COUNTIF($A$5:$A$153,A82)=1,"PASS","FAIL")</f>
        <v/>
      </c>
      <c r="O82" s="11">
        <f>IF(COUNTIF('SR系统设计'!$A$5:$A$42,J82)=1,"PASS","FAIL")</f>
        <v/>
      </c>
      <c r="P82" s="11" t="inlineStr">
        <is>
          <t>已纳入独立交付闭包</t>
        </is>
      </c>
    </row>
    <row r="83" ht="66" customHeight="1">
      <c r="A83" s="11" t="inlineStr">
        <is>
          <t>L1-SC-TenantIsolation-017</t>
        </is>
      </c>
      <c r="B83" s="11" t="inlineStr">
        <is>
          <t>SR-01-12-01</t>
        </is>
      </c>
      <c r="C83" s="11" t="inlineStr">
        <is>
          <t>V2.2校准基线</t>
        </is>
      </c>
      <c r="D83" s="11" t="inlineStr">
        <is>
          <t>L1 推理调度层</t>
        </is>
      </c>
      <c r="E83" s="11" t="inlineStr">
        <is>
          <t>一致性、安全与可靠性</t>
        </is>
      </c>
      <c r="F83" s="11" t="inlineStr">
        <is>
          <t>P0</t>
        </is>
      </c>
      <c r="G83" s="11" t="inlineStr">
        <is>
          <t>P0</t>
        </is>
      </c>
      <c r="H83" s="11" t="inlineStr">
        <is>
          <t>多租户 KVCache 隔离共享｜L1-SC-TenantIsolation-017</t>
        </is>
      </c>
      <c r="I83" s="11" t="inlineStr">
        <is>
          <t>跨租户误命中 = 0；</t>
        </is>
      </c>
      <c r="J83" s="11" t="inlineStr">
        <is>
          <t>SR23-01-12-02</t>
        </is>
      </c>
      <c r="K83" s="11" t="inlineStr">
        <is>
          <t>安全访问、资源下线与地址切换组件</t>
        </is>
      </c>
      <c r="L83" s="11" t="inlineStr">
        <is>
          <t>IR-01-12</t>
        </is>
      </c>
      <c r="M83" s="11" t="inlineStr">
        <is>
          <t>该来源作为“安全访问、资源下线与地址切换组件”功能闭包的内部需求、约束或验收输入；不再单独定义为 SR。</t>
        </is>
      </c>
      <c r="N83" s="11">
        <f>IF(COUNTIF($A$5:$A$153,A83)=1,"PASS","FAIL")</f>
        <v/>
      </c>
      <c r="O83" s="11">
        <f>IF(COUNTIF('SR系统设计'!$A$5:$A$42,J83)=1,"PASS","FAIL")</f>
        <v/>
      </c>
      <c r="P83" s="11" t="inlineStr">
        <is>
          <t>已纳入独立交付闭包</t>
        </is>
      </c>
    </row>
    <row r="84" ht="66" customHeight="1">
      <c r="A84" s="11" t="inlineStr">
        <is>
          <t>L4-CO-ExtentVisibilityFence-066</t>
        </is>
      </c>
      <c r="B84" s="11" t="inlineStr">
        <is>
          <t>SR-01-12-02</t>
        </is>
      </c>
      <c r="C84" s="11" t="inlineStr">
        <is>
          <t>V2.2校准基线</t>
        </is>
      </c>
      <c r="D84" s="11" t="inlineStr">
        <is>
          <t>L4 底层传输层</t>
        </is>
      </c>
      <c r="E84" s="11" t="inlineStr">
        <is>
          <t>一致性、安全与可靠性</t>
        </is>
      </c>
      <c r="F84" s="11" t="inlineStr">
        <is>
          <t>P0</t>
        </is>
      </c>
      <c r="G84" s="11" t="inlineStr">
        <is>
          <t>P0</t>
        </is>
      </c>
      <c r="H84" s="11" t="inlineStr">
        <is>
          <t>KV 块（block）/page 可见性同步｜L4-CO-ExtentVisibilityFence-066</t>
        </is>
      </c>
      <c r="I84" s="11" t="inlineStr">
        <is>
          <t>建立前置硬件能力矩阵和注册内存池机制，确保 KV 块（block） 布局（layout） 不被碎片化，并能进行有效的硬件边界隔离。</t>
        </is>
      </c>
      <c r="J84" s="11" t="inlineStr">
        <is>
          <t>SR23-01-12-01</t>
        </is>
      </c>
      <c r="K84" s="11" t="inlineStr">
        <is>
          <t>按路径完整性证据与 RAS 故障映射组件</t>
        </is>
      </c>
      <c r="L84" s="11" t="inlineStr">
        <is>
          <t>IR-01-12</t>
        </is>
      </c>
      <c r="M84" s="11" t="inlineStr">
        <is>
          <t>该来源作为“按路径完整性证据与 RAS 故障映射组件”功能闭包的内部需求、约束或验收输入；不再单独定义为 SR。</t>
        </is>
      </c>
      <c r="N84" s="11">
        <f>IF(COUNTIF($A$5:$A$153,A84)=1,"PASS","FAIL")</f>
        <v/>
      </c>
      <c r="O84" s="11">
        <f>IF(COUNTIF('SR系统设计'!$A$5:$A$42,J84)=1,"PASS","FAIL")</f>
        <v/>
      </c>
      <c r="P84" s="11" t="inlineStr">
        <is>
          <t>已纳入独立交付闭包</t>
        </is>
      </c>
    </row>
    <row r="85" ht="66" customHeight="1">
      <c r="A85" s="11" t="inlineStr">
        <is>
          <t>L4-CO-FencePrimitive-052</t>
        </is>
      </c>
      <c r="B85" s="11" t="inlineStr">
        <is>
          <t>SR-01-12-03</t>
        </is>
      </c>
      <c r="C85" s="11" t="inlineStr">
        <is>
          <t>V2.2校准基线</t>
        </is>
      </c>
      <c r="D85" s="11" t="inlineStr">
        <is>
          <t>L4 底层传输层</t>
        </is>
      </c>
      <c r="E85" s="11" t="inlineStr">
        <is>
          <t>一致性、安全与可靠性</t>
        </is>
      </c>
      <c r="F85" s="11" t="inlineStr">
        <is>
          <t>P0</t>
        </is>
      </c>
      <c r="G85" s="11" t="inlineStr">
        <is>
          <t>P0</t>
        </is>
      </c>
      <c r="H85" s="11" t="inlineStr">
        <is>
          <t>跨设备 KVCache 可见性同步｜L4-CO-FencePrimitive-052</t>
        </is>
      </c>
      <c r="I85" s="11" t="inlineStr">
        <is>
          <t>陈旧（stale） visibility 故障（fault） = 0；</t>
        </is>
      </c>
      <c r="J85" s="11" t="inlineStr">
        <is>
          <t>SR23-01-12-01</t>
        </is>
      </c>
      <c r="K85" s="11" t="inlineStr">
        <is>
          <t>按路径完整性证据与 RAS 故障映射组件</t>
        </is>
      </c>
      <c r="L85" s="11" t="inlineStr">
        <is>
          <t>IR-01-12</t>
        </is>
      </c>
      <c r="M85" s="11" t="inlineStr">
        <is>
          <t>该来源作为“按路径完整性证据与 RAS 故障映射组件”功能闭包的内部需求、约束或验收输入；不再单独定义为 SR。</t>
        </is>
      </c>
      <c r="N85" s="11">
        <f>IF(COUNTIF($A$5:$A$153,A85)=1,"PASS","FAIL")</f>
        <v/>
      </c>
      <c r="O85" s="11">
        <f>IF(COUNTIF('SR系统设计'!$A$5:$A$42,J85)=1,"PASS","FAIL")</f>
        <v/>
      </c>
      <c r="P85" s="11" t="inlineStr">
        <is>
          <t>已纳入独立交付闭包</t>
        </is>
      </c>
    </row>
    <row r="86" ht="66" customHeight="1">
      <c r="A86" s="11" t="inlineStr">
        <is>
          <t>L4-FT-PathIntegrityPolicy-077</t>
        </is>
      </c>
      <c r="B86" s="11" t="inlineStr">
        <is>
          <t>SR-01-12-04</t>
        </is>
      </c>
      <c r="C86" s="11" t="inlineStr">
        <is>
          <t>V2.2校准基线</t>
        </is>
      </c>
      <c r="D86" s="11" t="inlineStr">
        <is>
          <t>L4 底层传输层</t>
        </is>
      </c>
      <c r="E86" s="11" t="inlineStr">
        <is>
          <t>一致性、安全与可靠性</t>
        </is>
      </c>
      <c r="F86" s="11" t="inlineStr">
        <is>
          <t>P0</t>
        </is>
      </c>
      <c r="G86" s="11" t="inlineStr">
        <is>
          <t>P0</t>
        </is>
      </c>
      <c r="H86" s="11" t="inlineStr">
        <is>
          <t>在不引入CPU 有效载荷（Payload）扫描的前提下保证错误KV不被消费｜L4-FT-PathIntegrityPolicy-077</t>
        </is>
      </c>
      <c r="I86" s="11" t="inlineStr">
        <is>
          <t>每条路径在 就绪状态（ready） 前满足所配置完整性策略；策略与证据可观测、错误可阻断、回退（fallback）可执行。</t>
        </is>
      </c>
      <c r="J86" s="11" t="inlineStr">
        <is>
          <t>SR23-01-12-01</t>
        </is>
      </c>
      <c r="K86" s="11" t="inlineStr">
        <is>
          <t>按路径完整性证据与 RAS 故障映射组件</t>
        </is>
      </c>
      <c r="L86" s="11" t="inlineStr">
        <is>
          <t>IR-01-12</t>
        </is>
      </c>
      <c r="M86" s="11" t="inlineStr">
        <is>
          <t>该来源作为“按路径完整性证据与 RAS 故障映射组件”功能闭包的内部需求、约束或验收输入；不再单独定义为 SR。</t>
        </is>
      </c>
      <c r="N86" s="11">
        <f>IF(COUNTIF($A$5:$A$153,A86)=1,"PASS","FAIL")</f>
        <v/>
      </c>
      <c r="O86" s="11">
        <f>IF(COUNTIF('SR系统设计'!$A$5:$A$42,J86)=1,"PASS","FAIL")</f>
        <v/>
      </c>
      <c r="P86" s="11" t="inlineStr">
        <is>
          <t>已纳入独立交付闭包</t>
        </is>
      </c>
    </row>
    <row r="87" ht="66" customHeight="1">
      <c r="A87" s="11" t="inlineStr">
        <is>
          <t>L4-FT-RASErrorMap-061</t>
        </is>
      </c>
      <c r="B87" s="11" t="inlineStr">
        <is>
          <t>SR-01-12-05</t>
        </is>
      </c>
      <c r="C87" s="11" t="inlineStr">
        <is>
          <t>V2.2校准基线</t>
        </is>
      </c>
      <c r="D87" s="11" t="inlineStr">
        <is>
          <t>L4 底层传输层</t>
        </is>
      </c>
      <c r="E87" s="11" t="inlineStr">
        <is>
          <t>一致性、安全与可靠性</t>
        </is>
      </c>
      <c r="F87" s="11" t="inlineStr">
        <is>
          <t>P0</t>
        </is>
      </c>
      <c r="G87" s="11" t="inlineStr">
        <is>
          <t>P0</t>
        </is>
      </c>
      <c r="H87" s="11" t="inlineStr">
        <is>
          <t>KVCache 硬件故障统一恢复｜L4-FT-RASErrorMap-061</t>
        </is>
      </c>
      <c r="I87" s="11" t="inlineStr">
        <is>
          <t>错误恢复路径覆盖率 受SLO约束的比例；</t>
        </is>
      </c>
      <c r="J87" s="11" t="inlineStr">
        <is>
          <t>SR23-01-12-01</t>
        </is>
      </c>
      <c r="K87" s="11" t="inlineStr">
        <is>
          <t>按路径完整性证据与 RAS 故障映射组件</t>
        </is>
      </c>
      <c r="L87" s="11" t="inlineStr">
        <is>
          <t>IR-01-12</t>
        </is>
      </c>
      <c r="M87" s="11" t="inlineStr">
        <is>
          <t>该来源作为“按路径完整性证据与 RAS 故障映射组件”功能闭包的内部需求、约束或验收输入；不再单独定义为 SR。</t>
        </is>
      </c>
      <c r="N87" s="11">
        <f>IF(COUNTIF($A$5:$A$153,A87)=1,"PASS","FAIL")</f>
        <v/>
      </c>
      <c r="O87" s="11">
        <f>IF(COUNTIF('SR系统设计'!$A$5:$A$42,J87)=1,"PASS","FAIL")</f>
        <v/>
      </c>
      <c r="P87" s="11" t="inlineStr">
        <is>
          <t>已纳入独立交付闭包</t>
        </is>
      </c>
    </row>
    <row r="88" ht="66" customHeight="1">
      <c r="A88" s="11" t="inlineStr">
        <is>
          <t>L4-FT-ReplicaIntegrityCheck-069</t>
        </is>
      </c>
      <c r="B88" s="11" t="inlineStr">
        <is>
          <t>SR-01-12-06</t>
        </is>
      </c>
      <c r="C88" s="11" t="inlineStr">
        <is>
          <t>V2.2校准基线</t>
        </is>
      </c>
      <c r="D88" s="11" t="inlineStr">
        <is>
          <t>L4 底层传输层</t>
        </is>
      </c>
      <c r="E88" s="11" t="inlineStr">
        <is>
          <t>一致性、安全与可靠性</t>
        </is>
      </c>
      <c r="F88" s="11" t="inlineStr">
        <is>
          <t>P0</t>
        </is>
      </c>
      <c r="G88" s="11" t="inlineStr">
        <is>
          <t>P0</t>
        </is>
      </c>
      <c r="H88" s="11" t="inlineStr">
        <is>
          <t>本地 DDR、远端内存、SSD/object 的差异化完整性与故障处理｜L4-FT-ReplicaIntegrityCheck-069</t>
        </is>
      </c>
      <c r="I88" s="11" t="inlineStr">
        <is>
          <t>每条路径有明确 integrity policy/evidence；CPU CRC 不进入默认主路径。</t>
        </is>
      </c>
      <c r="J88" s="11" t="inlineStr">
        <is>
          <t>SR23-01-12-01</t>
        </is>
      </c>
      <c r="K88" s="11" t="inlineStr">
        <is>
          <t>按路径完整性证据与 RAS 故障映射组件</t>
        </is>
      </c>
      <c r="L88" s="11" t="inlineStr">
        <is>
          <t>IR-01-12</t>
        </is>
      </c>
      <c r="M88" s="11" t="inlineStr">
        <is>
          <t>该来源作为“按路径完整性证据与 RAS 故障映射组件”功能闭包的内部需求、约束或验收输入；不再单独定义为 SR。</t>
        </is>
      </c>
      <c r="N88" s="11">
        <f>IF(COUNTIF($A$5:$A$153,A88)=1,"PASS","FAIL")</f>
        <v/>
      </c>
      <c r="O88" s="11">
        <f>IF(COUNTIF('SR系统设计'!$A$5:$A$42,J88)=1,"PASS","FAIL")</f>
        <v/>
      </c>
      <c r="P88" s="11" t="inlineStr">
        <is>
          <t>已纳入独立交付闭包</t>
        </is>
      </c>
    </row>
    <row r="89" ht="66" customHeight="1">
      <c r="A89" s="11" t="inlineStr">
        <is>
          <t>L4-SC-ViewProtection-062</t>
        </is>
      </c>
      <c r="B89" s="11" t="inlineStr">
        <is>
          <t>SR-01-12-07</t>
        </is>
      </c>
      <c r="C89" s="11" t="inlineStr">
        <is>
          <t>V2.2校准基线</t>
        </is>
      </c>
      <c r="D89" s="11" t="inlineStr">
        <is>
          <t>L4 底层传输层</t>
        </is>
      </c>
      <c r="E89" s="11" t="inlineStr">
        <is>
          <t>一致性、安全与可靠性</t>
        </is>
      </c>
      <c r="F89" s="11" t="inlineStr">
        <is>
          <t>P0</t>
        </is>
      </c>
      <c r="G89" s="11" t="inlineStr">
        <is>
          <t>P0</t>
        </is>
      </c>
      <c r="H89" s="11" t="inlineStr">
        <is>
          <t>共享内存 KVCache 安全访问保护｜L4-SC-ViewProtection-062</t>
        </is>
      </c>
      <c r="I89" s="11" t="inlineStr">
        <is>
          <t>越权访问 = 0；视图（view） revocation p99 &lt;1ms；</t>
        </is>
      </c>
      <c r="J89" s="11" t="inlineStr">
        <is>
          <t>SR23-01-12-02</t>
        </is>
      </c>
      <c r="K89" s="11" t="inlineStr">
        <is>
          <t>安全访问、资源下线与地址切换组件</t>
        </is>
      </c>
      <c r="L89" s="11" t="inlineStr">
        <is>
          <t>IR-01-12</t>
        </is>
      </c>
      <c r="M89" s="11" t="inlineStr">
        <is>
          <t>该来源作为“安全访问、资源下线与地址切换组件”功能闭包的内部需求、约束或验收输入；不再单独定义为 SR。</t>
        </is>
      </c>
      <c r="N89" s="11">
        <f>IF(COUNTIF($A$5:$A$153,A89)=1,"PASS","FAIL")</f>
        <v/>
      </c>
      <c r="O89" s="11">
        <f>IF(COUNTIF('SR系统设计'!$A$5:$A$42,J89)=1,"PASS","FAIL")</f>
        <v/>
      </c>
      <c r="P89" s="11" t="inlineStr">
        <is>
          <t>已纳入独立交付闭包</t>
        </is>
      </c>
    </row>
    <row r="90" ht="66" customHeight="1">
      <c r="A90" s="11" t="inlineStr">
        <is>
          <t>L4-CO-DrainAndQuiesce-073</t>
        </is>
      </c>
      <c r="B90" s="11" t="inlineStr">
        <is>
          <t>SR-01-12-08</t>
        </is>
      </c>
      <c r="C90" s="11" t="inlineStr">
        <is>
          <t>V2.2校准基线</t>
        </is>
      </c>
      <c r="D90" s="11" t="inlineStr">
        <is>
          <t>L4 底层传输层</t>
        </is>
      </c>
      <c r="E90" s="11" t="inlineStr">
        <is>
          <t>一致性、安全与可靠性</t>
        </is>
      </c>
      <c r="F90" s="11" t="inlineStr">
        <is>
          <t>P1</t>
        </is>
      </c>
      <c r="G90" s="11" t="inlineStr">
        <is>
          <t>P1</t>
        </is>
      </c>
      <c r="H90" s="11" t="inlineStr">
        <is>
          <t>后端资源切换与节点下线｜L4-CO-DrainAndQuiesce-073</t>
        </is>
      </c>
      <c r="I90" s="11" t="inlineStr">
        <is>
          <t>全局内存利用率提升至≥85%，跨级冷热数据迁移过程中的TPOT抖动 &lt; 5%。</t>
        </is>
      </c>
      <c r="J90" s="11" t="inlineStr">
        <is>
          <t>SR23-01-12-02</t>
        </is>
      </c>
      <c r="K90" s="11" t="inlineStr">
        <is>
          <t>安全访问、资源下线与地址切换组件</t>
        </is>
      </c>
      <c r="L90" s="11" t="inlineStr">
        <is>
          <t>IR-01-12</t>
        </is>
      </c>
      <c r="M90" s="11" t="inlineStr">
        <is>
          <t>该来源作为“安全访问、资源下线与地址切换组件”功能闭包的内部需求、约束或验收输入；不再单独定义为 SR。</t>
        </is>
      </c>
      <c r="N90" s="11">
        <f>IF(COUNTIF($A$5:$A$153,A90)=1,"PASS","FAIL")</f>
        <v/>
      </c>
      <c r="O90" s="11">
        <f>IF(COUNTIF('SR系统设计'!$A$5:$A$42,J90)=1,"PASS","FAIL")</f>
        <v/>
      </c>
      <c r="P90" s="11" t="inlineStr">
        <is>
          <t>已纳入独立交付闭包</t>
        </is>
      </c>
    </row>
    <row r="91" ht="66" customHeight="1">
      <c r="A91" s="11" t="inlineStr">
        <is>
          <t>L4-CO-AtomicRemapPrimitive-065</t>
        </is>
      </c>
      <c r="B91" s="11" t="inlineStr">
        <is>
          <t>SR-01-12-09</t>
        </is>
      </c>
      <c r="C91" s="11" t="inlineStr">
        <is>
          <t>V2.2校准基线</t>
        </is>
      </c>
      <c r="D91" s="11" t="inlineStr">
        <is>
          <t>L4 底层传输层</t>
        </is>
      </c>
      <c r="E91" s="11" t="inlineStr">
        <is>
          <t>一致性、安全与可靠性</t>
        </is>
      </c>
      <c r="F91" s="11" t="inlineStr">
        <is>
          <t>P2</t>
        </is>
      </c>
      <c r="G91" s="11" t="inlineStr">
        <is>
          <t>P2</t>
        </is>
      </c>
      <c r="H91" s="11" t="inlineStr">
        <is>
          <t>KV 迁移/紧凑整理期间地址无感切换｜L4-CO-AtomicRemapPrimitive-065</t>
        </is>
      </c>
      <c r="I91" s="11" t="inlineStr">
        <is>
          <t>高拥塞背景下，KVCache关键小包的P99延迟不随大流数据量线性增加。</t>
        </is>
      </c>
      <c r="J91" s="11" t="inlineStr">
        <is>
          <t>SR23-01-12-02</t>
        </is>
      </c>
      <c r="K91" s="11" t="inlineStr">
        <is>
          <t>安全访问、资源下线与地址切换组件</t>
        </is>
      </c>
      <c r="L91" s="11" t="inlineStr">
        <is>
          <t>IR-01-12</t>
        </is>
      </c>
      <c r="M91" s="11" t="inlineStr">
        <is>
          <t>该来源作为“安全访问、资源下线与地址切换组件”功能闭包的内部需求、约束或验收输入；不再单独定义为 SR。</t>
        </is>
      </c>
      <c r="N91" s="11">
        <f>IF(COUNTIF($A$5:$A$153,A91)=1,"PASS","FAIL")</f>
        <v/>
      </c>
      <c r="O91" s="11">
        <f>IF(COUNTIF('SR系统设计'!$A$5:$A$42,J91)=1,"PASS","FAIL")</f>
        <v/>
      </c>
      <c r="P91" s="11" t="inlineStr">
        <is>
          <t>已纳入独立交付闭包</t>
        </is>
      </c>
    </row>
    <row r="92" ht="66" customHeight="1">
      <c r="A92" s="11" t="inlineStr">
        <is>
          <t>L4-SC-SecureExtentRelease-074</t>
        </is>
      </c>
      <c r="B92" s="11" t="inlineStr">
        <is>
          <t>SR-01-12-10</t>
        </is>
      </c>
      <c r="C92" s="11" t="inlineStr">
        <is>
          <t>V2.2校准基线</t>
        </is>
      </c>
      <c r="D92" s="11" t="inlineStr">
        <is>
          <t>L4 底层传输层</t>
        </is>
      </c>
      <c r="E92" s="11" t="inlineStr">
        <is>
          <t>一致性、安全与可靠性</t>
        </is>
      </c>
      <c r="F92" s="11" t="inlineStr">
        <is>
          <t>P2</t>
        </is>
      </c>
      <c r="G92" s="11" t="inlineStr">
        <is>
          <t>P2</t>
        </is>
      </c>
      <c r="H92" s="11" t="inlineStr">
        <is>
          <t>KV 物理空间安全复用｜L4-SC-SecureExtentRelease-074</t>
        </is>
      </c>
      <c r="I92" s="11" t="inlineStr">
        <is>
          <t>在极高并发下OOM、非法内存访问(Segfault)、租户数据串模率为0。</t>
        </is>
      </c>
      <c r="J92" s="11" t="inlineStr">
        <is>
          <t>SR23-01-12-02</t>
        </is>
      </c>
      <c r="K92" s="11" t="inlineStr">
        <is>
          <t>安全访问、资源下线与地址切换组件</t>
        </is>
      </c>
      <c r="L92" s="11" t="inlineStr">
        <is>
          <t>IR-01-12</t>
        </is>
      </c>
      <c r="M92" s="11" t="inlineStr">
        <is>
          <t>该来源作为“安全访问、资源下线与地址切换组件”功能闭包的内部需求、约束或验收输入；不再单独定义为 SR。</t>
        </is>
      </c>
      <c r="N92" s="11">
        <f>IF(COUNTIF($A$5:$A$153,A92)=1,"PASS","FAIL")</f>
        <v/>
      </c>
      <c r="O92" s="11">
        <f>IF(COUNTIF('SR系统设计'!$A$5:$A$42,J92)=1,"PASS","FAIL")</f>
        <v/>
      </c>
      <c r="P92" s="11" t="inlineStr">
        <is>
          <t>已纳入独立交付闭包</t>
        </is>
      </c>
    </row>
    <row r="93" ht="66" customHeight="1">
      <c r="A93" s="11" t="inlineStr">
        <is>
          <t>L4-CO-PageMigration-063</t>
        </is>
      </c>
      <c r="B93" s="11" t="inlineStr">
        <is>
          <t>SR-01-12-11</t>
        </is>
      </c>
      <c r="C93" s="11" t="inlineStr">
        <is>
          <t>V2.2校准基线</t>
        </is>
      </c>
      <c r="D93" s="11" t="inlineStr">
        <is>
          <t>L4 底层传输层</t>
        </is>
      </c>
      <c r="E93" s="11" t="inlineStr">
        <is>
          <t>一致性、安全与可靠性</t>
        </is>
      </c>
      <c r="F93" s="11" t="inlineStr">
        <is>
          <t>P3</t>
        </is>
      </c>
      <c r="G93" s="11" t="inlineStr">
        <is>
          <t>P3</t>
        </is>
      </c>
      <c r="H93" s="11" t="inlineStr">
        <is>
          <t>硬件级零拷贝内存重组｜L4-CO-PageMigration-063</t>
        </is>
      </c>
      <c r="I93" s="11" t="inlineStr">
        <is>
          <t>探索直接视图(直接视图（direct view）)、硬件多播及硬件原子页迁移等远期能力，避免 TPOT 被直接视图意外拖慢，不强求 &lt;500ns 等极端指标。</t>
        </is>
      </c>
      <c r="J93" s="11" t="inlineStr">
        <is>
          <t>SR23-01-12-02</t>
        </is>
      </c>
      <c r="K93" s="11" t="inlineStr">
        <is>
          <t>安全访问、资源下线与地址切换组件</t>
        </is>
      </c>
      <c r="L93" s="11" t="inlineStr">
        <is>
          <t>IR-01-12</t>
        </is>
      </c>
      <c r="M93" s="11" t="inlineStr">
        <is>
          <t>该来源作为“安全访问、资源下线与地址切换组件”功能闭包的内部需求、约束或验收输入；不再单独定义为 SR。</t>
        </is>
      </c>
      <c r="N93" s="11">
        <f>IF(COUNTIF($A$5:$A$153,A93)=1,"PASS","FAIL")</f>
        <v/>
      </c>
      <c r="O93" s="11">
        <f>IF(COUNTIF('SR系统设计'!$A$5:$A$42,J93)=1,"PASS","FAIL")</f>
        <v/>
      </c>
      <c r="P93" s="11" t="inlineStr">
        <is>
          <t>已纳入独立交付闭包</t>
        </is>
      </c>
    </row>
    <row r="94" ht="66" customHeight="1">
      <c r="A94" s="11" t="inlineStr">
        <is>
          <t>L2-CONN-API-STD-001</t>
        </is>
      </c>
      <c r="B94" s="11" t="inlineStr">
        <is>
          <t>SR-02-01-01</t>
        </is>
      </c>
      <c r="C94" s="11" t="inlineStr">
        <is>
          <t>V2.2校准基线</t>
        </is>
      </c>
      <c r="D94" s="11" t="inlineStr">
        <is>
          <t>L2 KV连接器（KVConnector）层</t>
        </is>
      </c>
      <c r="E94" s="11" t="inlineStr">
        <is>
          <t>统一协议与标准接口</t>
        </is>
      </c>
      <c r="F94" s="11" t="inlineStr">
        <is>
          <t>P0</t>
        </is>
      </c>
      <c r="G94" s="11" t="inlineStr">
        <is>
          <t>P0</t>
        </is>
      </c>
      <c r="H94" s="11" t="inlineStr">
        <is>
          <t>统一接口标准化｜L2-CONN-API-STD-001</t>
        </is>
      </c>
      <c r="I94" s="11" t="inlineStr">
        <is>
          <t>前缀（Prefix）命中判定P99耗时 &lt; 200us；在共享前缀（Share-Prefix）业务下，可用命中率（Usable Hit Rate）提升≥15%。</t>
        </is>
      </c>
      <c r="J94" s="11" t="inlineStr">
        <is>
          <t>SR23-02-01-01</t>
        </is>
      </c>
      <c r="K94" s="11" t="inlineStr">
        <is>
          <t>vLLM/SGLang 统一 KV连接器（KVConnector） 协议与插件 SDK</t>
        </is>
      </c>
      <c r="L94" s="11" t="inlineStr">
        <is>
          <t>IR-02-01</t>
        </is>
      </c>
      <c r="M94" s="11" t="inlineStr">
        <is>
          <t>该来源作为“vLLM/SGLang 统一 KV连接器（KVConnector） 协议与插件 SDK”功能闭包的内部需求、约束或验收输入；不再单独定义为 SR。</t>
        </is>
      </c>
      <c r="N94" s="11">
        <f>IF(COUNTIF($A$5:$A$153,A94)=1,"PASS","FAIL")</f>
        <v/>
      </c>
      <c r="O94" s="11">
        <f>IF(COUNTIF('SR系统设计'!$A$5:$A$42,J94)=1,"PASS","FAIL")</f>
        <v/>
      </c>
      <c r="P94" s="11" t="inlineStr">
        <is>
          <t>已纳入独立交付闭包</t>
        </is>
      </c>
    </row>
    <row r="95" ht="66" customHeight="1">
      <c r="A95" s="11" t="inlineStr">
        <is>
          <t>L2-CONN-BufferContract-040</t>
        </is>
      </c>
      <c r="B95" s="11" t="inlineStr">
        <is>
          <t>SR-02-01-02</t>
        </is>
      </c>
      <c r="C95" s="11" t="inlineStr">
        <is>
          <t>V2.2校准基线</t>
        </is>
      </c>
      <c r="D95" s="11" t="inlineStr">
        <is>
          <t>L2 KV连接器（KVConnector）层</t>
        </is>
      </c>
      <c r="E95" s="11" t="inlineStr">
        <is>
          <t>统一协议与标准接口</t>
        </is>
      </c>
      <c r="F95" s="11" t="inlineStr">
        <is>
          <t>P0</t>
        </is>
      </c>
      <c r="G95" s="11" t="inlineStr">
        <is>
          <t>P0</t>
        </is>
      </c>
      <c r="H95" s="11" t="inlineStr">
        <is>
          <t>算力执行内存与存储池内存管理解耦｜L2-CONN-BufferContract-040</t>
        </is>
      </c>
      <c r="I95" s="11" t="inlineStr">
        <is>
          <t>错误加载（Load）（即加载（Load）耗时 &gt; Recompute耗时）比例下降至 &lt; 1%。</t>
        </is>
      </c>
      <c r="J95" s="11" t="inlineStr">
        <is>
          <t>SR23-02-01-01</t>
        </is>
      </c>
      <c r="K95" s="11" t="inlineStr">
        <is>
          <t>vLLM/SGLang 统一 KV连接器（KVConnector） 协议与插件 SDK</t>
        </is>
      </c>
      <c r="L95" s="11" t="inlineStr">
        <is>
          <t>IR-02-01</t>
        </is>
      </c>
      <c r="M95" s="11" t="inlineStr">
        <is>
          <t>该来源作为“vLLM/SGLang 统一 KV连接器（KVConnector） 协议与插件 SDK”功能闭包的内部需求、约束或验收输入；不再单独定义为 SR。</t>
        </is>
      </c>
      <c r="N95" s="11">
        <f>IF(COUNTIF($A$5:$A$153,A95)=1,"PASS","FAIL")</f>
        <v/>
      </c>
      <c r="O95" s="11">
        <f>IF(COUNTIF('SR系统设计'!$A$5:$A$42,J95)=1,"PASS","FAIL")</f>
        <v/>
      </c>
      <c r="P95" s="11" t="inlineStr">
        <is>
          <t>已纳入独立交付闭包</t>
        </is>
      </c>
    </row>
    <row r="96" ht="66" customHeight="1">
      <c r="A96" s="11" t="inlineStr">
        <is>
          <t>L2-CONN-CostAwareReturn-039</t>
        </is>
      </c>
      <c r="B96" s="11" t="inlineStr">
        <is>
          <t>SR-02-01-03</t>
        </is>
      </c>
      <c r="C96" s="11" t="inlineStr">
        <is>
          <t>V2.2校准基线</t>
        </is>
      </c>
      <c r="D96" s="11" t="inlineStr">
        <is>
          <t>L2 KV连接器（KVConnector）层</t>
        </is>
      </c>
      <c r="E96" s="11" t="inlineStr">
        <is>
          <t>统一协议与标准接口</t>
        </is>
      </c>
      <c r="F96" s="11" t="inlineStr">
        <is>
          <t>P0</t>
        </is>
      </c>
      <c r="G96" s="11" t="inlineStr">
        <is>
          <t>P0</t>
        </is>
      </c>
      <c r="H96" s="11" t="inlineStr">
        <is>
          <t>拥塞链路下的前缀命中低效绕行｜L2-CONN-CostAwareReturn-039</t>
        </is>
      </c>
      <c r="I96" s="11" t="inlineStr">
        <is>
          <t>确保 L2/L3 能够向 L1 输出准确的传输和附加代价(Cost)，而不直接在连接层内丢弃请求(Drop)。</t>
        </is>
      </c>
      <c r="J96" s="11" t="inlineStr">
        <is>
          <t>SR23-02-01-01</t>
        </is>
      </c>
      <c r="K96" s="11" t="inlineStr">
        <is>
          <t>vLLM/SGLang 统一 KV连接器（KVConnector） 协议与插件 SDK</t>
        </is>
      </c>
      <c r="L96" s="11" t="inlineStr">
        <is>
          <t>IR-02-01</t>
        </is>
      </c>
      <c r="M96" s="11" t="inlineStr">
        <is>
          <t>该来源作为“vLLM/SGLang 统一 KV连接器（KVConnector） 协议与插件 SDK”功能闭包的内部需求、约束或验收输入；不再单独定义为 SR。</t>
        </is>
      </c>
      <c r="N96" s="11">
        <f>IF(COUNTIF($A$5:$A$153,A96)=1,"PASS","FAIL")</f>
        <v/>
      </c>
      <c r="O96" s="11">
        <f>IF(COUNTIF('SR系统设计'!$A$5:$A$42,J96)=1,"PASS","FAIL")</f>
        <v/>
      </c>
      <c r="P96" s="11" t="inlineStr">
        <is>
          <t>已纳入独立交付闭包</t>
        </is>
      </c>
    </row>
    <row r="97" ht="66" customHeight="1">
      <c r="A97" s="11" t="inlineStr">
        <is>
          <t>L2-KV-PublishCommit-033</t>
        </is>
      </c>
      <c r="B97" s="11" t="inlineStr">
        <is>
          <t>SR-02-01-04</t>
        </is>
      </c>
      <c r="C97" s="11" t="inlineStr">
        <is>
          <t>V2.2校准基线</t>
        </is>
      </c>
      <c r="D97" s="11" t="inlineStr">
        <is>
          <t>L2 KV连接器（KVConnector）层</t>
        </is>
      </c>
      <c r="E97" s="11" t="inlineStr">
        <is>
          <t>统一协议与标准接口</t>
        </is>
      </c>
      <c r="F97" s="11" t="inlineStr">
        <is>
          <t>P0</t>
        </is>
      </c>
      <c r="G97" s="11" t="inlineStr">
        <is>
          <t>P0</t>
        </is>
      </c>
      <c r="H97" s="11" t="inlineStr">
        <is>
          <t>NPU/GPU 生成 KV 后进入统一 KV 内存池｜L2-KV-PublishCommit-033</t>
        </is>
      </c>
      <c r="I97" s="11" t="inlineStr">
        <is>
          <t>发布状态必须与真实数据可见性一致；不得把应用层 CRC 作为所有路径统一的 commit 前置条件。</t>
        </is>
      </c>
      <c r="J97" s="11" t="inlineStr">
        <is>
          <t>SR23-02-01-01</t>
        </is>
      </c>
      <c r="K97" s="11" t="inlineStr">
        <is>
          <t>vLLM/SGLang 统一 KV连接器（KVConnector） 协议与插件 SDK</t>
        </is>
      </c>
      <c r="L97" s="11" t="inlineStr">
        <is>
          <t>IR-02-01</t>
        </is>
      </c>
      <c r="M97" s="11" t="inlineStr">
        <is>
          <t>该来源作为“vLLM/SGLang 统一 KV连接器（KVConnector） 协议与插件 SDK”功能闭包的内部需求、约束或验收输入；不再单独定义为 SR。</t>
        </is>
      </c>
      <c r="N97" s="11">
        <f>IF(COUNTIF($A$5:$A$153,A97)=1,"PASS","FAIL")</f>
        <v/>
      </c>
      <c r="O97" s="11">
        <f>IF(COUNTIF('SR系统设计'!$A$5:$A$42,J97)=1,"PASS","FAIL")</f>
        <v/>
      </c>
      <c r="P97" s="11" t="inlineStr">
        <is>
          <t>已纳入独立交付闭包</t>
        </is>
      </c>
    </row>
    <row r="98" ht="66" customHeight="1">
      <c r="A98" s="11" t="inlineStr">
        <is>
          <t>L2-KV-SemanticIdentity-036</t>
        </is>
      </c>
      <c r="B98" s="11" t="inlineStr">
        <is>
          <t>SR-02-01-05</t>
        </is>
      </c>
      <c r="C98" s="11" t="inlineStr">
        <is>
          <t>V2.2校准基线</t>
        </is>
      </c>
      <c r="D98" s="11" t="inlineStr">
        <is>
          <t>L2 KV连接器（KVConnector）层</t>
        </is>
      </c>
      <c r="E98" s="11" t="inlineStr">
        <is>
          <t>统一协议与标准接口</t>
        </is>
      </c>
      <c r="F98" s="11" t="inlineStr">
        <is>
          <t>P1</t>
        </is>
      </c>
      <c r="G98" s="11" t="inlineStr">
        <is>
          <t>P1</t>
        </is>
      </c>
      <c r="H98" s="11" t="inlineStr">
        <is>
          <t>防止语义不兼容 KV 被误复用｜L2-KV-SemanticIdentity-036</t>
        </is>
      </c>
      <c r="I98" s="11" t="inlineStr">
        <is>
          <t>元数据转换和序列化开销降低至&lt;200ns/次。</t>
        </is>
      </c>
      <c r="J98" s="11" t="inlineStr">
        <is>
          <t>SR23-02-01-01</t>
        </is>
      </c>
      <c r="K98" s="11" t="inlineStr">
        <is>
          <t>vLLM/SGLang 统一 KV连接器（KVConnector） 协议与插件 SDK</t>
        </is>
      </c>
      <c r="L98" s="11" t="inlineStr">
        <is>
          <t>IR-02-01</t>
        </is>
      </c>
      <c r="M98" s="11" t="inlineStr">
        <is>
          <t>该来源作为“vLLM/SGLang 统一 KV连接器（KVConnector） 协议与插件 SDK”功能闭包的内部需求、约束或验收输入；不再单独定义为 SR。</t>
        </is>
      </c>
      <c r="N98" s="11">
        <f>IF(COUNTIF($A$5:$A$153,A98)=1,"PASS","FAIL")</f>
        <v/>
      </c>
      <c r="O98" s="11">
        <f>IF(COUNTIF('SR系统设计'!$A$5:$A$42,J98)=1,"PASS","FAIL")</f>
        <v/>
      </c>
      <c r="P98" s="11" t="inlineStr">
        <is>
          <t>已纳入独立交付闭包</t>
        </is>
      </c>
    </row>
    <row r="99" ht="66" customHeight="1">
      <c r="A99" s="11" t="inlineStr">
        <is>
          <t>L1-PM-PrefixBudget-001</t>
        </is>
      </c>
      <c r="B99" s="11" t="inlineStr">
        <is>
          <t>SR-02-02-01</t>
        </is>
      </c>
      <c r="C99" s="11" t="inlineStr">
        <is>
          <t>V2.2校准基线</t>
        </is>
      </c>
      <c r="D99" s="11" t="inlineStr">
        <is>
          <t>L1 推理调度层</t>
        </is>
      </c>
      <c r="E99" s="11" t="inlineStr">
        <is>
          <t>调度与路由控制</t>
        </is>
      </c>
      <c r="F99" s="11" t="inlineStr">
        <is>
          <t>P0</t>
        </is>
      </c>
      <c r="G99" s="11" t="inlineStr">
        <is>
          <t>P0</t>
        </is>
      </c>
      <c r="H99" s="11" t="inlineStr">
        <is>
          <t>共享前缀命中快速判定｜L1-PM-PrefixBudget-001</t>
        </is>
      </c>
      <c r="I99" s="11" t="inlineStr">
        <is>
          <t>确保 前缀（Prefix） 命中不严重拖累 TTFT；usable_hit / total_requests 的转化率稳定。</t>
        </is>
      </c>
      <c r="J99" s="11" t="inlineStr">
        <is>
          <t>SR23-02-02-01</t>
        </is>
      </c>
      <c r="K99" s="11" t="inlineStr">
        <is>
          <t>前缀预算（Prefix Budget）、加载与重算（load-vs-recompute） 与水位准入组件</t>
        </is>
      </c>
      <c r="L99" s="11" t="inlineStr">
        <is>
          <t>IR-02-02</t>
        </is>
      </c>
      <c r="M99" s="11" t="inlineStr">
        <is>
          <t>该来源作为“前缀预算（Prefix Budget）、加载与重算（load-vs-recompute） 与水位准入组件”功能闭包的内部需求、约束或验收输入；不再单独定义为 SR。</t>
        </is>
      </c>
      <c r="N99" s="11">
        <f>IF(COUNTIF($A$5:$A$153,A99)=1,"PASS","FAIL")</f>
        <v/>
      </c>
      <c r="O99" s="11">
        <f>IF(COUNTIF('SR系统设计'!$A$5:$A$42,J99)=1,"PASS","FAIL")</f>
        <v/>
      </c>
      <c r="P99" s="11" t="inlineStr">
        <is>
          <t>已纳入独立交付闭包</t>
        </is>
      </c>
    </row>
    <row r="100" ht="66" customHeight="1">
      <c r="A100" s="11" t="inlineStr">
        <is>
          <t>L1-RT-Admission-007</t>
        </is>
      </c>
      <c r="B100" s="11" t="inlineStr">
        <is>
          <t>SR-02-02-02</t>
        </is>
      </c>
      <c r="C100" s="11" t="inlineStr">
        <is>
          <t>V2.2校准基线</t>
        </is>
      </c>
      <c r="D100" s="11" t="inlineStr">
        <is>
          <t>L1 推理调度层</t>
        </is>
      </c>
      <c r="E100" s="11" t="inlineStr">
        <is>
          <t>调度与路由控制</t>
        </is>
      </c>
      <c r="F100" s="11" t="inlineStr">
        <is>
          <t>P0</t>
        </is>
      </c>
      <c r="G100" s="11" t="inlineStr">
        <is>
          <t>P0</t>
        </is>
      </c>
      <c r="H100" s="11" t="inlineStr">
        <is>
          <t>命中 KV 加载收益判定｜L1-RT-Admission-007</t>
        </is>
      </c>
      <c r="I100" s="11" t="inlineStr">
        <is>
          <t>p99 TTFT 降低 ≥20%；废弃远端加载（abandoned remote load） 降低 ≥50%；</t>
        </is>
      </c>
      <c r="J100" s="11" t="inlineStr">
        <is>
          <t>SR23-02-02-01</t>
        </is>
      </c>
      <c r="K100" s="11" t="inlineStr">
        <is>
          <t>前缀预算（Prefix Budget）、加载与重算（load-vs-recompute） 与水位准入组件</t>
        </is>
      </c>
      <c r="L100" s="11" t="inlineStr">
        <is>
          <t>IR-02-02</t>
        </is>
      </c>
      <c r="M100" s="11" t="inlineStr">
        <is>
          <t>该来源作为“前缀预算（Prefix Budget）、加载与重算（load-vs-recompute） 与水位准入组件”功能闭包的内部需求、约束或验收输入；不再单独定义为 SR。</t>
        </is>
      </c>
      <c r="N100" s="11">
        <f>IF(COUNTIF($A$5:$A$153,A100)=1,"PASS","FAIL")</f>
        <v/>
      </c>
      <c r="O100" s="11">
        <f>IF(COUNTIF('SR系统设计'!$A$5:$A$42,J100)=1,"PASS","FAIL")</f>
        <v/>
      </c>
      <c r="P100" s="11" t="inlineStr">
        <is>
          <t>已纳入独立交付闭包</t>
        </is>
      </c>
    </row>
    <row r="101" ht="66" customHeight="1">
      <c r="A101" s="11" t="inlineStr">
        <is>
          <t>L1-RT-WatermarkAdmission-024</t>
        </is>
      </c>
      <c r="B101" s="11" t="inlineStr">
        <is>
          <t>SR-02-02-03</t>
        </is>
      </c>
      <c r="C101" s="11" t="inlineStr">
        <is>
          <t>V2.2校准基线</t>
        </is>
      </c>
      <c r="D101" s="11" t="inlineStr">
        <is>
          <t>L1 推理调度层</t>
        </is>
      </c>
      <c r="E101" s="11" t="inlineStr">
        <is>
          <t>调度与路由控制</t>
        </is>
      </c>
      <c r="F101" s="11" t="inlineStr">
        <is>
          <t>P0</t>
        </is>
      </c>
      <c r="G101" s="11" t="inlineStr">
        <is>
          <t>P0</t>
        </is>
      </c>
      <c r="H101" s="11" t="inlineStr">
        <is>
          <t>级联水位高压反压准入｜L1-RT-WatermarkAdmission-024</t>
        </is>
      </c>
      <c r="I101" s="11" t="inlineStr">
        <is>
          <t>错误加载（Load）（即加载（Load）耗时 &gt; Recompute耗时）比例下降至 &lt; 1%。</t>
        </is>
      </c>
      <c r="J101" s="11" t="inlineStr">
        <is>
          <t>SR23-02-02-01</t>
        </is>
      </c>
      <c r="K101" s="11" t="inlineStr">
        <is>
          <t>前缀预算（Prefix Budget）、加载与重算（load-vs-recompute） 与水位准入组件</t>
        </is>
      </c>
      <c r="L101" s="11" t="inlineStr">
        <is>
          <t>IR-02-02</t>
        </is>
      </c>
      <c r="M101" s="11" t="inlineStr">
        <is>
          <t>该来源作为“前缀预算（Prefix Budget）、加载与重算（load-vs-recompute） 与水位准入组件”功能闭包的内部需求、约束或验收输入；不再单独定义为 SR。</t>
        </is>
      </c>
      <c r="N101" s="11">
        <f>IF(COUNTIF($A$5:$A$153,A101)=1,"PASS","FAIL")</f>
        <v/>
      </c>
      <c r="O101" s="11">
        <f>IF(COUNTIF('SR系统设计'!$A$5:$A$42,J101)=1,"PASS","FAIL")</f>
        <v/>
      </c>
      <c r="P101" s="11" t="inlineStr">
        <is>
          <t>已纳入独立交付闭包</t>
        </is>
      </c>
    </row>
    <row r="102" ht="66" customHeight="1">
      <c r="A102" s="11" t="inlineStr">
        <is>
          <t>L1-RT-CacheAwareRouting-006</t>
        </is>
      </c>
      <c r="B102" s="11" t="inlineStr">
        <is>
          <t>SR-02-02-04</t>
        </is>
      </c>
      <c r="C102" s="11" t="inlineStr">
        <is>
          <t>V2.2校准基线</t>
        </is>
      </c>
      <c r="D102" s="11" t="inlineStr">
        <is>
          <t>L1 推理调度层</t>
        </is>
      </c>
      <c r="E102" s="11" t="inlineStr">
        <is>
          <t>调度与路由控制</t>
        </is>
      </c>
      <c r="F102" s="11" t="inlineStr">
        <is>
          <t>P1</t>
        </is>
      </c>
      <c r="G102" s="11" t="inlineStr">
        <is>
          <t>P0 子集 + P1 完整</t>
        </is>
      </c>
      <c r="H102" s="11" t="inlineStr">
        <is>
          <t>KVCache 亲和路由调度｜L1-RT-CacheAwareRouting-006</t>
        </is>
      </c>
      <c r="I102" s="11" t="inlineStr">
        <is>
          <t>本地（local） 可用命中（usable hit） rate 提升 ≥25%；跨节点 KV 每请求字节数（bytes/request） 降低 ≥30%；</t>
        </is>
      </c>
      <c r="J102" s="11" t="inlineStr">
        <is>
          <t>SR23-02-02-02</t>
        </is>
      </c>
      <c r="K102" s="11" t="inlineStr">
        <is>
          <t>缓存感知（Cache-aware） 路由与异构存储调度插件</t>
        </is>
      </c>
      <c r="L102" s="11" t="inlineStr">
        <is>
          <t>IR-02-02</t>
        </is>
      </c>
      <c r="M102" s="11" t="inlineStr">
        <is>
          <t>该来源作为“缓存感知（Cache-aware） 路由与异构存储调度插件”功能闭包的内部需求、约束或验收输入；不再单独定义为 SR。</t>
        </is>
      </c>
      <c r="N102" s="11">
        <f>IF(COUNTIF($A$5:$A$153,A102)=1,"PASS","FAIL")</f>
        <v/>
      </c>
      <c r="O102" s="11">
        <f>IF(COUNTIF('SR系统设计'!$A$5:$A$42,J102)=1,"PASS","FAIL")</f>
        <v/>
      </c>
      <c r="P102" s="11" t="inlineStr">
        <is>
          <t>已纳入独立交付闭包</t>
        </is>
      </c>
    </row>
    <row r="103" ht="66" customHeight="1">
      <c r="A103" s="11" t="inlineStr">
        <is>
          <t>L1-VLLM-HIER-SCHED-002</t>
        </is>
      </c>
      <c r="B103" s="11" t="inlineStr">
        <is>
          <t>SR-02-02-05</t>
        </is>
      </c>
      <c r="C103" s="11" t="inlineStr">
        <is>
          <t>V2.2校准基线</t>
        </is>
      </c>
      <c r="D103" s="11" t="inlineStr">
        <is>
          <t>L1 推理调度层</t>
        </is>
      </c>
      <c r="E103" s="11" t="inlineStr">
        <is>
          <t>调度与路由控制</t>
        </is>
      </c>
      <c r="F103" s="11" t="inlineStr">
        <is>
          <t>P1</t>
        </is>
      </c>
      <c r="G103" s="11" t="inlineStr">
        <is>
          <t>P0 子集 + P1 完整</t>
        </is>
      </c>
      <c r="H103" s="11" t="inlineStr">
        <is>
          <t>多层异构存储调度｜L1-VLLM-HIER-SCHED-002</t>
        </is>
      </c>
      <c r="I103" s="11" t="inlineStr">
        <is>
          <t>内存碎片率控制在&lt;5%，平均并发处理能力（QPS）提升≥10%。</t>
        </is>
      </c>
      <c r="J103" s="11" t="inlineStr">
        <is>
          <t>SR23-02-02-02</t>
        </is>
      </c>
      <c r="K103" s="11" t="inlineStr">
        <is>
          <t>缓存感知（Cache-aware） 路由与异构存储调度插件</t>
        </is>
      </c>
      <c r="L103" s="11" t="inlineStr">
        <is>
          <t>IR-02-02</t>
        </is>
      </c>
      <c r="M103" s="11" t="inlineStr">
        <is>
          <t>该来源作为“缓存感知（Cache-aware） 路由与异构存储调度插件”功能闭包的内部需求、约束或验收输入；不再单独定义为 SR。</t>
        </is>
      </c>
      <c r="N103" s="11">
        <f>IF(COUNTIF($A$5:$A$153,A103)=1,"PASS","FAIL")</f>
        <v/>
      </c>
      <c r="O103" s="11">
        <f>IF(COUNTIF('SR系统设计'!$A$5:$A$42,J103)=1,"PASS","FAIL")</f>
        <v/>
      </c>
      <c r="P103" s="11" t="inlineStr">
        <is>
          <t>已纳入独立交付闭包</t>
        </is>
      </c>
    </row>
    <row r="104" ht="66" customHeight="1">
      <c r="A104" s="11" t="inlineStr">
        <is>
          <t>L1-SGL-PFX-IDX-003</t>
        </is>
      </c>
      <c r="B104" s="11" t="inlineStr">
        <is>
          <t>SR-02-03-01</t>
        </is>
      </c>
      <c r="C104" s="11" t="inlineStr">
        <is>
          <t>V2.2校准基线</t>
        </is>
      </c>
      <c r="D104" s="11" t="inlineStr">
        <is>
          <t>L1 推理调度层</t>
        </is>
      </c>
      <c r="E104" s="11" t="inlineStr">
        <is>
          <t>前缀索引与命中判定</t>
        </is>
      </c>
      <c r="F104" s="11" t="inlineStr">
        <is>
          <t>P1</t>
        </is>
      </c>
      <c r="G104" s="11" t="inlineStr">
        <is>
          <t>P0 子集 + P1 完整</t>
        </is>
      </c>
      <c r="H104" s="11" t="inlineStr">
        <is>
          <t>前缀匹配关键路径加速｜L1-SGL-PFX-IDX-003</t>
        </is>
      </c>
      <c r="I104" s="11" t="inlineStr">
        <is>
          <t>前缀（Prefix）命中判定P99耗时 &lt; 200us；在共享前缀（Share-Prefix）业务下，可用命中率（Usable Hit Rate）提升≥15%。</t>
        </is>
      </c>
      <c r="J104" s="11" t="inlineStr">
        <is>
          <t>SR23-02-03-01</t>
        </is>
      </c>
      <c r="K104" s="11" t="inlineStr">
        <is>
          <t>跨框架低时延 前缀匹配引擎（Prefix Match Engine）</t>
        </is>
      </c>
      <c r="L104" s="11" t="inlineStr">
        <is>
          <t>IR-02-03</t>
        </is>
      </c>
      <c r="M104" s="11" t="inlineStr">
        <is>
          <t>该来源作为“跨框架低时延 前缀匹配引擎（Prefix Match Engine）”功能闭包的内部需求、约束或验收输入；不再单独定义为 SR。</t>
        </is>
      </c>
      <c r="N104" s="11">
        <f>IF(COUNTIF($A$5:$A$153,A104)=1,"PASS","FAIL")</f>
        <v/>
      </c>
      <c r="O104" s="11">
        <f>IF(COUNTIF('SR系统设计'!$A$5:$A$42,J104)=1,"PASS","FAIL")</f>
        <v/>
      </c>
      <c r="P104" s="11" t="inlineStr">
        <is>
          <t>已纳入独立交付闭包</t>
        </is>
      </c>
    </row>
    <row r="105" ht="66" customHeight="1">
      <c r="A105" s="11" t="inlineStr">
        <is>
          <t>L1-VLLM-PFX-SCHED-006</t>
        </is>
      </c>
      <c r="B105" s="11" t="inlineStr">
        <is>
          <t>SR-02-03-02</t>
        </is>
      </c>
      <c r="C105" s="11" t="inlineStr">
        <is>
          <t>V2.2校准基线</t>
        </is>
      </c>
      <c r="D105" s="11" t="inlineStr">
        <is>
          <t>L1 推理调度层</t>
        </is>
      </c>
      <c r="E105" s="11" t="inlineStr">
        <is>
          <t>前缀索引与命中判定</t>
        </is>
      </c>
      <c r="F105" s="11" t="inlineStr">
        <is>
          <t>P1</t>
        </is>
      </c>
      <c r="G105" s="11" t="inlineStr">
        <is>
          <t>P0 子集 + P1 完整</t>
        </is>
      </c>
      <c r="H105" s="11" t="inlineStr">
        <is>
          <t>前缀匹配关键路径解耦｜L1-VLLM-PFX-SCHED-006</t>
        </is>
      </c>
      <c r="I105" s="11" t="inlineStr">
        <is>
          <t>前缀（Prefix）命中判定P99耗时 &lt; 200us；在共享前缀（Share-Prefix）业务下，可用命中率（Usable Hit Rate）提升≥15%。</t>
        </is>
      </c>
      <c r="J105" s="11" t="inlineStr">
        <is>
          <t>SR23-02-03-01</t>
        </is>
      </c>
      <c r="K105" s="11" t="inlineStr">
        <is>
          <t>跨框架低时延 前缀匹配引擎（Prefix Match Engine）</t>
        </is>
      </c>
      <c r="L105" s="11" t="inlineStr">
        <is>
          <t>IR-02-03</t>
        </is>
      </c>
      <c r="M105" s="11" t="inlineStr">
        <is>
          <t>该来源作为“跨框架低时延 前缀匹配引擎（Prefix Match Engine）”功能闭包的内部需求、约束或验收输入；不再单独定义为 SR。</t>
        </is>
      </c>
      <c r="N105" s="11">
        <f>IF(COUNTIF($A$5:$A$153,A105)=1,"PASS","FAIL")</f>
        <v/>
      </c>
      <c r="O105" s="11">
        <f>IF(COUNTIF('SR系统设计'!$A$5:$A$42,J105)=1,"PASS","FAIL")</f>
        <v/>
      </c>
      <c r="P105" s="11" t="inlineStr">
        <is>
          <t>已纳入独立交付闭包</t>
        </is>
      </c>
    </row>
    <row r="106" ht="66" customHeight="1">
      <c r="A106" s="11" t="inlineStr">
        <is>
          <t>L1-VLLM-PFX-IDX-005</t>
        </is>
      </c>
      <c r="B106" s="11" t="inlineStr">
        <is>
          <t>SR-02-03-03</t>
        </is>
      </c>
      <c r="C106" s="11" t="inlineStr">
        <is>
          <t>V2.2校准基线</t>
        </is>
      </c>
      <c r="D106" s="11" t="inlineStr">
        <is>
          <t>L1 推理调度层</t>
        </is>
      </c>
      <c r="E106" s="11" t="inlineStr">
        <is>
          <t>前缀索引与命中判定</t>
        </is>
      </c>
      <c r="F106" s="11" t="inlineStr">
        <is>
          <t>P3</t>
        </is>
      </c>
      <c r="G106" s="11" t="inlineStr">
        <is>
          <t>P3</t>
        </is>
      </c>
      <c r="H106" s="11" t="inlineStr">
        <is>
          <t>前缀匹配关键路径｜L1-VLLM-PFX-IDX-005</t>
        </is>
      </c>
      <c r="I106" s="11" t="inlineStr">
        <is>
          <t>前缀（Prefix）命中判定P99耗时 &lt; 200us；在共享前缀（Share-Prefix）业务下，可用命中率（Usable Hit Rate）提升≥15%。</t>
        </is>
      </c>
      <c r="J106" s="11" t="inlineStr">
        <is>
          <t>SR23-02-03-01</t>
        </is>
      </c>
      <c r="K106" s="11" t="inlineStr">
        <is>
          <t>跨框架低时延 前缀匹配引擎（Prefix Match Engine）</t>
        </is>
      </c>
      <c r="L106" s="11" t="inlineStr">
        <is>
          <t>IR-02-03</t>
        </is>
      </c>
      <c r="M106" s="11" t="inlineStr">
        <is>
          <t>该来源作为“跨框架低时延 前缀匹配引擎（Prefix Match Engine）”功能闭包的内部需求、约束或验收输入；不再单独定义为 SR。</t>
        </is>
      </c>
      <c r="N106" s="11">
        <f>IF(COUNTIF($A$5:$A$153,A106)=1,"PASS","FAIL")</f>
        <v/>
      </c>
      <c r="O106" s="11">
        <f>IF(COUNTIF('SR系统设计'!$A$5:$A$42,J106)=1,"PASS","FAIL")</f>
        <v/>
      </c>
      <c r="P106" s="11" t="inlineStr">
        <is>
          <t>已纳入独立交付闭包</t>
        </is>
      </c>
    </row>
    <row r="107" ht="66" customHeight="1">
      <c r="A107" s="11" t="inlineStr">
        <is>
          <t>L2-KV-ConsumeEligibility-035</t>
        </is>
      </c>
      <c r="B107" s="11" t="inlineStr">
        <is>
          <t>SR-02-04-01</t>
        </is>
      </c>
      <c r="C107" s="11" t="inlineStr">
        <is>
          <t>V2.2校准基线</t>
        </is>
      </c>
      <c r="D107" s="11" t="inlineStr">
        <is>
          <t>L2 KV连接器（KVConnector）层</t>
        </is>
      </c>
      <c r="E107" s="11" t="inlineStr">
        <is>
          <t>本地元数据缓存与快速判定</t>
        </is>
      </c>
      <c r="F107" s="11" t="inlineStr">
        <is>
          <t>P0</t>
        </is>
      </c>
      <c r="G107" s="11" t="inlineStr">
        <is>
          <t>P0</t>
        </is>
      </c>
      <c r="H107" s="11" t="inlineStr">
        <is>
          <t>前缀命中后的可消费状态判定｜L2-KV-ConsumeEligibility-035</t>
        </is>
      </c>
      <c r="I107" s="11" t="inlineStr">
        <is>
          <t>前缀（Prefix）命中判定P99耗时 &lt; 200us；在共享前缀（Share-Prefix）业务下，可用命中率（Usable Hit Rate）提升≥15%。</t>
        </is>
      </c>
      <c r="J107" s="11" t="inlineStr">
        <is>
          <t>SR23-02-04-01</t>
        </is>
      </c>
      <c r="K107" s="11" t="inlineStr">
        <is>
          <t>本地元数据缓存与批量快判组件</t>
        </is>
      </c>
      <c r="L107" s="11" t="inlineStr">
        <is>
          <t>IR-02-04</t>
        </is>
      </c>
      <c r="M107" s="11" t="inlineStr">
        <is>
          <t>该来源作为“本地元数据缓存与批量快判组件”功能闭包的内部需求、约束或验收输入；不再单独定义为 SR。</t>
        </is>
      </c>
      <c r="N107" s="11">
        <f>IF(COUNTIF($A$5:$A$153,A107)=1,"PASS","FAIL")</f>
        <v/>
      </c>
      <c r="O107" s="11">
        <f>IF(COUNTIF('SR系统设计'!$A$5:$A$42,J107)=1,"PASS","FAIL")</f>
        <v/>
      </c>
      <c r="P107" s="11" t="inlineStr">
        <is>
          <t>已纳入独立交付闭包</t>
        </is>
      </c>
    </row>
    <row r="108" ht="66" customHeight="1">
      <c r="A108" s="11" t="inlineStr">
        <is>
          <t>L3-CONN-PFX-IDX-005</t>
        </is>
      </c>
      <c r="B108" s="11" t="inlineStr">
        <is>
          <t>SR-02-04-02</t>
        </is>
      </c>
      <c r="C108" s="11" t="inlineStr">
        <is>
          <t>V2.2校准基线</t>
        </is>
      </c>
      <c r="D108" s="11" t="inlineStr">
        <is>
          <t>L3 传输管理层</t>
        </is>
      </c>
      <c r="E108" s="11" t="inlineStr">
        <is>
          <t>本地元数据缓存与快速判定</t>
        </is>
      </c>
      <c r="F108" s="11" t="inlineStr">
        <is>
          <t>P0</t>
        </is>
      </c>
      <c r="G108" s="11" t="inlineStr">
        <is>
          <t>P0</t>
        </is>
      </c>
      <c r="H108" s="11" t="inlineStr">
        <is>
          <t>前缀命中快速判断｜L3-CONN-PFX-IDX-005</t>
        </is>
      </c>
      <c r="I108" s="11" t="inlineStr">
        <is>
          <t>前缀（Prefix）命中判定P99耗时 &lt; 200us；在共享前缀（Share-Prefix）业务下，可用命中率（Usable Hit Rate）提升≥15%。</t>
        </is>
      </c>
      <c r="J108" s="11" t="inlineStr">
        <is>
          <t>SR23-02-04-01</t>
        </is>
      </c>
      <c r="K108" s="11" t="inlineStr">
        <is>
          <t>本地元数据缓存与批量快判组件</t>
        </is>
      </c>
      <c r="L108" s="11" t="inlineStr">
        <is>
          <t>IR-02-04</t>
        </is>
      </c>
      <c r="M108" s="11" t="inlineStr">
        <is>
          <t>该来源作为“本地元数据缓存与批量快判组件”功能闭包的内部需求、约束或验收输入；不再单独定义为 SR。</t>
        </is>
      </c>
      <c r="N108" s="11">
        <f>IF(COUNTIF($A$5:$A$153,A108)=1,"PASS","FAIL")</f>
        <v/>
      </c>
      <c r="O108" s="11">
        <f>IF(COUNTIF('SR系统设计'!$A$5:$A$42,J108)=1,"PASS","FAIL")</f>
        <v/>
      </c>
      <c r="P108" s="11" t="inlineStr">
        <is>
          <t>已纳入独立交付闭包</t>
        </is>
      </c>
    </row>
    <row r="109" ht="66" customHeight="1">
      <c r="A109" s="11" t="inlineStr">
        <is>
          <t>L2-CONN-META-CACHE-004</t>
        </is>
      </c>
      <c r="B109" s="11" t="inlineStr">
        <is>
          <t>SR-02-04-03</t>
        </is>
      </c>
      <c r="C109" s="11" t="inlineStr">
        <is>
          <t>V2.2校准基线</t>
        </is>
      </c>
      <c r="D109" s="11" t="inlineStr">
        <is>
          <t>L2 KV连接器（KVConnector）层</t>
        </is>
      </c>
      <c r="E109" s="11" t="inlineStr">
        <is>
          <t>本地元数据缓存与快速判定</t>
        </is>
      </c>
      <c r="F109" s="11" t="inlineStr">
        <is>
          <t>P1</t>
        </is>
      </c>
      <c r="G109" s="11" t="inlineStr">
        <is>
          <t>P1</t>
        </is>
      </c>
      <c r="H109" s="11" t="inlineStr">
        <is>
          <t>前缀命中快速决策｜L2-CONN-META-CACHE-004</t>
        </is>
      </c>
      <c r="I109" s="11" t="inlineStr">
        <is>
          <t>前缀（Prefix）命中判定P99耗时 &lt; 200us；在共享前缀（Share-Prefix）业务下，可用命中率（Usable Hit Rate）提升≥15%。</t>
        </is>
      </c>
      <c r="J109" s="11" t="inlineStr">
        <is>
          <t>SR23-02-04-01</t>
        </is>
      </c>
      <c r="K109" s="11" t="inlineStr">
        <is>
          <t>本地元数据缓存与批量快判组件</t>
        </is>
      </c>
      <c r="L109" s="11" t="inlineStr">
        <is>
          <t>IR-02-04</t>
        </is>
      </c>
      <c r="M109" s="11" t="inlineStr">
        <is>
          <t>该来源作为“本地元数据缓存与批量快判组件”功能闭包的内部需求、约束或验收输入；不再单独定义为 SR。</t>
        </is>
      </c>
      <c r="N109" s="11">
        <f>IF(COUNTIF($A$5:$A$153,A109)=1,"PASS","FAIL")</f>
        <v/>
      </c>
      <c r="O109" s="11">
        <f>IF(COUNTIF('SR系统设计'!$A$5:$A$42,J109)=1,"PASS","FAIL")</f>
        <v/>
      </c>
      <c r="P109" s="11" t="inlineStr">
        <is>
          <t>已纳入独立交付闭包</t>
        </is>
      </c>
    </row>
    <row r="110" ht="66" customHeight="1">
      <c r="A110" s="11" t="inlineStr">
        <is>
          <t>L2-PM-BatchLookup-021</t>
        </is>
      </c>
      <c r="B110" s="11" t="inlineStr">
        <is>
          <t>SR-02-04-04</t>
        </is>
      </c>
      <c r="C110" s="11" t="inlineStr">
        <is>
          <t>V2.2校准基线</t>
        </is>
      </c>
      <c r="D110" s="11" t="inlineStr">
        <is>
          <t>L2 KV连接器（KVConnector）层</t>
        </is>
      </c>
      <c r="E110" s="11" t="inlineStr">
        <is>
          <t>本地元数据缓存与快速判定</t>
        </is>
      </c>
      <c r="F110" s="11" t="inlineStr">
        <is>
          <t>P1</t>
        </is>
      </c>
      <c r="G110" s="11" t="inlineStr">
        <is>
          <t>P1</t>
        </is>
      </c>
      <c r="H110" s="11" t="inlineStr">
        <is>
          <t>共享前缀 KVCache 批量查询｜L2-PM-BatchLookup-021</t>
        </is>
      </c>
      <c r="I110" s="11" t="inlineStr">
        <is>
          <t>remote 查询（lookup） QPS 降低 ≥50%；查询（lookup） p99 降低 ≥30%；</t>
        </is>
      </c>
      <c r="J110" s="11" t="inlineStr">
        <is>
          <t>SR23-02-04-01</t>
        </is>
      </c>
      <c r="K110" s="11" t="inlineStr">
        <is>
          <t>本地元数据缓存与批量快判组件</t>
        </is>
      </c>
      <c r="L110" s="11" t="inlineStr">
        <is>
          <t>IR-02-04</t>
        </is>
      </c>
      <c r="M110" s="11" t="inlineStr">
        <is>
          <t>该来源作为“本地元数据缓存与批量快判组件”功能闭包的内部需求、约束或验收输入；不再单独定义为 SR。</t>
        </is>
      </c>
      <c r="N110" s="11">
        <f>IF(COUNTIF($A$5:$A$153,A110)=1,"PASS","FAIL")</f>
        <v/>
      </c>
      <c r="O110" s="11">
        <f>IF(COUNTIF('SR系统设计'!$A$5:$A$42,J110)=1,"PASS","FAIL")</f>
        <v/>
      </c>
      <c r="P110" s="11" t="inlineStr">
        <is>
          <t>已纳入独立交付闭包</t>
        </is>
      </c>
    </row>
    <row r="111" ht="66" customHeight="1">
      <c r="A111" s="11" t="inlineStr">
        <is>
          <t>L3-MS-AtomicPublishVisibility-087</t>
        </is>
      </c>
      <c r="B111" s="11" t="inlineStr">
        <is>
          <t>SR-02-05-01</t>
        </is>
      </c>
      <c r="C111" s="11" t="inlineStr">
        <is>
          <t>V2.2校准基线</t>
        </is>
      </c>
      <c r="D111" s="11" t="inlineStr">
        <is>
          <t>L3 传输管理层</t>
        </is>
      </c>
      <c r="E111" s="11" t="inlineStr">
        <is>
          <t>前缀目录与元数据平面</t>
        </is>
      </c>
      <c r="F111" s="11" t="inlineStr">
        <is>
          <t>P0</t>
        </is>
      </c>
      <c r="G111" s="11" t="inlineStr">
        <is>
          <t>P0</t>
        </is>
      </c>
      <c r="H111" s="11" t="inlineStr">
        <is>
          <t>高吞吐低时延元数据发布一致性｜L3-MS-AtomicPublishVisibility-087</t>
        </is>
      </c>
      <c r="I111" s="11" t="inlineStr">
        <is>
          <t>前缀（Prefix）命中判定P99耗时 &lt; 200us；在共享前缀（Share-Prefix）业务下，可用命中率（Usable Hit Rate）提升≥15%。</t>
        </is>
      </c>
      <c r="J111" s="11" t="inlineStr">
        <is>
          <t>SR23-02-05-01</t>
        </is>
      </c>
      <c r="K111" s="11" t="inlineStr">
        <is>
          <t>集群 前缀目录（PrefixDirectory） 核心与高可用服务</t>
        </is>
      </c>
      <c r="L111" s="11" t="inlineStr">
        <is>
          <t>IR-02-05</t>
        </is>
      </c>
      <c r="M111" s="11" t="inlineStr">
        <is>
          <t>该来源作为“集群 前缀目录（PrefixDirectory） 核心与高可用服务”功能闭包的内部需求、约束或验收输入；不再单独定义为 SR。</t>
        </is>
      </c>
      <c r="N111" s="11">
        <f>IF(COUNTIF($A$5:$A$153,A111)=1,"PASS","FAIL")</f>
        <v/>
      </c>
      <c r="O111" s="11">
        <f>IF(COUNTIF('SR系统设计'!$A$5:$A$42,J111)=1,"PASS","FAIL")</f>
        <v/>
      </c>
      <c r="P111" s="11" t="inlineStr">
        <is>
          <t>已纳入独立交付闭包</t>
        </is>
      </c>
    </row>
    <row r="112" ht="66" customHeight="1">
      <c r="A112" s="11" t="inlineStr">
        <is>
          <t>L3-MS-ConsumeEligibility-060</t>
        </is>
      </c>
      <c r="B112" s="11" t="inlineStr">
        <is>
          <t>SR-02-05-02</t>
        </is>
      </c>
      <c r="C112" s="11" t="inlineStr">
        <is>
          <t>V2.2校准基线</t>
        </is>
      </c>
      <c r="D112" s="11" t="inlineStr">
        <is>
          <t>L3 传输管理层</t>
        </is>
      </c>
      <c r="E112" s="11" t="inlineStr">
        <is>
          <t>前缀目录与元数据平面</t>
        </is>
      </c>
      <c r="F112" s="11" t="inlineStr">
        <is>
          <t>P0</t>
        </is>
      </c>
      <c r="G112" s="11" t="inlineStr">
        <is>
          <t>P0</t>
        </is>
      </c>
      <c r="H112" s="11" t="inlineStr">
        <is>
          <t>前缀（Prefix） hit 后能否转化为 可用命中（usable hit）｜L3-MS-ConsumeEligibility-060</t>
        </is>
      </c>
      <c r="I112" s="11" t="inlineStr">
        <is>
          <t>前缀（Prefix）命中判定P99耗时 &lt; 200us；在共享前缀（Share-Prefix）业务下，可用命中率（Usable Hit Rate）提升≥15%。</t>
        </is>
      </c>
      <c r="J112" s="11" t="inlineStr">
        <is>
          <t>SR23-02-05-02</t>
        </is>
      </c>
      <c r="K112" s="11" t="inlineStr">
        <is>
          <t>前缀目录（PrefixDirectory） 本地快路径与消费资格组件</t>
        </is>
      </c>
      <c r="L112" s="11" t="inlineStr">
        <is>
          <t>IR-02-05</t>
        </is>
      </c>
      <c r="M112" s="11" t="inlineStr">
        <is>
          <t>该来源作为“前缀目录（PrefixDirectory） 本地快路径与消费资格组件”功能闭包的内部需求、约束或验收输入；不再单独定义为 SR。</t>
        </is>
      </c>
      <c r="N112" s="11">
        <f>IF(COUNTIF($A$5:$A$153,A112)=1,"PASS","FAIL")</f>
        <v/>
      </c>
      <c r="O112" s="11">
        <f>IF(COUNTIF('SR系统设计'!$A$5:$A$42,J112)=1,"PASS","FAIL")</f>
        <v/>
      </c>
      <c r="P112" s="11" t="inlineStr">
        <is>
          <t>已纳入独立交付闭包</t>
        </is>
      </c>
    </row>
    <row r="113" ht="66" customHeight="1">
      <c r="A113" s="11" t="inlineStr">
        <is>
          <t>L3-MS-DirectoryMirror-036</t>
        </is>
      </c>
      <c r="B113" s="11" t="inlineStr">
        <is>
          <t>SR-02-05-03</t>
        </is>
      </c>
      <c r="C113" s="11" t="inlineStr">
        <is>
          <t>V2.2校准基线</t>
        </is>
      </c>
      <c r="D113" s="11" t="inlineStr">
        <is>
          <t>L3 传输管理层</t>
        </is>
      </c>
      <c r="E113" s="11" t="inlineStr">
        <is>
          <t>前缀目录与元数据平面</t>
        </is>
      </c>
      <c r="F113" s="11" t="inlineStr">
        <is>
          <t>P0</t>
        </is>
      </c>
      <c r="G113" s="11" t="inlineStr">
        <is>
          <t>P0</t>
        </is>
      </c>
      <c r="H113" s="11" t="inlineStr">
        <is>
          <t>节点级 KVCache 目录镜像加速｜L3-MS-DirectoryMirror-036</t>
        </is>
      </c>
      <c r="I113" s="11" t="inlineStr">
        <is>
          <t>远端目录（remote directory） RTT 降低 ≥50%；</t>
        </is>
      </c>
      <c r="J113" s="11" t="inlineStr">
        <is>
          <t>SR23-02-05-01</t>
        </is>
      </c>
      <c r="K113" s="11" t="inlineStr">
        <is>
          <t>集群 前缀目录（PrefixDirectory） 核心与高可用服务</t>
        </is>
      </c>
      <c r="L113" s="11" t="inlineStr">
        <is>
          <t>IR-02-05</t>
        </is>
      </c>
      <c r="M113" s="11" t="inlineStr">
        <is>
          <t>该来源作为“集群 前缀目录（PrefixDirectory） 核心与高可用服务”功能闭包的内部需求、约束或验收输入；不再单独定义为 SR。</t>
        </is>
      </c>
      <c r="N113" s="11">
        <f>IF(COUNTIF($A$5:$A$153,A113)=1,"PASS","FAIL")</f>
        <v/>
      </c>
      <c r="O113" s="11">
        <f>IF(COUNTIF('SR系统设计'!$A$5:$A$42,J113)=1,"PASS","FAIL")</f>
        <v/>
      </c>
      <c r="P113" s="11" t="inlineStr">
        <is>
          <t>已纳入独立交付闭包</t>
        </is>
      </c>
    </row>
    <row r="114" ht="66" customHeight="1">
      <c r="A114" s="11" t="inlineStr">
        <is>
          <t>L3-MS-HotLocalIndex-070</t>
        </is>
      </c>
      <c r="B114" s="11" t="inlineStr">
        <is>
          <t>SR-02-05-04</t>
        </is>
      </c>
      <c r="C114" s="11" t="inlineStr">
        <is>
          <t>V2.2校准基线</t>
        </is>
      </c>
      <c r="D114" s="11" t="inlineStr">
        <is>
          <t>L3 传输管理层</t>
        </is>
      </c>
      <c r="E114" s="11" t="inlineStr">
        <is>
          <t>前缀目录与元数据平面</t>
        </is>
      </c>
      <c r="F114" s="11" t="inlineStr">
        <is>
          <t>P0</t>
        </is>
      </c>
      <c r="G114" s="11" t="inlineStr">
        <is>
          <t>P0</t>
        </is>
      </c>
      <c r="H114" s="11" t="inlineStr">
        <is>
          <t>前缀（Prefix） 查询（lookup） 避免远端 RTT 进入 TTFT｜L3-MS-HotLocalIndex-070</t>
        </is>
      </c>
      <c r="I114" s="11" t="inlineStr">
        <is>
          <t>前缀（Prefix）命中判定P99耗时 &lt; 200us；在共享前缀（Share-Prefix）业务下，可用命中率（Usable Hit Rate）提升≥15%。</t>
        </is>
      </c>
      <c r="J114" s="11" t="inlineStr">
        <is>
          <t>SR23-02-05-02</t>
        </is>
      </c>
      <c r="K114" s="11" t="inlineStr">
        <is>
          <t>前缀目录（PrefixDirectory） 本地快路径与消费资格组件</t>
        </is>
      </c>
      <c r="L114" s="11" t="inlineStr">
        <is>
          <t>IR-02-05</t>
        </is>
      </c>
      <c r="M114" s="11" t="inlineStr">
        <is>
          <t>该来源作为“前缀目录（PrefixDirectory） 本地快路径与消费资格组件”功能闭包的内部需求、约束或验收输入；不再单独定义为 SR。</t>
        </is>
      </c>
      <c r="N114" s="11">
        <f>IF(COUNTIF($A$5:$A$153,A114)=1,"PASS","FAIL")</f>
        <v/>
      </c>
      <c r="O114" s="11">
        <f>IF(COUNTIF('SR系统设计'!$A$5:$A$42,J114)=1,"PASS","FAIL")</f>
        <v/>
      </c>
      <c r="P114" s="11" t="inlineStr">
        <is>
          <t>已纳入独立交付闭包</t>
        </is>
      </c>
    </row>
    <row r="115" ht="66" customHeight="1">
      <c r="A115" s="11" t="inlineStr">
        <is>
          <t>L3-MS-InvalidationTombstone-066</t>
        </is>
      </c>
      <c r="B115" s="11" t="inlineStr">
        <is>
          <t>SR-02-05-05</t>
        </is>
      </c>
      <c r="C115" s="11" t="inlineStr">
        <is>
          <t>V2.2校准基线</t>
        </is>
      </c>
      <c r="D115" s="11" t="inlineStr">
        <is>
          <t>L3 传输管理层</t>
        </is>
      </c>
      <c r="E115" s="11" t="inlineStr">
        <is>
          <t>前缀目录与元数据平面</t>
        </is>
      </c>
      <c r="F115" s="11" t="inlineStr">
        <is>
          <t>P0</t>
        </is>
      </c>
      <c r="G115" s="11" t="inlineStr">
        <is>
          <t>P0</t>
        </is>
      </c>
      <c r="H115" s="11" t="inlineStr">
        <is>
          <t>旧 KV 副本复活与 陈旧命中（stale hit） 防护｜L3-MS-InvalidationTombstone-066</t>
        </is>
      </c>
      <c r="I115" s="11" t="inlineStr">
        <is>
          <t>前缀（Prefix）命中判定P99耗时 &lt; 200us；在共享前缀（Share-Prefix）业务下，可用命中率（Usable Hit Rate）提升≥15%。</t>
        </is>
      </c>
      <c r="J115" s="11" t="inlineStr">
        <is>
          <t>SR23-02-05-01</t>
        </is>
      </c>
      <c r="K115" s="11" t="inlineStr">
        <is>
          <t>集群 前缀目录（PrefixDirectory） 核心与高可用服务</t>
        </is>
      </c>
      <c r="L115" s="11" t="inlineStr">
        <is>
          <t>IR-02-05</t>
        </is>
      </c>
      <c r="M115" s="11" t="inlineStr">
        <is>
          <t>该来源作为“集群 前缀目录（PrefixDirectory） 核心与高可用服务”功能闭包的内部需求、约束或验收输入；不再单独定义为 SR。</t>
        </is>
      </c>
      <c r="N115" s="11">
        <f>IF(COUNTIF($A$5:$A$153,A115)=1,"PASS","FAIL")</f>
        <v/>
      </c>
      <c r="O115" s="11">
        <f>IF(COUNTIF('SR系统设计'!$A$5:$A$42,J115)=1,"PASS","FAIL")</f>
        <v/>
      </c>
      <c r="P115" s="11" t="inlineStr">
        <is>
          <t>已纳入独立交付闭包</t>
        </is>
      </c>
    </row>
    <row r="116" ht="66" customHeight="1">
      <c r="A116" s="11" t="inlineStr">
        <is>
          <t>L3-MS-MetadataDataPlane-035</t>
        </is>
      </c>
      <c r="B116" s="11" t="inlineStr">
        <is>
          <t>SR-02-05-06</t>
        </is>
      </c>
      <c r="C116" s="11" t="inlineStr">
        <is>
          <t>V2.2校准基线</t>
        </is>
      </c>
      <c r="D116" s="11" t="inlineStr">
        <is>
          <t>L3 传输管理层</t>
        </is>
      </c>
      <c r="E116" s="11" t="inlineStr">
        <is>
          <t>前缀目录与元数据平面</t>
        </is>
      </c>
      <c r="F116" s="11" t="inlineStr">
        <is>
          <t>P0</t>
        </is>
      </c>
      <c r="G116" s="11" t="inlineStr">
        <is>
          <t>P0</t>
        </is>
      </c>
      <c r="H116" s="11" t="inlineStr">
        <is>
          <t>KVCache 元数据热路径加速｜L3-MS-MetadataDataPlane-035</t>
        </is>
      </c>
      <c r="I116" s="11" t="inlineStr">
        <is>
          <t>prefix 查询（lookup） p99 降低 ≥30%；</t>
        </is>
      </c>
      <c r="J116" s="11" t="inlineStr">
        <is>
          <t>SR23-02-05-02</t>
        </is>
      </c>
      <c r="K116" s="11" t="inlineStr">
        <is>
          <t>前缀目录（PrefixDirectory） 本地快路径与消费资格组件</t>
        </is>
      </c>
      <c r="L116" s="11" t="inlineStr">
        <is>
          <t>IR-02-05</t>
        </is>
      </c>
      <c r="M116" s="11" t="inlineStr">
        <is>
          <t>该来源作为“前缀目录（PrefixDirectory） 本地快路径与消费资格组件”功能闭包的内部需求、约束或验收输入；不再单独定义为 SR。</t>
        </is>
      </c>
      <c r="N116" s="11">
        <f>IF(COUNTIF($A$5:$A$153,A116)=1,"PASS","FAIL")</f>
        <v/>
      </c>
      <c r="O116" s="11">
        <f>IF(COUNTIF('SR系统设计'!$A$5:$A$42,J116)=1,"PASS","FAIL")</f>
        <v/>
      </c>
      <c r="P116" s="11" t="inlineStr">
        <is>
          <t>已纳入独立交付闭包</t>
        </is>
      </c>
    </row>
    <row r="117" ht="66" customHeight="1">
      <c r="A117" s="11" t="inlineStr">
        <is>
          <t>L3-MS-PrefixDirectorySchema-069</t>
        </is>
      </c>
      <c r="B117" s="11" t="inlineStr">
        <is>
          <t>SR-02-05-07</t>
        </is>
      </c>
      <c r="C117" s="11" t="inlineStr">
        <is>
          <t>V2.2校准基线</t>
        </is>
      </c>
      <c r="D117" s="11" t="inlineStr">
        <is>
          <t>L3 传输管理层</t>
        </is>
      </c>
      <c r="E117" s="11" t="inlineStr">
        <is>
          <t>前缀目录与元数据平面</t>
        </is>
      </c>
      <c r="F117" s="11" t="inlineStr">
        <is>
          <t>P0</t>
        </is>
      </c>
      <c r="G117" s="11" t="inlineStr">
        <is>
          <t>P0</t>
        </is>
      </c>
      <c r="H117" s="11" t="inlineStr">
        <is>
          <t>前缀匹配元数据结构设计｜L3-MS-PrefixDirectorySchema-069</t>
        </is>
      </c>
      <c r="I117" s="11" t="inlineStr">
        <is>
          <t>前缀（Prefix）命中判定P99耗时 &lt; 200us；在共享前缀（Share-Prefix）业务下，可用命中率（Usable Hit Rate）提升≥15%。</t>
        </is>
      </c>
      <c r="J117" s="11" t="inlineStr">
        <is>
          <t>SR23-02-05-01</t>
        </is>
      </c>
      <c r="K117" s="11" t="inlineStr">
        <is>
          <t>集群 前缀目录（PrefixDirectory） 核心与高可用服务</t>
        </is>
      </c>
      <c r="L117" s="11" t="inlineStr">
        <is>
          <t>IR-02-05</t>
        </is>
      </c>
      <c r="M117" s="11" t="inlineStr">
        <is>
          <t>该来源作为“集群 前缀目录（PrefixDirectory） 核心与高可用服务”功能闭包的内部需求、约束或验收输入；不再单独定义为 SR。</t>
        </is>
      </c>
      <c r="N117" s="11">
        <f>IF(COUNTIF($A$5:$A$153,A117)=1,"PASS","FAIL")</f>
        <v/>
      </c>
      <c r="O117" s="11">
        <f>IF(COUNTIF('SR系统设计'!$A$5:$A$42,J117)=1,"PASS","FAIL")</f>
        <v/>
      </c>
      <c r="P117" s="11" t="inlineStr">
        <is>
          <t>已纳入独立交付闭包</t>
        </is>
      </c>
    </row>
    <row r="118" ht="66" customHeight="1">
      <c r="A118" s="11" t="inlineStr">
        <is>
          <t>L3-MS-RangeBatchLookup-071</t>
        </is>
      </c>
      <c r="B118" s="11" t="inlineStr">
        <is>
          <t>SR-02-05-08</t>
        </is>
      </c>
      <c r="C118" s="11" t="inlineStr">
        <is>
          <t>V2.2校准基线</t>
        </is>
      </c>
      <c r="D118" s="11" t="inlineStr">
        <is>
          <t>L3 传输管理层</t>
        </is>
      </c>
      <c r="E118" s="11" t="inlineStr">
        <is>
          <t>前缀目录与元数据平面</t>
        </is>
      </c>
      <c r="F118" s="11" t="inlineStr">
        <is>
          <t>P0</t>
        </is>
      </c>
      <c r="G118" s="11" t="inlineStr">
        <is>
          <t>P0</t>
        </is>
      </c>
      <c r="H118" s="11" t="inlineStr">
        <is>
          <t>长前缀批量命中判定｜L3-MS-RangeBatchLookup-071</t>
        </is>
      </c>
      <c r="I118" s="11" t="inlineStr">
        <is>
          <t>前缀（Prefix）命中判定P99耗时 &lt; 200us；在共享前缀（Share-Prefix）业务下，可用命中率（Usable Hit Rate）提升≥15%。</t>
        </is>
      </c>
      <c r="J118" s="11" t="inlineStr">
        <is>
          <t>SR23-02-05-02</t>
        </is>
      </c>
      <c r="K118" s="11" t="inlineStr">
        <is>
          <t>前缀目录（PrefixDirectory） 本地快路径与消费资格组件</t>
        </is>
      </c>
      <c r="L118" s="11" t="inlineStr">
        <is>
          <t>IR-02-05</t>
        </is>
      </c>
      <c r="M118" s="11" t="inlineStr">
        <is>
          <t>该来源作为“前缀目录（PrefixDirectory） 本地快路径与消费资格组件”功能闭包的内部需求、约束或验收输入；不再单独定义为 SR。</t>
        </is>
      </c>
      <c r="N118" s="11">
        <f>IF(COUNTIF($A$5:$A$153,A118)=1,"PASS","FAIL")</f>
        <v/>
      </c>
      <c r="O118" s="11">
        <f>IF(COUNTIF('SR系统设计'!$A$5:$A$42,J118)=1,"PASS","FAIL")</f>
        <v/>
      </c>
      <c r="P118" s="11" t="inlineStr">
        <is>
          <t>已纳入独立交付闭包</t>
        </is>
      </c>
    </row>
    <row r="119" ht="66" customHeight="1">
      <c r="A119" s="11" t="inlineStr">
        <is>
          <t>L3-MS-ReplicaPlacementState-059</t>
        </is>
      </c>
      <c r="B119" s="11" t="inlineStr">
        <is>
          <t>SR-02-05-09</t>
        </is>
      </c>
      <c r="C119" s="11" t="inlineStr">
        <is>
          <t>V2.2校准基线</t>
        </is>
      </c>
      <c r="D119" s="11" t="inlineStr">
        <is>
          <t>L3 传输管理层</t>
        </is>
      </c>
      <c r="E119" s="11" t="inlineStr">
        <is>
          <t>前缀目录与元数据平面</t>
        </is>
      </c>
      <c r="F119" s="11" t="inlineStr">
        <is>
          <t>P0</t>
        </is>
      </c>
      <c r="G119" s="11" t="inlineStr">
        <is>
          <t>P0</t>
        </is>
      </c>
      <c r="H119" s="11" t="inlineStr">
        <is>
          <t>多副本 KV 的位置与状态管理｜L3-MS-ReplicaPlacementState-059</t>
        </is>
      </c>
      <c r="I119" s="11" t="inlineStr">
        <is>
          <t>节点动态加入/退出时的缓存失效控制在局部范围内（遵循一致性哈希比例）。</t>
        </is>
      </c>
      <c r="J119" s="11" t="inlineStr">
        <is>
          <t>SR23-02-05-01</t>
        </is>
      </c>
      <c r="K119" s="11" t="inlineStr">
        <is>
          <t>集群 前缀目录（PrefixDirectory） 核心与高可用服务</t>
        </is>
      </c>
      <c r="L119" s="11" t="inlineStr">
        <is>
          <t>IR-02-05</t>
        </is>
      </c>
      <c r="M119" s="11" t="inlineStr">
        <is>
          <t>该来源作为“集群 前缀目录（PrefixDirectory） 核心与高可用服务”功能闭包的内部需求、约束或验收输入；不再单独定义为 SR。</t>
        </is>
      </c>
      <c r="N119" s="11">
        <f>IF(COUNTIF($A$5:$A$153,A119)=1,"PASS","FAIL")</f>
        <v/>
      </c>
      <c r="O119" s="11">
        <f>IF(COUNTIF('SR系统设计'!$A$5:$A$42,J119)=1,"PASS","FAIL")</f>
        <v/>
      </c>
      <c r="P119" s="11" t="inlineStr">
        <is>
          <t>已纳入独立交付闭包</t>
        </is>
      </c>
    </row>
    <row r="120" ht="66" customHeight="1">
      <c r="A120" s="11" t="inlineStr">
        <is>
          <t>L3-MS-StaleHitGuard-067</t>
        </is>
      </c>
      <c r="B120" s="11" t="inlineStr">
        <is>
          <t>SR-02-05-10</t>
        </is>
      </c>
      <c r="C120" s="11" t="inlineStr">
        <is>
          <t>V2.2校准基线</t>
        </is>
      </c>
      <c r="D120" s="11" t="inlineStr">
        <is>
          <t>L3 传输管理层</t>
        </is>
      </c>
      <c r="E120" s="11" t="inlineStr">
        <is>
          <t>前缀目录与元数据平面</t>
        </is>
      </c>
      <c r="F120" s="11" t="inlineStr">
        <is>
          <t>P0</t>
        </is>
      </c>
      <c r="G120" s="11" t="inlineStr">
        <is>
          <t>P0</t>
        </is>
      </c>
      <c r="H120" s="11" t="inlineStr">
        <is>
          <t>本地元数据缓存过期导致误命中｜L3-MS-StaleHitGuard-067</t>
        </is>
      </c>
      <c r="I120" s="11" t="inlineStr">
        <is>
          <t>节点动态加入/退出时的缓存失效控制在局部范围内（遵循一致性哈希比例）。</t>
        </is>
      </c>
      <c r="J120" s="11" t="inlineStr">
        <is>
          <t>SR23-02-05-02</t>
        </is>
      </c>
      <c r="K120" s="11" t="inlineStr">
        <is>
          <t>前缀目录（PrefixDirectory） 本地快路径与消费资格组件</t>
        </is>
      </c>
      <c r="L120" s="11" t="inlineStr">
        <is>
          <t>IR-02-05</t>
        </is>
      </c>
      <c r="M120" s="11" t="inlineStr">
        <is>
          <t>该来源作为“前缀目录（PrefixDirectory） 本地快路径与消费资格组件”功能闭包的内部需求、约束或验收输入；不再单独定义为 SR。</t>
        </is>
      </c>
      <c r="N120" s="11">
        <f>IF(COUNTIF($A$5:$A$153,A120)=1,"PASS","FAIL")</f>
        <v/>
      </c>
      <c r="O120" s="11">
        <f>IF(COUNTIF('SR系统设计'!$A$5:$A$42,J120)=1,"PASS","FAIL")</f>
        <v/>
      </c>
      <c r="P120" s="11" t="inlineStr">
        <is>
          <t>已纳入独立交付闭包</t>
        </is>
      </c>
    </row>
    <row r="121" ht="66" customHeight="1">
      <c r="A121" s="11" t="inlineStr">
        <is>
          <t>L3-MC-PFX-IDX-003</t>
        </is>
      </c>
      <c r="B121" s="11" t="inlineStr">
        <is>
          <t>SR-02-05-11</t>
        </is>
      </c>
      <c r="C121" s="11" t="inlineStr">
        <is>
          <t>V2.2校准基线</t>
        </is>
      </c>
      <c r="D121" s="11" t="inlineStr">
        <is>
          <t>L3 传输管理层</t>
        </is>
      </c>
      <c r="E121" s="11" t="inlineStr">
        <is>
          <t>前缀目录与元数据平面</t>
        </is>
      </c>
      <c r="F121" s="11" t="inlineStr">
        <is>
          <t>P1</t>
        </is>
      </c>
      <c r="G121" s="11" t="inlineStr">
        <is>
          <t>P1</t>
        </is>
      </c>
      <c r="H121" s="11" t="inlineStr">
        <is>
          <t>前缀命中判断加速｜L3-MC-PFX-IDX-003</t>
        </is>
      </c>
      <c r="I121" s="11" t="inlineStr">
        <is>
          <t>前缀（Prefix）命中判定P99耗时 &lt; 200us；在共享前缀（Share-Prefix）业务下，可用命中率（Usable Hit Rate）提升≥15%。</t>
        </is>
      </c>
      <c r="J121" s="11" t="inlineStr">
        <is>
          <t>SR23-02-05-02</t>
        </is>
      </c>
      <c r="K121" s="11" t="inlineStr">
        <is>
          <t>前缀目录（PrefixDirectory） 本地快路径与消费资格组件</t>
        </is>
      </c>
      <c r="L121" s="11" t="inlineStr">
        <is>
          <t>IR-02-05</t>
        </is>
      </c>
      <c r="M121" s="11" t="inlineStr">
        <is>
          <t>该来源作为“前缀目录（PrefixDirectory） 本地快路径与消费资格组件”功能闭包的内部需求、约束或验收输入；不再单独定义为 SR。</t>
        </is>
      </c>
      <c r="N121" s="11">
        <f>IF(COUNTIF($A$5:$A$153,A121)=1,"PASS","FAIL")</f>
        <v/>
      </c>
      <c r="O121" s="11">
        <f>IF(COUNTIF('SR系统设计'!$A$5:$A$42,J121)=1,"PASS","FAIL")</f>
        <v/>
      </c>
      <c r="P121" s="11" t="inlineStr">
        <is>
          <t>已纳入独立交付闭包</t>
        </is>
      </c>
    </row>
    <row r="122" ht="66" customHeight="1">
      <c r="A122" s="11" t="inlineStr">
        <is>
          <t>L3-MC-PFX-REPL-004</t>
        </is>
      </c>
      <c r="B122" s="11" t="inlineStr">
        <is>
          <t>SR-02-05-12</t>
        </is>
      </c>
      <c r="C122" s="11" t="inlineStr">
        <is>
          <t>V2.2校准基线</t>
        </is>
      </c>
      <c r="D122" s="11" t="inlineStr">
        <is>
          <t>L3 传输管理层</t>
        </is>
      </c>
      <c r="E122" s="11" t="inlineStr">
        <is>
          <t>前缀目录与元数据平面</t>
        </is>
      </c>
      <c r="F122" s="11" t="inlineStr">
        <is>
          <t>P1</t>
        </is>
      </c>
      <c r="G122" s="11" t="inlineStr">
        <is>
          <t>P1</t>
        </is>
      </c>
      <c r="H122" s="11" t="inlineStr">
        <is>
          <t>分布式索引高可用｜L3-MC-PFX-REPL-004</t>
        </is>
      </c>
      <c r="I122" s="11" t="inlineStr">
        <is>
          <t>前缀（Prefix）命中判定P99耗时 &lt; 200us；在共享前缀（Share-Prefix）业务下，可用命中率（Usable Hit Rate）提升≥15%。</t>
        </is>
      </c>
      <c r="J122" s="11" t="inlineStr">
        <is>
          <t>SR23-02-05-01</t>
        </is>
      </c>
      <c r="K122" s="11" t="inlineStr">
        <is>
          <t>集群 前缀目录（PrefixDirectory） 核心与高可用服务</t>
        </is>
      </c>
      <c r="L122" s="11" t="inlineStr">
        <is>
          <t>IR-02-05</t>
        </is>
      </c>
      <c r="M122" s="11" t="inlineStr">
        <is>
          <t>该来源作为“集群 前缀目录（PrefixDirectory） 核心与高可用服务”功能闭包的内部需求、约束或验收输入；不再单独定义为 SR。</t>
        </is>
      </c>
      <c r="N122" s="11">
        <f>IF(COUNTIF($A$5:$A$153,A122)=1,"PASS","FAIL")</f>
        <v/>
      </c>
      <c r="O122" s="11">
        <f>IF(COUNTIF('SR系统设计'!$A$5:$A$42,J122)=1,"PASS","FAIL")</f>
        <v/>
      </c>
      <c r="P122" s="11" t="inlineStr">
        <is>
          <t>已纳入独立交付闭包</t>
        </is>
      </c>
    </row>
    <row r="123" ht="66" customHeight="1">
      <c r="A123" s="11" t="inlineStr">
        <is>
          <t>L3-MS-DirectoryShardPolicy-073</t>
        </is>
      </c>
      <c r="B123" s="11" t="inlineStr">
        <is>
          <t>SR-02-05-13</t>
        </is>
      </c>
      <c r="C123" s="11" t="inlineStr">
        <is>
          <t>V2.2校准基线</t>
        </is>
      </c>
      <c r="D123" s="11" t="inlineStr">
        <is>
          <t>L3 传输管理层</t>
        </is>
      </c>
      <c r="E123" s="11" t="inlineStr">
        <is>
          <t>前缀目录与元数据平面</t>
        </is>
      </c>
      <c r="F123" s="11" t="inlineStr">
        <is>
          <t>P1</t>
        </is>
      </c>
      <c r="G123" s="11" t="inlineStr">
        <is>
          <t>P1</t>
        </is>
      </c>
      <c r="H123" s="11" t="inlineStr">
        <is>
          <t>热点前缀目录分片与镜像｜L3-MS-DirectoryShardPolicy-073</t>
        </is>
      </c>
      <c r="I123" s="11" t="inlineStr">
        <is>
          <t>前缀（Prefix）命中判定P99耗时 &lt; 200us；在共享前缀（Share-Prefix）业务下，可用命中率（Usable Hit Rate）提升≥15%。</t>
        </is>
      </c>
      <c r="J123" s="11" t="inlineStr">
        <is>
          <t>SR23-02-05-01</t>
        </is>
      </c>
      <c r="K123" s="11" t="inlineStr">
        <is>
          <t>集群 前缀目录（PrefixDirectory） 核心与高可用服务</t>
        </is>
      </c>
      <c r="L123" s="11" t="inlineStr">
        <is>
          <t>IR-02-05</t>
        </is>
      </c>
      <c r="M123" s="11" t="inlineStr">
        <is>
          <t>该来源作为“集群 前缀目录（PrefixDirectory） 核心与高可用服务”功能闭包的内部需求、约束或验收输入；不再单独定义为 SR。</t>
        </is>
      </c>
      <c r="N123" s="11">
        <f>IF(COUNTIF($A$5:$A$153,A123)=1,"PASS","FAIL")</f>
        <v/>
      </c>
      <c r="O123" s="11">
        <f>IF(COUNTIF('SR系统设计'!$A$5:$A$42,J123)=1,"PASS","FAIL")</f>
        <v/>
      </c>
      <c r="P123" s="11" t="inlineStr">
        <is>
          <t>已纳入独立交付闭包</t>
        </is>
      </c>
    </row>
    <row r="124" ht="66" customHeight="1">
      <c r="A124" s="11" t="inlineStr">
        <is>
          <t>L3-MS-MetadataCompactLayout-074</t>
        </is>
      </c>
      <c r="B124" s="11" t="inlineStr">
        <is>
          <t>SR-02-05-14</t>
        </is>
      </c>
      <c r="C124" s="11" t="inlineStr">
        <is>
          <t>V2.2校准基线</t>
        </is>
      </c>
      <c r="D124" s="11" t="inlineStr">
        <is>
          <t>L3 传输管理层</t>
        </is>
      </c>
      <c r="E124" s="11" t="inlineStr">
        <is>
          <t>前缀目录与元数据平面</t>
        </is>
      </c>
      <c r="F124" s="11" t="inlineStr">
        <is>
          <t>P1</t>
        </is>
      </c>
      <c r="G124" s="11" t="inlineStr">
        <is>
          <t>P1</t>
        </is>
      </c>
      <c r="H124" s="11" t="inlineStr">
        <is>
          <t>前缀元数据查询结构优化｜L3-MS-MetadataCompactLayout-074</t>
        </is>
      </c>
      <c r="I124" s="11" t="inlineStr">
        <is>
          <t>前缀（Prefix）命中判定P99耗时 &lt; 200us；在共享前缀（Share-Prefix）业务下，可用命中率（Usable Hit Rate）提升≥15%。</t>
        </is>
      </c>
      <c r="J124" s="11" t="inlineStr">
        <is>
          <t>SR23-02-05-01</t>
        </is>
      </c>
      <c r="K124" s="11" t="inlineStr">
        <is>
          <t>集群 前缀目录（PrefixDirectory） 核心与高可用服务</t>
        </is>
      </c>
      <c r="L124" s="11" t="inlineStr">
        <is>
          <t>IR-02-05</t>
        </is>
      </c>
      <c r="M124" s="11" t="inlineStr">
        <is>
          <t>该来源作为“集群 前缀目录（PrefixDirectory） 核心与高可用服务”功能闭包的内部需求、约束或验收输入；不再单独定义为 SR。</t>
        </is>
      </c>
      <c r="N124" s="11">
        <f>IF(COUNTIF($A$5:$A$153,A124)=1,"PASS","FAIL")</f>
        <v/>
      </c>
      <c r="O124" s="11">
        <f>IF(COUNTIF('SR系统设计'!$A$5:$A$42,J124)=1,"PASS","FAIL")</f>
        <v/>
      </c>
      <c r="P124" s="11" t="inlineStr">
        <is>
          <t>已纳入独立交付闭包</t>
        </is>
      </c>
    </row>
    <row r="125" ht="66" customHeight="1">
      <c r="A125" s="11" t="inlineStr">
        <is>
          <t>L3-MS-MultiReplicaDirectory-037</t>
        </is>
      </c>
      <c r="B125" s="11" t="inlineStr">
        <is>
          <t>SR-02-05-15</t>
        </is>
      </c>
      <c r="C125" s="11" t="inlineStr">
        <is>
          <t>V2.2校准基线</t>
        </is>
      </c>
      <c r="D125" s="11" t="inlineStr">
        <is>
          <t>L3 传输管理层</t>
        </is>
      </c>
      <c r="E125" s="11" t="inlineStr">
        <is>
          <t>前缀目录与元数据平面</t>
        </is>
      </c>
      <c r="F125" s="11" t="inlineStr">
        <is>
          <t>P1</t>
        </is>
      </c>
      <c r="G125" s="11" t="inlineStr">
        <is>
          <t>P1</t>
        </is>
      </c>
      <c r="H125" s="11" t="inlineStr">
        <is>
          <t>多副本 KVCache 全局目录管理｜L3-MS-MultiReplicaDirectory-037</t>
        </is>
      </c>
      <c r="I125" s="11" t="inlineStr">
        <is>
          <t>path selection 命中最优副本比例 ≥90%；</t>
        </is>
      </c>
      <c r="J125" s="11" t="inlineStr">
        <is>
          <t>SR23-02-05-01</t>
        </is>
      </c>
      <c r="K125" s="11" t="inlineStr">
        <is>
          <t>集群 前缀目录（PrefixDirectory） 核心与高可用服务</t>
        </is>
      </c>
      <c r="L125" s="11" t="inlineStr">
        <is>
          <t>IR-02-05</t>
        </is>
      </c>
      <c r="M125" s="11" t="inlineStr">
        <is>
          <t>该来源作为“集群 前缀目录（PrefixDirectory） 核心与高可用服务”功能闭包的内部需求、约束或验收输入；不再单独定义为 SR。</t>
        </is>
      </c>
      <c r="N125" s="11">
        <f>IF(COUNTIF($A$5:$A$153,A125)=1,"PASS","FAIL")</f>
        <v/>
      </c>
      <c r="O125" s="11">
        <f>IF(COUNTIF('SR系统设计'!$A$5:$A$42,J125)=1,"PASS","FAIL")</f>
        <v/>
      </c>
      <c r="P125" s="11" t="inlineStr">
        <is>
          <t>已纳入独立交付闭包</t>
        </is>
      </c>
    </row>
    <row r="126" ht="66" customHeight="1">
      <c r="A126" s="11" t="inlineStr">
        <is>
          <t>L3-MS-TTFTIndexLayout-088</t>
        </is>
      </c>
      <c r="B126" s="11" t="inlineStr">
        <is>
          <t>SR-02-05-16</t>
        </is>
      </c>
      <c r="C126" s="11" t="inlineStr">
        <is>
          <t>V2.2校准基线</t>
        </is>
      </c>
      <c r="D126" s="11" t="inlineStr">
        <is>
          <t>L3 传输管理层</t>
        </is>
      </c>
      <c r="E126" s="11" t="inlineStr">
        <is>
          <t>前缀目录与元数据平面</t>
        </is>
      </c>
      <c r="F126" s="11" t="inlineStr">
        <is>
          <t>P1</t>
        </is>
      </c>
      <c r="G126" s="11" t="inlineStr">
        <is>
          <t>P1</t>
        </is>
      </c>
      <c r="H126" s="11" t="inlineStr">
        <is>
          <t>TTFT 关键路径高性能元数据检索｜L3-MS-TTFTIndexLayout-088</t>
        </is>
      </c>
      <c r="I126" s="11" t="inlineStr">
        <is>
          <t>前缀（Prefix）命中判定P99耗时 &lt; 200us；在共享前缀（Share-Prefix）业务下，可用命中率（Usable Hit Rate）提升≥15%。</t>
        </is>
      </c>
      <c r="J126" s="11" t="inlineStr">
        <is>
          <t>SR23-02-05-02</t>
        </is>
      </c>
      <c r="K126" s="11" t="inlineStr">
        <is>
          <t>前缀目录（PrefixDirectory） 本地快路径与消费资格组件</t>
        </is>
      </c>
      <c r="L126" s="11" t="inlineStr">
        <is>
          <t>IR-02-05</t>
        </is>
      </c>
      <c r="M126" s="11" t="inlineStr">
        <is>
          <t>该来源作为“前缀目录（PrefixDirectory） 本地快路径与消费资格组件”功能闭包的内部需求、约束或验收输入；不再单独定义为 SR。</t>
        </is>
      </c>
      <c r="N126" s="11">
        <f>IF(COUNTIF($A$5:$A$153,A126)=1,"PASS","FAIL")</f>
        <v/>
      </c>
      <c r="O126" s="11">
        <f>IF(COUNTIF('SR系统设计'!$A$5:$A$42,J126)=1,"PASS","FAIL")</f>
        <v/>
      </c>
      <c r="P126" s="11" t="inlineStr">
        <is>
          <t>已纳入独立交付闭包</t>
        </is>
      </c>
    </row>
    <row r="127" ht="66" customHeight="1">
      <c r="A127" s="11" t="inlineStr">
        <is>
          <t>L3-PM-HitQuality-023</t>
        </is>
      </c>
      <c r="B127" s="11" t="inlineStr">
        <is>
          <t>SR-02-05-17</t>
        </is>
      </c>
      <c r="C127" s="11" t="inlineStr">
        <is>
          <t>V2.2校准基线</t>
        </is>
      </c>
      <c r="D127" s="11" t="inlineStr">
        <is>
          <t>L3 传输管理层</t>
        </is>
      </c>
      <c r="E127" s="11" t="inlineStr">
        <is>
          <t>前缀目录与元数据平面</t>
        </is>
      </c>
      <c r="F127" s="11" t="inlineStr">
        <is>
          <t>P1</t>
        </is>
      </c>
      <c r="G127" s="11" t="inlineStr">
        <is>
          <t>P1</t>
        </is>
      </c>
      <c r="H127" s="11" t="inlineStr">
        <is>
          <t>命中 KV 加载价值评估｜L3-PM-HitQuality-023</t>
        </is>
      </c>
      <c r="I127" s="11" t="inlineStr">
        <is>
          <t>前缀（Prefix）命中判定P99耗时 &lt; 200us；在共享前缀（Share-Prefix）业务下，可用命中率（Usable Hit Rate）提升≥15%。</t>
        </is>
      </c>
      <c r="J127" s="11" t="inlineStr">
        <is>
          <t>SR23-02-05-02</t>
        </is>
      </c>
      <c r="K127" s="11" t="inlineStr">
        <is>
          <t>前缀目录（PrefixDirectory） 本地快路径与消费资格组件</t>
        </is>
      </c>
      <c r="L127" s="11" t="inlineStr">
        <is>
          <t>IR-02-05</t>
        </is>
      </c>
      <c r="M127" s="11" t="inlineStr">
        <is>
          <t>该来源作为“前缀目录（PrefixDirectory） 本地快路径与消费资格组件”功能闭包的内部需求、约束或验收输入；不再单独定义为 SR。</t>
        </is>
      </c>
      <c r="N127" s="11">
        <f>IF(COUNTIF($A$5:$A$153,A127)=1,"PASS","FAIL")</f>
        <v/>
      </c>
      <c r="O127" s="11">
        <f>IF(COUNTIF('SR系统设计'!$A$5:$A$42,J127)=1,"PASS","FAIL")</f>
        <v/>
      </c>
      <c r="P127" s="11" t="inlineStr">
        <is>
          <t>已纳入独立交付闭包</t>
        </is>
      </c>
    </row>
    <row r="128" ht="66" customHeight="1">
      <c r="A128" s="11" t="inlineStr">
        <is>
          <t>L1-SGL-PRFCH-SCHED-004</t>
        </is>
      </c>
      <c r="B128" s="11" t="inlineStr">
        <is>
          <t>SR-02-06-01</t>
        </is>
      </c>
      <c r="C128" s="11" t="inlineStr">
        <is>
          <t>V2.2校准基线</t>
        </is>
      </c>
      <c r="D128" s="11" t="inlineStr">
        <is>
          <t>L1 推理调度层</t>
        </is>
      </c>
      <c r="E128" s="11" t="inlineStr">
        <is>
          <t>卸载/加载与预取优化</t>
        </is>
      </c>
      <c r="F128" s="11" t="inlineStr">
        <is>
          <t>P2</t>
        </is>
      </c>
      <c r="G128" s="11" t="inlineStr">
        <is>
          <t>P2</t>
        </is>
      </c>
      <c r="H128" s="11" t="inlineStr">
        <is>
          <t>投机性前缀预取｜L1-SGL-PRFCH-SCHED-004</t>
        </is>
      </c>
      <c r="I128" s="11" t="inlineStr">
        <is>
          <t>前缀（Prefix）命中判定P99耗时 &lt; 200us；在共享前缀（Share-Prefix）业务下，可用命中率（Usable Hit Rate）提升≥15%。</t>
        </is>
      </c>
      <c r="J128" s="11" t="inlineStr">
        <is>
          <t>SR23-02-06-01</t>
        </is>
      </c>
      <c r="K128" s="11" t="inlineStr">
        <is>
          <t>KV 卸载/加载、分层回源与流式 流水线（Pipeline）</t>
        </is>
      </c>
      <c r="L128" s="11" t="inlineStr">
        <is>
          <t>IR-02-06</t>
        </is>
      </c>
      <c r="M128" s="11" t="inlineStr">
        <is>
          <t>该来源作为“KV 卸载/加载、分层回源与流式 流水线（Pipeline）”功能闭包的内部需求、约束或验收输入；不再单独定义为 SR。</t>
        </is>
      </c>
      <c r="N128" s="11">
        <f>IF(COUNTIF($A$5:$A$153,A128)=1,"PASS","FAIL")</f>
        <v/>
      </c>
      <c r="O128" s="11">
        <f>IF(COUNTIF('SR系统设计'!$A$5:$A$42,J128)=1,"PASS","FAIL")</f>
        <v/>
      </c>
      <c r="P128" s="11" t="inlineStr">
        <is>
          <t>已纳入独立交付闭包</t>
        </is>
      </c>
    </row>
    <row r="129" ht="66" customHeight="1">
      <c r="A129" s="11" t="inlineStr">
        <is>
          <t>L1-SGL-SWP-XFER-002</t>
        </is>
      </c>
      <c r="B129" s="11" t="inlineStr">
        <is>
          <t>SR-02-06-02</t>
        </is>
      </c>
      <c r="C129" s="11" t="inlineStr">
        <is>
          <t>V2.2校准基线</t>
        </is>
      </c>
      <c r="D129" s="11" t="inlineStr">
        <is>
          <t>L1 推理调度层</t>
        </is>
      </c>
      <c r="E129" s="11" t="inlineStr">
        <is>
          <t>卸载/加载与预取优化</t>
        </is>
      </c>
      <c r="F129" s="11" t="inlineStr">
        <is>
          <t>P2</t>
        </is>
      </c>
      <c r="G129" s="11" t="inlineStr">
        <is>
          <t>P2</t>
        </is>
      </c>
      <c r="H129" s="11" t="inlineStr">
        <is>
          <t>流式KV加载流水线（Pipeline）｜L1-SGL-SWP-XFER-002</t>
        </is>
      </c>
      <c r="I129" s="11" t="inlineStr">
        <is>
          <t>内存碎片率控制在&lt;5%，平均并发处理能力（QPS）提升≥10%。</t>
        </is>
      </c>
      <c r="J129" s="11" t="inlineStr">
        <is>
          <t>SR23-02-06-01</t>
        </is>
      </c>
      <c r="K129" s="11" t="inlineStr">
        <is>
          <t>KV 卸载/加载、分层回源与流式 流水线（Pipeline）</t>
        </is>
      </c>
      <c r="L129" s="11" t="inlineStr">
        <is>
          <t>IR-02-06</t>
        </is>
      </c>
      <c r="M129" s="11" t="inlineStr">
        <is>
          <t>该来源作为“KV 卸载/加载、分层回源与流式 流水线（Pipeline）”功能闭包的内部需求、约束或验收输入；不再单独定义为 SR。</t>
        </is>
      </c>
      <c r="N129" s="11">
        <f>IF(COUNTIF($A$5:$A$153,A129)=1,"PASS","FAIL")</f>
        <v/>
      </c>
      <c r="O129" s="11">
        <f>IF(COUNTIF('SR系统设计'!$A$5:$A$42,J129)=1,"PASS","FAIL")</f>
        <v/>
      </c>
      <c r="P129" s="11" t="inlineStr">
        <is>
          <t>已纳入独立交付闭包</t>
        </is>
      </c>
    </row>
    <row r="130" ht="66" customHeight="1">
      <c r="A130" s="11" t="inlineStr">
        <is>
          <t>L1-VLLM-PRFCH-SCHED-004</t>
        </is>
      </c>
      <c r="B130" s="11" t="inlineStr">
        <is>
          <t>SR-02-06-03</t>
        </is>
      </c>
      <c r="C130" s="11" t="inlineStr">
        <is>
          <t>V2.2校准基线</t>
        </is>
      </c>
      <c r="D130" s="11" t="inlineStr">
        <is>
          <t>L1 推理调度层</t>
        </is>
      </c>
      <c r="E130" s="11" t="inlineStr">
        <is>
          <t>卸载/加载与预取优化</t>
        </is>
      </c>
      <c r="F130" s="11" t="inlineStr">
        <is>
          <t>P2</t>
        </is>
      </c>
      <c r="G130" s="11" t="inlineStr">
        <is>
          <t>P2</t>
        </is>
      </c>
      <c r="H130" s="11" t="inlineStr">
        <is>
          <t>请求调度预取优化｜L1-VLLM-PRFCH-SCHED-004</t>
        </is>
      </c>
      <c r="I130" s="11" t="inlineStr">
        <is>
          <t>内存碎片率控制在&lt;5%，平均并发处理能力（QPS）提升≥10%。</t>
        </is>
      </c>
      <c r="J130" s="11" t="inlineStr">
        <is>
          <t>SR23-02-06-01</t>
        </is>
      </c>
      <c r="K130" s="11" t="inlineStr">
        <is>
          <t>KV 卸载/加载、分层回源与流式 流水线（Pipeline）</t>
        </is>
      </c>
      <c r="L130" s="11" t="inlineStr">
        <is>
          <t>IR-02-06</t>
        </is>
      </c>
      <c r="M130" s="11" t="inlineStr">
        <is>
          <t>该来源作为“KV 卸载/加载、分层回源与流式 流水线（Pipeline）”功能闭包的内部需求、约束或验收输入；不再单独定义为 SR。</t>
        </is>
      </c>
      <c r="N130" s="11">
        <f>IF(COUNTIF($A$5:$A$153,A130)=1,"PASS","FAIL")</f>
        <v/>
      </c>
      <c r="O130" s="11">
        <f>IF(COUNTIF('SR系统设计'!$A$5:$A$42,J130)=1,"PASS","FAIL")</f>
        <v/>
      </c>
      <c r="P130" s="11" t="inlineStr">
        <is>
          <t>已纳入独立交付闭包</t>
        </is>
      </c>
    </row>
    <row r="131" ht="66" customHeight="1">
      <c r="A131" s="11" t="inlineStr">
        <is>
          <t>L2-CONN-SWP-XFER-003</t>
        </is>
      </c>
      <c r="B131" s="11" t="inlineStr">
        <is>
          <t>SR-02-06-04</t>
        </is>
      </c>
      <c r="C131" s="11" t="inlineStr">
        <is>
          <t>V2.2校准基线</t>
        </is>
      </c>
      <c r="D131" s="11" t="inlineStr">
        <is>
          <t>L2 KV连接器（KVConnector）层</t>
        </is>
      </c>
      <c r="E131" s="11" t="inlineStr">
        <is>
          <t>卸载/加载与预取优化</t>
        </is>
      </c>
      <c r="F131" s="11" t="inlineStr">
        <is>
          <t>P2</t>
        </is>
      </c>
      <c r="G131" s="11" t="inlineStr">
        <is>
          <t>P2</t>
        </is>
      </c>
      <c r="H131" s="11" t="inlineStr">
        <is>
          <t>Swap批量传输优化｜L2-CONN-SWP-XFER-003</t>
        </is>
      </c>
      <c r="I131" s="11" t="inlineStr">
        <is>
          <t>元数据转换和序列化开销降低至&lt;200ns/次。</t>
        </is>
      </c>
      <c r="J131" s="11" t="inlineStr">
        <is>
          <t>SR23-02-06-01</t>
        </is>
      </c>
      <c r="K131" s="11" t="inlineStr">
        <is>
          <t>KV 卸载/加载、分层回源与流式 流水线（Pipeline）</t>
        </is>
      </c>
      <c r="L131" s="11" t="inlineStr">
        <is>
          <t>IR-02-06</t>
        </is>
      </c>
      <c r="M131" s="11" t="inlineStr">
        <is>
          <t>该来源作为“KV 卸载/加载、分层回源与流式 流水线（Pipeline）”功能闭包的内部需求、约束或验收输入；不再单独定义为 SR。</t>
        </is>
      </c>
      <c r="N131" s="11">
        <f>IF(COUNTIF($A$5:$A$153,A131)=1,"PASS","FAIL")</f>
        <v/>
      </c>
      <c r="O131" s="11">
        <f>IF(COUNTIF('SR系统设计'!$A$5:$A$42,J131)=1,"PASS","FAIL")</f>
        <v/>
      </c>
      <c r="P131" s="11" t="inlineStr">
        <is>
          <t>已纳入独立交付闭包</t>
        </is>
      </c>
    </row>
    <row r="132" ht="66" customHeight="1">
      <c r="A132" s="11" t="inlineStr">
        <is>
          <t>L2-CONN-PRFCH-ENGINE-007</t>
        </is>
      </c>
      <c r="B132" s="11" t="inlineStr">
        <is>
          <t>SR-02-07-01</t>
        </is>
      </c>
      <c r="C132" s="11" t="inlineStr">
        <is>
          <t>V2.2校准基线</t>
        </is>
      </c>
      <c r="D132" s="11" t="inlineStr">
        <is>
          <t>L2 KV连接器（KVConnector）层</t>
        </is>
      </c>
      <c r="E132" s="11" t="inlineStr">
        <is>
          <t>预取触发与命中评估</t>
        </is>
      </c>
      <c r="F132" s="11" t="inlineStr">
        <is>
          <t>P2</t>
        </is>
      </c>
      <c r="G132" s="11" t="inlineStr">
        <is>
          <t>P2</t>
        </is>
      </c>
      <c r="H132" s="11" t="inlineStr">
        <is>
          <t>前缀KV隐藏加载时延｜L2-CONN-PRFCH-ENGINE-007</t>
        </is>
      </c>
      <c r="I132" s="11" t="inlineStr">
        <is>
          <t>前缀（Prefix）命中判定P99耗时 &lt; 200us；在共享前缀（Share-Prefix）业务下，可用命中率（Usable Hit Rate）提升≥15%。</t>
        </is>
      </c>
      <c r="J132" s="11" t="inlineStr">
        <is>
          <t>SR23-02-07-01</t>
        </is>
      </c>
      <c r="K132" s="11" t="inlineStr">
        <is>
          <t>投机预取与效果反馈组件</t>
        </is>
      </c>
      <c r="L132" s="11" t="inlineStr">
        <is>
          <t>IR-02-07</t>
        </is>
      </c>
      <c r="M132" s="11" t="inlineStr">
        <is>
          <t>该来源作为“投机预取与效果反馈组件”功能闭包的内部需求、约束或验收输入；不再单独定义为 SR。</t>
        </is>
      </c>
      <c r="N132" s="11">
        <f>IF(COUNTIF($A$5:$A$153,A132)=1,"PASS","FAIL")</f>
        <v/>
      </c>
      <c r="O132" s="11">
        <f>IF(COUNTIF('SR系统设计'!$A$5:$A$42,J132)=1,"PASS","FAIL")</f>
        <v/>
      </c>
      <c r="P132" s="11" t="inlineStr">
        <is>
          <t>已纳入独立交付闭包</t>
        </is>
      </c>
    </row>
    <row r="133" ht="66" customHeight="1">
      <c r="A133" s="11" t="inlineStr">
        <is>
          <t>L3-MM-Lifecycle-009</t>
        </is>
      </c>
      <c r="B133" s="11" t="inlineStr">
        <is>
          <t>SR-02-08-01</t>
        </is>
      </c>
      <c r="C133" s="11" t="inlineStr">
        <is>
          <t>V2.2校准基线</t>
        </is>
      </c>
      <c r="D133" s="11" t="inlineStr">
        <is>
          <t>L3 传输管理层</t>
        </is>
      </c>
      <c r="E133" s="11" t="inlineStr">
        <is>
          <t>容量估算与生命周期</t>
        </is>
      </c>
      <c r="F133" s="11" t="inlineStr">
        <is>
          <t>P0</t>
        </is>
      </c>
      <c r="G133" s="11" t="inlineStr">
        <is>
          <t>P0</t>
        </is>
      </c>
      <c r="H133" s="11" t="inlineStr">
        <is>
          <t>KVCache 生命周期一致性管理｜L3-MM-Lifecycle-009</t>
        </is>
      </c>
      <c r="I133" s="11" t="inlineStr">
        <is>
          <t>节点动态加入/退出时的缓存失效控制在局部范围内（遵循一致性哈希比例）。</t>
        </is>
      </c>
      <c r="J133" s="11" t="inlineStr">
        <is>
          <t>SR23-02-08-01</t>
        </is>
      </c>
      <c r="K133" s="11" t="inlineStr">
        <is>
          <t>模型 KV 容量画像、水位与生命周期配置组件</t>
        </is>
      </c>
      <c r="L133" s="11" t="inlineStr">
        <is>
          <t>IR-02-08</t>
        </is>
      </c>
      <c r="M133" s="11" t="inlineStr">
        <is>
          <t>该来源作为“模型 KV 容量画像、水位与生命周期配置组件”功能闭包的内部需求、约束或验收输入；不再单独定义为 SR。</t>
        </is>
      </c>
      <c r="N133" s="11">
        <f>IF(COUNTIF($A$5:$A$153,A133)=1,"PASS","FAIL")</f>
        <v/>
      </c>
      <c r="O133" s="11">
        <f>IF(COUNTIF('SR系统设计'!$A$5:$A$42,J133)=1,"PASS","FAIL")</f>
        <v/>
      </c>
      <c r="P133" s="11" t="inlineStr">
        <is>
          <t>已纳入独立交付闭包</t>
        </is>
      </c>
    </row>
    <row r="134" ht="66" customHeight="1">
      <c r="A134" s="11" t="inlineStr">
        <is>
          <t>L1-MM-DefragAware-023</t>
        </is>
      </c>
      <c r="B134" s="11" t="inlineStr">
        <is>
          <t>SR-02-08-02</t>
        </is>
      </c>
      <c r="C134" s="11" t="inlineStr">
        <is>
          <t>V2.2校准基线</t>
        </is>
      </c>
      <c r="D134" s="11" t="inlineStr">
        <is>
          <t>L1 推理调度层</t>
        </is>
      </c>
      <c r="E134" s="11" t="inlineStr">
        <is>
          <t>容量估算与生命周期</t>
        </is>
      </c>
      <c r="F134" s="11" t="inlineStr">
        <is>
          <t>P1</t>
        </is>
      </c>
      <c r="G134" s="11" t="inlineStr">
        <is>
          <t>P1</t>
        </is>
      </c>
      <c r="H134" s="11" t="inlineStr">
        <is>
          <t>内存高碎片率推理不中断｜L1-MM-DefragAware-023</t>
        </is>
      </c>
      <c r="I134" s="11" t="inlineStr">
        <is>
          <t>内存碎片率控制在&lt;5%，平均并发处理能力（QPS）提升≥10%。</t>
        </is>
      </c>
      <c r="J134" s="11" t="inlineStr">
        <is>
          <t>SR23-02-08-01</t>
        </is>
      </c>
      <c r="K134" s="11" t="inlineStr">
        <is>
          <t>模型 KV 容量画像、水位与生命周期配置组件</t>
        </is>
      </c>
      <c r="L134" s="11" t="inlineStr">
        <is>
          <t>IR-02-08</t>
        </is>
      </c>
      <c r="M134" s="11" t="inlineStr">
        <is>
          <t>该来源作为“模型 KV 容量画像、水位与生命周期配置组件”功能闭包的内部需求、约束或验收输入；不再单独定义为 SR。</t>
        </is>
      </c>
      <c r="N134" s="11">
        <f>IF(COUNTIF($A$5:$A$153,A134)=1,"PASS","FAIL")</f>
        <v/>
      </c>
      <c r="O134" s="11">
        <f>IF(COUNTIF('SR系统设计'!$A$5:$A$42,J134)=1,"PASS","FAIL")</f>
        <v/>
      </c>
      <c r="P134" s="11" t="inlineStr">
        <is>
          <t>已纳入独立交付闭包</t>
        </is>
      </c>
    </row>
    <row r="135" ht="66" customHeight="1">
      <c r="A135" s="11" t="inlineStr">
        <is>
          <t>L1-MM-KVSizing-008</t>
        </is>
      </c>
      <c r="B135" s="11" t="inlineStr">
        <is>
          <t>SR-02-08-03</t>
        </is>
      </c>
      <c r="C135" s="11" t="inlineStr">
        <is>
          <t>V2.2校准基线</t>
        </is>
      </c>
      <c r="D135" s="11" t="inlineStr">
        <is>
          <t>L1 推理调度层</t>
        </is>
      </c>
      <c r="E135" s="11" t="inlineStr">
        <is>
          <t>容量估算与生命周期</t>
        </is>
      </c>
      <c r="F135" s="11" t="inlineStr">
        <is>
          <t>P1</t>
        </is>
      </c>
      <c r="G135" s="11" t="inlineStr">
        <is>
          <t>P1</t>
        </is>
      </c>
      <c r="H135" s="11" t="inlineStr">
        <is>
          <t>模型 KVCache 容量规格化｜L1-MM-KVSizing-008</t>
        </is>
      </c>
      <c r="I135" s="11" t="inlineStr">
        <is>
          <t>OOM/抢占（preemption） 次数降低 ≥50%；</t>
        </is>
      </c>
      <c r="J135" s="11" t="inlineStr">
        <is>
          <t>SR23-02-08-01</t>
        </is>
      </c>
      <c r="K135" s="11" t="inlineStr">
        <is>
          <t>模型 KV 容量画像、水位与生命周期配置组件</t>
        </is>
      </c>
      <c r="L135" s="11" t="inlineStr">
        <is>
          <t>IR-02-08</t>
        </is>
      </c>
      <c r="M135" s="11" t="inlineStr">
        <is>
          <t>该来源作为“模型 KV 容量画像、水位与生命周期配置组件”功能闭包的内部需求、约束或验收输入；不再单独定义为 SR。</t>
        </is>
      </c>
      <c r="N135" s="11">
        <f>IF(COUNTIF($A$5:$A$153,A135)=1,"PASS","FAIL")</f>
        <v/>
      </c>
      <c r="O135" s="11">
        <f>IF(COUNTIF('SR系统设计'!$A$5:$A$42,J135)=1,"PASS","FAIL")</f>
        <v/>
      </c>
      <c r="P135" s="11" t="inlineStr">
        <is>
          <t>已纳入独立交付闭包</t>
        </is>
      </c>
    </row>
    <row r="136" ht="66" customHeight="1">
      <c r="A136" s="11" t="inlineStr">
        <is>
          <t>L1-OL-ActiveWarmClass-010</t>
        </is>
      </c>
      <c r="B136" s="11" t="inlineStr">
        <is>
          <t>SR-02-09-01</t>
        </is>
      </c>
      <c r="C136" s="11" t="inlineStr">
        <is>
          <t>V2.2校准基线</t>
        </is>
      </c>
      <c r="D136" s="11" t="inlineStr">
        <is>
          <t>L1 推理调度层</t>
        </is>
      </c>
      <c r="E136" s="11" t="inlineStr">
        <is>
          <t>驻留策略与局部复用</t>
        </is>
      </c>
      <c r="F136" s="11" t="inlineStr">
        <is>
          <t>P1</t>
        </is>
      </c>
      <c r="G136" s="11" t="inlineStr">
        <is>
          <t>P1</t>
        </is>
      </c>
      <c r="H136" s="11" t="inlineStr">
        <is>
          <t>活跃 KV 与热 KV 分层驻留｜L1-OL-ActiveWarmClass-010</t>
        </is>
      </c>
      <c r="I136" s="11" t="inlineStr">
        <is>
          <t>TPOT 不回退；HBM effective capacity 提升 ≥20%；</t>
        </is>
      </c>
      <c r="J136" s="11" t="inlineStr">
        <is>
          <t>SR23-02-09-01</t>
        </is>
      </c>
      <c r="K136" s="11" t="inlineStr">
        <is>
          <t>活跃/热/冷 KV 分层驻留与部分复用策略</t>
        </is>
      </c>
      <c r="L136" s="11" t="inlineStr">
        <is>
          <t>IR-02-09</t>
        </is>
      </c>
      <c r="M136" s="11" t="inlineStr">
        <is>
          <t>该来源作为“活跃/热/冷 KV 分层驻留与部分复用策略”功能闭包的内部需求、约束或验收输入；不再单独定义为 SR。</t>
        </is>
      </c>
      <c r="N136" s="11">
        <f>IF(COUNTIF($A$5:$A$153,A136)=1,"PASS","FAIL")</f>
        <v/>
      </c>
      <c r="O136" s="11">
        <f>IF(COUNTIF('SR系统设计'!$A$5:$A$42,J136)=1,"PASS","FAIL")</f>
        <v/>
      </c>
      <c r="P136" s="11" t="inlineStr">
        <is>
          <t>已纳入独立交付闭包</t>
        </is>
      </c>
    </row>
    <row r="137" ht="66" customHeight="1">
      <c r="A137" s="11" t="inlineStr">
        <is>
          <t>L1-OL-PartialBoundary-012</t>
        </is>
      </c>
      <c r="B137" s="11" t="inlineStr">
        <is>
          <t>SR-02-09-02</t>
        </is>
      </c>
      <c r="C137" s="11" t="inlineStr">
        <is>
          <t>V2.2校准基线</t>
        </is>
      </c>
      <c r="D137" s="11" t="inlineStr">
        <is>
          <t>L1 推理调度层</t>
        </is>
      </c>
      <c r="E137" s="11" t="inlineStr">
        <is>
          <t>驻留策略与局部复用</t>
        </is>
      </c>
      <c r="F137" s="11" t="inlineStr">
        <is>
          <t>P2</t>
        </is>
      </c>
      <c r="G137" s="11" t="inlineStr">
        <is>
          <t>P2</t>
        </is>
      </c>
      <c r="H137" s="11" t="inlineStr">
        <is>
          <t>部分前缀命中复用｜L1-OL-PartialBoundary-012</t>
        </is>
      </c>
      <c r="I137" s="11" t="inlineStr">
        <is>
          <t>prefill FLOPs/request 降低 ≥15%；</t>
        </is>
      </c>
      <c r="J137" s="11" t="inlineStr">
        <is>
          <t>SR23-02-09-01</t>
        </is>
      </c>
      <c r="K137" s="11" t="inlineStr">
        <is>
          <t>活跃/热/冷 KV 分层驻留与部分复用策略</t>
        </is>
      </c>
      <c r="L137" s="11" t="inlineStr">
        <is>
          <t>IR-02-09</t>
        </is>
      </c>
      <c r="M137" s="11" t="inlineStr">
        <is>
          <t>该来源作为“活跃/热/冷 KV 分层驻留与部分复用策略”功能闭包的内部需求、约束或验收输入；不再单独定义为 SR。</t>
        </is>
      </c>
      <c r="N137" s="11">
        <f>IF(COUNTIF($A$5:$A$153,A137)=1,"PASS","FAIL")</f>
        <v/>
      </c>
      <c r="O137" s="11">
        <f>IF(COUNTIF('SR系统设计'!$A$5:$A$42,J137)=1,"PASS","FAIL")</f>
        <v/>
      </c>
      <c r="P137" s="11" t="inlineStr">
        <is>
          <t>已纳入独立交付闭包</t>
        </is>
      </c>
    </row>
    <row r="138" ht="66" customHeight="1">
      <c r="A138" s="11" t="inlineStr">
        <is>
          <t>L1-OL-ViewVsCopy-011</t>
        </is>
      </c>
      <c r="B138" s="11" t="inlineStr">
        <is>
          <t>SR-02-09-03</t>
        </is>
      </c>
      <c r="C138" s="11" t="inlineStr">
        <is>
          <t>V2.2校准基线</t>
        </is>
      </c>
      <c r="D138" s="11" t="inlineStr">
        <is>
          <t>L1 推理调度层</t>
        </is>
      </c>
      <c r="E138" s="11" t="inlineStr">
        <is>
          <t>驻留策略与局部复用</t>
        </is>
      </c>
      <c r="F138" s="11" t="inlineStr">
        <is>
          <t>P2</t>
        </is>
      </c>
      <c r="G138" s="11" t="inlineStr">
        <is>
          <t>P2</t>
        </is>
      </c>
      <c r="H138" s="11" t="inlineStr">
        <is>
          <t>热 KV 近端访问与 HBM 回填选择｜L1-OL-ViewVsCopy-011</t>
        </is>
      </c>
      <c r="I138" s="11" t="inlineStr">
        <is>
          <t>TTFT 不劣化，TPOT p99 回退 &lt;3%；</t>
        </is>
      </c>
      <c r="J138" s="11" t="inlineStr">
        <is>
          <t>SR23-02-09-01</t>
        </is>
      </c>
      <c r="K138" s="11" t="inlineStr">
        <is>
          <t>活跃/热/冷 KV 分层驻留与部分复用策略</t>
        </is>
      </c>
      <c r="L138" s="11" t="inlineStr">
        <is>
          <t>IR-02-09</t>
        </is>
      </c>
      <c r="M138" s="11" t="inlineStr">
        <is>
          <t>该来源作为“活跃/热/冷 KV 分层驻留与部分复用策略”功能闭包的内部需求、约束或验收输入；不再单独定义为 SR。</t>
        </is>
      </c>
      <c r="N138" s="11">
        <f>IF(COUNTIF($A$5:$A$153,A138)=1,"PASS","FAIL")</f>
        <v/>
      </c>
      <c r="O138" s="11">
        <f>IF(COUNTIF('SR系统设计'!$A$5:$A$42,J138)=1,"PASS","FAIL")</f>
        <v/>
      </c>
      <c r="P138" s="11" t="inlineStr">
        <is>
          <t>已纳入独立交付闭包</t>
        </is>
      </c>
    </row>
    <row r="139" ht="66" customHeight="1">
      <c r="A139" s="11" t="inlineStr">
        <is>
          <t>L1-SE-IntentAPI-014</t>
        </is>
      </c>
      <c r="B139" s="11" t="inlineStr">
        <is>
          <t>SR-02-10-01</t>
        </is>
      </c>
      <c r="C139" s="11" t="inlineStr">
        <is>
          <t>V2.2校准基线</t>
        </is>
      </c>
      <c r="D139" s="11" t="inlineStr">
        <is>
          <t>L1 推理调度层</t>
        </is>
      </c>
      <c r="E139" s="11" t="inlineStr">
        <is>
          <t>多卡协同与观测治理</t>
        </is>
      </c>
      <c r="F139" s="11" t="inlineStr">
        <is>
          <t>P0</t>
        </is>
      </c>
      <c r="G139" s="11" t="inlineStr">
        <is>
          <t>P0</t>
        </is>
      </c>
      <c r="H139" s="11" t="inlineStr">
        <is>
          <t>统一 KVCache 访问意图编排｜L1-SE-IntentAPI-014</t>
        </is>
      </c>
      <c r="I139" s="11" t="inlineStr">
        <is>
          <t>上层后端无关；新增后端无需改 调度器（Scheduler）；</t>
        </is>
      </c>
      <c r="J139" s="11" t="inlineStr">
        <is>
          <t>SR23-02-10-01</t>
        </is>
      </c>
      <c r="K139" s="11" t="inlineStr">
        <is>
          <t>多 并行秩（Rank） KV 一致消费与专家控制组件</t>
        </is>
      </c>
      <c r="L139" s="11" t="inlineStr">
        <is>
          <t>IR-02-10</t>
        </is>
      </c>
      <c r="M139" s="11" t="inlineStr">
        <is>
          <t>该来源作为“多 并行秩（Rank） KV 一致消费与专家控制组件”功能闭包的内部需求、约束或验收输入；不再单独定义为 SR。</t>
        </is>
      </c>
      <c r="N139" s="11">
        <f>IF(COUNTIF($A$5:$A$153,A139)=1,"PASS","FAIL")</f>
        <v/>
      </c>
      <c r="O139" s="11">
        <f>IF(COUNTIF('SR系统设计'!$A$5:$A$42,J139)=1,"PASS","FAIL")</f>
        <v/>
      </c>
      <c r="P139" s="11" t="inlineStr">
        <is>
          <t>已纳入独立交付闭包</t>
        </is>
      </c>
    </row>
    <row r="140" ht="66" customHeight="1">
      <c r="A140" s="11" t="inlineStr">
        <is>
          <t>L1-PD-RankConsensus-013</t>
        </is>
      </c>
      <c r="B140" s="11" t="inlineStr">
        <is>
          <t>SR-02-10-02</t>
        </is>
      </c>
      <c r="C140" s="11" t="inlineStr">
        <is>
          <t>V2.2校准基线</t>
        </is>
      </c>
      <c r="D140" s="11" t="inlineStr">
        <is>
          <t>L1 推理调度层</t>
        </is>
      </c>
      <c r="E140" s="11" t="inlineStr">
        <is>
          <t>多卡协同与观测治理</t>
        </is>
      </c>
      <c r="F140" s="11" t="inlineStr">
        <is>
          <t>P1</t>
        </is>
      </c>
      <c r="G140" s="11" t="inlineStr">
        <is>
          <t>P1</t>
        </is>
      </c>
      <c r="H140" s="11" t="inlineStr">
        <is>
          <t>多卡共享前缀一致复用｜L1-PD-RankConsensus-013</t>
        </is>
      </c>
      <c r="I140" s="11" t="inlineStr">
        <is>
          <t>正确性故障（correctness fault） = 0；并行秩等待（rank wait） p99 &lt;100us；</t>
        </is>
      </c>
      <c r="J140" s="11" t="inlineStr">
        <is>
          <t>SR23-02-10-01</t>
        </is>
      </c>
      <c r="K140" s="11" t="inlineStr">
        <is>
          <t>多 并行秩（Rank） KV 一致消费与专家控制组件</t>
        </is>
      </c>
      <c r="L140" s="11" t="inlineStr">
        <is>
          <t>IR-02-10</t>
        </is>
      </c>
      <c r="M140" s="11" t="inlineStr">
        <is>
          <t>该来源作为“多 并行秩（Rank） KV 一致消费与专家控制组件”功能闭包的内部需求、约束或验收输入；不再单独定义为 SR。</t>
        </is>
      </c>
      <c r="N140" s="11">
        <f>IF(COUNTIF($A$5:$A$153,A140)=1,"PASS","FAIL")</f>
        <v/>
      </c>
      <c r="O140" s="11">
        <f>IF(COUNTIF('SR系统设计'!$A$5:$A$42,J140)=1,"PASS","FAIL")</f>
        <v/>
      </c>
      <c r="P140" s="11" t="inlineStr">
        <is>
          <t>已纳入独立交付闭包</t>
        </is>
      </c>
    </row>
    <row r="141" ht="66" customHeight="1">
      <c r="A141" s="11" t="inlineStr">
        <is>
          <t>L1-SE-ExpertOverride-015</t>
        </is>
      </c>
      <c r="B141" s="11" t="inlineStr">
        <is>
          <t>SR-02-10-03</t>
        </is>
      </c>
      <c r="C141" s="11" t="inlineStr">
        <is>
          <t>V2.2校准基线</t>
        </is>
      </c>
      <c r="D141" s="11" t="inlineStr">
        <is>
          <t>L1 推理调度层</t>
        </is>
      </c>
      <c r="E141" s="11" t="inlineStr">
        <is>
          <t>多卡协同与观测治理</t>
        </is>
      </c>
      <c r="F141" s="11" t="inlineStr">
        <is>
          <t>P3</t>
        </is>
      </c>
      <c r="G141" s="11" t="inlineStr">
        <is>
          <t>P3</t>
        </is>
      </c>
      <c r="H141" s="11" t="inlineStr">
        <is>
          <t>专家级 KV 传输策略控制｜L1-SE-ExpertOverride-015</t>
        </is>
      </c>
      <c r="I141" s="11" t="inlineStr">
        <is>
          <t>path selection 可控；</t>
        </is>
      </c>
      <c r="J141" s="11" t="inlineStr">
        <is>
          <t>SR23-02-10-01</t>
        </is>
      </c>
      <c r="K141" s="11" t="inlineStr">
        <is>
          <t>多 并行秩（Rank） KV 一致消费与专家控制组件</t>
        </is>
      </c>
      <c r="L141" s="11" t="inlineStr">
        <is>
          <t>IR-02-10</t>
        </is>
      </c>
      <c r="M141" s="11" t="inlineStr">
        <is>
          <t>该来源作为“多 并行秩（Rank） KV 一致消费与专家控制组件”功能闭包的内部需求、约束或验收输入；不再单独定义为 SR。</t>
        </is>
      </c>
      <c r="N141" s="11">
        <f>IF(COUNTIF($A$5:$A$153,A141)=1,"PASS","FAIL")</f>
        <v/>
      </c>
      <c r="O141" s="11">
        <f>IF(COUNTIF('SR系统设计'!$A$5:$A$42,J141)=1,"PASS","FAIL")</f>
        <v/>
      </c>
      <c r="P141" s="11" t="inlineStr">
        <is>
          <t>已纳入独立交付闭包</t>
        </is>
      </c>
    </row>
    <row r="142" ht="66" customHeight="1">
      <c r="A142" s="11" t="inlineStr">
        <is>
          <t>L3-OB-PerPathTelemetry-047</t>
        </is>
      </c>
      <c r="B142" s="11" t="inlineStr">
        <is>
          <t>SR-02-11-01</t>
        </is>
      </c>
      <c r="C142" s="11" t="inlineStr">
        <is>
          <t>V2.2校准基线</t>
        </is>
      </c>
      <c r="D142" s="11" t="inlineStr">
        <is>
          <t>L3 传输管理层</t>
        </is>
      </c>
      <c r="E142" s="11" t="inlineStr">
        <is>
          <t>全路径观测与故障追踪</t>
        </is>
      </c>
      <c r="F142" s="11" t="inlineStr">
        <is>
          <t>P0</t>
        </is>
      </c>
      <c r="G142" s="11" t="inlineStr">
        <is>
          <t>P0</t>
        </is>
      </c>
      <c r="H142" s="11" t="inlineStr">
        <is>
          <t>KVCache 全路径性能观测｜L3-OB-PerPathTelemetry-047</t>
        </is>
      </c>
      <c r="I142" s="11" t="inlineStr">
        <is>
          <t>加载（load） cost 预测误差 &lt;20%；</t>
        </is>
      </c>
      <c r="J142" s="11" t="inlineStr">
        <is>
          <t>SR23-02-11-01</t>
        </is>
      </c>
      <c r="K142" s="11" t="inlineStr">
        <is>
          <t>KV 全路径 遥测数据（Telemetry） 与语义指标 SDK</t>
        </is>
      </c>
      <c r="L142" s="11" t="inlineStr">
        <is>
          <t>IR-02-11</t>
        </is>
      </c>
      <c r="M142" s="11" t="inlineStr">
        <is>
          <t>该来源作为“KV 全路径 遥测数据（Telemetry） 与语义指标 SDK”功能闭包的内部需求、约束或验收输入；不再单独定义为 SR。</t>
        </is>
      </c>
      <c r="N142" s="11">
        <f>IF(COUNTIF($A$5:$A$153,A142)=1,"PASS","FAIL")</f>
        <v/>
      </c>
      <c r="O142" s="11">
        <f>IF(COUNTIF('SR系统设计'!$A$5:$A$42,J142)=1,"PASS","FAIL")</f>
        <v/>
      </c>
      <c r="P142" s="11" t="inlineStr">
        <is>
          <t>已纳入独立交付闭包</t>
        </is>
      </c>
    </row>
    <row r="143" ht="66" customHeight="1">
      <c r="A143" s="11" t="inlineStr">
        <is>
          <t>L1-OB-SemanticMetrics-016</t>
        </is>
      </c>
      <c r="B143" s="11" t="inlineStr">
        <is>
          <t>SR-02-11-02</t>
        </is>
      </c>
      <c r="C143" s="11" t="inlineStr">
        <is>
          <t>V2.2校准基线</t>
        </is>
      </c>
      <c r="D143" s="11" t="inlineStr">
        <is>
          <t>L1 推理调度层</t>
        </is>
      </c>
      <c r="E143" s="11" t="inlineStr">
        <is>
          <t>多卡协同与观测治理</t>
        </is>
      </c>
      <c r="F143" s="11" t="inlineStr">
        <is>
          <t>P1</t>
        </is>
      </c>
      <c r="G143" s="11" t="inlineStr">
        <is>
          <t>P1</t>
        </is>
      </c>
      <c r="H143" s="11" t="inlineStr">
        <is>
          <t>KVCache 命中收益可观测｜L1-OB-SemanticMetrics-016</t>
        </is>
      </c>
      <c r="I143" s="11" t="inlineStr">
        <is>
          <t>指标覆盖率 受SLO约束的比例；</t>
        </is>
      </c>
      <c r="J143" s="11" t="inlineStr">
        <is>
          <t>SR23-02-11-01</t>
        </is>
      </c>
      <c r="K143" s="11" t="inlineStr">
        <is>
          <t>KV 全路径 遥测数据（Telemetry） 与语义指标 SDK</t>
        </is>
      </c>
      <c r="L143" s="11" t="inlineStr">
        <is>
          <t>IR-02-11</t>
        </is>
      </c>
      <c r="M143" s="11" t="inlineStr">
        <is>
          <t>该来源作为“KV 全路径 遥测数据（Telemetry） 与语义指标 SDK”功能闭包的内部需求、约束或验收输入；不再单独定义为 SR。</t>
        </is>
      </c>
      <c r="N143" s="11">
        <f>IF(COUNTIF($A$5:$A$153,A143)=1,"PASS","FAIL")</f>
        <v/>
      </c>
      <c r="O143" s="11">
        <f>IF(COUNTIF('SR系统设计'!$A$5:$A$42,J143)=1,"PASS","FAIL")</f>
        <v/>
      </c>
      <c r="P143" s="11" t="inlineStr">
        <is>
          <t>已纳入独立交付闭包</t>
        </is>
      </c>
    </row>
    <row r="144" ht="66" customHeight="1">
      <c r="A144" s="11" t="inlineStr">
        <is>
          <t>L2-OB-PathTrace-030</t>
        </is>
      </c>
      <c r="B144" s="11" t="inlineStr">
        <is>
          <t>SR-02-11-03</t>
        </is>
      </c>
      <c r="C144" s="11" t="inlineStr">
        <is>
          <t>V2.2校准基线</t>
        </is>
      </c>
      <c r="D144" s="11" t="inlineStr">
        <is>
          <t>L2 KV连接器（KVConnector）层</t>
        </is>
      </c>
      <c r="E144" s="11" t="inlineStr">
        <is>
          <t>共享访问与故障控制</t>
        </is>
      </c>
      <c r="F144" s="11" t="inlineStr">
        <is>
          <t>P1</t>
        </is>
      </c>
      <c r="G144" s="11" t="inlineStr">
        <is>
          <t>P1</t>
        </is>
      </c>
      <c r="H144" s="11" t="inlineStr">
        <is>
          <t>KVCache 传输路径可追踪运维｜L2-OB-PathTrace-030</t>
        </is>
      </c>
      <c r="I144" s="11" t="inlineStr">
        <is>
          <t>线上问题定位时间降低；</t>
        </is>
      </c>
      <c r="J144" s="11" t="inlineStr">
        <is>
          <t>SR23-02-11-02</t>
        </is>
      </c>
      <c r="K144" s="11" t="inlineStr">
        <is>
          <t>链路追踪、回退（Fallback） 分析与 KV检视工具（KVInspect） 工具</t>
        </is>
      </c>
      <c r="L144" s="11" t="inlineStr">
        <is>
          <t>IR-02-11</t>
        </is>
      </c>
      <c r="M144" s="11" t="inlineStr">
        <is>
          <t>该来源作为“链路追踪、回退（Fallback） 分析与 KV检视工具（KVInspect） 工具”功能闭包的内部需求、约束或验收输入；不再单独定义为 SR。</t>
        </is>
      </c>
      <c r="N144" s="11">
        <f>IF(COUNTIF($A$5:$A$153,A144)=1,"PASS","FAIL")</f>
        <v/>
      </c>
      <c r="O144" s="11">
        <f>IF(COUNTIF('SR系统设计'!$A$5:$A$42,J144)=1,"PASS","FAIL")</f>
        <v/>
      </c>
      <c r="P144" s="11" t="inlineStr">
        <is>
          <t>已纳入独立交付闭包</t>
        </is>
      </c>
    </row>
    <row r="145" ht="66" customHeight="1">
      <c r="A145" s="11" t="inlineStr">
        <is>
          <t>L3-FT-FallbackTrace-046</t>
        </is>
      </c>
      <c r="B145" s="11" t="inlineStr">
        <is>
          <t>SR-02-11-04</t>
        </is>
      </c>
      <c r="C145" s="11" t="inlineStr">
        <is>
          <t>V2.2校准基线</t>
        </is>
      </c>
      <c r="D145" s="11" t="inlineStr">
        <is>
          <t>L3 传输管理层</t>
        </is>
      </c>
      <c r="E145" s="11" t="inlineStr">
        <is>
          <t>全路径观测与故障追踪</t>
        </is>
      </c>
      <c r="F145" s="11" t="inlineStr">
        <is>
          <t>P1</t>
        </is>
      </c>
      <c r="G145" s="11" t="inlineStr">
        <is>
          <t>P1</t>
        </is>
      </c>
      <c r="H145" s="11" t="inlineStr">
        <is>
          <t>KVCache 降级链路故障追踪｜L3-FT-FallbackTrace-046</t>
        </is>
      </c>
      <c r="I145" s="11" t="inlineStr">
        <is>
          <t>建立统一降级追踪根因体系，MTTR降低至分钟级；同时要求探针常态开销不超过总体 P99 TPOT 的 1%。</t>
        </is>
      </c>
      <c r="J145" s="11" t="inlineStr">
        <is>
          <t>SR23-02-11-02</t>
        </is>
      </c>
      <c r="K145" s="11" t="inlineStr">
        <is>
          <t>链路追踪、回退（Fallback） 分析与 KV检视工具（KVInspect） 工具</t>
        </is>
      </c>
      <c r="L145" s="11" t="inlineStr">
        <is>
          <t>IR-02-11</t>
        </is>
      </c>
      <c r="M145" s="11" t="inlineStr">
        <is>
          <t>该来源作为“链路追踪、回退（Fallback） 分析与 KV检视工具（KVInspect） 工具”功能闭包的内部需求、约束或验收输入；不再单独定义为 SR。</t>
        </is>
      </c>
      <c r="N145" s="11">
        <f>IF(COUNTIF($A$5:$A$153,A145)=1,"PASS","FAIL")</f>
        <v/>
      </c>
      <c r="O145" s="11">
        <f>IF(COUNTIF('SR系统设计'!$A$5:$A$42,J145)=1,"PASS","FAIL")</f>
        <v/>
      </c>
      <c r="P145" s="11" t="inlineStr">
        <is>
          <t>已纳入独立交付闭包</t>
        </is>
      </c>
    </row>
    <row r="146" ht="66" customHeight="1">
      <c r="A146" s="11" t="inlineStr">
        <is>
          <t>L3-OB-KVStateTrace-083</t>
        </is>
      </c>
      <c r="B146" s="11" t="inlineStr">
        <is>
          <t>SR-02-11-05</t>
        </is>
      </c>
      <c r="C146" s="11" t="inlineStr">
        <is>
          <t>V2.2校准基线</t>
        </is>
      </c>
      <c r="D146" s="11" t="inlineStr">
        <is>
          <t>L3 传输管理层</t>
        </is>
      </c>
      <c r="E146" s="11" t="inlineStr">
        <is>
          <t>全路径观测与故障追踪</t>
        </is>
      </c>
      <c r="F146" s="11" t="inlineStr">
        <is>
          <t>P1</t>
        </is>
      </c>
      <c r="G146" s="11" t="inlineStr">
        <is>
          <t>P1</t>
        </is>
      </c>
      <c r="H146" s="11" t="inlineStr">
        <is>
          <t>KV 状态迁移可追踪｜L3-OB-KVStateTrace-083</t>
        </is>
      </c>
      <c r="I146" s="11" t="inlineStr">
        <is>
          <t>节点动态加入/退出时的缓存失效控制在局部范围内（遵循一致性哈希比例）。</t>
        </is>
      </c>
      <c r="J146" s="11" t="inlineStr">
        <is>
          <t>SR23-02-11-02</t>
        </is>
      </c>
      <c r="K146" s="11" t="inlineStr">
        <is>
          <t>链路追踪、回退（Fallback） 分析与 KV检视工具（KVInspect） 工具</t>
        </is>
      </c>
      <c r="L146" s="11" t="inlineStr">
        <is>
          <t>IR-02-11</t>
        </is>
      </c>
      <c r="M146" s="11" t="inlineStr">
        <is>
          <t>该来源作为“链路追踪、回退（Fallback） 分析与 KV检视工具（KVInspect） 工具”功能闭包的内部需求、约束或验收输入；不再单独定义为 SR。</t>
        </is>
      </c>
      <c r="N146" s="11">
        <f>IF(COUNTIF($A$5:$A$153,A146)=1,"PASS","FAIL")</f>
        <v/>
      </c>
      <c r="O146" s="11">
        <f>IF(COUNTIF('SR系统设计'!$A$5:$A$42,J146)=1,"PASS","FAIL")</f>
        <v/>
      </c>
      <c r="P146" s="11" t="inlineStr">
        <is>
          <t>已纳入独立交付闭包</t>
        </is>
      </c>
    </row>
    <row r="147" ht="66" customHeight="1">
      <c r="A147" s="11" t="inlineStr">
        <is>
          <t>L4-OB-RemoteAccessCounter-057</t>
        </is>
      </c>
      <c r="B147" s="11" t="inlineStr">
        <is>
          <t>SR-02-11-06</t>
        </is>
      </c>
      <c r="C147" s="11" t="inlineStr">
        <is>
          <t>V2.2校准基线</t>
        </is>
      </c>
      <c r="D147" s="11" t="inlineStr">
        <is>
          <t>L4 底层传输层</t>
        </is>
      </c>
      <c r="E147" s="11" t="inlineStr">
        <is>
          <t>一致性、安全与可靠性</t>
        </is>
      </c>
      <c r="F147" s="11" t="inlineStr">
        <is>
          <t>P1</t>
        </is>
      </c>
      <c r="G147" s="11" t="inlineStr">
        <is>
          <t>P1</t>
        </is>
      </c>
      <c r="H147" s="11" t="inlineStr">
        <is>
          <t>近端共享内存 KV 访问性能观测｜L4-OB-RemoteAccessCounter-057</t>
        </is>
      </c>
      <c r="I147" s="11" t="inlineStr">
        <is>
          <t>view-vs-copy 决策准确率 ≥90%；</t>
        </is>
      </c>
      <c r="J147" s="11" t="inlineStr">
        <is>
          <t>SR23-02-11-01</t>
        </is>
      </c>
      <c r="K147" s="11" t="inlineStr">
        <is>
          <t>KV 全路径 遥测数据（Telemetry） 与语义指标 SDK</t>
        </is>
      </c>
      <c r="L147" s="11" t="inlineStr">
        <is>
          <t>IR-02-11</t>
        </is>
      </c>
      <c r="M147" s="11" t="inlineStr">
        <is>
          <t>该来源作为“KV 全路径 遥测数据（Telemetry） 与语义指标 SDK”功能闭包的内部需求、约束或验收输入；不再单独定义为 SR。</t>
        </is>
      </c>
      <c r="N147" s="11">
        <f>IF(COUNTIF($A$5:$A$153,A147)=1,"PASS","FAIL")</f>
        <v/>
      </c>
      <c r="O147" s="11">
        <f>IF(COUNTIF('SR系统设计'!$A$5:$A$42,J147)=1,"PASS","FAIL")</f>
        <v/>
      </c>
      <c r="P147" s="11" t="inlineStr">
        <is>
          <t>已纳入独立交付闭包</t>
        </is>
      </c>
    </row>
    <row r="148" ht="66" customHeight="1">
      <c r="A148" s="11" t="inlineStr">
        <is>
          <t>L3-CTRL-KVInspectAPI-084</t>
        </is>
      </c>
      <c r="B148" s="11" t="inlineStr">
        <is>
          <t>SR-02-11-07</t>
        </is>
      </c>
      <c r="C148" s="11" t="inlineStr">
        <is>
          <t>V2.2校准基线</t>
        </is>
      </c>
      <c r="D148" s="11" t="inlineStr">
        <is>
          <t>L3 传输管理层</t>
        </is>
      </c>
      <c r="E148" s="11" t="inlineStr">
        <is>
          <t>全路径观测与故障追踪</t>
        </is>
      </c>
      <c r="F148" s="11" t="inlineStr">
        <is>
          <t>P2</t>
        </is>
      </c>
      <c r="G148" s="11" t="inlineStr">
        <is>
          <t>P2</t>
        </is>
      </c>
      <c r="H148" s="11" t="inlineStr">
        <is>
          <t>统一 KV 内存池运维排障｜L3-CTRL-KVInspectAPI-084</t>
        </is>
      </c>
      <c r="I148" s="11" t="inlineStr">
        <is>
          <t>前缀（Prefix）命中判定P99耗时 &lt; 200us；在共享前缀（Share-Prefix）业务下，可用命中率（Usable Hit Rate）提升≥15%。</t>
        </is>
      </c>
      <c r="J148" s="11" t="inlineStr">
        <is>
          <t>SR23-02-11-02</t>
        </is>
      </c>
      <c r="K148" s="11" t="inlineStr">
        <is>
          <t>链路追踪、回退（Fallback） 分析与 KV检视工具（KVInspect） 工具</t>
        </is>
      </c>
      <c r="L148" s="11" t="inlineStr">
        <is>
          <t>IR-02-11</t>
        </is>
      </c>
      <c r="M148" s="11" t="inlineStr">
        <is>
          <t>该来源作为“链路追踪、回退（Fallback） 分析与 KV检视工具（KVInspect） 工具”功能闭包的内部需求、约束或验收输入；不再单独定义为 SR。</t>
        </is>
      </c>
      <c r="N148" s="11">
        <f>IF(COUNTIF($A$5:$A$153,A148)=1,"PASS","FAIL")</f>
        <v/>
      </c>
      <c r="O148" s="11">
        <f>IF(COUNTIF('SR系统设计'!$A$5:$A$42,J148)=1,"PASS","FAIL")</f>
        <v/>
      </c>
      <c r="P148" s="11" t="inlineStr">
        <is>
          <t>已纳入独立交付闭包</t>
        </is>
      </c>
    </row>
    <row r="149" ht="66" customHeight="1">
      <c r="A149" s="11" t="inlineStr">
        <is>
          <t>SE-MONITOR-001</t>
        </is>
      </c>
      <c r="B149" s="11" t="inlineStr">
        <is>
          <t>SR-02-12-01</t>
        </is>
      </c>
      <c r="C149" s="11" t="inlineStr">
        <is>
          <t>V2.2工程建议</t>
        </is>
      </c>
      <c r="D149" s="11" t="inlineStr">
        <is>
          <t>SE 工程保障</t>
        </is>
      </c>
      <c r="E149" s="11" t="inlineStr">
        <is>
          <t>工程质量与交付工具链</t>
        </is>
      </c>
      <c r="F149" s="11" t="inlineStr">
        <is>
          <t>P1</t>
        </is>
      </c>
      <c r="G149" s="11" t="inlineStr">
        <is>
          <t>阶段2前完成核心路径无锁打点及监控展示。</t>
        </is>
      </c>
      <c r="H149" s="11" t="inlineStr">
        <is>
          <t>线上业务巡检，性能瓶颈快速排查，智能调度决策的数据支撑。｜SE-MONITOR-001</t>
        </is>
      </c>
      <c r="I149" s="11" t="inlineStr">
        <is>
          <t>大盘指标采集刷新延迟 &lt; 5s，对主业务端到端性能损耗影响 &lt; 1%。</t>
        </is>
      </c>
      <c r="J149" s="11" t="inlineStr">
        <is>
          <t>SR23-02-12-01</t>
        </is>
      </c>
      <c r="K149" s="11" t="inlineStr">
        <is>
          <t>KVCache 性能监控与告警交付包</t>
        </is>
      </c>
      <c r="L149" s="11" t="inlineStr">
        <is>
          <t>IR-02-12</t>
        </is>
      </c>
      <c r="M149" s="11" t="inlineStr">
        <is>
          <t>该来源作为“KVCache 性能监控与告警交付包”功能闭包的内部需求、约束或验收输入；不再单独定义为 SR。</t>
        </is>
      </c>
      <c r="N149" s="11">
        <f>IF(COUNTIF($A$5:$A$153,A149)=1,"PASS","FAIL")</f>
        <v/>
      </c>
      <c r="O149" s="11">
        <f>IF(COUNTIF('SR系统设计'!$A$5:$A$42,J149)=1,"PASS","FAIL")</f>
        <v/>
      </c>
      <c r="P149" s="11" t="inlineStr">
        <is>
          <t>已纳入独立交付闭包</t>
        </is>
      </c>
    </row>
    <row r="150" ht="66" customHeight="1">
      <c r="A150" s="11" t="inlineStr">
        <is>
          <t>SE-TEST-001</t>
        </is>
      </c>
      <c r="B150" s="11" t="inlineStr">
        <is>
          <t>SR-02-12-02</t>
        </is>
      </c>
      <c r="C150" s="11" t="inlineStr">
        <is>
          <t>V2.2工程建议</t>
        </is>
      </c>
      <c r="D150" s="11" t="inlineStr">
        <is>
          <t>SE 工程保障</t>
        </is>
      </c>
      <c r="E150" s="11" t="inlineStr">
        <is>
          <t>工程质量与交付工具链</t>
        </is>
      </c>
      <c r="F150" s="11" t="inlineStr">
        <is>
          <t>P1</t>
        </is>
      </c>
      <c r="G150" s="11" t="inlineStr">
        <is>
          <t>里程碑1前完成基础框架并全量接入核心模块。</t>
        </is>
      </c>
      <c r="H150" s="11" t="inlineStr">
        <is>
          <t>快速迭代中的逻辑回归验证，接口兼容性验证。｜SE-TEST-001</t>
        </is>
      </c>
      <c r="I150" s="11" t="inlineStr">
        <is>
          <t>核心模块(L1-L4)单元测试覆盖率 &gt; 85%，核心接口自动化通过率 100%。</t>
        </is>
      </c>
      <c r="J150" s="11" t="inlineStr">
        <is>
          <t>SR23-02-12-02</t>
        </is>
      </c>
      <c r="K150" s="11" t="inlineStr">
        <is>
          <t>核心组件单元/API 测试与硬件 Mock 框架</t>
        </is>
      </c>
      <c r="L150" s="11" t="inlineStr">
        <is>
          <t>IR-02-12</t>
        </is>
      </c>
      <c r="M150" s="11" t="inlineStr">
        <is>
          <t>该来源作为“核心组件单元/API 测试与硬件 Mock 框架”功能闭包的内部需求、约束或验收输入；不再单独定义为 SR。</t>
        </is>
      </c>
      <c r="N150" s="11">
        <f>IF(COUNTIF($A$5:$A$153,A150)=1,"PASS","FAIL")</f>
        <v/>
      </c>
      <c r="O150" s="11">
        <f>IF(COUNTIF('SR系统设计'!$A$5:$A$42,J150)=1,"PASS","FAIL")</f>
        <v/>
      </c>
      <c r="P150" s="11" t="inlineStr">
        <is>
          <t>已纳入独立交付闭包</t>
        </is>
      </c>
    </row>
    <row r="151" ht="66" customHeight="1">
      <c r="A151" s="11" t="inlineStr">
        <is>
          <t>SE-TEST-002</t>
        </is>
      </c>
      <c r="B151" s="11" t="inlineStr">
        <is>
          <t>SR-02-12-03</t>
        </is>
      </c>
      <c r="C151" s="11" t="inlineStr">
        <is>
          <t>V2.2工程建议</t>
        </is>
      </c>
      <c r="D151" s="11" t="inlineStr">
        <is>
          <t>SE 工程保障</t>
        </is>
      </c>
      <c r="E151" s="11" t="inlineStr">
        <is>
          <t>工程质量与交付工具链</t>
        </is>
      </c>
      <c r="F151" s="11" t="inlineStr">
        <is>
          <t>P1</t>
        </is>
      </c>
      <c r="G151" s="11" t="inlineStr">
        <is>
          <t>里程碑2前完成混沌工程与长稳环境搭建。</t>
        </is>
      </c>
      <c r="H151" s="11" t="inlineStr">
        <is>
          <t>发版前的系统级验证，多设备协同场景以及高可用容灾演练。｜SE-TEST-002</t>
        </is>
      </c>
      <c r="I151" s="11" t="inlineStr">
        <is>
          <t>能够在一键脚本下完成所有硬件介质连通性验证。具备长稳运行(Soak Test)和故障容灾能力。</t>
        </is>
      </c>
      <c r="J151" s="11" t="inlineStr">
        <is>
          <t>SR23-02-12-03</t>
        </is>
      </c>
      <c r="K151" s="11" t="inlineStr">
        <is>
          <t>异构介质 E2E、长稳与混沌测试平台</t>
        </is>
      </c>
      <c r="L151" s="11" t="inlineStr">
        <is>
          <t>IR-02-12</t>
        </is>
      </c>
      <c r="M151" s="11" t="inlineStr">
        <is>
          <t>该来源作为“异构介质 E2E、长稳与混沌测试平台”功能闭包的内部需求、约束或验收输入；不再单独定义为 SR。</t>
        </is>
      </c>
      <c r="N151" s="11">
        <f>IF(COUNTIF($A$5:$A$153,A151)=1,"PASS","FAIL")</f>
        <v/>
      </c>
      <c r="O151" s="11">
        <f>IF(COUNTIF('SR系统设计'!$A$5:$A$42,J151)=1,"PASS","FAIL")</f>
        <v/>
      </c>
      <c r="P151" s="11" t="inlineStr">
        <is>
          <t>已纳入独立交付闭包</t>
        </is>
      </c>
    </row>
    <row r="152" ht="66" customHeight="1">
      <c r="A152" s="11" t="inlineStr">
        <is>
          <t>SE-CICD-001</t>
        </is>
      </c>
      <c r="B152" s="11" t="inlineStr">
        <is>
          <t>SR-02-12-04</t>
        </is>
      </c>
      <c r="C152" s="11" t="inlineStr">
        <is>
          <t>V2.2工程建议</t>
        </is>
      </c>
      <c r="D152" s="11" t="inlineStr">
        <is>
          <t>SE 工程保障</t>
        </is>
      </c>
      <c r="E152" s="11" t="inlineStr">
        <is>
          <t>工程质量与交付工具链</t>
        </is>
      </c>
      <c r="F152" s="11" t="inlineStr">
        <is>
          <t>P2</t>
        </is>
      </c>
      <c r="G152" s="11" t="inlineStr">
        <is>
          <t>里程碑1前跑通主干代码流水线；里程碑2前完成全自动化发版。</t>
        </is>
      </c>
      <c r="H152" s="11" t="inlineStr">
        <is>
          <t>多人协同敏捷开发，高质量拦截代码坏味道，线上业务平滑且无感知的版本迭代。｜SE-CICD-001</t>
        </is>
      </c>
      <c r="I152" s="11" t="inlineStr">
        <is>
          <t>代码合并前拦截100%规范类与基础逻辑报错；灰度发布过程支持随时熔断与分钟级回滚。</t>
        </is>
      </c>
      <c r="J152" s="11" t="inlineStr">
        <is>
          <t>SR23-02-12-04</t>
        </is>
      </c>
      <c r="K152" s="11" t="inlineStr">
        <is>
          <t>跨平台构建、制品与灰度发布流水线</t>
        </is>
      </c>
      <c r="L152" s="11" t="inlineStr">
        <is>
          <t>IR-02-12</t>
        </is>
      </c>
      <c r="M152" s="11" t="inlineStr">
        <is>
          <t>该来源作为“跨平台构建、制品与灰度发布流水线”功能闭包的内部需求、约束或验收输入；不再单独定义为 SR。</t>
        </is>
      </c>
      <c r="N152" s="11">
        <f>IF(COUNTIF($A$5:$A$153,A152)=1,"PASS","FAIL")</f>
        <v/>
      </c>
      <c r="O152" s="11">
        <f>IF(COUNTIF('SR系统设计'!$A$5:$A$42,J152)=1,"PASS","FAIL")</f>
        <v/>
      </c>
      <c r="P152" s="11" t="inlineStr">
        <is>
          <t>已纳入独立交付闭包</t>
        </is>
      </c>
    </row>
    <row r="153" ht="66" customHeight="1">
      <c r="A153" s="11" t="inlineStr">
        <is>
          <t>SE-PERF-001</t>
        </is>
      </c>
      <c r="B153" s="11" t="inlineStr">
        <is>
          <t>SR-02-12-05</t>
        </is>
      </c>
      <c r="C153" s="11" t="inlineStr">
        <is>
          <t>V2.2工程建议</t>
        </is>
      </c>
      <c r="D153" s="11" t="inlineStr">
        <is>
          <t>SE 工程保障</t>
        </is>
      </c>
      <c r="E153" s="11" t="inlineStr">
        <is>
          <t>工程质量与交付工具链</t>
        </is>
      </c>
      <c r="F153" s="11" t="inlineStr">
        <is>
          <t>P2</t>
        </is>
      </c>
      <c r="G153" s="11" t="inlineStr">
        <is>
          <t>阶段3前完成压测工具链，服务于Release发版。</t>
        </is>
      </c>
      <c r="H153" s="11" t="inlineStr">
        <is>
          <t>技术架构选型验证、大版本发布前的性能压测、线上环境极限容量评估。｜SE-PERF-001</t>
        </is>
      </c>
      <c r="I153" s="11" t="inlineStr">
        <is>
          <t>能模拟 10W+ QPS 请求量，并精准重放(Replay)线上真实的业务流量长度与到达率分布。</t>
        </is>
      </c>
      <c r="J153" s="11" t="inlineStr">
        <is>
          <t>SR23-02-12-05</t>
        </is>
      </c>
      <c r="K153" s="11" t="inlineStr">
        <is>
          <t>KVCache 工作负载回放与性能基准平台</t>
        </is>
      </c>
      <c r="L153" s="11" t="inlineStr">
        <is>
          <t>IR-02-12</t>
        </is>
      </c>
      <c r="M153" s="11" t="inlineStr">
        <is>
          <t>该来源作为“KVCache 工作负载回放与性能基准平台”功能闭包的内部需求、约束或验收输入；不再单独定义为 SR。</t>
        </is>
      </c>
      <c r="N153" s="11">
        <f>IF(COUNTIF($A$5:$A$153,A153)=1,"PASS","FAIL")</f>
        <v/>
      </c>
      <c r="O153" s="11">
        <f>IF(COUNTIF('SR系统设计'!$A$5:$A$42,J153)=1,"PASS","FAIL")</f>
        <v/>
      </c>
      <c r="P153" s="11" t="inlineStr">
        <is>
          <t>已纳入独立交付闭包</t>
        </is>
      </c>
    </row>
  </sheetData>
  <mergeCells count="2">
    <mergeCell ref="A1:P1"/>
    <mergeCell ref="A2:P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selection activeCell="A1" sqref="A1"/>
    </sheetView>
  </sheetViews>
  <sheetFormatPr baseColWidth="8" defaultRowHeight="13.80000019073486"/>
  <cols>
    <col width="20" customWidth="1" min="1" max="1"/>
    <col width="30" customWidth="1" min="2" max="2"/>
    <col width="42" customWidth="1" min="3" max="3"/>
    <col width="18" customWidth="1" min="4" max="4"/>
    <col width="48" customWidth="1" min="5" max="5"/>
    <col width="16" customWidth="1" min="6" max="6"/>
    <col width="40" customWidth="1" min="7" max="7"/>
    <col width="44" customWidth="1" min="8" max="8"/>
    <col width="12" customWidth="1" min="9" max="9"/>
  </cols>
  <sheetData>
    <row r="1" ht="28.04999923706055" customHeight="1">
      <c r="A1" s="26" t="inlineStr">
        <is>
          <t>SR 交付依赖矩阵</t>
        </is>
      </c>
    </row>
    <row r="2" ht="42" customHeight="1">
      <c r="A2" s="17" t="inlineStr">
        <is>
          <t>依赖不等于不能独立交付。每条 SR 必须给出可替代真实依赖的最小兼容基线/桩件，并明确发布、关闭和回滚边界。</t>
        </is>
      </c>
    </row>
    <row r="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</row>
    <row r="4" ht="34.04999923706055" customHeight="1">
      <c r="A4" s="12" t="inlineStr">
        <is>
          <t>SR ID</t>
        </is>
      </c>
      <c r="B4" s="12" t="inlineStr">
        <is>
          <t>SR 名称</t>
        </is>
      </c>
      <c r="C4" s="12" t="inlineStr">
        <is>
          <t>前置/集成 SR</t>
        </is>
      </c>
      <c r="D4" s="12" t="inlineStr">
        <is>
          <t>依赖性质</t>
        </is>
      </c>
      <c r="E4" s="12" t="inlineStr">
        <is>
          <t>最小独立验收基线/桩件</t>
        </is>
      </c>
      <c r="F4" s="12" t="inlineStr">
        <is>
          <t>是否阻断独立交付</t>
        </is>
      </c>
      <c r="G4" s="12" t="inlineStr">
        <is>
          <t>独立交付方式</t>
        </is>
      </c>
      <c r="H4" s="12" t="inlineStr">
        <is>
          <t>发布/回滚边界</t>
        </is>
      </c>
      <c r="I4" s="12" t="inlineStr">
        <is>
          <t>依赖检查</t>
        </is>
      </c>
    </row>
    <row r="5" ht="78" customHeight="1">
      <c r="A5" s="11" t="inlineStr">
        <is>
          <t>SR23-01-01-01</t>
        </is>
      </c>
      <c r="B5" s="11" t="inlineStr">
        <is>
          <t>统一 KV 对象池核心组件</t>
        </is>
      </c>
      <c r="C5" s="11" t="inlineStr">
        <is>
          <t>SR23-01-09-01</t>
        </is>
      </c>
      <c r="D5" s="11" t="inlineStr">
        <is>
          <t>接口/运行集成依赖</t>
        </is>
      </c>
      <c r="E5" s="11" t="inlineStr">
        <is>
          <t>能力提供器（Capability Provider） v1 契约或 模拟后端（MockBackend）；不要求真实 RDMA/SSD</t>
        </is>
      </c>
      <c r="F5" s="11" t="inlineStr">
        <is>
          <t>否</t>
        </is>
      </c>
      <c r="G5" s="11" t="inlineStr">
        <is>
          <t>kv-pool-core 静态/动态库、KV对象（KVObject）/存储区段清单（ExtentManifest） 数据模型及版本化 API 包</t>
        </is>
      </c>
      <c r="H5" s="11" t="inlineStr">
        <is>
          <t>后端能力缺失时使用 模拟后端（MockBackend）/主机内存后端（HostMemoryBackend）；分配失败显式返回 OOM/UNSUPPORTED，不隐式跨层搬运</t>
        </is>
      </c>
      <c r="I5" s="11">
        <f>IF(AND(E5&lt;&gt;"",F5="否",G5&lt;&gt;"",H5&lt;&gt;""),"PASS","REVIEW")</f>
        <v/>
      </c>
    </row>
    <row r="6" ht="78" customHeight="1">
      <c r="A6" s="11" t="inlineStr">
        <is>
          <t>SR23-01-01-02</t>
        </is>
      </c>
      <c r="B6" s="11" t="inlineStr">
        <is>
          <t>HBM↔SSD 分层容量与 DDR 角色插件</t>
        </is>
      </c>
      <c r="C6" s="11" t="inlineStr">
        <is>
          <t>SR23-01-01-01、SR23-01-08-01</t>
        </is>
      </c>
      <c r="D6" s="11" t="inlineStr">
        <is>
          <t>接口/运行集成依赖</t>
        </is>
      </c>
      <c r="E6" s="11" t="inlineStr">
        <is>
          <t>POOL_CORE 与 SSD_BACKEND 的接口桩；固定模型容量画像</t>
        </is>
      </c>
      <c r="F6" s="11" t="inlineStr">
        <is>
          <t>否</t>
        </is>
      </c>
      <c r="G6" s="11" t="inlineStr">
        <is>
          <t>tier-capacity-policy 插件、双水位配置、DDR 角色策略（RolePolicy） 和容量收益报告</t>
        </is>
      </c>
      <c r="H6" s="11" t="inlineStr">
        <is>
          <t>DDR 无持续正收益时退出 有效载荷（Payload） 主路径；复杂策略不优于基线时回退双水位+hysteresis</t>
        </is>
      </c>
      <c r="I6" s="11">
        <f>IF(AND(E6&lt;&gt;"",F6="否",G6&lt;&gt;"",H6&lt;&gt;""),"PASS","REVIEW")</f>
        <v/>
      </c>
    </row>
    <row r="7" ht="78" customHeight="1">
      <c r="A7" s="11" t="inlineStr">
        <is>
          <t>SR23-01-01-03</t>
        </is>
      </c>
      <c r="B7" s="11" t="inlineStr">
        <is>
          <t>KV 生命周期、迁移与空间治理控制器</t>
        </is>
      </c>
      <c r="C7" s="11" t="inlineStr">
        <is>
          <t>SR23-01-01-01、SR23-01-11-01</t>
        </is>
      </c>
      <c r="D7" s="11" t="inlineStr">
        <is>
          <t>接口/运行集成依赖</t>
        </is>
      </c>
      <c r="E7" s="11" t="inlineStr">
        <is>
          <t>POOL_CORE、CONSISTENCY_SERVICE 与 MockMover</t>
        </is>
      </c>
      <c r="F7" s="11" t="inlineStr">
        <is>
          <t>否</t>
        </is>
      </c>
      <c r="G7" s="11" t="inlineStr">
        <is>
          <t>lifecycle-controller 库、迁移/压紧/淘汰状态机、管理 CLI 与回滚日志</t>
        </is>
      </c>
      <c r="H7" s="11" t="inlineStr">
        <is>
          <t>迁移失败回滚旧 放置位置（Placement）；高负载时暂停后台治理；硬件 重映射（remap） 不可用时使用 RCU/copy-on-migrate</t>
        </is>
      </c>
      <c r="I7" s="11">
        <f>IF(AND(E7&lt;&gt;"",F7="否",G7&lt;&gt;"",H7&lt;&gt;""),"PASS","REVIEW")</f>
        <v/>
      </c>
    </row>
    <row r="8" ht="78" customHeight="1">
      <c r="A8" s="11" t="inlineStr">
        <is>
          <t>SR23-01-02-01</t>
        </is>
      </c>
      <c r="B8" s="11" t="inlineStr">
        <is>
          <t>跨框架布局与批量传输描述编译器</t>
        </is>
      </c>
      <c r="C8" s="11" t="inlineStr">
        <is>
          <t>SR23-01-01-01、SR23-01-09-01</t>
        </is>
      </c>
      <c r="D8" s="11" t="inlineStr">
        <is>
          <t>接口/运行集成依赖</t>
        </is>
      </c>
      <c r="E8" s="11" t="inlineStr">
        <is>
          <t>POOL_CORE、CAP_ROUTER 契约或 测试夹具（fixture）</t>
        </is>
      </c>
      <c r="F8" s="11" t="inlineStr">
        <is>
          <t>否</t>
        </is>
      </c>
      <c r="G8" s="11" t="inlineStr">
        <is>
          <t>descriptor-compiler 库、vLLM/SGLang 布局（layout） 适配器（adapter）、黄金布局用例（golden layout cases）</t>
        </is>
      </c>
      <c r="H8" s="11" t="inlineStr">
        <is>
          <t>布局不兼容时返回显式 转换（transform） 或 RECOMPUTE；禁止隐式错误 附加（attach）</t>
        </is>
      </c>
      <c r="I8" s="11">
        <f>IF(AND(E8&lt;&gt;"",F8="否",G8&lt;&gt;"",H8&lt;&gt;""),"PASS","REVIEW")</f>
        <v/>
      </c>
    </row>
    <row r="9" ht="78" customHeight="1">
      <c r="A9" s="11" t="inlineStr">
        <is>
          <t>SR23-01-03-01</t>
        </is>
      </c>
      <c r="B9" s="11" t="inlineStr">
        <is>
          <t>查询计划（QueryPlan） 与多副本成本决策引擎</t>
        </is>
      </c>
      <c r="C9" s="11" t="inlineStr">
        <is>
          <t>SR23-01-05-01、SR23-02-05-02</t>
        </is>
      </c>
      <c r="D9" s="11" t="inlineStr">
        <is>
          <t>接口/运行集成依赖</t>
        </is>
      </c>
      <c r="E9" s="11" t="inlineStr">
        <is>
          <t>PATH_ROUTER、DIRECTORY_FASTPATH 接口桩和固定 工作负载（workload）</t>
        </is>
      </c>
      <c r="F9" s="11" t="inlineStr">
        <is>
          <t>否</t>
        </is>
      </c>
      <c r="G9" s="11" t="inlineStr">
        <is>
          <t>queryplan-engine 库、策略引擎（PolicyEngine）/放置解析器（PlacementResolver）、影子/标准判定（shadow/oracle） 对账工具</t>
        </is>
      </c>
      <c r="H9" s="11" t="inlineStr">
        <is>
          <t>成本估计不可信或超预算时选择本地副本/部分重算（partial recompute）/重算（recompute）</t>
        </is>
      </c>
      <c r="I9" s="11">
        <f>IF(AND(E9&lt;&gt;"",F9="否",G9&lt;&gt;"",H9&lt;&gt;""),"PASS","REVIEW")</f>
        <v/>
      </c>
    </row>
    <row r="10" ht="78" customHeight="1">
      <c r="A10" s="11" t="inlineStr">
        <is>
          <t>SR23-01-03-02</t>
        </is>
      </c>
      <c r="B10" s="11" t="inlineStr">
        <is>
          <t>统一传输意图与粒度分发组件</t>
        </is>
      </c>
      <c r="C10" s="11" t="inlineStr">
        <is>
          <t>SR23-02-01-01、SR23-01-09-01</t>
        </is>
      </c>
      <c r="D10" s="11" t="inlineStr">
        <is>
          <t>接口/运行集成依赖</t>
        </is>
      </c>
      <c r="E10" s="11" t="inlineStr">
        <is>
          <t>CONNECTOR_PROTOCOL 与 CAP_ROUTER 契约</t>
        </is>
      </c>
      <c r="F10" s="11" t="inlineStr">
        <is>
          <t>否</t>
        </is>
      </c>
      <c r="G10" s="11" t="inlineStr">
        <is>
          <t>transfer-intent API、统一 描述符（descriptor） 模式（schema）、metadata/有效载荷（payload） 粒度分发器</t>
        </is>
      </c>
      <c r="H10" s="11" t="inlineStr">
        <is>
          <t>提供器（Provider） 不支持时返回 UNSUPPORTED 并交由 查询计划（QueryPlan） 切副本或重算</t>
        </is>
      </c>
      <c r="I10" s="11">
        <f>IF(AND(E10&lt;&gt;"",F10="否",G10&lt;&gt;"",H10&lt;&gt;""),"PASS","REVIEW")</f>
        <v/>
      </c>
    </row>
    <row r="11" ht="78" customHeight="1">
      <c r="A11" s="11" t="inlineStr">
        <is>
          <t>SR23-01-04-01</t>
        </is>
      </c>
      <c r="B11" s="11" t="inlineStr">
        <is>
          <t>异步传输 有向无环图（DAG） 与流水加载执行器</t>
        </is>
      </c>
      <c r="C11" s="11" t="inlineStr">
        <is>
          <t>SR23-01-02-01、SR23-01-03-02</t>
        </is>
      </c>
      <c r="D11" s="11" t="inlineStr">
        <is>
          <t>接口/运行集成依赖</t>
        </is>
      </c>
      <c r="E11" s="11" t="inlineStr">
        <is>
          <t>DESCRIPTOR_COMPILER、TRANSFER_INTENT 及 模拟提供器（MockProvider）</t>
        </is>
      </c>
      <c r="F11" s="11" t="inlineStr">
        <is>
          <t>否</t>
        </is>
      </c>
      <c r="G11" s="11" t="inlineStr">
        <is>
          <t>async-transfer-dag 库、传输票据（TransferTicket）、取消/超时/部分完成控制器</t>
        </is>
      </c>
      <c r="H11" s="11" t="inlineStr">
        <is>
          <t>截止时限（deadline） 到期取消未提交任务；部分目标失败隔离重试；主路径失败切备用 提供器（Provider）</t>
        </is>
      </c>
      <c r="I11" s="11">
        <f>IF(AND(E11&lt;&gt;"",F11="否",G11&lt;&gt;"",H11&lt;&gt;""),"PASS","REVIEW")</f>
        <v/>
      </c>
    </row>
    <row r="12" ht="78" customHeight="1">
      <c r="A12" s="11" t="inlineStr">
        <is>
          <t>SR23-01-04-02</t>
        </is>
      </c>
      <c r="B12" s="11" t="inlineStr">
        <is>
          <t>一对多共享与可选多播 提供器（Provider）</t>
        </is>
      </c>
      <c r="C12" s="11" t="inlineStr">
        <is>
          <t>SR23-01-04-01、SR23-01-10-01</t>
        </is>
      </c>
      <c r="D12" s="11" t="inlineStr">
        <is>
          <t>接口/运行集成依赖</t>
        </is>
      </c>
      <c r="E12" s="11" t="inlineStr">
        <is>
          <t>ASYNC_DAG 与 SHARED_ATTACH</t>
        </is>
      </c>
      <c r="F12" s="11" t="inlineStr">
        <is>
          <t>否</t>
        </is>
      </c>
      <c r="G12" s="11" t="inlineStr">
        <is>
          <t>fanout-provider 插件、软件 staging 基线、硬件 multicast 功能开关（feature flag）</t>
        </is>
      </c>
      <c r="H12" s="11" t="inlineStr">
        <is>
          <t>硬件多播无收益或不可用时回退软件 扇出分发（fanout）；单目标失败不阻塞其他目标</t>
        </is>
      </c>
      <c r="I12" s="11">
        <f>IF(AND(E12&lt;&gt;"",F12="否",G12&lt;&gt;"",H12&lt;&gt;""),"PASS","REVIEW")</f>
        <v/>
      </c>
    </row>
    <row r="13" ht="78" customHeight="1">
      <c r="A13" s="11" t="inlineStr">
        <is>
          <t>SR23-01-05-01</t>
        </is>
      </c>
      <c r="B13" s="11" t="inlineStr">
        <is>
          <t>路径质量探测与动态路由组件</t>
        </is>
      </c>
      <c r="C13" s="11" t="inlineStr">
        <is>
          <t>SR23-01-09-01</t>
        </is>
      </c>
      <c r="D13" s="11" t="inlineStr">
        <is>
          <t>接口/运行集成依赖</t>
        </is>
      </c>
      <c r="E13" s="11" t="inlineStr">
        <is>
          <t>CAP_ROUTER 与 提供器（Provider） 模拟器</t>
        </is>
      </c>
      <c r="F13" s="11" t="inlineStr">
        <is>
          <t>否</t>
        </is>
      </c>
      <c r="G13" s="11" t="inlineStr">
        <is>
          <t>path-quality-monitor、拓扑快照、动态路径评分器和故障切换控制器</t>
        </is>
      </c>
      <c r="H13" s="11" t="inlineStr">
        <is>
          <t>质量噪声过大时使用静态白名单；探测失败不阻塞数据面；故障路径立即摘除</t>
        </is>
      </c>
      <c r="I13" s="11">
        <f>IF(AND(E13&lt;&gt;"",F13="否",G13&lt;&gt;"",H13&lt;&gt;""),"PASS","REVIEW")</f>
        <v/>
      </c>
    </row>
    <row r="14" ht="78" customHeight="1">
      <c r="A14" s="11" t="inlineStr">
        <is>
          <t>SR23-01-06-01</t>
        </is>
      </c>
      <c r="B14" s="11" t="inlineStr">
        <is>
          <t>跨节点 RDMA 零拷贝 提供器（Provider）</t>
        </is>
      </c>
      <c r="C14" s="11" t="inlineStr">
        <is>
          <t>SR23-01-09-01、SR23-01-12-01</t>
        </is>
      </c>
      <c r="D14" s="11" t="inlineStr">
        <is>
          <t>接口/运行集成依赖</t>
        </is>
      </c>
      <c r="E14" s="11" t="inlineStr">
        <is>
          <t>CAP_ROUTER、INTEGRITY_EVIDENCE 和 rdma 模拟器（simulator）</t>
        </is>
      </c>
      <c r="F14" s="11" t="inlineStr">
        <is>
          <t>否</t>
        </is>
      </c>
      <c r="G14" s="11" t="inlineStr">
        <is>
          <t>rdma-provider、注册内存池（RegisteredPool）、远端存储区段句柄（RemoteExtentHandle）、硬件/软件回归包</t>
        </is>
      </c>
      <c r="H14" s="11" t="inlineStr">
        <is>
          <t>GPUDirect/NPU Direct 不支持时显式返回 STAGED_ONLY；由上层决定是否限流使用</t>
        </is>
      </c>
      <c r="I14" s="11">
        <f>IF(AND(E14&lt;&gt;"",F14="否",G14&lt;&gt;"",H14&lt;&gt;""),"PASS","REVIEW")</f>
        <v/>
      </c>
    </row>
    <row r="15" ht="78" customHeight="1">
      <c r="A15" s="11" t="inlineStr">
        <is>
          <t>SR23-01-07-01</t>
        </is>
      </c>
      <c r="B15" s="11" t="inlineStr">
        <is>
          <t>UBMEM/C2C 直接视图（Direct View） 安全访问 提供器（Provider）</t>
        </is>
      </c>
      <c r="C15" s="11" t="inlineStr">
        <is>
          <t>SR23-01-09-01、SR23-01-12-01、SR23-01-12-02</t>
        </is>
      </c>
      <c r="D15" s="11" t="inlineStr">
        <is>
          <t>接口/运行集成依赖</t>
        </is>
      </c>
      <c r="E15" s="11" t="inlineStr">
        <is>
          <t>CAP_ROUTER、INTEGRITY_EVIDENCE、SECURE_LIFECYCLE</t>
        </is>
      </c>
      <c r="F15" s="11" t="inlineStr">
        <is>
          <t>否</t>
        </is>
      </c>
      <c r="G15" s="11" t="inlineStr">
        <is>
          <t>direct-view-provider、DirectViewGuard、租约（lease）/撤销（revoke） 与 复制到 HBM（copy-to-HBM） 回填适配</t>
        </is>
      </c>
      <c r="H15" s="11" t="inlineStr">
        <is>
          <t>不在安全区或远端 停顿（stall） 超阈值时 复制到 HBM（copy-to-HBM）；失效后禁止继续访问</t>
        </is>
      </c>
      <c r="I15" s="11">
        <f>IF(AND(E15&lt;&gt;"",F15="否",G15&lt;&gt;"",H15&lt;&gt;""),"PASS","REVIEW")</f>
        <v/>
      </c>
    </row>
    <row r="16" ht="78" customHeight="1">
      <c r="A16" s="11" t="inlineStr">
        <is>
          <t>SR23-01-08-01</t>
        </is>
      </c>
      <c r="B16" s="11" t="inlineStr">
        <is>
          <t>HBM↔SSD/对象存储（SSD/Object） 容量后端</t>
        </is>
      </c>
      <c r="C16" s="11" t="inlineStr">
        <is>
          <t>SR23-01-09-01、SR23-01-12-01</t>
        </is>
      </c>
      <c r="D16" s="11" t="inlineStr">
        <is>
          <t>接口/运行集成依赖</t>
        </is>
      </c>
      <c r="E16" s="11" t="inlineStr">
        <is>
          <t>CAP_ROUTER、INTEGRITY_EVIDENCE 与文件型 提供器（Provider） 桩</t>
        </is>
      </c>
      <c r="F16" s="11" t="inlineStr">
        <is>
          <t>否</t>
        </is>
      </c>
      <c r="G16" s="11" t="inlineStr">
        <is>
          <t>ssd-object-provider、持久存储区段句柄（PersistentExtentHandle）、Direct/low-host I/O 能力表</t>
        </is>
      </c>
      <c r="H16" s="11" t="inlineStr">
        <is>
          <t>Direct Storage 不可用时返回 分阶段暂存（staged） 能力与明确 Host 预算，不伪装直达</t>
        </is>
      </c>
      <c r="I16" s="11">
        <f>IF(AND(E16&lt;&gt;"",F16="否",G16&lt;&gt;"",H16&lt;&gt;""),"PASS","REVIEW")</f>
        <v/>
      </c>
    </row>
    <row r="17" ht="78" customHeight="1">
      <c r="A17" s="11" t="inlineStr">
        <is>
          <t>SR23-01-08-02</t>
        </is>
      </c>
      <c r="B17" s="11" t="inlineStr">
        <is>
          <t>DPU/硬件 编解码器（Codec） 条件卸载插件包</t>
        </is>
      </c>
      <c r="C17" s="11" t="inlineStr">
        <is>
          <t>SR23-01-09-01、SR23-01-08-01、SR23-01-06-01</t>
        </is>
      </c>
      <c r="D17" s="11" t="inlineStr">
        <is>
          <t>接口/运行集成依赖</t>
        </is>
      </c>
      <c r="E17" s="11" t="inlineStr">
        <is>
          <t>CAP_ROUTER 与 SSD_BACKEND/RDMA_PROVIDER 接口</t>
        </is>
      </c>
      <c r="F17" s="11" t="inlineStr">
        <is>
          <t>否</t>
        </is>
      </c>
      <c r="G17" s="11" t="inlineStr">
        <is>
          <t>offload-provider 插件接口、DPU/编解码器（codec） 功能开关（feature flag）、不支持（Not Supported）/Go 报告模板</t>
        </is>
      </c>
      <c r="H17" s="11" t="inlineStr">
        <is>
          <t>硬件不可用/无净收益/故障时旁路为 原始/直接（raw/direct）；禁止切 CPU 编解码器（codec）</t>
        </is>
      </c>
      <c r="I17" s="11">
        <f>IF(AND(E17&lt;&gt;"",F17="否",G17&lt;&gt;"",H17&lt;&gt;""),"PASS","REVIEW")</f>
        <v/>
      </c>
    </row>
    <row r="18" ht="78" customHeight="1">
      <c r="A18" s="11" t="inlineStr">
        <is>
          <t>SR23-01-09-01</t>
        </is>
      </c>
      <c r="B18" s="11" t="inlineStr">
        <is>
          <t>统一 能力（Capability） 注册表（Registry） 与 互联网络路由器（Fabric Router）</t>
        </is>
      </c>
      <c r="C18" s="11" t="n"/>
      <c r="D18" s="11" t="inlineStr">
        <is>
          <t>无外部前置</t>
        </is>
      </c>
      <c r="E18" s="11" t="inlineStr">
        <is>
          <t>提供器（Provider） SDK 自带 模拟提供器（MockProvider），无外部前置</t>
        </is>
      </c>
      <c r="F18" s="11" t="inlineStr">
        <is>
          <t>否</t>
        </is>
      </c>
      <c r="G18" s="11" t="inlineStr">
        <is>
          <t>capability-registry、后端提供器（Backend Provider） SDK、互联路由器（FabricRouter） 与能力快照</t>
        </is>
      </c>
      <c r="H18" s="11" t="inlineStr">
        <is>
          <t>能力缺失时关闭 功能开关（feature flag）；分阶段暂存（staged） 例外显式可见、可限流、可禁用</t>
        </is>
      </c>
      <c r="I18" s="11">
        <f>IF(AND(E18&lt;&gt;"",F18="否",G18&lt;&gt;"",H18&lt;&gt;""),"PASS","REVIEW")</f>
        <v/>
      </c>
    </row>
    <row r="19" ht="78" customHeight="1">
      <c r="A19" s="11" t="inlineStr">
        <is>
          <t>SR23-01-10-01</t>
        </is>
      </c>
      <c r="B19" s="11" t="inlineStr">
        <is>
          <t>共享 附加（Attach）、租约引用与快速回退组件</t>
        </is>
      </c>
      <c r="C19" s="11" t="inlineStr">
        <is>
          <t>SR23-02-01-01、SR23-01-11-01、SR23-01-12-01</t>
        </is>
      </c>
      <c r="D19" s="11" t="inlineStr">
        <is>
          <t>接口/运行集成依赖</t>
        </is>
      </c>
      <c r="E19" s="11" t="inlineStr">
        <is>
          <t>CONNECTOR_PROTOCOL、CONSISTENCY_SERVICE、INTEGRITY_EVIDENCE</t>
        </is>
      </c>
      <c r="F19" s="11" t="inlineStr">
        <is>
          <t>否</t>
        </is>
      </c>
      <c r="G19" s="11" t="inlineStr">
        <is>
          <t>shared-attach 库、AttachHandle/Lease/RefCount、回退契约（FallbackContract） 与 故障用例（fault cases）</t>
        </is>
      </c>
      <c r="H19" s="11" t="inlineStr">
        <is>
          <t>加载/状态失败切备用副本或重算；失效租约立即阻断消费</t>
        </is>
      </c>
      <c r="I19" s="11">
        <f>IF(AND(E19&lt;&gt;"",F19="否",G19&lt;&gt;"",H19&lt;&gt;""),"PASS","REVIEW")</f>
        <v/>
      </c>
    </row>
    <row r="20" ht="78" customHeight="1">
      <c r="A20" s="11" t="inlineStr">
        <is>
          <t>SR23-01-11-01</t>
        </is>
      </c>
      <c r="B20" s="11" t="inlineStr">
        <is>
          <t>KV 发布、可见性与迁移一致性服务</t>
        </is>
      </c>
      <c r="C20" s="11" t="inlineStr">
        <is>
          <t>SR23-01-01-01、SR23-01-12-01</t>
        </is>
      </c>
      <c r="D20" s="11" t="inlineStr">
        <is>
          <t>接口/运行集成依赖</t>
        </is>
      </c>
      <c r="E20" s="11" t="inlineStr">
        <is>
          <t>POOL_CORE 与 INTEGRITY_EVIDENCE</t>
        </is>
      </c>
      <c r="F20" s="11" t="inlineStr">
        <is>
          <t>否</t>
        </is>
      </c>
      <c r="G20" s="11" t="inlineStr">
        <is>
          <t>consistency-service、PublishCommitLog、ReadyBitmap、RCU 租约（lease） 与 隔离（quarantine）</t>
        </is>
      </c>
      <c r="H20" s="11" t="inlineStr">
        <is>
          <t>发布中断回滚 提交日志（commit log）；证据不足保持 NOT_READY；异常副本 隔离（quarantine）</t>
        </is>
      </c>
      <c r="I20" s="11">
        <f>IF(AND(E20&lt;&gt;"",F20="否",G20&lt;&gt;"",H20&lt;&gt;""),"PASS","REVIEW")</f>
        <v/>
      </c>
    </row>
    <row r="21" ht="78" customHeight="1">
      <c r="A21" s="11" t="inlineStr">
        <is>
          <t>SR23-01-11-02</t>
        </is>
      </c>
      <c r="B21" s="11" t="inlineStr">
        <is>
          <t>多租户隔离与前后台传输 QoS 控制器</t>
        </is>
      </c>
      <c r="C21" s="11" t="inlineStr">
        <is>
          <t>SR23-01-11-01、SR23-01-09-01</t>
        </is>
      </c>
      <c r="D21" s="11" t="inlineStr">
        <is>
          <t>接口/运行集成依赖</t>
        </is>
      </c>
      <c r="E21" s="11" t="inlineStr">
        <is>
          <t>CONSISTENCY_SERVICE、CAP_ROUTER 与 MockQueue</t>
        </is>
      </c>
      <c r="F21" s="11" t="inlineStr">
        <is>
          <t>否</t>
        </is>
      </c>
      <c r="G21" s="11" t="inlineStr">
        <is>
          <t>tenant-qos-controller、TrafficClass/TokenBucket/WFQ 配置和混压安全包络</t>
        </is>
      </c>
      <c r="H21" s="11" t="inlineStr">
        <is>
          <t>硬件 TC 不可用时使用软件队列；超预算暂停后台任务；前台超时回退重算</t>
        </is>
      </c>
      <c r="I21" s="11">
        <f>IF(AND(E21&lt;&gt;"",F21="否",G21&lt;&gt;"",H21&lt;&gt;""),"PASS","REVIEW")</f>
        <v/>
      </c>
    </row>
    <row r="22" ht="78" customHeight="1">
      <c r="A22" s="11" t="inlineStr">
        <is>
          <t>SR23-01-12-01</t>
        </is>
      </c>
      <c r="B22" s="11" t="inlineStr">
        <is>
          <t>按路径完整性证据与 RAS 故障映射组件</t>
        </is>
      </c>
      <c r="C22" s="11" t="inlineStr">
        <is>
          <t>SR23-01-09-01</t>
        </is>
      </c>
      <c r="D22" s="11" t="inlineStr">
        <is>
          <t>接口/运行集成依赖</t>
        </is>
      </c>
      <c r="E22" s="11" t="inlineStr">
        <is>
          <t>CAP_ROUTER 提供器（Provider） SDK 与 FakeProvider</t>
        </is>
      </c>
      <c r="F22" s="11" t="inlineStr">
        <is>
          <t>否</t>
        </is>
      </c>
      <c r="G22" s="11" t="inlineStr">
        <is>
          <t>integrity-evidence SDK、完成/栅栏（Completion/Fence） 证据模型、RAS/ErrorMap 与 故障测试套件（fault suite）</t>
        </is>
      </c>
      <c r="H22" s="11" t="inlineStr">
        <is>
          <t>证据不足不得 就绪状态（ready）；无硬件校验时使用后端已有证据或回退重算</t>
        </is>
      </c>
      <c r="I22" s="11">
        <f>IF(AND(E22&lt;&gt;"",F22="否",G22&lt;&gt;"",H22&lt;&gt;""),"PASS","REVIEW")</f>
        <v/>
      </c>
    </row>
    <row r="23" ht="78" customHeight="1">
      <c r="A23" s="11" t="inlineStr">
        <is>
          <t>SR23-01-12-02</t>
        </is>
      </c>
      <c r="B23" s="11" t="inlineStr">
        <is>
          <t>安全访问、资源下线与地址切换组件</t>
        </is>
      </c>
      <c r="C23" s="11" t="inlineStr">
        <is>
          <t>SR23-01-11-01、SR23-01-12-01</t>
        </is>
      </c>
      <c r="D23" s="11" t="inlineStr">
        <is>
          <t>接口/运行集成依赖</t>
        </is>
      </c>
      <c r="E23" s="11" t="inlineStr">
        <is>
          <t>CONSISTENCY_SERVICE 与 INTEGRITY_EVIDENCE</t>
        </is>
      </c>
      <c r="F23" s="11" t="inlineStr">
        <is>
          <t>否</t>
        </is>
      </c>
      <c r="G23" s="11" t="inlineStr">
        <is>
          <t>secure-lifecycle 库、ViewProtection、排空/静默（drain/quiesce）、secure release 与 重映射（remap） 适配器（adapter）</t>
        </is>
      </c>
      <c r="H23" s="11" t="inlineStr">
        <is>
          <t>硬件 重映射（remap） 不可用时使用 RCU+copy-on-migrate；无法安全下线时保持隔离</t>
        </is>
      </c>
      <c r="I23" s="11">
        <f>IF(AND(E23&lt;&gt;"",F23="否",G23&lt;&gt;"",H23&lt;&gt;""),"PASS","REVIEW")</f>
        <v/>
      </c>
    </row>
    <row r="24" ht="78" customHeight="1">
      <c r="A24" s="11" t="inlineStr">
        <is>
          <t>SR23-02-01-01</t>
        </is>
      </c>
      <c r="B24" s="11" t="inlineStr">
        <is>
          <t>vLLM/SGLang 统一 KV连接器（KVConnector） 协议与插件 SDK</t>
        </is>
      </c>
      <c r="C24" s="11" t="n"/>
      <c r="D24" s="11" t="inlineStr">
        <is>
          <t>无外部前置</t>
        </is>
      </c>
      <c r="E24" s="11" t="inlineStr">
        <is>
          <t>Reference 连接器（Connector） 自包含，无外部前置</t>
        </is>
      </c>
      <c r="F24" s="11" t="inlineStr">
        <is>
          <t>否</t>
        </is>
      </c>
      <c r="G24" s="11" t="inlineStr">
        <is>
          <t>KV连接器（KVConnector） 协议（Protocol）、C++/Python SDK、gRPC/Protobuf IDL、符合性测试套件（conformance suite）</t>
        </is>
      </c>
      <c r="H24" s="11" t="inlineStr">
        <is>
          <t>插件缺失或版本不兼容时禁用统一池并回到框架原生 cache/重算（recompute）</t>
        </is>
      </c>
      <c r="I24" s="11">
        <f>IF(AND(E24&lt;&gt;"",F24="否",G24&lt;&gt;"",H24&lt;&gt;""),"PASS","REVIEW")</f>
        <v/>
      </c>
    </row>
    <row r="25" ht="78" customHeight="1">
      <c r="A25" s="11" t="inlineStr">
        <is>
          <t>SR23-02-02-01</t>
        </is>
      </c>
      <c r="B25" s="11" t="inlineStr">
        <is>
          <t>前缀预算（Prefix Budget）、加载与重算（load-vs-recompute） 与水位准入组件</t>
        </is>
      </c>
      <c r="C25" s="11" t="inlineStr">
        <is>
          <t>SR23-02-01-01、SR23-01-03-01、SR23-02-05-02</t>
        </is>
      </c>
      <c r="D25" s="11" t="inlineStr">
        <is>
          <t>接口/运行集成依赖</t>
        </is>
      </c>
      <c r="E25" s="11" t="inlineStr">
        <is>
          <t>CONNECTOR_PROTOCOL、QUERYPLAN_ENGINE、DIRECTORY_FASTPATH 桩</t>
        </is>
      </c>
      <c r="F25" s="11" t="inlineStr">
        <is>
          <t>否</t>
        </is>
      </c>
      <c r="G25" s="11" t="inlineStr">
        <is>
          <t>admission-engine 插件、前缀预算（PrefixBudget）/水位准入（WatermarkAdmission） 与 影子决策（shadow decision） 日志</t>
        </is>
      </c>
      <c r="H25" s="11" t="inlineStr">
        <is>
          <t>预算超时、成本不可信或水位过高时 partial/重算（recompute）；不得等待远端负收益 加载（Load）</t>
        </is>
      </c>
      <c r="I25" s="11">
        <f>IF(AND(E25&lt;&gt;"",F25="否",G25&lt;&gt;"",H25&lt;&gt;""),"PASS","REVIEW")</f>
        <v/>
      </c>
    </row>
    <row r="26" ht="78" customHeight="1">
      <c r="A26" s="11" t="inlineStr">
        <is>
          <t>SR23-02-02-02</t>
        </is>
      </c>
      <c r="B26" s="11" t="inlineStr">
        <is>
          <t>缓存感知（Cache-aware） 路由与异构存储调度插件</t>
        </is>
      </c>
      <c r="C26" s="11" t="inlineStr">
        <is>
          <t>SR23-02-02-01、SR23-02-05-01、SR23-01-01-01</t>
        </is>
      </c>
      <c r="D26" s="11" t="inlineStr">
        <is>
          <t>接口/运行集成依赖</t>
        </is>
      </c>
      <c r="E26" s="11" t="inlineStr">
        <is>
          <t>ADMISSION_ENGINE、DIRECTORY_CORE、POOL_CORE 接口桩</t>
        </is>
      </c>
      <c r="F26" s="11" t="inlineStr">
        <is>
          <t>否</t>
        </is>
      </c>
      <c r="G26" s="11" t="inlineStr">
        <is>
          <t>cache-aware-router、vLLM/SGLang 调度器（Scheduler） 适配器（adapter） 与分层状态视图</t>
        </is>
      </c>
      <c r="H26" s="11" t="inlineStr">
        <is>
          <t>目录/水位不可用时回退普通路由；系统过载时平滑拒绝</t>
        </is>
      </c>
      <c r="I26" s="11">
        <f>IF(AND(E26&lt;&gt;"",F26="否",G26&lt;&gt;"",H26&lt;&gt;""),"PASS","REVIEW")</f>
        <v/>
      </c>
    </row>
    <row r="27" ht="78" customHeight="1">
      <c r="A27" s="11" t="inlineStr">
        <is>
          <t>SR23-02-03-01</t>
        </is>
      </c>
      <c r="B27" s="11" t="inlineStr">
        <is>
          <t>跨框架低时延 前缀匹配引擎（Prefix Match Engine）</t>
        </is>
      </c>
      <c r="C27" s="11" t="inlineStr">
        <is>
          <t>SR23-02-01-01</t>
        </is>
      </c>
      <c r="D27" s="11" t="inlineStr">
        <is>
          <t>接口/运行集成依赖</t>
        </is>
      </c>
      <c r="E27" s="11" t="inlineStr">
        <is>
          <t>CONNECTOR_PROTOCOL 的 SemanticIdentity 定义</t>
        </is>
      </c>
      <c r="F27" s="11" t="inlineStr">
        <is>
          <t>否</t>
        </is>
      </c>
      <c r="G27" s="11" t="inlineStr">
        <is>
          <t>prefix-match-engine、vLLM hash/SGLang RadixTree 适配器（adapter）、并发基准</t>
        </is>
      </c>
      <c r="H27" s="11" t="inlineStr">
        <is>
          <t>加速实现不可用时使用 参考匹配器（reference matcher）；不得返回未经语义校验的候选</t>
        </is>
      </c>
      <c r="I27" s="11">
        <f>IF(AND(E27&lt;&gt;"",F27="否",G27&lt;&gt;"",H27&lt;&gt;""),"PASS","REVIEW")</f>
        <v/>
      </c>
    </row>
    <row r="28" ht="78" customHeight="1">
      <c r="A28" s="11" t="inlineStr">
        <is>
          <t>SR23-02-04-01</t>
        </is>
      </c>
      <c r="B28" s="11" t="inlineStr">
        <is>
          <t>本地元数据缓存与批量快判组件</t>
        </is>
      </c>
      <c r="C28" s="11" t="inlineStr">
        <is>
          <t>SR23-02-03-01、SR23-02-05-01</t>
        </is>
      </c>
      <c r="D28" s="11" t="inlineStr">
        <is>
          <t>接口/运行集成依赖</t>
        </is>
      </c>
      <c r="E28" s="11" t="inlineStr">
        <is>
          <t>PREFIX_ENGINE 与 DIRECTORY_CORE 桩（stub）</t>
        </is>
      </c>
      <c r="F28" s="11" t="inlineStr">
        <is>
          <t>否</t>
        </is>
      </c>
      <c r="G28" s="11" t="inlineStr">
        <is>
          <t>local-metadata-cache、负缓存（Negative Cache）、批量/范围查询（Batch/Range Lookup） 和 新鲜度防护（freshness guard）</t>
        </is>
      </c>
      <c r="H28" s="11" t="inlineStr">
        <is>
          <t>缓存过期或不确定时发起精确查询；禁止将 陈旧（stale） 数据作为 可用命中（usable hit）</t>
        </is>
      </c>
      <c r="I28" s="11">
        <f>IF(AND(E28&lt;&gt;"",F28="否",G28&lt;&gt;"",H28&lt;&gt;""),"PASS","REVIEW")</f>
        <v/>
      </c>
    </row>
    <row r="29" ht="78" customHeight="1">
      <c r="A29" s="11" t="inlineStr">
        <is>
          <t>SR23-02-05-01</t>
        </is>
      </c>
      <c r="B29" s="11" t="inlineStr">
        <is>
          <t>集群 前缀目录（PrefixDirectory） 核心与高可用服务</t>
        </is>
      </c>
      <c r="C29" s="11" t="inlineStr">
        <is>
          <t>SR23-01-11-01</t>
        </is>
      </c>
      <c r="D29" s="11" t="inlineStr">
        <is>
          <t>接口/运行集成依赖</t>
        </is>
      </c>
      <c r="E29" s="11" t="inlineStr">
        <is>
          <t>CONSISTENCY_SERVICE 的版本/就绪状态（ready） 语义</t>
        </is>
      </c>
      <c r="F29" s="11" t="inlineStr">
        <is>
          <t>否</t>
        </is>
      </c>
      <c r="G29" s="11" t="inlineStr">
        <is>
          <t>prefix-directory-service、模式（schema）、分片/复制/镜像、发布（publish）/invalidate API</t>
        </is>
      </c>
      <c r="H29" s="11" t="inlineStr">
        <is>
          <t>主分片故障切副本；镜像过期强制精确查询；未 就绪状态（ready）/墓碑标记（tombstone） 不返回</t>
        </is>
      </c>
      <c r="I29" s="11">
        <f>IF(AND(E29&lt;&gt;"",F29="否",G29&lt;&gt;"",H29&lt;&gt;""),"PASS","REVIEW")</f>
        <v/>
      </c>
    </row>
    <row r="30" ht="78" customHeight="1">
      <c r="A30" s="11" t="inlineStr">
        <is>
          <t>SR23-02-05-02</t>
        </is>
      </c>
      <c r="B30" s="11" t="inlineStr">
        <is>
          <t>前缀目录（PrefixDirectory） 本地快路径与消费资格组件</t>
        </is>
      </c>
      <c r="C30" s="11" t="inlineStr">
        <is>
          <t>SR23-02-05-01、SR23-02-04-01、SR23-01-10-01</t>
        </is>
      </c>
      <c r="D30" s="11" t="inlineStr">
        <is>
          <t>接口/运行集成依赖</t>
        </is>
      </c>
      <c r="E30" s="11" t="inlineStr">
        <is>
          <t>DIRECTORY_CORE、LOCAL_METADATA 与 SHARED_ATTACH 契约桩</t>
        </is>
      </c>
      <c r="F30" s="11" t="inlineStr">
        <is>
          <t>否</t>
        </is>
      </c>
      <c r="G30" s="11" t="inlineStr">
        <is>
          <t>directory-fastpath、hot 本地（local） index、range/batch 查询（lookup）、ConsumeEligibility</t>
        </is>
      </c>
      <c r="H30" s="11" t="inlineStr">
        <is>
          <t>本地证据不足时精确查询 DIRECTORY_CORE；负收益候选标记 abandoned</t>
        </is>
      </c>
      <c r="I30" s="11">
        <f>IF(AND(E30&lt;&gt;"",F30="否",G30&lt;&gt;"",H30&lt;&gt;""),"PASS","REVIEW")</f>
        <v/>
      </c>
    </row>
    <row r="31" ht="78" customHeight="1">
      <c r="A31" s="11" t="inlineStr">
        <is>
          <t>SR23-02-06-01</t>
        </is>
      </c>
      <c r="B31" s="11" t="inlineStr">
        <is>
          <t>KV 卸载/加载、分层回源与流式 流水线（Pipeline）</t>
        </is>
      </c>
      <c r="C31" s="11" t="inlineStr">
        <is>
          <t>SR23-02-01-01、SR23-01-04-01、SR23-01-08-01</t>
        </is>
      </c>
      <c r="D31" s="11" t="inlineStr">
        <is>
          <t>接口/运行集成依赖</t>
        </is>
      </c>
      <c r="E31" s="11" t="inlineStr">
        <is>
          <t>CONNECTOR_PROTOCOL、ASYNC_DAG、SSD_BACKEND</t>
        </is>
      </c>
      <c r="F31" s="11" t="inlineStr">
        <is>
          <t>否</t>
        </is>
      </c>
      <c r="G31" s="11" t="inlineStr">
        <is>
          <t>kv-load-pipeline、vLLM/SGLang 适配器（adapter）、swap/bulk/streaming 加载（load） 控制器</t>
        </is>
      </c>
      <c r="H31" s="11" t="inlineStr">
        <is>
          <t>超时/路径失败时 partial/重算（recompute）；额外内存超预算时退回整段加载</t>
        </is>
      </c>
      <c r="I31" s="11">
        <f>IF(AND(E31&lt;&gt;"",F31="否",G31&lt;&gt;"",H31&lt;&gt;""),"PASS","REVIEW")</f>
        <v/>
      </c>
    </row>
    <row r="32" ht="78" customHeight="1">
      <c r="A32" s="11" t="inlineStr">
        <is>
          <t>SR23-02-07-01</t>
        </is>
      </c>
      <c r="B32" s="11" t="inlineStr">
        <is>
          <t>投机预取与效果反馈组件</t>
        </is>
      </c>
      <c r="C32" s="11" t="inlineStr">
        <is>
          <t>SR23-02-06-01、SR23-01-03-01</t>
        </is>
      </c>
      <c r="D32" s="11" t="inlineStr">
        <is>
          <t>接口/运行集成依赖</t>
        </is>
      </c>
      <c r="E32" s="11" t="inlineStr">
        <is>
          <t>LOAD_PIPELINE、QUERYPLAN_ENGINE 与固定 追踪（trace）</t>
        </is>
      </c>
      <c r="F32" s="11" t="inlineStr">
        <is>
          <t>否</t>
        </is>
      </c>
      <c r="G32" s="11" t="inlineStr">
        <is>
          <t>prefetch-engine、复用预测器接口、准入（admission） 反馈（feedback） 和收益看板</t>
        </is>
      </c>
      <c r="H32" s="11" t="inlineStr">
        <is>
          <t>收益不稳定时只对白名单启用；高水位/前台拥塞立即暂停</t>
        </is>
      </c>
      <c r="I32" s="11">
        <f>IF(AND(E32&lt;&gt;"",F32="否",G32&lt;&gt;"",H32&lt;&gt;""),"PASS","REVIEW")</f>
        <v/>
      </c>
    </row>
    <row r="33" ht="78" customHeight="1">
      <c r="A33" s="11" t="inlineStr">
        <is>
          <t>SR23-02-08-01</t>
        </is>
      </c>
      <c r="B33" s="11" t="inlineStr">
        <is>
          <t>模型 KV 容量画像、水位与生命周期配置组件</t>
        </is>
      </c>
      <c r="C33" s="11" t="inlineStr">
        <is>
          <t>SR23-01-01-01</t>
        </is>
      </c>
      <c r="D33" s="11" t="inlineStr">
        <is>
          <t>接口/运行集成依赖</t>
        </is>
      </c>
      <c r="E33" s="11" t="inlineStr">
        <is>
          <t>POOL_CORE 接口与模型配置 测试夹具（fixture）</t>
        </is>
      </c>
      <c r="F33" s="11" t="inlineStr">
        <is>
          <t>否</t>
        </is>
      </c>
      <c r="G33" s="11" t="inlineStr">
        <is>
          <t>capacity-profiler、模型配置画像（ModelProfile）/KV块规格（KVBlockSpec）、水位（watermark） 配置和生命周期事件 SDK</t>
        </is>
      </c>
      <c r="H33" s="11" t="inlineStr">
        <is>
          <t>画像缺失时使用保守上界；估算误差超阈值时禁止自动扩容</t>
        </is>
      </c>
      <c r="I33" s="11">
        <f>IF(AND(E33&lt;&gt;"",F33="否",G33&lt;&gt;"",H33&lt;&gt;""),"PASS","REVIEW")</f>
        <v/>
      </c>
    </row>
    <row r="34" ht="78" customHeight="1">
      <c r="A34" s="11" t="inlineStr">
        <is>
          <t>SR23-02-09-01</t>
        </is>
      </c>
      <c r="B34" s="11" t="inlineStr">
        <is>
          <t>活跃/热/冷 KV 分层驻留与部分复用策略</t>
        </is>
      </c>
      <c r="C34" s="11" t="inlineStr">
        <is>
          <t>SR23-02-08-01、SR23-01-01-02、SR23-01-01-03</t>
        </is>
      </c>
      <c r="D34" s="11" t="inlineStr">
        <is>
          <t>接口/运行集成依赖</t>
        </is>
      </c>
      <c r="E34" s="11" t="inlineStr">
        <is>
          <t>CAPACITY_PROFILE、TIER_CAPACITY、LIFECYCLE_CONTROLLER</t>
        </is>
      </c>
      <c r="F34" s="11" t="inlineStr">
        <is>
          <t>否</t>
        </is>
      </c>
      <c r="G34" s="11" t="inlineStr">
        <is>
          <t>residency-policy、Active/Warm/Cold classifier、部分复用边界（partial boundary） 与 视图与复制对比（View-vs-Copy） 规划器（planner）</t>
        </is>
      </c>
      <c r="H34" s="11" t="inlineStr">
        <is>
          <t>分类不可信时保护 活跃状态（active） KV 并使用保守 复制到 HBM（copy-to-HBM）；负收益则重算</t>
        </is>
      </c>
      <c r="I34" s="11">
        <f>IF(AND(E34&lt;&gt;"",F34="否",G34&lt;&gt;"",H34&lt;&gt;""),"PASS","REVIEW")</f>
        <v/>
      </c>
    </row>
    <row r="35" ht="78" customHeight="1">
      <c r="A35" s="11" t="inlineStr">
        <is>
          <t>SR23-02-10-01</t>
        </is>
      </c>
      <c r="B35" s="11" t="inlineStr">
        <is>
          <t>多 并行秩（Rank） KV 一致消费与专家控制组件</t>
        </is>
      </c>
      <c r="C35" s="11" t="inlineStr">
        <is>
          <t>SR23-02-01-01、SR23-01-10-01、SR23-01-11-01</t>
        </is>
      </c>
      <c r="D35" s="11" t="inlineStr">
        <is>
          <t>接口/运行集成依赖</t>
        </is>
      </c>
      <c r="E35" s="11" t="inlineStr">
        <is>
          <t>CONNECTOR_PROTOCOL、SHARED_ATTACH、CONSISTENCY_SERVICE</t>
        </is>
      </c>
      <c r="F35" s="11" t="inlineStr">
        <is>
          <t>否</t>
        </is>
      </c>
      <c r="G35" s="11" t="inlineStr">
        <is>
          <t>multi-rank-coordinator、意图（Intent） API、并行秩（rank） consensus、ExpertOverride 与指标字段</t>
        </is>
      </c>
      <c r="H35" s="11" t="inlineStr">
        <is>
          <t>任一关键 并行秩（rank） 不一致时统一回退；expert override 必须审计且可关闭</t>
        </is>
      </c>
      <c r="I35" s="11">
        <f>IF(AND(E35&lt;&gt;"",F35="否",G35&lt;&gt;"",H35&lt;&gt;""),"PASS","REVIEW")</f>
        <v/>
      </c>
    </row>
    <row r="36" ht="78" customHeight="1">
      <c r="A36" s="11" t="inlineStr">
        <is>
          <t>SR23-02-11-01</t>
        </is>
      </c>
      <c r="B36" s="11" t="inlineStr">
        <is>
          <t>KV 全路径 遥测数据（Telemetry） 与语义指标 SDK</t>
        </is>
      </c>
      <c r="C36" s="11" t="n"/>
      <c r="D36" s="11" t="inlineStr">
        <is>
          <t>无外部前置</t>
        </is>
      </c>
      <c r="E36" s="11" t="inlineStr">
        <is>
          <t>自带 reference emitter/collector，无外部前置</t>
        </is>
      </c>
      <c r="F36" s="11" t="inlineStr">
        <is>
          <t>否</t>
        </is>
      </c>
      <c r="G36" s="11" t="inlineStr">
        <is>
          <t>telemetry-sdk、统一字段字典、低开销 计数器/追踪（counters/traces） 和硬件 counter 适配器（adapter）</t>
        </is>
      </c>
      <c r="H36" s="11" t="inlineStr">
        <is>
          <t>采集失败不得阻塞数据面；高基数标签限额；必要时降采样</t>
        </is>
      </c>
      <c r="I36" s="11">
        <f>IF(AND(E36&lt;&gt;"",F36="否",G36&lt;&gt;"",H36&lt;&gt;""),"PASS","REVIEW")</f>
        <v/>
      </c>
    </row>
    <row r="37" ht="78" customHeight="1">
      <c r="A37" s="11" t="inlineStr">
        <is>
          <t>SR23-02-11-02</t>
        </is>
      </c>
      <c r="B37" s="11" t="inlineStr">
        <is>
          <t>链路追踪、回退（Fallback） 分析与 KV检视工具（KVInspect） 工具</t>
        </is>
      </c>
      <c r="C37" s="11" t="inlineStr">
        <is>
          <t>SR23-02-11-01</t>
        </is>
      </c>
      <c r="D37" s="11" t="inlineStr">
        <is>
          <t>接口/运行集成依赖</t>
        </is>
      </c>
      <c r="E37" s="11" t="inlineStr">
        <is>
          <t>TELEMETRY_SDK 与录制事件包</t>
        </is>
      </c>
      <c r="F37" s="11" t="inlineStr">
        <is>
          <t>否</t>
        </is>
      </c>
      <c r="G37" s="11" t="inlineStr">
        <is>
          <t>trace-inspect 服务/CLI、回退（fallback）/state timeline、告警与排障手册</t>
        </is>
      </c>
      <c r="H37" s="11" t="inlineStr">
        <is>
          <t>部分事件缺失时标记证据不足；不得生成确定性错误结论</t>
        </is>
      </c>
      <c r="I37" s="11">
        <f>IF(AND(E37&lt;&gt;"",F37="否",G37&lt;&gt;"",H37&lt;&gt;""),"PASS","REVIEW")</f>
        <v/>
      </c>
    </row>
    <row r="38" ht="78" customHeight="1">
      <c r="A38" s="11" t="inlineStr">
        <is>
          <t>SR23-02-12-01</t>
        </is>
      </c>
      <c r="B38" s="11" t="inlineStr">
        <is>
          <t>KVCache 性能监控与告警交付包</t>
        </is>
      </c>
      <c r="C38" s="11" t="inlineStr">
        <is>
          <t>SR23-02-11-01、SR23-02-11-02</t>
        </is>
      </c>
      <c r="D38" s="11" t="inlineStr">
        <is>
          <t>接口/运行集成依赖</t>
        </is>
      </c>
      <c r="E38" s="11" t="inlineStr">
        <is>
          <t>TELEMETRY_SDK 与 TRACE_INSPECT 录制数据</t>
        </is>
      </c>
      <c r="F38" s="11" t="inlineStr">
        <is>
          <t>否</t>
        </is>
      </c>
      <c r="G38" s="11" t="inlineStr">
        <is>
          <t>Prometheus rules、Grafana 仪表板（dashboards）、分级告警与巡检手册</t>
        </is>
      </c>
      <c r="H38" s="11" t="inlineStr">
        <is>
          <t>指标缺失时标记不可判定；大盘故障不阻塞数据面</t>
        </is>
      </c>
      <c r="I38" s="11">
        <f>IF(AND(E38&lt;&gt;"",F38="否",G38&lt;&gt;"",H38&lt;&gt;""),"PASS","REVIEW")</f>
        <v/>
      </c>
    </row>
    <row r="39" ht="78" customHeight="1">
      <c r="A39" s="11" t="inlineStr">
        <is>
          <t>SR23-02-12-02</t>
        </is>
      </c>
      <c r="B39" s="11" t="inlineStr">
        <is>
          <t>核心组件单元/API 测试与硬件 Mock 框架</t>
        </is>
      </c>
      <c r="C39" s="11" t="inlineStr">
        <is>
          <t>SR23-02-01-01、SR23-02-11-01</t>
        </is>
      </c>
      <c r="D39" s="11" t="inlineStr">
        <is>
          <t>接口/运行集成依赖</t>
        </is>
      </c>
      <c r="E39" s="11" t="inlineStr">
        <is>
          <t>CONNECTOR_PROTOCOL、TELEMETRY_SDK 的 reference fixtures</t>
        </is>
      </c>
      <c r="F39" s="11" t="inlineStr">
        <is>
          <t>否</t>
        </is>
      </c>
      <c r="G39" s="11" t="inlineStr">
        <is>
          <t>gtest/gmock 测试框架、硬件 Mock、符合性（conformance） 流水线（pipeline） 与覆盖率报告</t>
        </is>
      </c>
      <c r="H39" s="11" t="inlineStr">
        <is>
          <t>硬件不可用时使用 Mock；关键接口无 Mock 时阻断合并</t>
        </is>
      </c>
      <c r="I39" s="11">
        <f>IF(AND(E39&lt;&gt;"",F39="否",G39&lt;&gt;"",H39&lt;&gt;""),"PASS","REVIEW")</f>
        <v/>
      </c>
    </row>
    <row r="40" ht="78" customHeight="1">
      <c r="A40" s="11" t="inlineStr">
        <is>
          <t>SR23-02-12-03</t>
        </is>
      </c>
      <c r="B40" s="11" t="inlineStr">
        <is>
          <t>异构介质 E2E、长稳与混沌测试平台</t>
        </is>
      </c>
      <c r="C40" s="11" t="inlineStr">
        <is>
          <t>SR23-02-12-02、SR23-01-09-01</t>
        </is>
      </c>
      <c r="D40" s="11" t="inlineStr">
        <is>
          <t>接口/运行集成依赖</t>
        </is>
      </c>
      <c r="E40" s="11" t="inlineStr">
        <is>
          <t>UNIT_TEST_TOOL、CAP_ROUTER 与可测试 提供器（Provider）</t>
        </is>
      </c>
      <c r="F40" s="11" t="inlineStr">
        <is>
          <t>否</t>
        </is>
      </c>
      <c r="G40" s="11" t="inlineStr">
        <is>
          <t>E2E 编排、故障注入场景、72h soak suite 与恢复报告模板</t>
        </is>
      </c>
      <c r="H40" s="11" t="inlineStr">
        <is>
          <t>真实硬件不足时使用受控模拟；未覆盖路径明确标记 Not Tested</t>
        </is>
      </c>
      <c r="I40" s="11">
        <f>IF(AND(E40&lt;&gt;"",F40="否",G40&lt;&gt;"",H40&lt;&gt;""),"PASS","REVIEW")</f>
        <v/>
      </c>
    </row>
    <row r="41" ht="78" customHeight="1">
      <c r="A41" s="11" t="inlineStr">
        <is>
          <t>SR23-02-12-04</t>
        </is>
      </c>
      <c r="B41" s="11" t="inlineStr">
        <is>
          <t>跨平台构建、制品与灰度发布流水线</t>
        </is>
      </c>
      <c r="C41" s="11" t="inlineStr">
        <is>
          <t>SR23-02-12-02、SR23-02-12-03</t>
        </is>
      </c>
      <c r="D41" s="11" t="inlineStr">
        <is>
          <t>接口/运行集成依赖</t>
        </is>
      </c>
      <c r="E41" s="11" t="inlineStr">
        <is>
          <t>UNIT_TEST_TOOL 与 E2E_CHAOS_TOOL 的可调用入口</t>
        </is>
      </c>
      <c r="F41" s="11" t="inlineStr">
        <is>
          <t>否</t>
        </is>
      </c>
      <c r="G41" s="11" t="inlineStr">
        <is>
          <t>CI/CD 流水线（pipeline）、跨平台矩阵、制品库、canary/rollback 自动化</t>
        </is>
      </c>
      <c r="H41" s="11" t="inlineStr">
        <is>
          <t>任一质量门禁失败阻断；线上异常自动停止并回滚上一制品</t>
        </is>
      </c>
      <c r="I41" s="11">
        <f>IF(AND(E41&lt;&gt;"",F41="否",G41&lt;&gt;"",H41&lt;&gt;""),"PASS","REVIEW")</f>
        <v/>
      </c>
    </row>
    <row r="42" ht="78" customHeight="1">
      <c r="A42" s="11" t="inlineStr">
        <is>
          <t>SR23-02-12-05</t>
        </is>
      </c>
      <c r="B42" s="11" t="inlineStr">
        <is>
          <t>KVCache 工作负载回放与性能基准平台</t>
        </is>
      </c>
      <c r="C42" s="11" t="inlineStr">
        <is>
          <t>SR23-02-11-01</t>
        </is>
      </c>
      <c r="D42" s="11" t="inlineStr">
        <is>
          <t>接口/运行集成依赖</t>
        </is>
      </c>
      <c r="E42" s="11" t="inlineStr">
        <is>
          <t>TELEMETRY_SDK 与版本化 工作负载（workload） pack</t>
        </is>
      </c>
      <c r="F42" s="11" t="inlineStr">
        <is>
          <t>否</t>
        </is>
      </c>
      <c r="G42" s="11" t="inlineStr">
        <is>
          <t>工作负载（workload） generator、追踪（trace） 回放（replay）、基准测试（benchmark） 报告和版本基线库</t>
        </is>
      </c>
      <c r="H42" s="11" t="inlineStr">
        <is>
          <t>真实 追踪（trace） 不可用时使用固定 ShareGPT+Zipf 双轨；禁止把合成热点外推为生产承诺</t>
        </is>
      </c>
      <c r="I42" s="11">
        <f>IF(AND(E42&lt;&gt;"",F42="否",G42&lt;&gt;"",H42&lt;&gt;""),"PASS","REVIEW")</f>
        <v/>
      </c>
    </row>
  </sheetData>
  <mergeCells count="2">
    <mergeCell ref="A1:I1"/>
    <mergeCell ref="A2:I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selection activeCell="A1" sqref="A1"/>
    </sheetView>
  </sheetViews>
  <sheetFormatPr baseColWidth="8" defaultRowHeight="13.80000019073486"/>
  <cols>
    <col width="20" customWidth="1" min="1" max="1"/>
    <col width="30" customWidth="1" min="2" max="2"/>
    <col width="16" customWidth="1" min="3" max="3"/>
    <col width="42" customWidth="1" min="4" max="5"/>
    <col width="40" customWidth="1" min="6" max="6"/>
    <col width="46" customWidth="1" min="7" max="7"/>
    <col width="42" customWidth="1" min="8" max="8"/>
    <col width="16" customWidth="1" min="9" max="9"/>
    <col width="24" customWidth="1" min="10" max="10"/>
  </cols>
  <sheetData>
    <row r="1" ht="28.04999923706055" customHeight="1">
      <c r="A1" s="26" t="inlineStr">
        <is>
          <t>SR 独立验收矩阵</t>
        </is>
      </c>
    </row>
    <row r="2" ht="42" customHeight="1">
      <c r="A2" s="17" t="inlineStr">
        <is>
          <t>每条 SR 的 KPI 必须与该交付物直接相关；端到端项目 KPI 可作为上层联调门禁，但不能替代 SR 自身接口、正确性、性能和回滚验收。</t>
        </is>
      </c>
    </row>
    <row r="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</row>
    <row r="4" ht="34.04999923706055" customHeight="1">
      <c r="A4" s="12" t="inlineStr">
        <is>
          <t>SR ID</t>
        </is>
      </c>
      <c r="B4" s="12" t="inlineStr">
        <is>
          <t>SR 名称</t>
        </is>
      </c>
      <c r="C4" s="12" t="inlineStr">
        <is>
          <t>功能实体类型</t>
        </is>
      </c>
      <c r="D4" s="12" t="inlineStr">
        <is>
          <t>SR 专属 KPI</t>
        </is>
      </c>
      <c r="E4" s="12" t="inlineStr">
        <is>
          <t>独立验收环境</t>
        </is>
      </c>
      <c r="F4" s="12" t="inlineStr">
        <is>
          <t>对照基线/桩件</t>
        </is>
      </c>
      <c r="G4" s="12" t="inlineStr">
        <is>
          <t>必须覆盖的异常</t>
        </is>
      </c>
      <c r="H4" s="12" t="inlineStr">
        <is>
          <t>证据包</t>
        </is>
      </c>
      <c r="I4" s="12" t="inlineStr">
        <is>
          <t>阶段</t>
        </is>
      </c>
      <c r="J4" s="12" t="inlineStr">
        <is>
          <t>验收责任</t>
        </is>
      </c>
    </row>
    <row r="5" ht="82.05000305175781" customHeight="1">
      <c r="A5" s="11" t="inlineStr">
        <is>
          <t>SR23-01-01-01</t>
        </is>
      </c>
      <c r="B5" s="11" t="inlineStr">
        <is>
          <t>统一 KV 对象池核心组件</t>
        </is>
      </c>
      <c r="C5" s="11" t="inlineStr">
        <is>
          <t>组件库</t>
        </is>
      </c>
      <c r="D5" s="11" t="inlineStr">
        <is>
          <t>对象/存储区段（extent） 一致性错误=0；碎片率&lt;5%；10万对象查询 p99&lt;50μs；格式兼容测试通过率=100%</t>
        </is>
      </c>
      <c r="E5" s="11" t="inlineStr">
        <is>
          <t>单进程 模拟后端（MockBackend） + 文件型 SSD 仿真即可完成全套功能验收，不依赖真实集群</t>
        </is>
      </c>
      <c r="F5" s="11" t="inlineStr">
        <is>
          <t>能力提供器（Capability Provider） v1 契约或 模拟后端（MockBackend）；不要求真实 RDMA/SSD</t>
        </is>
      </c>
      <c r="G5" s="11" t="inlineStr">
        <is>
          <t>后端能力缺失时使用 模拟后端（MockBackend）/主机内存后端（HostMemoryBackend）；分配失败显式返回 OOM/UNSUPPORTED，不隐式跨层搬运</t>
        </is>
      </c>
      <c r="H5" s="11" t="inlineStr">
        <is>
          <t>版本/配置/原始数据/分位数/资源计数/异常结果/一键复现入口</t>
        </is>
      </c>
      <c r="I5" s="11" t="inlineStr">
        <is>
          <t>P0</t>
        </is>
      </c>
      <c r="J5" s="11" t="inlineStr">
        <is>
          <t>SR Owner + 独立测试负责人</t>
        </is>
      </c>
    </row>
    <row r="6" ht="82.05000305175781" customHeight="1">
      <c r="A6" s="11" t="inlineStr">
        <is>
          <t>SR23-01-01-02</t>
        </is>
      </c>
      <c r="B6" s="11" t="inlineStr">
        <is>
          <t>HBM↔SSD 分层容量与 DDR 角色插件</t>
        </is>
      </c>
      <c r="C6" s="11" t="inlineStr">
        <is>
          <t>策略插件</t>
        </is>
      </c>
      <c r="D6" s="11" t="inlineStr">
        <is>
          <t>HBM有效容量提升≥30%；OOM/抢占（preemption）降低≥50%；DDR角色必须证明净收益；策略额外开销&lt;2%</t>
        </is>
      </c>
      <c r="E6" s="11" t="inlineStr">
        <is>
          <t>存储池核心（Pool Core） + SSD后端桩（SSDBackendStub） + 工作负载回放（workload replay） 即可独立验收</t>
        </is>
      </c>
      <c r="F6" s="11" t="inlineStr">
        <is>
          <t>POOL_CORE 与 SSD_BACKEND 的接口桩；固定模型容量画像</t>
        </is>
      </c>
      <c r="G6" s="11" t="inlineStr">
        <is>
          <t>DDR 无持续正收益时退出 有效载荷（Payload） 主路径；复杂策略不优于基线时回退双水位+hysteresis</t>
        </is>
      </c>
      <c r="H6" s="11" t="inlineStr">
        <is>
          <t>版本/配置/原始数据/分位数/资源计数/异常结果/一键复现入口</t>
        </is>
      </c>
      <c r="I6" s="11" t="inlineStr">
        <is>
          <t>P0</t>
        </is>
      </c>
      <c r="J6" s="11" t="inlineStr">
        <is>
          <t>SR Owner + 独立测试负责人</t>
        </is>
      </c>
    </row>
    <row r="7" ht="82.05000305175781" customHeight="1">
      <c r="A7" s="11" t="inlineStr">
        <is>
          <t>SR23-01-01-03</t>
        </is>
      </c>
      <c r="B7" s="11" t="inlineStr">
        <is>
          <t>KV 生命周期、迁移与空间治理控制器</t>
        </is>
      </c>
      <c r="C7" s="11" t="inlineStr">
        <is>
          <t>组件服务</t>
        </is>
      </c>
      <c r="D7" s="11" t="inlineStr">
        <is>
          <t>错误释放/活跃对象误淘汰=0；迁移 TPOT 抖动&lt;5%；压紧可回滚；治理后碎片率&lt;5%</t>
        </is>
      </c>
      <c r="E7" s="11" t="inlineStr">
        <is>
          <t>存储池核心（Pool Core） + MockMover + 并发 reader/writer 测试即可独立验收</t>
        </is>
      </c>
      <c r="F7" s="11" t="inlineStr">
        <is>
          <t>POOL_CORE、CONSISTENCY_SERVICE 与 MockMover</t>
        </is>
      </c>
      <c r="G7" s="11" t="inlineStr">
        <is>
          <t>迁移失败回滚旧 放置位置（Placement）；高负载时暂停后台治理；硬件 重映射（remap） 不可用时使用 RCU/copy-on-migrate</t>
        </is>
      </c>
      <c r="H7" s="11" t="inlineStr">
        <is>
          <t>版本/配置/原始数据/分位数/资源计数/异常结果/一键复现入口</t>
        </is>
      </c>
      <c r="I7" s="11" t="inlineStr">
        <is>
          <t>P0</t>
        </is>
      </c>
      <c r="J7" s="11" t="inlineStr">
        <is>
          <t>SR Owner + 独立测试负责人</t>
        </is>
      </c>
    </row>
    <row r="8" ht="82.05000305175781" customHeight="1">
      <c r="A8" s="11" t="inlineStr">
        <is>
          <t>SR23-01-02-01</t>
        </is>
      </c>
      <c r="B8" s="11" t="inlineStr">
        <is>
          <t>跨框架布局与批量传输描述编译器</t>
        </is>
      </c>
      <c r="C8" s="11" t="inlineStr">
        <is>
          <t>组件库</t>
        </is>
      </c>
      <c r="D8" s="11" t="inlineStr">
        <is>
          <t>描述符（descriptor） 数下降≥50%；CPU提交时延（CPU submit time）下降≥40%；布局协商错误=0；黄金用例（golden case） 100%通过</t>
        </is>
      </c>
      <c r="E8" s="11" t="inlineStr">
        <is>
          <t>两种框架 布局测试夹具（layout fixture） + 模拟提供器（MockProvider） 即可独立验收</t>
        </is>
      </c>
      <c r="F8" s="11" t="inlineStr">
        <is>
          <t>POOL_CORE、CAP_ROUTER 契约或 测试夹具（fixture）</t>
        </is>
      </c>
      <c r="G8" s="11" t="inlineStr">
        <is>
          <t>布局不兼容时返回显式 转换（transform） 或 RECOMPUTE；禁止隐式错误 附加（attach）</t>
        </is>
      </c>
      <c r="H8" s="11" t="inlineStr">
        <is>
          <t>版本/配置/原始数据/分位数/资源计数/异常结果/一键复现入口</t>
        </is>
      </c>
      <c r="I8" s="11" t="inlineStr">
        <is>
          <t>P0</t>
        </is>
      </c>
      <c r="J8" s="11" t="inlineStr">
        <is>
          <t>SR Owner + 独立测试负责人</t>
        </is>
      </c>
    </row>
    <row r="9" ht="82.05000305175781" customHeight="1">
      <c r="A9" s="11" t="inlineStr">
        <is>
          <t>SR23-01-03-01</t>
        </is>
      </c>
      <c r="B9" s="11" t="inlineStr">
        <is>
          <t>查询计划（QueryPlan） 与多副本成本决策引擎</t>
        </is>
      </c>
      <c r="C9" s="11" t="inlineStr">
        <is>
          <t>组件服务</t>
        </is>
      </c>
      <c r="D9" s="11" t="inlineStr">
        <is>
          <t>策略 p99&lt;5μs；路径选择准确率≥90%；成本预测误差&lt;20%；错误 加载（Load）&lt;1%</t>
        </is>
      </c>
      <c r="E9" s="11" t="inlineStr">
        <is>
          <t>录制的 候选项（candidate）/遥测数据（telemetry） 测试夹具（fixture） + 离线 oracle 即可独立验收</t>
        </is>
      </c>
      <c r="F9" s="11" t="inlineStr">
        <is>
          <t>PATH_ROUTER、DIRECTORY_FASTPATH 接口桩和固定 工作负载（workload）</t>
        </is>
      </c>
      <c r="G9" s="11" t="inlineStr">
        <is>
          <t>成本估计不可信或超预算时选择本地副本/部分重算（partial recompute）/重算（recompute）</t>
        </is>
      </c>
      <c r="H9" s="11" t="inlineStr">
        <is>
          <t>版本/配置/原始数据/分位数/资源计数/异常结果/一键复现入口</t>
        </is>
      </c>
      <c r="I9" s="11" t="inlineStr">
        <is>
          <t>P0</t>
        </is>
      </c>
      <c r="J9" s="11" t="inlineStr">
        <is>
          <t>SR Owner + 独立测试负责人</t>
        </is>
      </c>
    </row>
    <row r="10" ht="82.05000305175781" customHeight="1">
      <c r="A10" s="11" t="inlineStr">
        <is>
          <t>SR23-01-03-02</t>
        </is>
      </c>
      <c r="B10" s="11" t="inlineStr">
        <is>
          <t>统一传输意图与粒度分发组件</t>
        </is>
      </c>
      <c r="C10" s="11" t="inlineStr">
        <is>
          <t>组件库</t>
        </is>
      </c>
      <c r="D10" s="11" t="inlineStr">
        <is>
          <t>跨框架语义一致性测试100%；错误 提供器（Provider） 路由=0；单次归一化 p99&lt;3μs</t>
        </is>
      </c>
      <c r="E10" s="11" t="inlineStr">
        <is>
          <t>模式一致性（Schema conformance） + 三种 模拟提供器（MockProvider） 即可独立验收</t>
        </is>
      </c>
      <c r="F10" s="11" t="inlineStr">
        <is>
          <t>CONNECTOR_PROTOCOL 与 CAP_ROUTER 契约</t>
        </is>
      </c>
      <c r="G10" s="11" t="inlineStr">
        <is>
          <t>提供器（Provider） 不支持时返回 UNSUPPORTED 并交由 查询计划（QueryPlan） 切副本或重算</t>
        </is>
      </c>
      <c r="H10" s="11" t="inlineStr">
        <is>
          <t>版本/配置/原始数据/分位数/资源计数/异常结果/一键复现入口</t>
        </is>
      </c>
      <c r="I10" s="11" t="inlineStr">
        <is>
          <t>P0</t>
        </is>
      </c>
      <c r="J10" s="11" t="inlineStr">
        <is>
          <t>SR Owner + 独立测试负责人</t>
        </is>
      </c>
    </row>
    <row r="11" ht="82.05000305175781" customHeight="1">
      <c r="A11" s="11" t="inlineStr">
        <is>
          <t>SR23-01-04-01</t>
        </is>
      </c>
      <c r="B11" s="11" t="inlineStr">
        <is>
          <t>异步传输 有向无环图（DAG） 与流水加载执行器</t>
        </is>
      </c>
      <c r="C11" s="11" t="inlineStr">
        <is>
          <t>组件服务</t>
        </is>
      </c>
      <c r="D11" s="11" t="inlineStr">
        <is>
          <t>计算/传输重叠≥60%；取消资源泄漏=0；部分完成状态一致；预填充/解码交接（P/D handoff） p99降低≥20%</t>
        </is>
      </c>
      <c r="E11" s="11" t="inlineStr">
        <is>
          <t>描述符编译器（DescriptorCompiler） + 模拟提供器（MockProvider） + 模拟时钟（fake clock） 即可独立验收</t>
        </is>
      </c>
      <c r="F11" s="11" t="inlineStr">
        <is>
          <t>DESCRIPTOR_COMPILER、TRANSFER_INTENT 及 模拟提供器（MockProvider）</t>
        </is>
      </c>
      <c r="G11" s="11" t="inlineStr">
        <is>
          <t>截止时限（deadline） 到期取消未提交任务；部分目标失败隔离重试；主路径失败切备用 提供器（Provider）</t>
        </is>
      </c>
      <c r="H11" s="11" t="inlineStr">
        <is>
          <t>版本/配置/原始数据/分位数/资源计数/异常结果/一键复现入口</t>
        </is>
      </c>
      <c r="I11" s="11" t="inlineStr">
        <is>
          <t>P1</t>
        </is>
      </c>
      <c r="J11" s="11" t="inlineStr">
        <is>
          <t>SR Owner + 独立测试负责人</t>
        </is>
      </c>
    </row>
    <row r="12" ht="82.05000305175781" customHeight="1">
      <c r="A12" s="11" t="inlineStr">
        <is>
          <t>SR23-01-04-02</t>
        </is>
      </c>
      <c r="B12" s="11" t="inlineStr">
        <is>
          <t>一对多共享与可选多播 提供器（Provider）</t>
        </is>
      </c>
      <c r="C12" s="11" t="inlineStr">
        <is>
          <t>可选插件</t>
        </is>
      </c>
      <c r="D12" s="11" t="inlineStr">
        <is>
          <t>重复远端拉取下降≥50%；错误共享/租约泄漏=0；源端带宽增长显著低于 O(N)</t>
        </is>
      </c>
      <c r="E12" s="11" t="inlineStr">
        <is>
          <t>1源+2/4/8 模拟消费者（MockConsumer） 即可独立验收</t>
        </is>
      </c>
      <c r="F12" s="11" t="inlineStr">
        <is>
          <t>ASYNC_DAG 与 SHARED_ATTACH</t>
        </is>
      </c>
      <c r="G12" s="11" t="inlineStr">
        <is>
          <t>硬件多播无收益或不可用时回退软件 扇出分发（fanout）；单目标失败不阻塞其他目标</t>
        </is>
      </c>
      <c r="H12" s="11" t="inlineStr">
        <is>
          <t>版本/配置/原始数据/分位数/资源计数/异常结果/一键复现入口</t>
        </is>
      </c>
      <c r="I12" s="11" t="inlineStr">
        <is>
          <t>P3</t>
        </is>
      </c>
      <c r="J12" s="11" t="inlineStr">
        <is>
          <t>SR Owner + 独立测试负责人</t>
        </is>
      </c>
    </row>
    <row r="13" ht="82.05000305175781" customHeight="1">
      <c r="A13" s="11" t="inlineStr">
        <is>
          <t>SR23-01-05-01</t>
        </is>
      </c>
      <c r="B13" s="11" t="inlineStr">
        <is>
          <t>路径质量探测与动态路由组件</t>
        </is>
      </c>
      <c r="C13" s="11" t="inlineStr">
        <is>
          <t>组件服务</t>
        </is>
      </c>
      <c r="D13" s="11" t="inlineStr">
        <is>
          <t>路径选择准确率≥90%；切换&lt;200ms；探测开销&lt;0.5%带宽；无效路径选择=0</t>
        </is>
      </c>
      <c r="E13" s="11" t="inlineStr">
        <is>
          <t>三条模拟路径与故障注入即可独立验收</t>
        </is>
      </c>
      <c r="F13" s="11" t="inlineStr">
        <is>
          <t>CAP_ROUTER 与 提供器（Provider） 模拟器</t>
        </is>
      </c>
      <c r="G13" s="11" t="inlineStr">
        <is>
          <t>质量噪声过大时使用静态白名单；探测失败不阻塞数据面；故障路径立即摘除</t>
        </is>
      </c>
      <c r="H13" s="11" t="inlineStr">
        <is>
          <t>版本/配置/原始数据/分位数/资源计数/异常结果/一键复现入口</t>
        </is>
      </c>
      <c r="I13" s="11" t="inlineStr">
        <is>
          <t>P1</t>
        </is>
      </c>
      <c r="J13" s="11" t="inlineStr">
        <is>
          <t>SR Owner + 独立测试负责人</t>
        </is>
      </c>
    </row>
    <row r="14" ht="82.05000305175781" customHeight="1">
      <c r="A14" s="11" t="inlineStr">
        <is>
          <t>SR23-01-06-01</t>
        </is>
      </c>
      <c r="B14" s="11" t="inlineStr">
        <is>
          <t>跨节点 RDMA 零拷贝 提供器（Provider）</t>
        </is>
      </c>
      <c r="C14" s="11" t="inlineStr">
        <is>
          <t>后端插件</t>
        </is>
      </c>
      <c r="D14" s="11" t="inlineStr">
        <is>
          <t>有效带宽≥线速80%；CPU 有效载荷（Payload） 复制（copy）=0；提交开销&lt;50μs；越界访问=0</t>
        </is>
      </c>
      <c r="E14" s="11" t="inlineStr">
        <is>
          <t>loopback/模拟器（simulator） 可完成接口与错误测试；真实硬件用于性能门禁</t>
        </is>
      </c>
      <c r="F14" s="11" t="inlineStr">
        <is>
          <t>CAP_ROUTER、INTEGRITY_EVIDENCE 和 rdma 模拟器（simulator）</t>
        </is>
      </c>
      <c r="G14" s="11" t="inlineStr">
        <is>
          <t>GPUDirect/NPU Direct 不支持时显式返回 STAGED_ONLY；由上层决定是否限流使用</t>
        </is>
      </c>
      <c r="H14" s="11" t="inlineStr">
        <is>
          <t>版本/配置/原始数据/分位数/资源计数/异常结果/一键复现入口</t>
        </is>
      </c>
      <c r="I14" s="11" t="inlineStr">
        <is>
          <t>P0</t>
        </is>
      </c>
      <c r="J14" s="11" t="inlineStr">
        <is>
          <t>SR Owner + 独立测试负责人</t>
        </is>
      </c>
    </row>
    <row r="15" ht="82.05000305175781" customHeight="1">
      <c r="A15" s="11" t="inlineStr">
        <is>
          <t>SR23-01-07-01</t>
        </is>
      </c>
      <c r="B15" s="11" t="inlineStr">
        <is>
          <t>UBMEM/C2C 直接视图（Direct View） 安全访问 提供器（Provider）</t>
        </is>
      </c>
      <c r="C15" s="11" t="inlineStr">
        <is>
          <t>后端插件</t>
        </is>
      </c>
      <c r="D15" s="11" t="inlineStr">
        <is>
          <t>陈旧（stale）/越界 视图（view）=0；撤销（revoke） p99&lt;1ms；安全区 TPOT p99回退&lt;3%；主机有效载荷访问（Host Payload touch）=0</t>
        </is>
      </c>
      <c r="E15" s="11" t="inlineStr">
        <is>
          <t>UBMEM 模拟器（simulator） + page-fault/撤销（revoke） 注入即可独立验收</t>
        </is>
      </c>
      <c r="F15" s="11" t="inlineStr">
        <is>
          <t>CAP_ROUTER、INTEGRITY_EVIDENCE、SECURE_LIFECYCLE</t>
        </is>
      </c>
      <c r="G15" s="11" t="inlineStr">
        <is>
          <t>不在安全区或远端 停顿（stall） 超阈值时 复制到 HBM（copy-to-HBM）；失效后禁止继续访问</t>
        </is>
      </c>
      <c r="H15" s="11" t="inlineStr">
        <is>
          <t>版本/配置/原始数据/分位数/资源计数/异常结果/一键复现入口</t>
        </is>
      </c>
      <c r="I15" s="11" t="inlineStr">
        <is>
          <t>P0</t>
        </is>
      </c>
      <c r="J15" s="11" t="inlineStr">
        <is>
          <t>SR Owner + 独立测试负责人</t>
        </is>
      </c>
    </row>
    <row r="16" ht="82.05000305175781" customHeight="1">
      <c r="A16" s="11" t="inlineStr">
        <is>
          <t>SR23-01-08-01</t>
        </is>
      </c>
      <c r="B16" s="11" t="inlineStr">
        <is>
          <t>HBM↔SSD/对象存储（SSD/Object） 容量后端</t>
        </is>
      </c>
      <c r="C16" s="11" t="inlineStr">
        <is>
          <t>后端插件</t>
        </is>
      </c>
      <c r="D16" s="11" t="inlineStr">
        <is>
          <t>顺序带宽≥设备峰值80%；错误/半写消费=0；主路径 主机有效载荷访问（Host Payload touch）=0</t>
        </is>
      </c>
      <c r="E16" s="11" t="inlineStr">
        <is>
          <t>文件后端可做功能验收；NVMe/对象存储用于性能门禁</t>
        </is>
      </c>
      <c r="F16" s="11" t="inlineStr">
        <is>
          <t>CAP_ROUTER、INTEGRITY_EVIDENCE 与文件型 提供器（Provider） 桩</t>
        </is>
      </c>
      <c r="G16" s="11" t="inlineStr">
        <is>
          <t>Direct Storage 不可用时返回 分阶段暂存（staged） 能力与明确 Host 预算，不伪装直达</t>
        </is>
      </c>
      <c r="H16" s="11" t="inlineStr">
        <is>
          <t>版本/配置/原始数据/分位数/资源计数/异常结果/一键复现入口</t>
        </is>
      </c>
      <c r="I16" s="11" t="inlineStr">
        <is>
          <t>P0 子集 + P1 完整</t>
        </is>
      </c>
      <c r="J16" s="11" t="inlineStr">
        <is>
          <t>SR Owner + 独立测试负责人</t>
        </is>
      </c>
    </row>
    <row r="17" ht="82.05000305175781" customHeight="1">
      <c r="A17" s="11" t="inlineStr">
        <is>
          <t>SR23-01-08-02</t>
        </is>
      </c>
      <c r="B17" s="11" t="inlineStr">
        <is>
          <t>DPU/硬件 编解码器（Codec） 条件卸载插件包</t>
        </is>
      </c>
      <c r="C17" s="11" t="inlineStr">
        <is>
          <t>条件插件</t>
        </is>
      </c>
      <c r="D17" s="11" t="inlineStr">
        <is>
          <t>有硬件时 Host CPU下降≥30%且端到端净收益为正；故障旁路成功率100%</t>
        </is>
      </c>
      <c r="E17" s="11" t="inlineStr">
        <is>
          <t>无硬件时完成 不支持（Not Supported） 契约验收；有硬件时执行 A/B</t>
        </is>
      </c>
      <c r="F17" s="11" t="inlineStr">
        <is>
          <t>CAP_ROUTER 与 SSD_BACKEND/RDMA_PROVIDER 接口</t>
        </is>
      </c>
      <c r="G17" s="11" t="inlineStr">
        <is>
          <t>硬件不可用/无净收益/故障时旁路为 原始/直接（raw/direct）；禁止切 CPU 编解码器（codec）</t>
        </is>
      </c>
      <c r="H17" s="11" t="inlineStr">
        <is>
          <t>版本/配置/原始数据/分位数/资源计数/异常结果/一键复现入口</t>
        </is>
      </c>
      <c r="I17" s="11" t="inlineStr">
        <is>
          <t>P3</t>
        </is>
      </c>
      <c r="J17" s="11" t="inlineStr">
        <is>
          <t>SR Owner + 独立测试负责人</t>
        </is>
      </c>
    </row>
    <row r="18" ht="82.05000305175781" customHeight="1">
      <c r="A18" s="11" t="inlineStr">
        <is>
          <t>SR23-01-09-01</t>
        </is>
      </c>
      <c r="B18" s="11" t="inlineStr">
        <is>
          <t>统一 能力（Capability） 注册表（Registry） 与 互联网络路由器（Fabric Router）</t>
        </is>
      </c>
      <c r="C18" s="11" t="inlineStr">
        <is>
          <t>平台组件</t>
        </is>
      </c>
      <c r="D18" s="11" t="inlineStr">
        <is>
          <t>能力字段覆盖率100%；错误路由=0；互联网络路由器（Fabric Router） p99&lt;3μs；所有 分阶段暂存（staged） 路径可审计</t>
        </is>
      </c>
      <c r="E18" s="11" t="inlineStr">
        <is>
          <t>三类 模拟提供器（MockProvider） 即可独立完成 SDK 和路由验收</t>
        </is>
      </c>
      <c r="F18" s="11" t="inlineStr">
        <is>
          <t>提供器（Provider） SDK 自带 模拟提供器（MockProvider），无外部前置</t>
        </is>
      </c>
      <c r="G18" s="11" t="inlineStr">
        <is>
          <t>能力缺失时关闭 功能开关（feature flag）；分阶段暂存（staged） 例外显式可见、可限流、可禁用</t>
        </is>
      </c>
      <c r="H18" s="11" t="inlineStr">
        <is>
          <t>版本/配置/原始数据/分位数/资源计数/异常结果/一键复现入口</t>
        </is>
      </c>
      <c r="I18" s="11" t="inlineStr">
        <is>
          <t>P0</t>
        </is>
      </c>
      <c r="J18" s="11" t="inlineStr">
        <is>
          <t>SR Owner + 独立测试负责人</t>
        </is>
      </c>
    </row>
    <row r="19" ht="82.05000305175781" customHeight="1">
      <c r="A19" s="11" t="inlineStr">
        <is>
          <t>SR23-01-10-01</t>
        </is>
      </c>
      <c r="B19" s="11" t="inlineStr">
        <is>
          <t>共享 附加（Attach）、租约引用与快速回退组件</t>
        </is>
      </c>
      <c r="C19" s="11" t="inlineStr">
        <is>
          <t>组件库</t>
        </is>
      </c>
      <c r="D19" s="11" t="inlineStr">
        <is>
          <t>陈旧视图故障（stale view fault）=0；回退（fallback）成功率100%；重复远端拉取下降≥50%；租约泄漏=0</t>
        </is>
      </c>
      <c r="E19" s="11" t="inlineStr">
        <is>
          <t>连接器（Connector） 测试夹具（fixture） + MockObjectStore 即可独立验收</t>
        </is>
      </c>
      <c r="F19" s="11" t="inlineStr">
        <is>
          <t>CONNECTOR_PROTOCOL、CONSISTENCY_SERVICE、INTEGRITY_EVIDENCE</t>
        </is>
      </c>
      <c r="G19" s="11" t="inlineStr">
        <is>
          <t>加载/状态失败切备用副本或重算；失效租约立即阻断消费</t>
        </is>
      </c>
      <c r="H19" s="11" t="inlineStr">
        <is>
          <t>版本/配置/原始数据/分位数/资源计数/异常结果/一键复现入口</t>
        </is>
      </c>
      <c r="I19" s="11" t="inlineStr">
        <is>
          <t>P0</t>
        </is>
      </c>
      <c r="J19" s="11" t="inlineStr">
        <is>
          <t>SR Owner + 独立测试负责人</t>
        </is>
      </c>
    </row>
    <row r="20" ht="82.05000305175781" customHeight="1">
      <c r="A20" s="11" t="inlineStr">
        <is>
          <t>SR23-01-11-01</t>
        </is>
      </c>
      <c r="B20" s="11" t="inlineStr">
        <is>
          <t>KV 发布、可见性与迁移一致性服务</t>
        </is>
      </c>
      <c r="C20" s="11" t="inlineStr">
        <is>
          <t>组件服务</t>
        </is>
      </c>
      <c r="D20" s="11" t="inlineStr">
        <is>
          <t>错误/半写对象可见=0；释放后使用（use-after-free）=0；发布恢复成功率100%；迁移抖动&lt;5%</t>
        </is>
      </c>
      <c r="E20" s="11" t="inlineStr">
        <is>
          <t>内存状态机 + 并发/故障注入即可独立验收</t>
        </is>
      </c>
      <c r="F20" s="11" t="inlineStr">
        <is>
          <t>POOL_CORE 与 INTEGRITY_EVIDENCE</t>
        </is>
      </c>
      <c r="G20" s="11" t="inlineStr">
        <is>
          <t>发布中断回滚 提交日志（commit log）；证据不足保持 NOT_READY；异常副本 隔离（quarantine）</t>
        </is>
      </c>
      <c r="H20" s="11" t="inlineStr">
        <is>
          <t>版本/配置/原始数据/分位数/资源计数/异常结果/一键复现入口</t>
        </is>
      </c>
      <c r="I20" s="11" t="inlineStr">
        <is>
          <t>P0</t>
        </is>
      </c>
      <c r="J20" s="11" t="inlineStr">
        <is>
          <t>SR Owner + 独立测试负责人</t>
        </is>
      </c>
    </row>
    <row r="21" ht="82.05000305175781" customHeight="1">
      <c r="A21" s="11" t="inlineStr">
        <is>
          <t>SR23-01-11-02</t>
        </is>
      </c>
      <c r="B21" s="11" t="inlineStr">
        <is>
          <t>多租户隔离与前后台传输 QoS 控制器</t>
        </is>
      </c>
      <c r="C21" s="11" t="inlineStr">
        <is>
          <t>组件服务</t>
        </is>
      </c>
      <c r="D21" s="11" t="inlineStr">
        <is>
          <t>TPOT p99回退&lt;3%；租户间干扰&lt;5%；越权访问=0；后台干扰降低≥50%</t>
        </is>
      </c>
      <c r="E21" s="11" t="inlineStr">
        <is>
          <t>软件队列模拟器 + 混压 工作负载（workload） 即可独立验收</t>
        </is>
      </c>
      <c r="F21" s="11" t="inlineStr">
        <is>
          <t>CONSISTENCY_SERVICE、CAP_ROUTER 与 MockQueue</t>
        </is>
      </c>
      <c r="G21" s="11" t="inlineStr">
        <is>
          <t>硬件 TC 不可用时使用软件队列；超预算暂停后台任务；前台超时回退重算</t>
        </is>
      </c>
      <c r="H21" s="11" t="inlineStr">
        <is>
          <t>版本/配置/原始数据/分位数/资源计数/异常结果/一键复现入口</t>
        </is>
      </c>
      <c r="I21" s="11" t="inlineStr">
        <is>
          <t>P0</t>
        </is>
      </c>
      <c r="J21" s="11" t="inlineStr">
        <is>
          <t>SR Owner + 独立测试负责人</t>
        </is>
      </c>
    </row>
    <row r="22" ht="82.05000305175781" customHeight="1">
      <c r="A22" s="11" t="inlineStr">
        <is>
          <t>SR23-01-12-01</t>
        </is>
      </c>
      <c r="B22" s="11" t="inlineStr">
        <is>
          <t>按路径完整性证据与 RAS 故障映射组件</t>
        </is>
      </c>
      <c r="C22" s="11" t="inlineStr">
        <is>
          <t>平台组件</t>
        </is>
      </c>
      <c r="D22" s="11" t="inlineStr">
        <is>
          <t>错误/过期 KV 被消费=0；故障注入覆盖率100%；主路径 CPU 全量 CRC=0</t>
        </is>
      </c>
      <c r="E22" s="11" t="inlineStr">
        <is>
          <t>FakeProvider + 半写/ECC/超时/乱序注入即可独立验收</t>
        </is>
      </c>
      <c r="F22" s="11" t="inlineStr">
        <is>
          <t>CAP_ROUTER 提供器（Provider） SDK 与 FakeProvider</t>
        </is>
      </c>
      <c r="G22" s="11" t="inlineStr">
        <is>
          <t>证据不足不得 就绪状态（ready）；无硬件校验时使用后端已有证据或回退重算</t>
        </is>
      </c>
      <c r="H22" s="11" t="inlineStr">
        <is>
          <t>版本/配置/原始数据/分位数/资源计数/异常结果/一键复现入口</t>
        </is>
      </c>
      <c r="I22" s="11" t="inlineStr">
        <is>
          <t>P0</t>
        </is>
      </c>
      <c r="J22" s="11" t="inlineStr">
        <is>
          <t>SR Owner + 独立测试负责人</t>
        </is>
      </c>
    </row>
    <row r="23" ht="82.05000305175781" customHeight="1">
      <c r="A23" s="11" t="inlineStr">
        <is>
          <t>SR23-01-12-02</t>
        </is>
      </c>
      <c r="B23" s="11" t="inlineStr">
        <is>
          <t>安全访问、资源下线与地址切换组件</t>
        </is>
      </c>
      <c r="C23" s="11" t="inlineStr">
        <is>
          <t>平台组件</t>
        </is>
      </c>
      <c r="D23" s="11" t="inlineStr">
        <is>
          <t>越权访问=0；安全释放后残留读取=0；视图（view） 撤销（revoke） p99&lt;1ms；失败可回滚</t>
        </is>
      </c>
      <c r="E23" s="11" t="inlineStr">
        <is>
          <t>IOMMU/MR 模拟器 + 并发 租约（lease） 测试即可独立验收</t>
        </is>
      </c>
      <c r="F23" s="11" t="inlineStr">
        <is>
          <t>CONSISTENCY_SERVICE 与 INTEGRITY_EVIDENCE</t>
        </is>
      </c>
      <c r="G23" s="11" t="inlineStr">
        <is>
          <t>硬件 重映射（remap） 不可用时使用 RCU+copy-on-migrate；无法安全下线时保持隔离</t>
        </is>
      </c>
      <c r="H23" s="11" t="inlineStr">
        <is>
          <t>版本/配置/原始数据/分位数/资源计数/异常结果/一键复现入口</t>
        </is>
      </c>
      <c r="I23" s="11" t="inlineStr">
        <is>
          <t>P0</t>
        </is>
      </c>
      <c r="J23" s="11" t="inlineStr">
        <is>
          <t>SR Owner + 独立测试负责人</t>
        </is>
      </c>
    </row>
    <row r="24" ht="82.05000305175781" customHeight="1">
      <c r="A24" s="11" t="inlineStr">
        <is>
          <t>SR23-02-01-01</t>
        </is>
      </c>
      <c r="B24" s="11" t="inlineStr">
        <is>
          <t>vLLM/SGLang 统一 KV连接器（KVConnector） 协议与插件 SDK</t>
        </is>
      </c>
      <c r="C24" s="11" t="inlineStr">
        <is>
          <t>协议与 SDK</t>
        </is>
      </c>
      <c r="D24" s="11" t="inlineStr">
        <is>
          <t>符合性（conformance）通过率100%；接口调用 p99&lt;5μs；新后端接入工期降低≥50%</t>
        </is>
      </c>
      <c r="E24" s="11" t="inlineStr">
        <is>
          <t>Reference 连接器（Connector） + 两个框架 适配器（adapter） mock 即可独立验收</t>
        </is>
      </c>
      <c r="F24" s="11" t="inlineStr">
        <is>
          <t>Reference 连接器（Connector） 自包含，无外部前置</t>
        </is>
      </c>
      <c r="G24" s="11" t="inlineStr">
        <is>
          <t>插件缺失或版本不兼容时禁用统一池并回到框架原生 cache/重算（recompute）</t>
        </is>
      </c>
      <c r="H24" s="11" t="inlineStr">
        <is>
          <t>版本/配置/原始数据/分位数/资源计数/异常结果/一键复现入口</t>
        </is>
      </c>
      <c r="I24" s="11" t="inlineStr">
        <is>
          <t>P0</t>
        </is>
      </c>
      <c r="J24" s="11" t="inlineStr">
        <is>
          <t>SR Owner + 独立测试负责人</t>
        </is>
      </c>
    </row>
    <row r="25" ht="82.05000305175781" customHeight="1">
      <c r="A25" s="11" t="inlineStr">
        <is>
          <t>SR23-02-02-01</t>
        </is>
      </c>
      <c r="B25" s="11" t="inlineStr">
        <is>
          <t>前缀预算（Prefix Budget）、加载与重算（load-vs-recompute） 与水位准入组件</t>
        </is>
      </c>
      <c r="C25" s="11" t="inlineStr">
        <is>
          <t>框架插件</t>
        </is>
      </c>
      <c r="D25" s="11" t="inlineStr">
        <is>
          <t>p99 TTFT降低≥20%；废弃远端加载（abandoned remote load）降低≥50%；错误 加载（Load）&lt;1%</t>
        </is>
      </c>
      <c r="E25" s="11" t="inlineStr">
        <is>
          <t>调度器（Scheduler） 测试支架（harness） + 查询计划（QueryPlan）/目录（Directory） 桩（stub） 即可独立验收</t>
        </is>
      </c>
      <c r="F25" s="11" t="inlineStr">
        <is>
          <t>CONNECTOR_PROTOCOL、QUERYPLAN_ENGINE、DIRECTORY_FASTPATH 桩</t>
        </is>
      </c>
      <c r="G25" s="11" t="inlineStr">
        <is>
          <t>预算超时、成本不可信或水位过高时 partial/重算（recompute）；不得等待远端负收益 加载（Load）</t>
        </is>
      </c>
      <c r="H25" s="11" t="inlineStr">
        <is>
          <t>版本/配置/原始数据/分位数/资源计数/异常结果/一键复现入口</t>
        </is>
      </c>
      <c r="I25" s="11" t="inlineStr">
        <is>
          <t>P0</t>
        </is>
      </c>
      <c r="J25" s="11" t="inlineStr">
        <is>
          <t>SR Owner + 独立测试负责人</t>
        </is>
      </c>
    </row>
    <row r="26" ht="82.05000305175781" customHeight="1">
      <c r="A26" s="11" t="inlineStr">
        <is>
          <t>SR23-02-02-02</t>
        </is>
      </c>
      <c r="B26" s="11" t="inlineStr">
        <is>
          <t>缓存感知（Cache-aware） 路由与异构存储调度插件</t>
        </is>
      </c>
      <c r="C26" s="11" t="inlineStr">
        <is>
          <t>框架插件</t>
        </is>
      </c>
      <c r="D26" s="11" t="inlineStr">
        <is>
          <t>本地可用命中（Local Usable Hit）提升≥25%；跨节点每请求字节数（bytes/request）降低≥30%；过载不崩溃</t>
        </is>
      </c>
      <c r="E26" s="11" t="inlineStr">
        <is>
          <t>多实例 调度器模拟器（scheduler simulator） + 目录 桩（stub） 即可独立验收</t>
        </is>
      </c>
      <c r="F26" s="11" t="inlineStr">
        <is>
          <t>ADMISSION_ENGINE、DIRECTORY_CORE、POOL_CORE 接口桩</t>
        </is>
      </c>
      <c r="G26" s="11" t="inlineStr">
        <is>
          <t>目录/水位不可用时回退普通路由；系统过载时平滑拒绝</t>
        </is>
      </c>
      <c r="H26" s="11" t="inlineStr">
        <is>
          <t>版本/配置/原始数据/分位数/资源计数/异常结果/一键复现入口</t>
        </is>
      </c>
      <c r="I26" s="11" t="inlineStr">
        <is>
          <t>P0 子集 + P1 完整</t>
        </is>
      </c>
      <c r="J26" s="11" t="inlineStr">
        <is>
          <t>SR Owner + 独立测试负责人</t>
        </is>
      </c>
    </row>
    <row r="27" ht="82.05000305175781" customHeight="1">
      <c r="A27" s="11" t="inlineStr">
        <is>
          <t>SR23-02-03-01</t>
        </is>
      </c>
      <c r="B27" s="11" t="inlineStr">
        <is>
          <t>跨框架低时延 前缀匹配引擎（Prefix Match Engine）</t>
        </is>
      </c>
      <c r="C27" s="11" t="inlineStr">
        <is>
          <t>组件库</t>
        </is>
      </c>
      <c r="D27" s="11" t="inlineStr">
        <is>
          <t>查询（lookup） p99&lt;200μs；100并发吞吐提升≥8x；匹配正确率100%</t>
        </is>
      </c>
      <c r="E27" s="11" t="inlineStr">
        <is>
          <t>固定索引 测试夹具（fixture） + 并发查询即可独立验收</t>
        </is>
      </c>
      <c r="F27" s="11" t="inlineStr">
        <is>
          <t>CONNECTOR_PROTOCOL 的 SemanticIdentity 定义</t>
        </is>
      </c>
      <c r="G27" s="11" t="inlineStr">
        <is>
          <t>加速实现不可用时使用 参考匹配器（reference matcher）；不得返回未经语义校验的候选</t>
        </is>
      </c>
      <c r="H27" s="11" t="inlineStr">
        <is>
          <t>版本/配置/原始数据/分位数/资源计数/异常结果/一键复现入口</t>
        </is>
      </c>
      <c r="I27" s="11" t="inlineStr">
        <is>
          <t>P0 子集 + P1 完整</t>
        </is>
      </c>
      <c r="J27" s="11" t="inlineStr">
        <is>
          <t>SR Owner + 独立测试负责人</t>
        </is>
      </c>
    </row>
    <row r="28" ht="82.05000305175781" customHeight="1">
      <c r="A28" s="11" t="inlineStr">
        <is>
          <t>SR23-02-04-01</t>
        </is>
      </c>
      <c r="B28" s="11" t="inlineStr">
        <is>
          <t>本地元数据缓存与批量快判组件</t>
        </is>
      </c>
      <c r="C28" s="11" t="inlineStr">
        <is>
          <t>组件库</t>
        </is>
      </c>
      <c r="D28" s="11" t="inlineStr">
        <is>
          <t>本地命中&lt;10μs；确定 miss p99&lt;5μs；远端查询QPS降低≥50%；FPR&lt;0.1%</t>
        </is>
      </c>
      <c r="E28" s="11" t="inlineStr">
        <is>
          <t>内存数据集 + fake 远端目录（remote directory） 即可独立验收</t>
        </is>
      </c>
      <c r="F28" s="11" t="inlineStr">
        <is>
          <t>PREFIX_ENGINE 与 DIRECTORY_CORE 桩（stub）</t>
        </is>
      </c>
      <c r="G28" s="11" t="inlineStr">
        <is>
          <t>缓存过期或不确定时发起精确查询；禁止将 陈旧（stale） 数据作为 可用命中（usable hit）</t>
        </is>
      </c>
      <c r="H28" s="11" t="inlineStr">
        <is>
          <t>版本/配置/原始数据/分位数/资源计数/异常结果/一键复现入口</t>
        </is>
      </c>
      <c r="I28" s="11" t="inlineStr">
        <is>
          <t>P0</t>
        </is>
      </c>
      <c r="J28" s="11" t="inlineStr">
        <is>
          <t>SR Owner + 独立测试负责人</t>
        </is>
      </c>
    </row>
    <row r="29" ht="82.05000305175781" customHeight="1">
      <c r="A29" s="11" t="inlineStr">
        <is>
          <t>SR23-02-05-01</t>
        </is>
      </c>
      <c r="B29" s="11" t="inlineStr">
        <is>
          <t>集群 前缀目录（PrefixDirectory） 核心与高可用服务</t>
        </is>
      </c>
      <c r="C29" s="11" t="inlineStr">
        <is>
          <t>独立服务</t>
        </is>
      </c>
      <c r="D29" s="11" t="inlineStr">
        <is>
          <t>可用性≥99.99%；陈旧命中（stale hit）=0；发布可见性一致；故障切换不丢记录</t>
        </is>
      </c>
      <c r="E29" s="11" t="inlineStr">
        <is>
          <t>3节点目录集群或内存一致性模拟器即可独立验收</t>
        </is>
      </c>
      <c r="F29" s="11" t="inlineStr">
        <is>
          <t>CONSISTENCY_SERVICE 的版本/就绪状态（ready） 语义</t>
        </is>
      </c>
      <c r="G29" s="11" t="inlineStr">
        <is>
          <t>主分片故障切副本；镜像过期强制精确查询；未 就绪状态（ready）/墓碑标记（tombstone） 不返回</t>
        </is>
      </c>
      <c r="H29" s="11" t="inlineStr">
        <is>
          <t>版本/配置/原始数据/分位数/资源计数/异常结果/一键复现入口</t>
        </is>
      </c>
      <c r="I29" s="11" t="inlineStr">
        <is>
          <t>P0</t>
        </is>
      </c>
      <c r="J29" s="11" t="inlineStr">
        <is>
          <t>SR Owner + 独立测试负责人</t>
        </is>
      </c>
    </row>
    <row r="30" ht="82.05000305175781" customHeight="1">
      <c r="A30" s="11" t="inlineStr">
        <is>
          <t>SR23-02-05-02</t>
        </is>
      </c>
      <c r="B30" s="11" t="inlineStr">
        <is>
          <t>前缀目录（PrefixDirectory） 本地快路径与消费资格组件</t>
        </is>
      </c>
      <c r="C30" s="11" t="inlineStr">
        <is>
          <t>组件库</t>
        </is>
      </c>
      <c r="D30" s="11" t="inlineStr">
        <is>
          <t>查询（lookup） p99降低≥30%；陈旧命中（stale hit）=0；可用命中（usable hit） 转化提升≥15%；错误候选=0</t>
        </is>
      </c>
      <c r="E30" s="11" t="inlineStr">
        <is>
          <t>录制目录快照 + 故障（fault） 测试夹具（fixture） 即可独立验收</t>
        </is>
      </c>
      <c r="F30" s="11" t="inlineStr">
        <is>
          <t>DIRECTORY_CORE、LOCAL_METADATA 与 SHARED_ATTACH 契约桩</t>
        </is>
      </c>
      <c r="G30" s="11" t="inlineStr">
        <is>
          <t>本地证据不足时精确查询 DIRECTORY_CORE；负收益候选标记 abandoned</t>
        </is>
      </c>
      <c r="H30" s="11" t="inlineStr">
        <is>
          <t>版本/配置/原始数据/分位数/资源计数/异常结果/一键复现入口</t>
        </is>
      </c>
      <c r="I30" s="11" t="inlineStr">
        <is>
          <t>P0</t>
        </is>
      </c>
      <c r="J30" s="11" t="inlineStr">
        <is>
          <t>SR Owner + 独立测试负责人</t>
        </is>
      </c>
    </row>
    <row r="31" ht="82.05000305175781" customHeight="1">
      <c r="A31" s="11" t="inlineStr">
        <is>
          <t>SR23-02-06-01</t>
        </is>
      </c>
      <c r="B31" s="11" t="inlineStr">
        <is>
          <t>KV 卸载/加载、分层回源与流式 流水线（Pipeline）</t>
        </is>
      </c>
      <c r="C31" s="11" t="inlineStr">
        <is>
          <t>框架插件</t>
        </is>
      </c>
      <c r="D31" s="11" t="inlineStr">
        <is>
          <t>计算/传输重叠≥60%；换入（swap-in） TTFT降低≥25%；批量时延降低≥50%；额外内存≤15%</t>
        </is>
      </c>
      <c r="E31" s="11" t="inlineStr">
        <is>
          <t>框架 测试支架（harness） + MockAsyncDAG 即可独立验收</t>
        </is>
      </c>
      <c r="F31" s="11" t="inlineStr">
        <is>
          <t>CONNECTOR_PROTOCOL、ASYNC_DAG、SSD_BACKEND</t>
        </is>
      </c>
      <c r="G31" s="11" t="inlineStr">
        <is>
          <t>超时/路径失败时 partial/重算（recompute）；额外内存超预算时退回整段加载</t>
        </is>
      </c>
      <c r="H31" s="11" t="inlineStr">
        <is>
          <t>版本/配置/原始数据/分位数/资源计数/异常结果/一键复现入口</t>
        </is>
      </c>
      <c r="I31" s="11" t="inlineStr">
        <is>
          <t>P2</t>
        </is>
      </c>
      <c r="J31" s="11" t="inlineStr">
        <is>
          <t>SR Owner + 独立测试负责人</t>
        </is>
      </c>
    </row>
    <row r="32" ht="82.05000305175781" customHeight="1">
      <c r="A32" s="11" t="inlineStr">
        <is>
          <t>SR23-02-07-01</t>
        </is>
      </c>
      <c r="B32" s="11" t="inlineStr">
        <is>
          <t>投机预取与效果反馈组件</t>
        </is>
      </c>
      <c r="C32" s="11" t="inlineStr">
        <is>
          <t>策略插件</t>
        </is>
      </c>
      <c r="D32" s="11" t="inlineStr">
        <is>
          <t>预取命中率≥70%；误预取率&lt;20%；额外HBM≤10%；命中等待降低≥60%</t>
        </is>
      </c>
      <c r="E32" s="11" t="inlineStr">
        <is>
          <t>离线 追踪（trace） 回放（replay） + MockLoadPipeline 即可独立验收</t>
        </is>
      </c>
      <c r="F32" s="11" t="inlineStr">
        <is>
          <t>LOAD_PIPELINE、QUERYPLAN_ENGINE 与固定 追踪（trace）</t>
        </is>
      </c>
      <c r="G32" s="11" t="inlineStr">
        <is>
          <t>收益不稳定时只对白名单启用；高水位/前台拥塞立即暂停</t>
        </is>
      </c>
      <c r="H32" s="11" t="inlineStr">
        <is>
          <t>版本/配置/原始数据/分位数/资源计数/异常结果/一键复现入口</t>
        </is>
      </c>
      <c r="I32" s="11" t="inlineStr">
        <is>
          <t>P2</t>
        </is>
      </c>
      <c r="J32" s="11" t="inlineStr">
        <is>
          <t>SR Owner + 独立测试负责人</t>
        </is>
      </c>
    </row>
    <row r="33" ht="82.05000305175781" customHeight="1">
      <c r="A33" s="11" t="inlineStr">
        <is>
          <t>SR23-02-08-01</t>
        </is>
      </c>
      <c r="B33" s="11" t="inlineStr">
        <is>
          <t>模型 KV 容量画像、水位与生命周期配置组件</t>
        </is>
      </c>
      <c r="C33" s="11" t="inlineStr">
        <is>
          <t>组件工具</t>
        </is>
      </c>
      <c r="D33" s="11" t="inlineStr">
        <is>
          <t>容量估算误差&lt;5%；配置校验100%；OOM/抢占（preemption）降低≥50%；错误预算=0</t>
        </is>
      </c>
      <c r="E33" s="11" t="inlineStr">
        <is>
          <t>模型配置与 合成分配（synthetic allocation） 即可独立验收</t>
        </is>
      </c>
      <c r="F33" s="11" t="inlineStr">
        <is>
          <t>POOL_CORE 接口与模型配置 测试夹具（fixture）</t>
        </is>
      </c>
      <c r="G33" s="11" t="inlineStr">
        <is>
          <t>画像缺失时使用保守上界；估算误差超阈值时禁止自动扩容</t>
        </is>
      </c>
      <c r="H33" s="11" t="inlineStr">
        <is>
          <t>版本/配置/原始数据/分位数/资源计数/异常结果/一键复现入口</t>
        </is>
      </c>
      <c r="I33" s="11" t="inlineStr">
        <is>
          <t>P0</t>
        </is>
      </c>
      <c r="J33" s="11" t="inlineStr">
        <is>
          <t>SR Owner + 独立测试负责人</t>
        </is>
      </c>
    </row>
    <row r="34" ht="82.05000305175781" customHeight="1">
      <c r="A34" s="11" t="inlineStr">
        <is>
          <t>SR23-02-09-01</t>
        </is>
      </c>
      <c r="B34" s="11" t="inlineStr">
        <is>
          <t>活跃/热/冷 KV 分层驻留与部分复用策略</t>
        </is>
      </c>
      <c r="C34" s="11" t="inlineStr">
        <is>
          <t>策略插件</t>
        </is>
      </c>
      <c r="D34" s="11" t="inlineStr">
        <is>
          <t>HBM有效容量提升≥20%；TPOT p99回退&lt;3%；每GB 节省的令牌（saved tokens）提升≥25%</t>
        </is>
      </c>
      <c r="E34" s="11" t="inlineStr">
        <is>
          <t>追踪（trace） 回放（replay） + MockTier/加载（Load） 即可独立验收</t>
        </is>
      </c>
      <c r="F34" s="11" t="inlineStr">
        <is>
          <t>CAPACITY_PROFILE、TIER_CAPACITY、LIFECYCLE_CONTROLLER</t>
        </is>
      </c>
      <c r="G34" s="11" t="inlineStr">
        <is>
          <t>分类不可信时保护 活跃状态（active） KV 并使用保守 复制到 HBM（copy-to-HBM）；负收益则重算</t>
        </is>
      </c>
      <c r="H34" s="11" t="inlineStr">
        <is>
          <t>版本/配置/原始数据/分位数/资源计数/异常结果/一键复现入口</t>
        </is>
      </c>
      <c r="I34" s="11" t="inlineStr">
        <is>
          <t>P1</t>
        </is>
      </c>
      <c r="J34" s="11" t="inlineStr">
        <is>
          <t>SR Owner + 独立测试负责人</t>
        </is>
      </c>
    </row>
    <row r="35" ht="82.05000305175781" customHeight="1">
      <c r="A35" s="11" t="inlineStr">
        <is>
          <t>SR23-02-10-01</t>
        </is>
      </c>
      <c r="B35" s="11" t="inlineStr">
        <is>
          <t>多 并行秩（Rank） KV 一致消费与专家控制组件</t>
        </is>
      </c>
      <c r="C35" s="11" t="inlineStr">
        <is>
          <t>框架插件</t>
        </is>
      </c>
      <c r="D35" s="11" t="inlineStr">
        <is>
          <t>正确性故障（correctness fault）=0；并行秩等待（rank wait） p99&lt;100μs；字段覆盖100%；回退一致</t>
        </is>
      </c>
      <c r="E35" s="11" t="inlineStr">
        <is>
          <t>1/2/4 并行秩（rank） 模拟器（simulator） 即可独立验收</t>
        </is>
      </c>
      <c r="F35" s="11" t="inlineStr">
        <is>
          <t>CONNECTOR_PROTOCOL、SHARED_ATTACH、CONSISTENCY_SERVICE</t>
        </is>
      </c>
      <c r="G35" s="11" t="inlineStr">
        <is>
          <t>任一关键 并行秩（rank） 不一致时统一回退；expert override 必须审计且可关闭</t>
        </is>
      </c>
      <c r="H35" s="11" t="inlineStr">
        <is>
          <t>版本/配置/原始数据/分位数/资源计数/异常结果/一键复现入口</t>
        </is>
      </c>
      <c r="I35" s="11" t="inlineStr">
        <is>
          <t>P0</t>
        </is>
      </c>
      <c r="J35" s="11" t="inlineStr">
        <is>
          <t>SR Owner + 独立测试负责人</t>
        </is>
      </c>
    </row>
    <row r="36" ht="82.05000305175781" customHeight="1">
      <c r="A36" s="11" t="inlineStr">
        <is>
          <t>SR23-02-11-01</t>
        </is>
      </c>
      <c r="B36" s="11" t="inlineStr">
        <is>
          <t>KV 全路径 遥测数据（Telemetry） 与语义指标 SDK</t>
        </is>
      </c>
      <c r="C36" s="11" t="inlineStr">
        <is>
          <t>平台 SDK</t>
        </is>
      </c>
      <c r="D36" s="11" t="inlineStr">
        <is>
          <t>字段覆盖率100%；常态探针开销&lt;1%；核心指标丢失率&lt;0.1%</t>
        </is>
      </c>
      <c r="E36" s="11" t="inlineStr">
        <is>
          <t>单进程 合成数据发射器（synthetic emitter） 即可独立验收</t>
        </is>
      </c>
      <c r="F36" s="11" t="inlineStr">
        <is>
          <t>自带 reference emitter/collector，无外部前置</t>
        </is>
      </c>
      <c r="G36" s="11" t="inlineStr">
        <is>
          <t>采集失败不得阻塞数据面；高基数标签限额；必要时降采样</t>
        </is>
      </c>
      <c r="H36" s="11" t="inlineStr">
        <is>
          <t>版本/配置/原始数据/分位数/资源计数/异常结果/一键复现入口</t>
        </is>
      </c>
      <c r="I36" s="11" t="inlineStr">
        <is>
          <t>P0</t>
        </is>
      </c>
      <c r="J36" s="11" t="inlineStr">
        <is>
          <t>SR Owner + 独立测试负责人</t>
        </is>
      </c>
    </row>
    <row r="37" ht="82.05000305175781" customHeight="1">
      <c r="A37" s="11" t="inlineStr">
        <is>
          <t>SR23-02-11-02</t>
        </is>
      </c>
      <c r="B37" s="11" t="inlineStr">
        <is>
          <t>链路追踪、回退（Fallback） 分析与 KV检视工具（KVInspect） 工具</t>
        </is>
      </c>
      <c r="C37" s="11" t="inlineStr">
        <is>
          <t>运维工具</t>
        </is>
      </c>
      <c r="D37" s="11" t="inlineStr">
        <is>
          <t>回退（fallback） 原因（reason）覆盖100%；关键路径可对账；故障定位降至分钟级</t>
        </is>
      </c>
      <c r="E37" s="11" t="inlineStr">
        <is>
          <t>录制 遥测数据（telemetry） 测试夹具（fixture） 即可独立验收</t>
        </is>
      </c>
      <c r="F37" s="11" t="inlineStr">
        <is>
          <t>TELEMETRY_SDK 与录制事件包</t>
        </is>
      </c>
      <c r="G37" s="11" t="inlineStr">
        <is>
          <t>部分事件缺失时标记证据不足；不得生成确定性错误结论</t>
        </is>
      </c>
      <c r="H37" s="11" t="inlineStr">
        <is>
          <t>版本/配置/原始数据/分位数/资源计数/异常结果/一键复现入口</t>
        </is>
      </c>
      <c r="I37" s="11" t="inlineStr">
        <is>
          <t>P1</t>
        </is>
      </c>
      <c r="J37" s="11" t="inlineStr">
        <is>
          <t>SR Owner + 独立测试负责人</t>
        </is>
      </c>
    </row>
    <row r="38" ht="82.05000305175781" customHeight="1">
      <c r="A38" s="11" t="inlineStr">
        <is>
          <t>SR23-02-12-01</t>
        </is>
      </c>
      <c r="B38" s="11" t="inlineStr">
        <is>
          <t>KVCache 性能监控与告警交付包</t>
        </is>
      </c>
      <c r="C38" s="11" t="inlineStr">
        <is>
          <t>工程工具</t>
        </is>
      </c>
      <c r="D38" s="11" t="inlineStr">
        <is>
          <t>刷新&lt;5s；主业务损耗&lt;1%；告警规则准确率100%</t>
        </is>
      </c>
      <c r="E38" s="11" t="inlineStr">
        <is>
          <t>录制 指标（metrics） 测试夹具（fixture） + 本地 Grafana 即可独立验收</t>
        </is>
      </c>
      <c r="F38" s="11" t="inlineStr">
        <is>
          <t>TELEMETRY_SDK 与 TRACE_INSPECT 录制数据</t>
        </is>
      </c>
      <c r="G38" s="11" t="inlineStr">
        <is>
          <t>指标缺失时标记不可判定；大盘故障不阻塞数据面</t>
        </is>
      </c>
      <c r="H38" s="11" t="inlineStr">
        <is>
          <t>版本/配置/原始数据/分位数/资源计数/异常结果/一键复现入口</t>
        </is>
      </c>
      <c r="I38" s="11" t="inlineStr">
        <is>
          <t>P1</t>
        </is>
      </c>
      <c r="J38" s="11" t="inlineStr">
        <is>
          <t>SR Owner + 独立测试负责人</t>
        </is>
      </c>
    </row>
    <row r="39" ht="82.05000305175781" customHeight="1">
      <c r="A39" s="11" t="inlineStr">
        <is>
          <t>SR23-02-12-02</t>
        </is>
      </c>
      <c r="B39" s="11" t="inlineStr">
        <is>
          <t>核心组件单元/API 测试与硬件 Mock 框架</t>
        </is>
      </c>
      <c r="C39" s="11" t="inlineStr">
        <is>
          <t>工程工具</t>
        </is>
      </c>
      <c r="D39" s="11" t="inlineStr">
        <is>
          <t>核心覆盖率&gt;85%；核心接口自动化通过率100%</t>
        </is>
      </c>
      <c r="E39" s="11" t="inlineStr">
        <is>
          <t>开发机/CI runner 即可独立验收</t>
        </is>
      </c>
      <c r="F39" s="11" t="inlineStr">
        <is>
          <t>CONNECTOR_PROTOCOL、TELEMETRY_SDK 的 reference fixtures</t>
        </is>
      </c>
      <c r="G39" s="11" t="inlineStr">
        <is>
          <t>硬件不可用时使用 Mock；关键接口无 Mock 时阻断合并</t>
        </is>
      </c>
      <c r="H39" s="11" t="inlineStr">
        <is>
          <t>版本/配置/原始数据/分位数/资源计数/异常结果/一键复现入口</t>
        </is>
      </c>
      <c r="I39" s="11" t="inlineStr">
        <is>
          <t>P1</t>
        </is>
      </c>
      <c r="J39" s="11" t="inlineStr">
        <is>
          <t>SR Owner + 独立测试负责人</t>
        </is>
      </c>
    </row>
    <row r="40" ht="82.05000305175781" customHeight="1">
      <c r="A40" s="11" t="inlineStr">
        <is>
          <t>SR23-02-12-03</t>
        </is>
      </c>
      <c r="B40" s="11" t="inlineStr">
        <is>
          <t>异构介质 E2E、长稳与混沌测试平台</t>
        </is>
      </c>
      <c r="C40" s="11" t="inlineStr">
        <is>
          <t>工程平台</t>
        </is>
      </c>
      <c r="D40" s="11" t="inlineStr">
        <is>
          <t>72h零泄漏；故障回退（fallback）&lt;500ms且0错误；介质连通性一键通过</t>
        </is>
      </c>
      <c r="E40" s="11" t="inlineStr">
        <is>
          <t>最小两节点异构测试环境或等价模拟器</t>
        </is>
      </c>
      <c r="F40" s="11" t="inlineStr">
        <is>
          <t>UNIT_TEST_TOOL、CAP_ROUTER 与可测试 提供器（Provider）</t>
        </is>
      </c>
      <c r="G40" s="11" t="inlineStr">
        <is>
          <t>真实硬件不足时使用受控模拟；未覆盖路径明确标记 Not Tested</t>
        </is>
      </c>
      <c r="H40" s="11" t="inlineStr">
        <is>
          <t>版本/配置/原始数据/分位数/资源计数/异常结果/一键复现入口</t>
        </is>
      </c>
      <c r="I40" s="11" t="inlineStr">
        <is>
          <t>P1</t>
        </is>
      </c>
      <c r="J40" s="11" t="inlineStr">
        <is>
          <t>SR Owner + 独立测试负责人</t>
        </is>
      </c>
    </row>
    <row r="41" ht="82.05000305175781" customHeight="1">
      <c r="A41" s="11" t="inlineStr">
        <is>
          <t>SR23-02-12-04</t>
        </is>
      </c>
      <c r="B41" s="11" t="inlineStr">
        <is>
          <t>跨平台构建、制品与灰度发布流水线</t>
        </is>
      </c>
      <c r="C41" s="11" t="inlineStr">
        <is>
          <t>工程平台</t>
        </is>
      </c>
      <c r="D41" s="11" t="inlineStr">
        <is>
          <t>MR反馈&lt;15min；规范/基础错误拦截100%；自动回滚&lt;1min</t>
        </is>
      </c>
      <c r="E41" s="11" t="inlineStr">
        <is>
          <t>CI runner + 测试 namespace 即可独立验收</t>
        </is>
      </c>
      <c r="F41" s="11" t="inlineStr">
        <is>
          <t>UNIT_TEST_TOOL 与 E2E_CHAOS_TOOL 的可调用入口</t>
        </is>
      </c>
      <c r="G41" s="11" t="inlineStr">
        <is>
          <t>任一质量门禁失败阻断；线上异常自动停止并回滚上一制品</t>
        </is>
      </c>
      <c r="H41" s="11" t="inlineStr">
        <is>
          <t>版本/配置/原始数据/分位数/资源计数/异常结果/一键复现入口</t>
        </is>
      </c>
      <c r="I41" s="11" t="inlineStr">
        <is>
          <t>P2</t>
        </is>
      </c>
      <c r="J41" s="11" t="inlineStr">
        <is>
          <t>SR Owner + 独立测试负责人</t>
        </is>
      </c>
    </row>
    <row r="42" ht="82.05000305175781" customHeight="1">
      <c r="A42" s="11" t="inlineStr">
        <is>
          <t>SR23-02-12-05</t>
        </is>
      </c>
      <c r="B42" s="11" t="inlineStr">
        <is>
          <t>KVCache 工作负载回放与性能基准平台</t>
        </is>
      </c>
      <c r="C42" s="11" t="inlineStr">
        <is>
          <t>工程工具</t>
        </is>
      </c>
      <c r="D42" s="11" t="inlineStr">
        <is>
          <t>可模拟10W+QPS；重复实验CV&lt;5%；报告包含吞吐/TTFT/TPOT/资源曲线</t>
        </is>
      </c>
      <c r="E42" s="11" t="inlineStr">
        <is>
          <t>单机可做功能验收；异构测试集群用于规模门禁</t>
        </is>
      </c>
      <c r="F42" s="11" t="inlineStr">
        <is>
          <t>TELEMETRY_SDK 与版本化 工作负载（workload） pack</t>
        </is>
      </c>
      <c r="G42" s="11" t="inlineStr">
        <is>
          <t>真实 追踪（trace） 不可用时使用固定 ShareGPT+Zipf 双轨；禁止把合成热点外推为生产承诺</t>
        </is>
      </c>
      <c r="H42" s="11" t="inlineStr">
        <is>
          <t>版本/配置/原始数据/分位数/资源计数/异常结果/一键复现入口</t>
        </is>
      </c>
      <c r="I42" s="11" t="inlineStr">
        <is>
          <t>P2</t>
        </is>
      </c>
      <c r="J42" s="11" t="inlineStr">
        <is>
          <t>SR Owner + 独立测试负责人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1"/>
  <sheetViews>
    <sheetView showGridLines="0" workbookViewId="0">
      <selection activeCell="A1" sqref="A1"/>
    </sheetView>
  </sheetViews>
  <sheetFormatPr baseColWidth="8" defaultRowHeight="13.80000019073486"/>
  <cols>
    <col width="52" customWidth="1" min="1" max="1"/>
    <col width="8" customWidth="1" min="2" max="2"/>
    <col width="12" customWidth="1" min="3" max="3"/>
    <col width="22" customWidth="1" min="4" max="4"/>
    <col width="20" customWidth="1" min="5" max="5"/>
    <col width="54" customWidth="1" min="6" max="6"/>
    <col width="34" customWidth="1" min="7" max="7"/>
    <col width="52" customWidth="1" min="8" max="8"/>
    <col width="42" customWidth="1" min="9" max="10"/>
    <col width="24" customWidth="1" min="11" max="11"/>
    <col width="40" customWidth="1" min="12" max="12"/>
  </cols>
  <sheetData>
    <row r="1" ht="28.04999923706055" customHeight="1">
      <c r="A1" s="26" t="inlineStr">
        <is>
          <t>全量需求树 V2.3.1（SF → IR → SR → AR）</t>
        </is>
      </c>
    </row>
    <row r="2" ht="42" customHeight="1">
      <c r="A2" s="17" t="inlineStr">
        <is>
          <t>2 SF → 24 IR → 38 SR 功能闭包 → 203 AR 工作包；149 条来源需求通过追溯表映射，不再作为树节点重复建 SR。</t>
        </is>
      </c>
    </row>
    <row r="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34.04999923706055" customHeight="1">
      <c r="A4" s="14" t="inlineStr">
        <is>
          <t>排序路径</t>
        </is>
      </c>
      <c r="B4" s="14" t="inlineStr">
        <is>
          <t>深度</t>
        </is>
      </c>
      <c r="C4" s="14" t="inlineStr">
        <is>
          <t>节点类型</t>
        </is>
      </c>
      <c r="D4" s="14" t="inlineStr">
        <is>
          <t>节点 ID</t>
        </is>
      </c>
      <c r="E4" s="14" t="inlineStr">
        <is>
          <t>父节点 ID</t>
        </is>
      </c>
      <c r="F4" s="14" t="inlineStr">
        <is>
          <t>树形显示</t>
        </is>
      </c>
      <c r="G4" s="14" t="inlineStr">
        <is>
          <t>名称/任务类型</t>
        </is>
      </c>
      <c r="H4" s="14" t="inlineStr">
        <is>
          <t>需求/交付/原子任务</t>
        </is>
      </c>
      <c r="I4" s="14" t="inlineStr">
        <is>
          <t>验收/DoD</t>
        </is>
      </c>
      <c r="J4" s="14" t="inlineStr">
        <is>
          <t>交付物/代码对象</t>
        </is>
      </c>
      <c r="K4" s="14" t="inlineStr">
        <is>
          <t>责任角色</t>
        </is>
      </c>
      <c r="L4" s="14" t="inlineStr">
        <is>
          <t>来源/依赖</t>
        </is>
      </c>
    </row>
    <row r="5" ht="61.95000076293945" customHeight="1">
      <c r="A5" s="11" t="inlineStr">
        <is>
          <t>SF-01</t>
        </is>
      </c>
      <c r="B5" s="11" t="n">
        <v>1</v>
      </c>
      <c r="C5" s="11" t="inlineStr">
        <is>
          <t>SF</t>
        </is>
      </c>
      <c r="D5" s="11" t="inlineStr">
        <is>
          <t>SF-01</t>
        </is>
      </c>
      <c r="E5" s="11" t="inlineStr">
        <is>
          <t>ROOT</t>
        </is>
      </c>
      <c r="F5" s="11" t="inlineStr">
        <is>
          <t>● SF-01 统一池与语义化传输底座</t>
        </is>
      </c>
      <c r="G5" s="11" t="inlineStr">
        <is>
          <t>统一池与语义化传输底座</t>
        </is>
      </c>
      <c r="H5" s="11" t="inlineStr">
        <is>
          <t>以 KV对象（KVObject）、存储区段清单（ExtentManifest）、放置位置（Placement）、能力矩阵（CapabilityMatrix） 与 查询计划（QueryPlan） 为统一抽象，交付可组合的异构存储池、传输后端、状态一致性与安全数据面。</t>
        </is>
      </c>
      <c r="I5" s="11" t="inlineStr">
        <is>
          <t>五类介质可纳管；至少一条 HBM↔SSD 容量主路径闭环；错误/过期 KV 消费为 0；主路径 主机有效载荷访问（Host Payload touch）=0。</t>
        </is>
      </c>
      <c r="J5" s="11" t="inlineStr">
        <is>
          <t>全系统交付</t>
        </is>
      </c>
      <c r="K5" s="11" t="inlineStr">
        <is>
          <t>全系统</t>
        </is>
      </c>
      <c r="L5" s="11" t="inlineStr">
        <is>
          <t>V2.3.1定义</t>
        </is>
      </c>
    </row>
    <row r="6" ht="61.95000076293945" customHeight="1">
      <c r="A6" s="11" t="inlineStr">
        <is>
          <t>SF-01/IR-01-01</t>
        </is>
      </c>
      <c r="B6" s="11" t="n">
        <v>2</v>
      </c>
      <c r="C6" s="11" t="inlineStr">
        <is>
          <t>IR</t>
        </is>
      </c>
      <c r="D6" s="11" t="inlineStr">
        <is>
          <t>IR-01-01</t>
        </is>
      </c>
      <c r="E6" s="11" t="inlineStr">
        <is>
          <t>SF-01</t>
        </is>
      </c>
      <c r="F6" s="11" t="inlineStr">
        <is>
          <t>├─ IR-01-01 支持HBM、DDR、SSD及远端介质统一纳管，并以HBM↔SSD构建容量主路径</t>
        </is>
      </c>
      <c r="G6" s="11" t="inlineStr">
        <is>
          <t>支持HBM、DDR、SSD及远端介质统一纳管，并以HBM↔SSD构建容量主路径</t>
        </is>
      </c>
      <c r="H6" s="11" t="inlineStr">
        <is>
          <t>系统应以统一 KV对象（KVObject） 接口纳管 HBM、本地/远端 DDR、本地/远端 SSD/object 中的 KVCache，并把 HBM↔SSD 直达或低 Host 参与通路作为扩展容量的默认主路径。DDR不是必须经过的中间层，只能在 温数据层（warm）、预取/突发（prefetch/burst）、远端共享或 注册内存池（registered-pool） 等经实测有净收益的角色中启用；系统应依据水位、访问时限、复用收益和路径能力完成放置、迁移、淘汰与空间整理。</t>
        </is>
      </c>
      <c r="I6" s="11" t="inlineStr">
        <is>
          <t>碎片率&lt;5%；HBM有效容量提升≥30%；OOM/抢占（preemption）降低≥50%；HBM↔SSD容量路径有效带宽≥设备峰值80%；DDR角色必须至少一项持续正收益，否则退出有效载荷（Payload）主路径。</t>
        </is>
      </c>
      <c r="J6" s="11" t="inlineStr">
        <is>
          <t>KV对象（KVObject）/存储区段清单（ExtentManifest） + 页/存储区段分配器（Page/Extent Allocator） + HBM↔SSD Capacity Path + DDR 角色策略（RolePolicy）</t>
        </is>
      </c>
      <c r="K6" s="11" t="inlineStr">
        <is>
          <t>TM3</t>
        </is>
      </c>
      <c r="L6" s="11" t="inlineStr">
        <is>
          <t>V2.2 IR语义沿用</t>
        </is>
      </c>
    </row>
    <row r="7" ht="61.95000076293945" customHeight="1">
      <c r="A7" s="11" t="inlineStr">
        <is>
          <t>SF-01/IR-01-01/SR23-01-01-01</t>
        </is>
      </c>
      <c r="B7" s="11" t="n">
        <v>3</v>
      </c>
      <c r="C7" s="11" t="inlineStr">
        <is>
          <t>SR</t>
        </is>
      </c>
      <c r="D7" s="11" t="inlineStr">
        <is>
          <t>SR23-01-01-01</t>
        </is>
      </c>
      <c r="E7" s="11" t="inlineStr">
        <is>
          <t>IR-01-01</t>
        </is>
      </c>
      <c r="F7" s="11" t="inlineStr">
        <is>
          <t>├─ SR23-01-01-01 统一 KV 对象池核心组件</t>
        </is>
      </c>
      <c r="G7" s="11" t="inlineStr">
        <is>
          <t>统一 KV 对象池核心组件</t>
        </is>
      </c>
      <c r="H7" s="11" t="inlineStr">
        <is>
          <t>跨 HBM/DDR/SSD/远端介质的对象标识、存储区段（extent） 映射、分配、状态查询和基础生命周期
交付：kv-pool-core 静态/动态库、KV对象（KVObject）/存储区段清单（ExtentManifest） 数据模型及版本化 API 包</t>
        </is>
      </c>
      <c r="I7" s="11" t="inlineStr">
        <is>
          <t>对象/存储区段（extent） 一致性错误=0；碎片率&lt;5%；10万对象查询 p99&lt;50μs；格式兼容测试通过率=100%</t>
        </is>
      </c>
      <c r="J7" s="11" t="inlineStr">
        <is>
          <t>kv-pool-core 静态/动态库、KV对象（KVObject）/存储区段清单（ExtentManifest） 数据模型及版本化 API 包</t>
        </is>
      </c>
      <c r="K7" s="11" t="inlineStr">
        <is>
          <t>统一存储池组件组</t>
        </is>
      </c>
      <c r="L7" s="11" t="inlineStr">
        <is>
          <t>来源6条；依赖：SR23-01-09-01</t>
        </is>
      </c>
    </row>
    <row r="8" ht="61.95000076293945" customHeight="1">
      <c r="A8" s="11" t="inlineStr">
        <is>
          <t>SF-01/IR-01-01/SR23-01-01-01/AR23-01-01-01-01</t>
        </is>
      </c>
      <c r="B8" s="11" t="n">
        <v>4</v>
      </c>
      <c r="C8" s="11" t="inlineStr">
        <is>
          <t>AR</t>
        </is>
      </c>
      <c r="D8" s="11" t="inlineStr">
        <is>
          <t>AR23-01-01-01-01</t>
        </is>
      </c>
      <c r="E8" s="11" t="inlineStr">
        <is>
          <t>SR23-01-01-01</t>
        </is>
      </c>
      <c r="F8" s="11" t="inlineStr">
        <is>
          <t>├─ AR23-01-01-01-01 核心实现</t>
        </is>
      </c>
      <c r="G8" s="11" t="inlineStr">
        <is>
          <t>统一 KV 对象池核心组件｜核心实现</t>
        </is>
      </c>
      <c r="H8" s="11" t="inlineStr">
        <is>
          <t>实现“统一 KV 对象池核心组件”的可运行主路径，交付 kv-pool-core 静态/动态库、KV对象（KVObject）/存储区段清单（ExtentManifest） 数据模型及版本化 API 包 的核心代码、构建入口和最小示例。</t>
        </is>
      </c>
      <c r="I8" s="11" t="inlineStr">
        <is>
          <t>代码通过编译、静态检查和单元测试；接口/配置有版本；失败语义和 功能开关（feature flag） 可验证。</t>
        </is>
      </c>
      <c r="J8" s="11" t="inlineStr">
        <is>
          <t>src/pool/core/core.{h,cc}</t>
        </is>
      </c>
      <c r="K8" s="11" t="inlineStr">
        <is>
          <t>统一存储池组件组</t>
        </is>
      </c>
      <c r="L8" s="11" t="inlineStr">
        <is>
          <t>依赖AR：无；依赖SR：SR23-01-09-01</t>
        </is>
      </c>
    </row>
    <row r="9" ht="61.95000076293945" customHeight="1">
      <c r="A9" s="11" t="inlineStr">
        <is>
          <t>SF-01/IR-01-01/SR23-01-01-01/AR23-01-01-01-02</t>
        </is>
      </c>
      <c r="B9" s="11" t="n">
        <v>4</v>
      </c>
      <c r="C9" s="11" t="inlineStr">
        <is>
          <t>AR</t>
        </is>
      </c>
      <c r="D9" s="11" t="inlineStr">
        <is>
          <t>AR23-01-01-01-02</t>
        </is>
      </c>
      <c r="E9" s="11" t="inlineStr">
        <is>
          <t>SR23-01-01-01</t>
        </is>
      </c>
      <c r="F9" s="11" t="inlineStr">
        <is>
          <t>├─ AR23-01-01-01-02 接口契约</t>
        </is>
      </c>
      <c r="G9" s="11" t="inlineStr">
        <is>
          <t>统一 KV 对象池核心组件｜接口契约</t>
        </is>
      </c>
      <c r="H9" s="11" t="inlineStr">
        <is>
          <t>冻结并实现接口/IDL、版本兼容、输入输出、错误码与 消费者（consumer） 示例：KV对象存储（KVObjectStore）、存储区段清单（ExtentManifest）、放置位置（Placement）、allocate/open/close/query 接口；错误码和对象版本兼容规则</t>
        </is>
      </c>
      <c r="I9" s="11" t="inlineStr">
        <is>
          <t>代码通过编译、静态检查和单元测试；接口/配置有版本；失败语义和 功能开关（feature flag） 可验证。</t>
        </is>
      </c>
      <c r="J9" s="11" t="inlineStr">
        <is>
          <t>api/kvcache/v23/pool_core.proto + src/pool/core/api.{h,cc}</t>
        </is>
      </c>
      <c r="K9" s="11" t="inlineStr">
        <is>
          <t>统一存储池组件组</t>
        </is>
      </c>
      <c r="L9" s="11" t="inlineStr">
        <is>
          <t>依赖AR：AR23-01-01-01-01；依赖SR：SR23-01-09-01</t>
        </is>
      </c>
    </row>
    <row r="10" ht="61.95000076293945" customHeight="1">
      <c r="A10" s="11" t="inlineStr">
        <is>
          <t>SF-01/IR-01-01/SR23-01-01-01/AR23-01-01-01-03</t>
        </is>
      </c>
      <c r="B10" s="11" t="n">
        <v>4</v>
      </c>
      <c r="C10" s="11" t="inlineStr">
        <is>
          <t>AR</t>
        </is>
      </c>
      <c r="D10" s="11" t="inlineStr">
        <is>
          <t>AR23-01-01-01-03</t>
        </is>
      </c>
      <c r="E10" s="11" t="inlineStr">
        <is>
          <t>SR23-01-01-01</t>
        </is>
      </c>
      <c r="F10" s="11" t="inlineStr">
        <is>
          <t>├─ AR23-01-01-01-03 状态模型</t>
        </is>
      </c>
      <c r="G10" s="11" t="inlineStr">
        <is>
          <t>统一 KV 对象池核心组件｜状态模型</t>
        </is>
      </c>
      <c r="H10" s="11" t="inlineStr">
        <is>
          <t>实现状态、版本、并发互锁和持久/内存数据模型，覆盖正常转换与非法转换保护。</t>
        </is>
      </c>
      <c r="I10" s="11" t="inlineStr">
        <is>
          <t>代码通过编译、静态检查和单元测试；接口/配置有版本；失败语义和 功能开关（feature flag） 可验证。</t>
        </is>
      </c>
      <c r="J10" s="11" t="inlineStr">
        <is>
          <t>src/pool/core/state_model.{h,cc}</t>
        </is>
      </c>
      <c r="K10" s="11" t="inlineStr">
        <is>
          <t>统一存储池组件组</t>
        </is>
      </c>
      <c r="L10" s="11" t="inlineStr">
        <is>
          <t>依赖AR：AR23-01-01-01-02；依赖SR：SR23-01-09-01</t>
        </is>
      </c>
    </row>
    <row r="11" ht="61.95000076293945" customHeight="1">
      <c r="A11" s="11" t="inlineStr">
        <is>
          <t>SF-01/IR-01-01/SR23-01-01-01/AR23-01-01-01-04</t>
        </is>
      </c>
      <c r="B11" s="11" t="n">
        <v>4</v>
      </c>
      <c r="C11" s="11" t="inlineStr">
        <is>
          <t>AR</t>
        </is>
      </c>
      <c r="D11" s="11" t="inlineStr">
        <is>
          <t>AR23-01-01-01-04</t>
        </is>
      </c>
      <c r="E11" s="11" t="inlineStr">
        <is>
          <t>SR23-01-01-01</t>
        </is>
      </c>
      <c r="F11" s="11" t="inlineStr">
        <is>
          <t>├─ AR23-01-01-01-04 异常回滚</t>
        </is>
      </c>
      <c r="G11" s="11" t="inlineStr">
        <is>
          <t>统一 KV 对象池核心组件｜异常回滚</t>
        </is>
      </c>
      <c r="H11" s="11" t="inlineStr">
        <is>
          <t>实现并验证失败、超时、取消、降级、回滚与关闭路径：后端能力缺失时使用 模拟后端（MockBackend）/主机内存后端（HostMemoryBackend）；分配失败显式返回 OOM/UNSUPPORTED，不隐式跨层搬运</t>
        </is>
      </c>
      <c r="I11" s="11" t="inlineStr">
        <is>
          <t>代码通过编译、静态检查和单元测试；接口/配置有版本；失败语义和 功能开关（feature flag） 可验证。</t>
        </is>
      </c>
      <c r="J11" s="11" t="inlineStr">
        <is>
          <t>src/pool/core/fallback.{h,cc} + config/feature_flags/pool_core.yaml</t>
        </is>
      </c>
      <c r="K11" s="11" t="inlineStr">
        <is>
          <t>统一存储池组件组</t>
        </is>
      </c>
      <c r="L11" s="11" t="inlineStr">
        <is>
          <t>依赖AR：AR23-01-01-01-03；依赖SR：SR23-01-09-01</t>
        </is>
      </c>
    </row>
    <row r="12" ht="61.95000076293945" customHeight="1">
      <c r="A12" s="11" t="inlineStr">
        <is>
          <t>SF-01/IR-01-01/SR23-01-01-01/AR23-01-01-01-05</t>
        </is>
      </c>
      <c r="B12" s="11" t="n">
        <v>4</v>
      </c>
      <c r="C12" s="11" t="inlineStr">
        <is>
          <t>AR</t>
        </is>
      </c>
      <c r="D12" s="11" t="inlineStr">
        <is>
          <t>AR23-01-01-01-05</t>
        </is>
      </c>
      <c r="E12" s="11" t="inlineStr">
        <is>
          <t>SR23-01-01-01</t>
        </is>
      </c>
      <c r="F12" s="11" t="inlineStr">
        <is>
          <t>├─ AR23-01-01-01-05 独立验收</t>
        </is>
      </c>
      <c r="G12" s="11" t="inlineStr">
        <is>
          <t>统一 KV 对象池核心组件｜独立验收</t>
        </is>
      </c>
      <c r="H12" s="11" t="inlineStr">
        <is>
          <t>建立不依赖全项目的验收环境，执行功能、异常、兼容和性能门禁并生成可签字证据包。</t>
        </is>
      </c>
      <c r="I12" s="11" t="inlineStr">
        <is>
          <t>在“单进程 模拟后端（MockBackend） + 文件型 SSD 仿真即可完成全套功能验收，不依赖真实集群”中完成主路径、异常、兼容和回滚；全部证据可一键复现。</t>
        </is>
      </c>
      <c r="J12" s="11" t="inlineStr">
        <is>
          <t>tests/pool_core/ + benchmarks/pool_core/ + evidence/pool_core/manifest.yaml</t>
        </is>
      </c>
      <c r="K12" s="11" t="inlineStr">
        <is>
          <t>测试/验收负责人</t>
        </is>
      </c>
      <c r="L12" s="11" t="inlineStr">
        <is>
          <t>依赖AR：AR23-01-01-01-04；依赖SR：SR23-01-09-01</t>
        </is>
      </c>
    </row>
    <row r="13" ht="61.95000076293945" customHeight="1">
      <c r="A13" s="11" t="inlineStr">
        <is>
          <t>SF-01/IR-01-01/SR23-01-01-02</t>
        </is>
      </c>
      <c r="B13" s="11" t="n">
        <v>3</v>
      </c>
      <c r="C13" s="11" t="inlineStr">
        <is>
          <t>SR</t>
        </is>
      </c>
      <c r="D13" s="11" t="inlineStr">
        <is>
          <t>SR23-01-01-02</t>
        </is>
      </c>
      <c r="E13" s="11" t="inlineStr">
        <is>
          <t>IR-01-01</t>
        </is>
      </c>
      <c r="F13" s="11" t="inlineStr">
        <is>
          <t>├─ SR23-01-01-02 HBM↔SSD 分层容量与 DDR 角色插件</t>
        </is>
      </c>
      <c r="G13" s="11" t="inlineStr">
        <is>
          <t>HBM↔SSD 分层容量与 DDR 角色插件</t>
        </is>
      </c>
      <c r="H13" s="11" t="inlineStr">
        <is>
          <t>HBM↔SSD 容量主路径、DDR warm/remote/prefetch/registered-pool 条件角色、阈值与旁路策略
交付：tier-capacity-policy 插件、双水位配置、DDR 角色策略（RolePolicy） 和容量收益报告</t>
        </is>
      </c>
      <c r="I13" s="11" t="inlineStr">
        <is>
          <t>HBM有效容量提升≥30%；OOM/抢占（preemption）降低≥50%；DDR角色必须证明净收益；策略额外开销&lt;2%</t>
        </is>
      </c>
      <c r="J13" s="11" t="inlineStr">
        <is>
          <t>tier-capacity-policy 插件、双水位配置、DDR 角色策略（RolePolicy） 和容量收益报告</t>
        </is>
      </c>
      <c r="K13" s="11" t="inlineStr">
        <is>
          <t>分层容量策略组</t>
        </is>
      </c>
      <c r="L13" s="11" t="inlineStr">
        <is>
          <t>来源3条；依赖：SR23-01-01-01、SR23-01-08-01</t>
        </is>
      </c>
    </row>
    <row r="14" ht="61.95000076293945" customHeight="1">
      <c r="A14" s="11" t="inlineStr">
        <is>
          <t>SF-01/IR-01-01/SR23-01-01-02/AR23-01-01-02-01</t>
        </is>
      </c>
      <c r="B14" s="11" t="n">
        <v>4</v>
      </c>
      <c r="C14" s="11" t="inlineStr">
        <is>
          <t>AR</t>
        </is>
      </c>
      <c r="D14" s="11" t="inlineStr">
        <is>
          <t>AR23-01-01-02-01</t>
        </is>
      </c>
      <c r="E14" s="11" t="inlineStr">
        <is>
          <t>SR23-01-01-02</t>
        </is>
      </c>
      <c r="F14" s="11" t="inlineStr">
        <is>
          <t>├─ AR23-01-01-02-01 核心实现</t>
        </is>
      </c>
      <c r="G14" s="11" t="inlineStr">
        <is>
          <t>HBM↔SSD 分层容量与 DDR 角色插件｜核心实现</t>
        </is>
      </c>
      <c r="H14" s="11" t="inlineStr">
        <is>
          <t>实现“HBM↔SSD 分层容量与 DDR 角色插件”的可运行主路径，交付 tier-capacity-policy 插件、双水位配置、DDR 角色策略（RolePolicy） 和容量收益报告 的核心代码、构建入口和最小示例。</t>
        </is>
      </c>
      <c r="I14" s="11" t="inlineStr">
        <is>
          <t>代码通过编译、静态检查和单元测试；接口/配置有版本；失败语义和 功能开关（feature flag） 可验证。</t>
        </is>
      </c>
      <c r="J14" s="11" t="inlineStr">
        <is>
          <t>src/pool/tiering/core.{h,cc}</t>
        </is>
      </c>
      <c r="K14" s="11" t="inlineStr">
        <is>
          <t>分层容量策略组</t>
        </is>
      </c>
      <c r="L14" s="11" t="inlineStr">
        <is>
          <t>依赖AR：无；依赖SR：SR23-01-01-01、SR23-01-08-01</t>
        </is>
      </c>
    </row>
    <row r="15" ht="61.95000076293945" customHeight="1">
      <c r="A15" s="11" t="inlineStr">
        <is>
          <t>SF-01/IR-01-01/SR23-01-01-02/AR23-01-01-02-02</t>
        </is>
      </c>
      <c r="B15" s="11" t="n">
        <v>4</v>
      </c>
      <c r="C15" s="11" t="inlineStr">
        <is>
          <t>AR</t>
        </is>
      </c>
      <c r="D15" s="11" t="inlineStr">
        <is>
          <t>AR23-01-01-02-02</t>
        </is>
      </c>
      <c r="E15" s="11" t="inlineStr">
        <is>
          <t>SR23-01-01-02</t>
        </is>
      </c>
      <c r="F15" s="11" t="inlineStr">
        <is>
          <t>├─ AR23-01-01-02-02 接口契约</t>
        </is>
      </c>
      <c r="G15" s="11" t="inlineStr">
        <is>
          <t>HBM↔SSD 分层容量与 DDR 角色插件｜接口契约</t>
        </is>
      </c>
      <c r="H15" s="11" t="inlineStr">
        <is>
          <t>冻结并实现接口/IDL、版本兼容、输入输出、错误码与 消费者（consumer） 示例：层级决策（TierDecision）、DDR角色决策（DDRRoleDecision）、水位快照（WatermarkSnapshot）、容量/回退原因（capacity/fallback reason）</t>
        </is>
      </c>
      <c r="I15" s="11" t="inlineStr">
        <is>
          <t>代码通过编译、静态检查和单元测试；接口/配置有版本；失败语义和 功能开关（feature flag） 可验证。</t>
        </is>
      </c>
      <c r="J15" s="11" t="inlineStr">
        <is>
          <t>api/kvcache/v23/tier_capacity.proto + src/pool/tiering/api.{h,cc}</t>
        </is>
      </c>
      <c r="K15" s="11" t="inlineStr">
        <is>
          <t>分层容量策略组</t>
        </is>
      </c>
      <c r="L15" s="11" t="inlineStr">
        <is>
          <t>依赖AR：AR23-01-01-02-01；依赖SR：SR23-01-01-01、SR23-01-08-01</t>
        </is>
      </c>
    </row>
    <row r="16" ht="61.95000076293945" customHeight="1">
      <c r="A16" s="11" t="inlineStr">
        <is>
          <t>SF-01/IR-01-01/SR23-01-01-02/AR23-01-01-02-03</t>
        </is>
      </c>
      <c r="B16" s="11" t="n">
        <v>4</v>
      </c>
      <c r="C16" s="11" t="inlineStr">
        <is>
          <t>AR</t>
        </is>
      </c>
      <c r="D16" s="11" t="inlineStr">
        <is>
          <t>AR23-01-01-02-03</t>
        </is>
      </c>
      <c r="E16" s="11" t="inlineStr">
        <is>
          <t>SR23-01-01-02</t>
        </is>
      </c>
      <c r="F16" s="11" t="inlineStr">
        <is>
          <t>├─ AR23-01-01-02-03 状态模型</t>
        </is>
      </c>
      <c r="G16" s="11" t="inlineStr">
        <is>
          <t>HBM↔SSD 分层容量与 DDR 角色插件｜状态模型</t>
        </is>
      </c>
      <c r="H16" s="11" t="inlineStr">
        <is>
          <t>实现状态、版本、并发互锁和持久/内存数据模型，覆盖正常转换与非法转换保护。</t>
        </is>
      </c>
      <c r="I16" s="11" t="inlineStr">
        <is>
          <t>代码通过编译、静态检查和单元测试；接口/配置有版本；失败语义和 功能开关（feature flag） 可验证。</t>
        </is>
      </c>
      <c r="J16" s="11" t="inlineStr">
        <is>
          <t>src/pool/tiering/state_model.{h,cc}</t>
        </is>
      </c>
      <c r="K16" s="11" t="inlineStr">
        <is>
          <t>分层容量策略组</t>
        </is>
      </c>
      <c r="L16" s="11" t="inlineStr">
        <is>
          <t>依赖AR：AR23-01-01-02-02；依赖SR：SR23-01-01-01、SR23-01-08-01</t>
        </is>
      </c>
    </row>
    <row r="17" ht="61.95000076293945" customHeight="1">
      <c r="A17" s="11" t="inlineStr">
        <is>
          <t>SF-01/IR-01-01/SR23-01-01-02/AR23-01-01-02-04</t>
        </is>
      </c>
      <c r="B17" s="11" t="n">
        <v>4</v>
      </c>
      <c r="C17" s="11" t="inlineStr">
        <is>
          <t>AR</t>
        </is>
      </c>
      <c r="D17" s="11" t="inlineStr">
        <is>
          <t>AR23-01-01-02-04</t>
        </is>
      </c>
      <c r="E17" s="11" t="inlineStr">
        <is>
          <t>SR23-01-01-02</t>
        </is>
      </c>
      <c r="F17" s="11" t="inlineStr">
        <is>
          <t>├─ AR23-01-01-02-04 异常回滚</t>
        </is>
      </c>
      <c r="G17" s="11" t="inlineStr">
        <is>
          <t>HBM↔SSD 分层容量与 DDR 角色插件｜异常回滚</t>
        </is>
      </c>
      <c r="H17" s="11" t="inlineStr">
        <is>
          <t>实现并验证失败、超时、取消、降级、回滚与关闭路径：DDR 无持续正收益时退出 有效载荷（Payload） 主路径；复杂策略不优于基线时回退双水位+hysteresis</t>
        </is>
      </c>
      <c r="I17" s="11" t="inlineStr">
        <is>
          <t>代码通过编译、静态检查和单元测试；接口/配置有版本；失败语义和 功能开关（feature flag） 可验证。</t>
        </is>
      </c>
      <c r="J17" s="11" t="inlineStr">
        <is>
          <t>src/pool/tiering/fallback.{h,cc} + config/feature_flags/tier_capacity.yaml</t>
        </is>
      </c>
      <c r="K17" s="11" t="inlineStr">
        <is>
          <t>分层容量策略组</t>
        </is>
      </c>
      <c r="L17" s="11" t="inlineStr">
        <is>
          <t>依赖AR：AR23-01-01-02-03；依赖SR：SR23-01-01-01、SR23-01-08-01</t>
        </is>
      </c>
    </row>
    <row r="18" ht="61.95000076293945" customHeight="1">
      <c r="A18" s="11" t="inlineStr">
        <is>
          <t>SF-01/IR-01-01/SR23-01-01-02/AR23-01-01-02-05</t>
        </is>
      </c>
      <c r="B18" s="11" t="n">
        <v>4</v>
      </c>
      <c r="C18" s="11" t="inlineStr">
        <is>
          <t>AR</t>
        </is>
      </c>
      <c r="D18" s="11" t="inlineStr">
        <is>
          <t>AR23-01-01-02-05</t>
        </is>
      </c>
      <c r="E18" s="11" t="inlineStr">
        <is>
          <t>SR23-01-01-02</t>
        </is>
      </c>
      <c r="F18" s="11" t="inlineStr">
        <is>
          <t>├─ AR23-01-01-02-05 独立验收</t>
        </is>
      </c>
      <c r="G18" s="11" t="inlineStr">
        <is>
          <t>HBM↔SSD 分层容量与 DDR 角色插件｜独立验收</t>
        </is>
      </c>
      <c r="H18" s="11" t="inlineStr">
        <is>
          <t>建立不依赖全项目的验收环境，执行功能、异常、兼容和性能门禁并生成可签字证据包。</t>
        </is>
      </c>
      <c r="I18" s="11" t="inlineStr">
        <is>
          <t>在“存储池核心（Pool Core） + SSD后端桩（SSDBackendStub） + 工作负载回放（workload replay） 即可独立验收”中完成主路径、异常、兼容和回滚；全部证据可一键复现。</t>
        </is>
      </c>
      <c r="J18" s="11" t="inlineStr">
        <is>
          <t>tests/tier_capacity/ + benchmarks/tier_capacity/ + evidence/tier_capacity/manifest.yaml</t>
        </is>
      </c>
      <c r="K18" s="11" t="inlineStr">
        <is>
          <t>测试/验收负责人</t>
        </is>
      </c>
      <c r="L18" s="11" t="inlineStr">
        <is>
          <t>依赖AR：AR23-01-01-02-04；依赖SR：SR23-01-01-01、SR23-01-08-01</t>
        </is>
      </c>
    </row>
    <row r="19" ht="61.95000076293945" customHeight="1">
      <c r="A19" s="11" t="inlineStr">
        <is>
          <t>SF-01/IR-01-01/SR23-01-01-02/AR23-01-01-02-06</t>
        </is>
      </c>
      <c r="B19" s="11" t="n">
        <v>4</v>
      </c>
      <c r="C19" s="11" t="inlineStr">
        <is>
          <t>AR</t>
        </is>
      </c>
      <c r="D19" s="11" t="inlineStr">
        <is>
          <t>AR23-01-01-02-06</t>
        </is>
      </c>
      <c r="E19" s="11" t="inlineStr">
        <is>
          <t>SR23-01-01-02</t>
        </is>
      </c>
      <c r="F19" s="11" t="inlineStr">
        <is>
          <t>├─ AR23-01-01-02-06 性能观测</t>
        </is>
      </c>
      <c r="G19" s="11" t="inlineStr">
        <is>
          <t>HBM↔SSD 分层容量与 DDR 角色插件｜性能观测</t>
        </is>
      </c>
      <c r="H19" s="11" t="inlineStr">
        <is>
          <t>接入统一 遥测数据（telemetry），建立本 SR 专属性能/资源/正确性指标和回归阈值：HBM有效容量提升≥30%；OOM/抢占（preemption）降低≥50%；DDR角色必须证明净收益；策略额外开销&lt;2%</t>
        </is>
      </c>
      <c r="I19" s="11" t="inlineStr">
        <is>
          <t>代码通过编译、静态检查和单元测试；接口/配置有版本；失败语义和 功能开关（feature flag） 可验证。</t>
        </is>
      </c>
      <c r="J19" s="11" t="inlineStr">
        <is>
          <t>src/pool/tiering/telemetry.{h,cc} + 仪表板（dashboards）/tier_capacity.json</t>
        </is>
      </c>
      <c r="K19" s="11" t="inlineStr">
        <is>
          <t>性能与可观测负责人</t>
        </is>
      </c>
      <c r="L19" s="11" t="inlineStr">
        <is>
          <t>依赖AR：AR23-01-01-02-05；依赖SR：SR23-01-01-01、SR23-01-08-01</t>
        </is>
      </c>
    </row>
    <row r="20" ht="61.95000076293945" customHeight="1">
      <c r="A20" s="11" t="inlineStr">
        <is>
          <t>SF-01/IR-01-01/SR23-01-01-03</t>
        </is>
      </c>
      <c r="B20" s="11" t="n">
        <v>3</v>
      </c>
      <c r="C20" s="11" t="inlineStr">
        <is>
          <t>SR</t>
        </is>
      </c>
      <c r="D20" s="11" t="inlineStr">
        <is>
          <t>SR23-01-01-03</t>
        </is>
      </c>
      <c r="E20" s="11" t="inlineStr">
        <is>
          <t>IR-01-01</t>
        </is>
      </c>
      <c r="F20" s="11" t="inlineStr">
        <is>
          <t>├─ SR23-01-01-03 KV 生命周期、迁移与空间治理控制器</t>
        </is>
      </c>
      <c r="G20" s="11" t="inlineStr">
        <is>
          <t>KV 生命周期、迁移与空间治理控制器</t>
        </is>
      </c>
      <c r="H20" s="11" t="inlineStr">
        <is>
          <t>迁移互锁、state-aware eviction、压紧、智能搬移、成本淘汰、NUMA 亲和
交付：lifecycle-controller 库、迁移/压紧/淘汰状态机、管理 CLI 与回滚日志</t>
        </is>
      </c>
      <c r="I20" s="11" t="inlineStr">
        <is>
          <t>错误释放/活跃对象误淘汰=0；迁移 TPOT 抖动&lt;5%；压紧可回滚；治理后碎片率&lt;5%</t>
        </is>
      </c>
      <c r="J20" s="11" t="inlineStr">
        <is>
          <t>lifecycle-controller 库、迁移/压紧/淘汰状态机、管理 CLI 与回滚日志</t>
        </is>
      </c>
      <c r="K20" s="11" t="inlineStr">
        <is>
          <t>生命周期与空间治理组</t>
        </is>
      </c>
      <c r="L20" s="11" t="inlineStr">
        <is>
          <t>来源6条；依赖：SR23-01-01-01、SR23-01-11-01</t>
        </is>
      </c>
    </row>
    <row r="21" ht="61.95000076293945" customHeight="1">
      <c r="A21" s="11" t="inlineStr">
        <is>
          <t>SF-01/IR-01-01/SR23-01-01-03/AR23-01-01-03-01</t>
        </is>
      </c>
      <c r="B21" s="11" t="n">
        <v>4</v>
      </c>
      <c r="C21" s="11" t="inlineStr">
        <is>
          <t>AR</t>
        </is>
      </c>
      <c r="D21" s="11" t="inlineStr">
        <is>
          <t>AR23-01-01-03-01</t>
        </is>
      </c>
      <c r="E21" s="11" t="inlineStr">
        <is>
          <t>SR23-01-01-03</t>
        </is>
      </c>
      <c r="F21" s="11" t="inlineStr">
        <is>
          <t>├─ AR23-01-01-03-01 核心实现</t>
        </is>
      </c>
      <c r="G21" s="11" t="inlineStr">
        <is>
          <t>KV 生命周期、迁移与空间治理控制器｜核心实现</t>
        </is>
      </c>
      <c r="H21" s="11" t="inlineStr">
        <is>
          <t>实现“KV 生命周期、迁移与空间治理控制器”的可运行主路径，交付 lifecycle-controller 库、迁移/压紧/淘汰状态机、管理 CLI 与回滚日志 的核心代码、构建入口和最小示例。</t>
        </is>
      </c>
      <c r="I21" s="11" t="inlineStr">
        <is>
          <t>代码通过编译、静态检查和单元测试；接口/配置有版本；失败语义和 功能开关（feature flag） 可验证。</t>
        </is>
      </c>
      <c r="J21" s="11" t="inlineStr">
        <is>
          <t>src/pool/lifecycle/core.{h,cc}</t>
        </is>
      </c>
      <c r="K21" s="11" t="inlineStr">
        <is>
          <t>生命周期与空间治理组</t>
        </is>
      </c>
      <c r="L21" s="11" t="inlineStr">
        <is>
          <t>依赖AR：无；依赖SR：SR23-01-01-01、SR23-01-11-01</t>
        </is>
      </c>
    </row>
    <row r="22" ht="61.95000076293945" customHeight="1">
      <c r="A22" s="11" t="inlineStr">
        <is>
          <t>SF-01/IR-01-01/SR23-01-01-03/AR23-01-01-03-02</t>
        </is>
      </c>
      <c r="B22" s="11" t="n">
        <v>4</v>
      </c>
      <c r="C22" s="11" t="inlineStr">
        <is>
          <t>AR</t>
        </is>
      </c>
      <c r="D22" s="11" t="inlineStr">
        <is>
          <t>AR23-01-01-03-02</t>
        </is>
      </c>
      <c r="E22" s="11" t="inlineStr">
        <is>
          <t>SR23-01-01-03</t>
        </is>
      </c>
      <c r="F22" s="11" t="inlineStr">
        <is>
          <t>├─ AR23-01-01-03-02 接口契约</t>
        </is>
      </c>
      <c r="G22" s="11" t="inlineStr">
        <is>
          <t>KV 生命周期、迁移与空间治理控制器｜接口契约</t>
        </is>
      </c>
      <c r="H22" s="11" t="inlineStr">
        <is>
          <t>冻结并实现接口/IDL、版本兼容、输入输出、错误码与 消费者（consumer） 示例：LifecycleEvent、MigrationTicket、EvictionDecision、CompactionPlan 与 回滚接口（rollback API）</t>
        </is>
      </c>
      <c r="I22" s="11" t="inlineStr">
        <is>
          <t>代码通过编译、静态检查和单元测试；接口/配置有版本；失败语义和 功能开关（feature flag） 可验证。</t>
        </is>
      </c>
      <c r="J22" s="11" t="inlineStr">
        <is>
          <t>api/kvcache/v23/lifecycle_controller.proto + src/pool/lifecycle/api.{h,cc}</t>
        </is>
      </c>
      <c r="K22" s="11" t="inlineStr">
        <is>
          <t>生命周期与空间治理组</t>
        </is>
      </c>
      <c r="L22" s="11" t="inlineStr">
        <is>
          <t>依赖AR：AR23-01-01-03-01；依赖SR：SR23-01-01-01、SR23-01-11-01</t>
        </is>
      </c>
    </row>
    <row r="23" ht="61.95000076293945" customHeight="1">
      <c r="A23" s="11" t="inlineStr">
        <is>
          <t>SF-01/IR-01-01/SR23-01-01-03/AR23-01-01-03-03</t>
        </is>
      </c>
      <c r="B23" s="11" t="n">
        <v>4</v>
      </c>
      <c r="C23" s="11" t="inlineStr">
        <is>
          <t>AR</t>
        </is>
      </c>
      <c r="D23" s="11" t="inlineStr">
        <is>
          <t>AR23-01-01-03-03</t>
        </is>
      </c>
      <c r="E23" s="11" t="inlineStr">
        <is>
          <t>SR23-01-01-03</t>
        </is>
      </c>
      <c r="F23" s="11" t="inlineStr">
        <is>
          <t>├─ AR23-01-01-03-03 状态模型</t>
        </is>
      </c>
      <c r="G23" s="11" t="inlineStr">
        <is>
          <t>KV 生命周期、迁移与空间治理控制器｜状态模型</t>
        </is>
      </c>
      <c r="H23" s="11" t="inlineStr">
        <is>
          <t>实现状态、版本、并发互锁和持久/内存数据模型，覆盖正常转换与非法转换保护。</t>
        </is>
      </c>
      <c r="I23" s="11" t="inlineStr">
        <is>
          <t>代码通过编译、静态检查和单元测试；接口/配置有版本；失败语义和 功能开关（feature flag） 可验证。</t>
        </is>
      </c>
      <c r="J23" s="11" t="inlineStr">
        <is>
          <t>src/pool/lifecycle/state_model.{h,cc}</t>
        </is>
      </c>
      <c r="K23" s="11" t="inlineStr">
        <is>
          <t>生命周期与空间治理组</t>
        </is>
      </c>
      <c r="L23" s="11" t="inlineStr">
        <is>
          <t>依赖AR：AR23-01-01-03-02；依赖SR：SR23-01-01-01、SR23-01-11-01</t>
        </is>
      </c>
    </row>
    <row r="24" ht="61.95000076293945" customHeight="1">
      <c r="A24" s="11" t="inlineStr">
        <is>
          <t>SF-01/IR-01-01/SR23-01-01-03/AR23-01-01-03-04</t>
        </is>
      </c>
      <c r="B24" s="11" t="n">
        <v>4</v>
      </c>
      <c r="C24" s="11" t="inlineStr">
        <is>
          <t>AR</t>
        </is>
      </c>
      <c r="D24" s="11" t="inlineStr">
        <is>
          <t>AR23-01-01-03-04</t>
        </is>
      </c>
      <c r="E24" s="11" t="inlineStr">
        <is>
          <t>SR23-01-01-03</t>
        </is>
      </c>
      <c r="F24" s="11" t="inlineStr">
        <is>
          <t>├─ AR23-01-01-03-04 异常回滚</t>
        </is>
      </c>
      <c r="G24" s="11" t="inlineStr">
        <is>
          <t>KV 生命周期、迁移与空间治理控制器｜异常回滚</t>
        </is>
      </c>
      <c r="H24" s="11" t="inlineStr">
        <is>
          <t>实现并验证失败、超时、取消、降级、回滚与关闭路径：迁移失败回滚旧 放置位置（Placement）；高负载时暂停后台治理；硬件 重映射（remap） 不可用时使用 RCU/copy-on-migrate</t>
        </is>
      </c>
      <c r="I24" s="11" t="inlineStr">
        <is>
          <t>代码通过编译、静态检查和单元测试；接口/配置有版本；失败语义和 功能开关（feature flag） 可验证。</t>
        </is>
      </c>
      <c r="J24" s="11" t="inlineStr">
        <is>
          <t>src/pool/lifecycle/fallback.{h,cc} + config/feature_flags/lifecycle_controller.yaml</t>
        </is>
      </c>
      <c r="K24" s="11" t="inlineStr">
        <is>
          <t>生命周期与空间治理组</t>
        </is>
      </c>
      <c r="L24" s="11" t="inlineStr">
        <is>
          <t>依赖AR：AR23-01-01-03-03；依赖SR：SR23-01-01-01、SR23-01-11-01</t>
        </is>
      </c>
    </row>
    <row r="25" ht="61.95000076293945" customHeight="1">
      <c r="A25" s="11" t="inlineStr">
        <is>
          <t>SF-01/IR-01-01/SR23-01-01-03/AR23-01-01-03-05</t>
        </is>
      </c>
      <c r="B25" s="11" t="n">
        <v>4</v>
      </c>
      <c r="C25" s="11" t="inlineStr">
        <is>
          <t>AR</t>
        </is>
      </c>
      <c r="D25" s="11" t="inlineStr">
        <is>
          <t>AR23-01-01-03-05</t>
        </is>
      </c>
      <c r="E25" s="11" t="inlineStr">
        <is>
          <t>SR23-01-01-03</t>
        </is>
      </c>
      <c r="F25" s="11" t="inlineStr">
        <is>
          <t>├─ AR23-01-01-03-05 独立验收</t>
        </is>
      </c>
      <c r="G25" s="11" t="inlineStr">
        <is>
          <t>KV 生命周期、迁移与空间治理控制器｜独立验收</t>
        </is>
      </c>
      <c r="H25" s="11" t="inlineStr">
        <is>
          <t>建立不依赖全项目的验收环境，执行功能、异常、兼容和性能门禁并生成可签字证据包。</t>
        </is>
      </c>
      <c r="I25" s="11" t="inlineStr">
        <is>
          <t>在“存储池核心（Pool Core） + MockMover + 并发 reader/writer 测试即可独立验收”中完成主路径、异常、兼容和回滚；全部证据可一键复现。</t>
        </is>
      </c>
      <c r="J25" s="11" t="inlineStr">
        <is>
          <t>tests/lifecycle_controller/ + benchmarks/lifecycle_controller/ + evidence/lifecycle_controller/manifest.yaml</t>
        </is>
      </c>
      <c r="K25" s="11" t="inlineStr">
        <is>
          <t>测试/验收负责人</t>
        </is>
      </c>
      <c r="L25" s="11" t="inlineStr">
        <is>
          <t>依赖AR：AR23-01-01-03-04；依赖SR：SR23-01-01-01、SR23-01-11-01</t>
        </is>
      </c>
    </row>
    <row r="26" ht="61.95000076293945" customHeight="1">
      <c r="A26" s="11" t="inlineStr">
        <is>
          <t>SF-01/IR-01-01/SR23-01-01-03/AR23-01-01-03-06</t>
        </is>
      </c>
      <c r="B26" s="11" t="n">
        <v>4</v>
      </c>
      <c r="C26" s="11" t="inlineStr">
        <is>
          <t>AR</t>
        </is>
      </c>
      <c r="D26" s="11" t="inlineStr">
        <is>
          <t>AR23-01-01-03-06</t>
        </is>
      </c>
      <c r="E26" s="11" t="inlineStr">
        <is>
          <t>SR23-01-01-03</t>
        </is>
      </c>
      <c r="F26" s="11" t="inlineStr">
        <is>
          <t>├─ AR23-01-01-03-06 性能观测</t>
        </is>
      </c>
      <c r="G26" s="11" t="inlineStr">
        <is>
          <t>KV 生命周期、迁移与空间治理控制器｜性能观测</t>
        </is>
      </c>
      <c r="H26" s="11" t="inlineStr">
        <is>
          <t>接入统一 遥测数据（telemetry），建立本 SR 专属性能/资源/正确性指标和回归阈值：错误释放/活跃对象误淘汰=0；迁移 TPOT 抖动&lt;5%；压紧可回滚；治理后碎片率&lt;5%</t>
        </is>
      </c>
      <c r="I26" s="11" t="inlineStr">
        <is>
          <t>代码通过编译、静态检查和单元测试；接口/配置有版本；失败语义和 功能开关（feature flag） 可验证。</t>
        </is>
      </c>
      <c r="J26" s="11" t="inlineStr">
        <is>
          <t>src/pool/lifecycle/telemetry.{h,cc} + 仪表板（dashboards）/lifecycle_controller.json</t>
        </is>
      </c>
      <c r="K26" s="11" t="inlineStr">
        <is>
          <t>性能与可观测负责人</t>
        </is>
      </c>
      <c r="L26" s="11" t="inlineStr">
        <is>
          <t>依赖AR：AR23-01-01-03-05；依赖SR：SR23-01-01-01、SR23-01-11-01</t>
        </is>
      </c>
    </row>
    <row r="27" ht="61.95000076293945" customHeight="1">
      <c r="A27" s="11" t="inlineStr">
        <is>
          <t>SF-01/IR-01-02</t>
        </is>
      </c>
      <c r="B27" s="11" t="n">
        <v>2</v>
      </c>
      <c r="C27" s="11" t="inlineStr">
        <is>
          <t>IR</t>
        </is>
      </c>
      <c r="D27" s="11" t="inlineStr">
        <is>
          <t>IR-01-02</t>
        </is>
      </c>
      <c r="E27" s="11" t="inlineStr">
        <is>
          <t>SF-01</t>
        </is>
      </c>
      <c r="F27" s="11" t="inlineStr">
        <is>
          <t>├─ IR-01-02 支持vLLM/SGLang KV块跨介质批量传输的布局适配与描述生成</t>
        </is>
      </c>
      <c r="G27" s="11" t="inlineStr">
        <is>
          <t>支持vLLM/SGLang KV块跨介质批量传输的布局适配与描述生成</t>
        </is>
      </c>
      <c r="H27" s="11" t="inlineStr">
        <is>
          <t>系统应接收 vLLM 块（block）、SGLang 页/基数树区间（page/radix span） 等不同框架产生的逻辑 KV 片段，自动适配目标 HBM、DDR、SSD、RDMA 或 UBMEM 路径的内存布局和传输约束，生成可由底层一次或少量批次执行的统一传输任务。其目的不是暴露 SG、对齐或 fence 细节，而是消除逐块拷贝、重复后端适配和小 I/O 风暴，让同一份 KVCache 能在不同介质与传输后端之间高效流转。</t>
        </is>
      </c>
      <c r="I27" s="11" t="inlineStr">
        <is>
          <t>描述符（descriptor） 数降低≥50%；effective BW提升≥30%；CPU提交时延（CPU submit time）降低≥40%；布局协商错误=0。</t>
        </is>
      </c>
      <c r="J27" s="11" t="inlineStr">
        <is>
          <t>存储区段清单（ExtentManifest） + 分散/聚集描述符编译器（Scatter/Gather Descriptor Compiler） + FlatBuffers/Protobuf ABI</t>
        </is>
      </c>
      <c r="K27" s="11" t="inlineStr">
        <is>
          <t>TM4</t>
        </is>
      </c>
      <c r="L27" s="11" t="inlineStr">
        <is>
          <t>V2.2 IR语义沿用</t>
        </is>
      </c>
    </row>
    <row r="28" ht="61.95000076293945" customHeight="1">
      <c r="A28" s="11" t="inlineStr">
        <is>
          <t>SF-01/IR-01-02/SR23-01-02-01</t>
        </is>
      </c>
      <c r="B28" s="11" t="n">
        <v>3</v>
      </c>
      <c r="C28" s="11" t="inlineStr">
        <is>
          <t>SR</t>
        </is>
      </c>
      <c r="D28" s="11" t="inlineStr">
        <is>
          <t>SR23-01-02-01</t>
        </is>
      </c>
      <c r="E28" s="11" t="inlineStr">
        <is>
          <t>IR-01-02</t>
        </is>
      </c>
      <c r="F28" s="11" t="inlineStr">
        <is>
          <t>├─ SR23-01-02-01 跨框架布局与批量传输描述编译器</t>
        </is>
      </c>
      <c r="G28" s="11" t="inlineStr">
        <is>
          <t>跨框架布局与批量传输描述编译器</t>
        </is>
      </c>
      <c r="H28" s="11" t="inlineStr">
        <is>
          <t>存储区段清单（ExtentManifest）→SG/segment 描述符（descriptor）、布局协商、显式 转换（transform）、部分前缀（partial prefix）
交付：descriptor-compiler 库、vLLM/SGLang 布局（layout） 适配器（adapter）、黄金布局用例（golden layout cases）</t>
        </is>
      </c>
      <c r="I28" s="11" t="inlineStr">
        <is>
          <t>描述符（descriptor） 数下降≥50%；CPU提交时延（CPU submit time）下降≥40%；布局协商错误=0；黄金用例（golden case） 100%通过</t>
        </is>
      </c>
      <c r="J28" s="11" t="inlineStr">
        <is>
          <t>descriptor-compiler 库、vLLM/SGLang 布局（layout） 适配器（adapter）、黄金布局用例（golden layout cases）</t>
        </is>
      </c>
      <c r="K28" s="11" t="inlineStr">
        <is>
          <t>布局与描述编译组</t>
        </is>
      </c>
      <c r="L28" s="11" t="inlineStr">
        <is>
          <t>来源5条；依赖：SR23-01-01-01、SR23-01-09-01</t>
        </is>
      </c>
    </row>
    <row r="29" ht="61.95000076293945" customHeight="1">
      <c r="A29" s="11" t="inlineStr">
        <is>
          <t>SF-01/IR-01-02/SR23-01-02-01/AR23-01-02-01-01</t>
        </is>
      </c>
      <c r="B29" s="11" t="n">
        <v>4</v>
      </c>
      <c r="C29" s="11" t="inlineStr">
        <is>
          <t>AR</t>
        </is>
      </c>
      <c r="D29" s="11" t="inlineStr">
        <is>
          <t>AR23-01-02-01-01</t>
        </is>
      </c>
      <c r="E29" s="11" t="inlineStr">
        <is>
          <t>SR23-01-02-01</t>
        </is>
      </c>
      <c r="F29" s="11" t="inlineStr">
        <is>
          <t>├─ AR23-01-02-01-01 核心实现</t>
        </is>
      </c>
      <c r="G29" s="11" t="inlineStr">
        <is>
          <t>跨框架布局与批量传输描述编译器｜核心实现</t>
        </is>
      </c>
      <c r="H29" s="11" t="inlineStr">
        <is>
          <t>实现“跨框架布局与批量传输描述编译器”的可运行主路径，交付 descriptor-compiler 库、vLLM/SGLang 布局（layout） 适配器（adapter）、黄金布局用例（golden layout cases） 的核心代码、构建入口和最小示例。</t>
        </is>
      </c>
      <c r="I29" s="11" t="inlineStr">
        <is>
          <t>代码通过编译、静态检查和单元测试；接口/配置有版本；失败语义和 功能开关（feature flag） 可验证。</t>
        </is>
      </c>
      <c r="J29" s="11" t="inlineStr">
        <is>
          <t>src/transfer/descriptor/core.{h,cc}</t>
        </is>
      </c>
      <c r="K29" s="11" t="inlineStr">
        <is>
          <t>布局与描述编译组</t>
        </is>
      </c>
      <c r="L29" s="11" t="inlineStr">
        <is>
          <t>依赖AR：无；依赖SR：SR23-01-01-01、SR23-01-09-01</t>
        </is>
      </c>
    </row>
    <row r="30" ht="61.95000076293945" customHeight="1">
      <c r="A30" s="11" t="inlineStr">
        <is>
          <t>SF-01/IR-01-02/SR23-01-02-01/AR23-01-02-01-02</t>
        </is>
      </c>
      <c r="B30" s="11" t="n">
        <v>4</v>
      </c>
      <c r="C30" s="11" t="inlineStr">
        <is>
          <t>AR</t>
        </is>
      </c>
      <c r="D30" s="11" t="inlineStr">
        <is>
          <t>AR23-01-02-01-02</t>
        </is>
      </c>
      <c r="E30" s="11" t="inlineStr">
        <is>
          <t>SR23-01-02-01</t>
        </is>
      </c>
      <c r="F30" s="11" t="inlineStr">
        <is>
          <t>├─ AR23-01-02-01-02 接口契约</t>
        </is>
      </c>
      <c r="G30" s="11" t="inlineStr">
        <is>
          <t>跨框架布局与批量传输描述编译器｜接口契约</t>
        </is>
      </c>
      <c r="H30" s="11" t="inlineStr">
        <is>
          <t>冻结并实现接口/IDL、版本兼容、输入输出、错误码与 消费者（consumer） 示例：compile(manifest, targetCapability)→批量描述符（BulkDescriptor）/布局转换计划（LayoutTransformPlan）</t>
        </is>
      </c>
      <c r="I30" s="11" t="inlineStr">
        <is>
          <t>代码通过编译、静态检查和单元测试；接口/配置有版本；失败语义和 功能开关（feature flag） 可验证。</t>
        </is>
      </c>
      <c r="J30" s="11" t="inlineStr">
        <is>
          <t>api/kvcache/v23/descriptor_compiler.proto + src/transfer/descriptor/api.{h,cc}</t>
        </is>
      </c>
      <c r="K30" s="11" t="inlineStr">
        <is>
          <t>布局与描述编译组</t>
        </is>
      </c>
      <c r="L30" s="11" t="inlineStr">
        <is>
          <t>依赖AR：AR23-01-02-01-01；依赖SR：SR23-01-01-01、SR23-01-09-01</t>
        </is>
      </c>
    </row>
    <row r="31" ht="61.95000076293945" customHeight="1">
      <c r="A31" s="11" t="inlineStr">
        <is>
          <t>SF-01/IR-01-02/SR23-01-02-01/AR23-01-02-01-03</t>
        </is>
      </c>
      <c r="B31" s="11" t="n">
        <v>4</v>
      </c>
      <c r="C31" s="11" t="inlineStr">
        <is>
          <t>AR</t>
        </is>
      </c>
      <c r="D31" s="11" t="inlineStr">
        <is>
          <t>AR23-01-02-01-03</t>
        </is>
      </c>
      <c r="E31" s="11" t="inlineStr">
        <is>
          <t>SR23-01-02-01</t>
        </is>
      </c>
      <c r="F31" s="11" t="inlineStr">
        <is>
          <t>├─ AR23-01-02-01-03 状态模型</t>
        </is>
      </c>
      <c r="G31" s="11" t="inlineStr">
        <is>
          <t>跨框架布局与批量传输描述编译器｜状态模型</t>
        </is>
      </c>
      <c r="H31" s="11" t="inlineStr">
        <is>
          <t>实现状态、版本、并发互锁和持久/内存数据模型，覆盖正常转换与非法转换保护。</t>
        </is>
      </c>
      <c r="I31" s="11" t="inlineStr">
        <is>
          <t>代码通过编译、静态检查和单元测试；接口/配置有版本；失败语义和 功能开关（feature flag） 可验证。</t>
        </is>
      </c>
      <c r="J31" s="11" t="inlineStr">
        <is>
          <t>src/transfer/descriptor/state_model.{h,cc}</t>
        </is>
      </c>
      <c r="K31" s="11" t="inlineStr">
        <is>
          <t>布局与描述编译组</t>
        </is>
      </c>
      <c r="L31" s="11" t="inlineStr">
        <is>
          <t>依赖AR：AR23-01-02-01-02；依赖SR：SR23-01-01-01、SR23-01-09-01</t>
        </is>
      </c>
    </row>
    <row r="32" ht="61.95000076293945" customHeight="1">
      <c r="A32" s="11" t="inlineStr">
        <is>
          <t>SF-01/IR-01-02/SR23-01-02-01/AR23-01-02-01-04</t>
        </is>
      </c>
      <c r="B32" s="11" t="n">
        <v>4</v>
      </c>
      <c r="C32" s="11" t="inlineStr">
        <is>
          <t>AR</t>
        </is>
      </c>
      <c r="D32" s="11" t="inlineStr">
        <is>
          <t>AR23-01-02-01-04</t>
        </is>
      </c>
      <c r="E32" s="11" t="inlineStr">
        <is>
          <t>SR23-01-02-01</t>
        </is>
      </c>
      <c r="F32" s="11" t="inlineStr">
        <is>
          <t>├─ AR23-01-02-01-04 异常回滚</t>
        </is>
      </c>
      <c r="G32" s="11" t="inlineStr">
        <is>
          <t>跨框架布局与批量传输描述编译器｜异常回滚</t>
        </is>
      </c>
      <c r="H32" s="11" t="inlineStr">
        <is>
          <t>实现并验证失败、超时、取消、降级、回滚与关闭路径：布局不兼容时返回显式 转换（transform） 或 RECOMPUTE；禁止隐式错误 附加（attach）</t>
        </is>
      </c>
      <c r="I32" s="11" t="inlineStr">
        <is>
          <t>代码通过编译、静态检查和单元测试；接口/配置有版本；失败语义和 功能开关（feature flag） 可验证。</t>
        </is>
      </c>
      <c r="J32" s="11" t="inlineStr">
        <is>
          <t>src/transfer/descriptor/fallback.{h,cc} + config/feature_flags/descriptor_compiler.yaml</t>
        </is>
      </c>
      <c r="K32" s="11" t="inlineStr">
        <is>
          <t>布局与描述编译组</t>
        </is>
      </c>
      <c r="L32" s="11" t="inlineStr">
        <is>
          <t>依赖AR：AR23-01-02-01-03；依赖SR：SR23-01-01-01、SR23-01-09-01</t>
        </is>
      </c>
    </row>
    <row r="33" ht="61.95000076293945" customHeight="1">
      <c r="A33" s="11" t="inlineStr">
        <is>
          <t>SF-01/IR-01-02/SR23-01-02-01/AR23-01-02-01-05</t>
        </is>
      </c>
      <c r="B33" s="11" t="n">
        <v>4</v>
      </c>
      <c r="C33" s="11" t="inlineStr">
        <is>
          <t>AR</t>
        </is>
      </c>
      <c r="D33" s="11" t="inlineStr">
        <is>
          <t>AR23-01-02-01-05</t>
        </is>
      </c>
      <c r="E33" s="11" t="inlineStr">
        <is>
          <t>SR23-01-02-01</t>
        </is>
      </c>
      <c r="F33" s="11" t="inlineStr">
        <is>
          <t>├─ AR23-01-02-01-05 独立验收</t>
        </is>
      </c>
      <c r="G33" s="11" t="inlineStr">
        <is>
          <t>跨框架布局与批量传输描述编译器｜独立验收</t>
        </is>
      </c>
      <c r="H33" s="11" t="inlineStr">
        <is>
          <t>建立不依赖全项目的验收环境，执行功能、异常、兼容和性能门禁并生成可签字证据包。</t>
        </is>
      </c>
      <c r="I33" s="11" t="inlineStr">
        <is>
          <t>在“两种框架 布局测试夹具（layout fixture） + 模拟提供器（MockProvider） 即可独立验收”中完成主路径、异常、兼容和回滚；全部证据可一键复现。</t>
        </is>
      </c>
      <c r="J33" s="11" t="inlineStr">
        <is>
          <t>tests/descriptor_compiler/ + benchmarks/descriptor_compiler/ + evidence/descriptor_compiler/manifest.yaml</t>
        </is>
      </c>
      <c r="K33" s="11" t="inlineStr">
        <is>
          <t>测试/验收负责人</t>
        </is>
      </c>
      <c r="L33" s="11" t="inlineStr">
        <is>
          <t>依赖AR：AR23-01-02-01-04；依赖SR：SR23-01-01-01、SR23-01-09-01</t>
        </is>
      </c>
    </row>
    <row r="34" ht="61.95000076293945" customHeight="1">
      <c r="A34" s="11" t="inlineStr">
        <is>
          <t>SF-01/IR-01-02/SR23-01-02-01/AR23-01-02-01-06</t>
        </is>
      </c>
      <c r="B34" s="11" t="n">
        <v>4</v>
      </c>
      <c r="C34" s="11" t="inlineStr">
        <is>
          <t>AR</t>
        </is>
      </c>
      <c r="D34" s="11" t="inlineStr">
        <is>
          <t>AR23-01-02-01-06</t>
        </is>
      </c>
      <c r="E34" s="11" t="inlineStr">
        <is>
          <t>SR23-01-02-01</t>
        </is>
      </c>
      <c r="F34" s="11" t="inlineStr">
        <is>
          <t>├─ AR23-01-02-01-06 性能观测</t>
        </is>
      </c>
      <c r="G34" s="11" t="inlineStr">
        <is>
          <t>跨框架布局与批量传输描述编译器｜性能观测</t>
        </is>
      </c>
      <c r="H34" s="11" t="inlineStr">
        <is>
          <t>接入统一 遥测数据（telemetry），建立本 SR 专属性能/资源/正确性指标和回归阈值：描述符（descriptor） 数下降≥50%；CPU提交时延（CPU submit time）下降≥40%；布局协商错误=0；黄金用例（golden case） 100%通过</t>
        </is>
      </c>
      <c r="I34" s="11" t="inlineStr">
        <is>
          <t>代码通过编译、静态检查和单元测试；接口/配置有版本；失败语义和 功能开关（feature flag） 可验证。</t>
        </is>
      </c>
      <c r="J34" s="11" t="inlineStr">
        <is>
          <t>src/transfer/descriptor/telemetry.{h,cc} + 仪表板（dashboards）/descriptor_compiler.json</t>
        </is>
      </c>
      <c r="K34" s="11" t="inlineStr">
        <is>
          <t>性能与可观测负责人</t>
        </is>
      </c>
      <c r="L34" s="11" t="inlineStr">
        <is>
          <t>依赖AR：AR23-01-02-01-05；依赖SR：SR23-01-01-01、SR23-01-09-01</t>
        </is>
      </c>
    </row>
    <row r="35" ht="61.95000076293945" customHeight="1">
      <c r="A35" s="11" t="inlineStr">
        <is>
          <t>SF-01/IR-01-03</t>
        </is>
      </c>
      <c r="B35" s="11" t="n">
        <v>2</v>
      </c>
      <c r="C35" s="11" t="inlineStr">
        <is>
          <t>IR</t>
        </is>
      </c>
      <c r="D35" s="11" t="inlineStr">
        <is>
          <t>IR-01-03</t>
        </is>
      </c>
      <c r="E35" s="11" t="inlineStr">
        <is>
          <t>SF-01</t>
        </is>
      </c>
      <c r="F35" s="11" t="inlineStr">
        <is>
          <t>├─ IR-01-03 面向TTFT收益与资源成本的KV访问决策和查询计划（QueryPlan）生成</t>
        </is>
      </c>
      <c r="G35" s="11" t="inlineStr">
        <is>
          <t>面向TTFT收益与资源成本的KV访问决策和查询计划（QueryPlan）生成</t>
        </is>
      </c>
      <c r="H35" s="11" t="inlineStr">
        <is>
          <t>系统应在发现多个 KV 副本或访问路径后，综合请求 TTFT 截止时限（deadline）、预计重算时间、加载/附加成本、HBM 水位、路径拥塞和 TPOT 干扰，明确选择本地复用、远端加载、直接访问、回填 HBM、部分重算或完全重算，并输出包含候选位置、预估成本、执行动作和回退顺序的 查询计划（QueryPlan），确保只消费收益为正且可安全使用的 KVCache。</t>
        </is>
      </c>
      <c r="I35" s="11" t="inlineStr">
        <is>
          <t>可用命中率（Usable Hit Rate）提升≥20%；路径成本预测误差&lt;20%；单次策略调用&lt;5 μs；负收益命中强制放弃。</t>
        </is>
      </c>
      <c r="J35" s="11" t="inlineStr">
        <is>
          <t>查询计划（QueryPlan） + 放置解析器（PlacementResolver） + EWMA成本模型（EWMA CostModel） + 策略引擎（PolicyEngine）</t>
        </is>
      </c>
      <c r="K35" s="11" t="inlineStr">
        <is>
          <t>TM1/TM3/TM4</t>
        </is>
      </c>
      <c r="L35" s="11" t="inlineStr">
        <is>
          <t>V2.2 IR语义沿用</t>
        </is>
      </c>
    </row>
    <row r="36" ht="61.95000076293945" customHeight="1">
      <c r="A36" s="11" t="inlineStr">
        <is>
          <t>SF-01/IR-01-03/SR23-01-03-01</t>
        </is>
      </c>
      <c r="B36" s="11" t="n">
        <v>3</v>
      </c>
      <c r="C36" s="11" t="inlineStr">
        <is>
          <t>SR</t>
        </is>
      </c>
      <c r="D36" s="11" t="inlineStr">
        <is>
          <t>SR23-01-03-01</t>
        </is>
      </c>
      <c r="E36" s="11" t="inlineStr">
        <is>
          <t>IR-01-03</t>
        </is>
      </c>
      <c r="F36" s="11" t="inlineStr">
        <is>
          <t>├─ SR23-01-03-01 查询计划（QueryPlan） 与多副本成本决策引擎</t>
        </is>
      </c>
      <c r="G36" s="11" t="inlineStr">
        <is>
          <t>查询计划（QueryPlan） 与多副本成本决策引擎</t>
        </is>
      </c>
      <c r="H36" s="11" t="inlineStr">
        <is>
          <t>加载与重算（load-vs-recompute）、候选副本排序、视图与复制对比（View-vs-Copy）、层级旁路（Tier bypass） 与 回退链（fallback chain）
交付：queryplan-engine 库、策略引擎（PolicyEngine）/放置解析器（PlacementResolver）、影子/标准判定（shadow/oracle） 对账工具</t>
        </is>
      </c>
      <c r="I36" s="11" t="inlineStr">
        <is>
          <t>策略 p99&lt;5μs；路径选择准确率≥90%；成本预测误差&lt;20%；错误 加载（Load）&lt;1%</t>
        </is>
      </c>
      <c r="J36" s="11" t="inlineStr">
        <is>
          <t>queryplan-engine 库、策略引擎（PolicyEngine）/放置解析器（PlacementResolver）、影子/标准判定（shadow/oracle） 对账工具</t>
        </is>
      </c>
      <c r="K36" s="11" t="inlineStr">
        <is>
          <t>语义策略与成本模型组</t>
        </is>
      </c>
      <c r="L36" s="11" t="inlineStr">
        <is>
          <t>来源6条；依赖：SR23-01-05-01、SR23-02-05-02</t>
        </is>
      </c>
    </row>
    <row r="37" ht="61.95000076293945" customHeight="1">
      <c r="A37" s="11" t="inlineStr">
        <is>
          <t>SF-01/IR-01-03/SR23-01-03-01/AR23-01-03-01-01</t>
        </is>
      </c>
      <c r="B37" s="11" t="n">
        <v>4</v>
      </c>
      <c r="C37" s="11" t="inlineStr">
        <is>
          <t>AR</t>
        </is>
      </c>
      <c r="D37" s="11" t="inlineStr">
        <is>
          <t>AR23-01-03-01-01</t>
        </is>
      </c>
      <c r="E37" s="11" t="inlineStr">
        <is>
          <t>SR23-01-03-01</t>
        </is>
      </c>
      <c r="F37" s="11" t="inlineStr">
        <is>
          <t>├─ AR23-01-03-01-01 核心实现</t>
        </is>
      </c>
      <c r="G37" s="11" t="inlineStr">
        <is>
          <t>查询计划（QueryPlan） 与多副本成本决策引擎｜核心实现</t>
        </is>
      </c>
      <c r="H37" s="11" t="inlineStr">
        <is>
          <t>实现“查询计划（QueryPlan） 与多副本成本决策引擎”的可运行主路径，交付 queryplan-engine 库、策略引擎（PolicyEngine）/放置解析器（PlacementResolver）、影子/标准判定（shadow/oracle） 对账工具 的核心代码、构建入口和最小示例。</t>
        </is>
      </c>
      <c r="I37" s="11" t="inlineStr">
        <is>
          <t>代码通过编译、静态检查和单元测试；接口/配置有版本；失败语义和 功能开关（feature flag） 可验证。</t>
        </is>
      </c>
      <c r="J37" s="11" t="inlineStr">
        <is>
          <t>src/policy/queryplan/core.{h,cc}</t>
        </is>
      </c>
      <c r="K37" s="11" t="inlineStr">
        <is>
          <t>语义策略与成本模型组</t>
        </is>
      </c>
      <c r="L37" s="11" t="inlineStr">
        <is>
          <t>依赖AR：无；依赖SR：SR23-01-05-01、SR23-02-05-02</t>
        </is>
      </c>
    </row>
    <row r="38" ht="61.95000076293945" customHeight="1">
      <c r="A38" s="11" t="inlineStr">
        <is>
          <t>SF-01/IR-01-03/SR23-01-03-01/AR23-01-03-01-02</t>
        </is>
      </c>
      <c r="B38" s="11" t="n">
        <v>4</v>
      </c>
      <c r="C38" s="11" t="inlineStr">
        <is>
          <t>AR</t>
        </is>
      </c>
      <c r="D38" s="11" t="inlineStr">
        <is>
          <t>AR23-01-03-01-02</t>
        </is>
      </c>
      <c r="E38" s="11" t="inlineStr">
        <is>
          <t>SR23-01-03-01</t>
        </is>
      </c>
      <c r="F38" s="11" t="inlineStr">
        <is>
          <t>├─ AR23-01-03-01-02 接口契约</t>
        </is>
      </c>
      <c r="G38" s="11" t="inlineStr">
        <is>
          <t>查询计划（QueryPlan） 与多副本成本决策引擎｜接口契约</t>
        </is>
      </c>
      <c r="H38" s="11" t="inlineStr">
        <is>
          <t>冻结并实现接口/IDL、版本兼容、输入输出、错误码与 消费者（consumer） 示例：plan(KV访问意图（KVAccessIntent）, candidates, 遥测数据（telemetry）)→排序后的查询计划（ranked QueryPlan） + 决策原因（decision reason）</t>
        </is>
      </c>
      <c r="I38" s="11" t="inlineStr">
        <is>
          <t>代码通过编译、静态检查和单元测试；接口/配置有版本；失败语义和 功能开关（feature flag） 可验证。</t>
        </is>
      </c>
      <c r="J38" s="11" t="inlineStr">
        <is>
          <t>api/kvcache/v23/queryplan_engine.proto + src/policy/queryplan/api.{h,cc}</t>
        </is>
      </c>
      <c r="K38" s="11" t="inlineStr">
        <is>
          <t>语义策略与成本模型组</t>
        </is>
      </c>
      <c r="L38" s="11" t="inlineStr">
        <is>
          <t>依赖AR：AR23-01-03-01-01；依赖SR：SR23-01-05-01、SR23-02-05-02</t>
        </is>
      </c>
    </row>
    <row r="39" ht="61.95000076293945" customHeight="1">
      <c r="A39" s="11" t="inlineStr">
        <is>
          <t>SF-01/IR-01-03/SR23-01-03-01/AR23-01-03-01-03</t>
        </is>
      </c>
      <c r="B39" s="11" t="n">
        <v>4</v>
      </c>
      <c r="C39" s="11" t="inlineStr">
        <is>
          <t>AR</t>
        </is>
      </c>
      <c r="D39" s="11" t="inlineStr">
        <is>
          <t>AR23-01-03-01-03</t>
        </is>
      </c>
      <c r="E39" s="11" t="inlineStr">
        <is>
          <t>SR23-01-03-01</t>
        </is>
      </c>
      <c r="F39" s="11" t="inlineStr">
        <is>
          <t>├─ AR23-01-03-01-03 状态模型</t>
        </is>
      </c>
      <c r="G39" s="11" t="inlineStr">
        <is>
          <t>查询计划（QueryPlan） 与多副本成本决策引擎｜状态模型</t>
        </is>
      </c>
      <c r="H39" s="11" t="inlineStr">
        <is>
          <t>实现状态、版本、并发互锁和持久/内存数据模型，覆盖正常转换与非法转换保护。</t>
        </is>
      </c>
      <c r="I39" s="11" t="inlineStr">
        <is>
          <t>代码通过编译、静态检查和单元测试；接口/配置有版本；失败语义和 功能开关（feature flag） 可验证。</t>
        </is>
      </c>
      <c r="J39" s="11" t="inlineStr">
        <is>
          <t>src/policy/queryplan/state_model.{h,cc}</t>
        </is>
      </c>
      <c r="K39" s="11" t="inlineStr">
        <is>
          <t>语义策略与成本模型组</t>
        </is>
      </c>
      <c r="L39" s="11" t="inlineStr">
        <is>
          <t>依赖AR：AR23-01-03-01-02；依赖SR：SR23-01-05-01、SR23-02-05-02</t>
        </is>
      </c>
    </row>
    <row r="40" ht="61.95000076293945" customHeight="1">
      <c r="A40" s="11" t="inlineStr">
        <is>
          <t>SF-01/IR-01-03/SR23-01-03-01/AR23-01-03-01-04</t>
        </is>
      </c>
      <c r="B40" s="11" t="n">
        <v>4</v>
      </c>
      <c r="C40" s="11" t="inlineStr">
        <is>
          <t>AR</t>
        </is>
      </c>
      <c r="D40" s="11" t="inlineStr">
        <is>
          <t>AR23-01-03-01-04</t>
        </is>
      </c>
      <c r="E40" s="11" t="inlineStr">
        <is>
          <t>SR23-01-03-01</t>
        </is>
      </c>
      <c r="F40" s="11" t="inlineStr">
        <is>
          <t>├─ AR23-01-03-01-04 异常回滚</t>
        </is>
      </c>
      <c r="G40" s="11" t="inlineStr">
        <is>
          <t>查询计划（QueryPlan） 与多副本成本决策引擎｜异常回滚</t>
        </is>
      </c>
      <c r="H40" s="11" t="inlineStr">
        <is>
          <t>实现并验证失败、超时、取消、降级、回滚与关闭路径：成本估计不可信或超预算时选择本地副本/部分重算（partial recompute）/重算（recompute）</t>
        </is>
      </c>
      <c r="I40" s="11" t="inlineStr">
        <is>
          <t>代码通过编译、静态检查和单元测试；接口/配置有版本；失败语义和 功能开关（feature flag） 可验证。</t>
        </is>
      </c>
      <c r="J40" s="11" t="inlineStr">
        <is>
          <t>src/policy/queryplan/fallback.{h,cc} + config/feature_flags/queryplan_engine.yaml</t>
        </is>
      </c>
      <c r="K40" s="11" t="inlineStr">
        <is>
          <t>语义策略与成本模型组</t>
        </is>
      </c>
      <c r="L40" s="11" t="inlineStr">
        <is>
          <t>依赖AR：AR23-01-03-01-03；依赖SR：SR23-01-05-01、SR23-02-05-02</t>
        </is>
      </c>
    </row>
    <row r="41" ht="61.95000076293945" customHeight="1">
      <c r="A41" s="11" t="inlineStr">
        <is>
          <t>SF-01/IR-01-03/SR23-01-03-01/AR23-01-03-01-05</t>
        </is>
      </c>
      <c r="B41" s="11" t="n">
        <v>4</v>
      </c>
      <c r="C41" s="11" t="inlineStr">
        <is>
          <t>AR</t>
        </is>
      </c>
      <c r="D41" s="11" t="inlineStr">
        <is>
          <t>AR23-01-03-01-05</t>
        </is>
      </c>
      <c r="E41" s="11" t="inlineStr">
        <is>
          <t>SR23-01-03-01</t>
        </is>
      </c>
      <c r="F41" s="11" t="inlineStr">
        <is>
          <t>├─ AR23-01-03-01-05 独立验收</t>
        </is>
      </c>
      <c r="G41" s="11" t="inlineStr">
        <is>
          <t>查询计划（QueryPlan） 与多副本成本决策引擎｜独立验收</t>
        </is>
      </c>
      <c r="H41" s="11" t="inlineStr">
        <is>
          <t>建立不依赖全项目的验收环境，执行功能、异常、兼容和性能门禁并生成可签字证据包。</t>
        </is>
      </c>
      <c r="I41" s="11" t="inlineStr">
        <is>
          <t>在“录制的 候选项（candidate）/遥测数据（telemetry） 测试夹具（fixture） + 离线 oracle 即可独立验收”中完成主路径、异常、兼容和回滚；全部证据可一键复现。</t>
        </is>
      </c>
      <c r="J41" s="11" t="inlineStr">
        <is>
          <t>tests/queryplan_engine/ + benchmarks/queryplan_engine/ + evidence/queryplan_engine/manifest.yaml</t>
        </is>
      </c>
      <c r="K41" s="11" t="inlineStr">
        <is>
          <t>测试/验收负责人</t>
        </is>
      </c>
      <c r="L41" s="11" t="inlineStr">
        <is>
          <t>依赖AR：AR23-01-03-01-04；依赖SR：SR23-01-05-01、SR23-02-05-02</t>
        </is>
      </c>
    </row>
    <row r="42" ht="61.95000076293945" customHeight="1">
      <c r="A42" s="11" t="inlineStr">
        <is>
          <t>SF-01/IR-01-03/SR23-01-03-01/AR23-01-03-01-06</t>
        </is>
      </c>
      <c r="B42" s="11" t="n">
        <v>4</v>
      </c>
      <c r="C42" s="11" t="inlineStr">
        <is>
          <t>AR</t>
        </is>
      </c>
      <c r="D42" s="11" t="inlineStr">
        <is>
          <t>AR23-01-03-01-06</t>
        </is>
      </c>
      <c r="E42" s="11" t="inlineStr">
        <is>
          <t>SR23-01-03-01</t>
        </is>
      </c>
      <c r="F42" s="11" t="inlineStr">
        <is>
          <t>├─ AR23-01-03-01-06 性能观测</t>
        </is>
      </c>
      <c r="G42" s="11" t="inlineStr">
        <is>
          <t>查询计划（QueryPlan） 与多副本成本决策引擎｜性能观测</t>
        </is>
      </c>
      <c r="H42" s="11" t="inlineStr">
        <is>
          <t>接入统一 遥测数据（telemetry），建立本 SR 专属性能/资源/正确性指标和回归阈值：策略 p99&lt;5μs；路径选择准确率≥90%；成本预测误差&lt;20%；错误 加载（Load）&lt;1%</t>
        </is>
      </c>
      <c r="I42" s="11" t="inlineStr">
        <is>
          <t>代码通过编译、静态检查和单元测试；接口/配置有版本；失败语义和 功能开关（feature flag） 可验证。</t>
        </is>
      </c>
      <c r="J42" s="11" t="inlineStr">
        <is>
          <t>src/policy/queryplan/telemetry.{h,cc} + 仪表板（dashboards）/queryplan_engine.json</t>
        </is>
      </c>
      <c r="K42" s="11" t="inlineStr">
        <is>
          <t>性能与可观测负责人</t>
        </is>
      </c>
      <c r="L42" s="11" t="inlineStr">
        <is>
          <t>依赖AR：AR23-01-03-01-05；依赖SR：SR23-01-05-01、SR23-02-05-02</t>
        </is>
      </c>
    </row>
    <row r="43" ht="61.95000076293945" customHeight="1">
      <c r="A43" s="11" t="inlineStr">
        <is>
          <t>SF-01/IR-01-03/SR23-01-03-02</t>
        </is>
      </c>
      <c r="B43" s="11" t="n">
        <v>3</v>
      </c>
      <c r="C43" s="11" t="inlineStr">
        <is>
          <t>SR</t>
        </is>
      </c>
      <c r="D43" s="11" t="inlineStr">
        <is>
          <t>SR23-01-03-02</t>
        </is>
      </c>
      <c r="E43" s="11" t="inlineStr">
        <is>
          <t>IR-01-03</t>
        </is>
      </c>
      <c r="F43" s="11" t="inlineStr">
        <is>
          <t>├─ SR23-01-03-02 统一传输意图与粒度分发组件</t>
        </is>
      </c>
      <c r="G43" s="11" t="inlineStr">
        <is>
          <t>统一传输意图与粒度分发组件</t>
        </is>
      </c>
      <c r="H43" s="11" t="inlineStr">
        <is>
          <t>跨框架传输意图归一化、统一语义引擎、元数据与 有效载荷（Payload） 分流
交付：transfer-intent API、统一 描述符（descriptor） 模式（schema）、metadata/有效载荷（payload） 粒度分发器</t>
        </is>
      </c>
      <c r="I43" s="11" t="inlineStr">
        <is>
          <t>跨框架语义一致性测试100%；错误 提供器（Provider） 路由=0；单次归一化 p99&lt;3μs</t>
        </is>
      </c>
      <c r="J43" s="11" t="inlineStr">
        <is>
          <t>transfer-intent API、统一 描述符（descriptor） 模式（schema）、metadata/有效载荷（payload） 粒度分发器</t>
        </is>
      </c>
      <c r="K43" s="11" t="inlineStr">
        <is>
          <t>统一传输语义组</t>
        </is>
      </c>
      <c r="L43" s="11" t="inlineStr">
        <is>
          <t>来源3条；依赖：SR23-02-01-01、SR23-01-09-01</t>
        </is>
      </c>
    </row>
    <row r="44" ht="61.95000076293945" customHeight="1">
      <c r="A44" s="11" t="inlineStr">
        <is>
          <t>SF-01/IR-01-03/SR23-01-03-02/AR23-01-03-02-01</t>
        </is>
      </c>
      <c r="B44" s="11" t="n">
        <v>4</v>
      </c>
      <c r="C44" s="11" t="inlineStr">
        <is>
          <t>AR</t>
        </is>
      </c>
      <c r="D44" s="11" t="inlineStr">
        <is>
          <t>AR23-01-03-02-01</t>
        </is>
      </c>
      <c r="E44" s="11" t="inlineStr">
        <is>
          <t>SR23-01-03-02</t>
        </is>
      </c>
      <c r="F44" s="11" t="inlineStr">
        <is>
          <t>├─ AR23-01-03-02-01 核心实现</t>
        </is>
      </c>
      <c r="G44" s="11" t="inlineStr">
        <is>
          <t>统一传输意图与粒度分发组件｜核心实现</t>
        </is>
      </c>
      <c r="H44" s="11" t="inlineStr">
        <is>
          <t>实现“统一传输意图与粒度分发组件”的可运行主路径，交付 transfer-intent API、统一 描述符（descriptor） 模式（schema）、metadata/有效载荷（payload） 粒度分发器 的核心代码、构建入口和最小示例。</t>
        </is>
      </c>
      <c r="I44" s="11" t="inlineStr">
        <is>
          <t>代码通过编译、静态检查和单元测试；接口/配置有版本；失败语义和 功能开关（feature flag） 可验证。</t>
        </is>
      </c>
      <c r="J44" s="11" t="inlineStr">
        <is>
          <t>src/transfer/intent/core.{h,cc}</t>
        </is>
      </c>
      <c r="K44" s="11" t="inlineStr">
        <is>
          <t>统一传输语义组</t>
        </is>
      </c>
      <c r="L44" s="11" t="inlineStr">
        <is>
          <t>依赖AR：无；依赖SR：SR23-02-01-01、SR23-01-09-01</t>
        </is>
      </c>
    </row>
    <row r="45" ht="61.95000076293945" customHeight="1">
      <c r="A45" s="11" t="inlineStr">
        <is>
          <t>SF-01/IR-01-03/SR23-01-03-02/AR23-01-03-02-02</t>
        </is>
      </c>
      <c r="B45" s="11" t="n">
        <v>4</v>
      </c>
      <c r="C45" s="11" t="inlineStr">
        <is>
          <t>AR</t>
        </is>
      </c>
      <c r="D45" s="11" t="inlineStr">
        <is>
          <t>AR23-01-03-02-02</t>
        </is>
      </c>
      <c r="E45" s="11" t="inlineStr">
        <is>
          <t>SR23-01-03-02</t>
        </is>
      </c>
      <c r="F45" s="11" t="inlineStr">
        <is>
          <t>├─ AR23-01-03-02-02 接口契约</t>
        </is>
      </c>
      <c r="G45" s="11" t="inlineStr">
        <is>
          <t>统一传输意图与粒度分发组件｜接口契约</t>
        </is>
      </c>
      <c r="H45" s="11" t="inlineStr">
        <is>
          <t>冻结并实现接口/IDL、版本兼容、输入输出、错误码与 消费者（consumer） 示例：TransferIntent、UnifiedDescriptor、GranularityClass、ProviderRequest</t>
        </is>
      </c>
      <c r="I45" s="11" t="inlineStr">
        <is>
          <t>代码通过编译、静态检查和单元测试；接口/配置有版本；失败语义和 功能开关（feature flag） 可验证。</t>
        </is>
      </c>
      <c r="J45" s="11" t="inlineStr">
        <is>
          <t>api/kvcache/v23/transfer_intent.proto + src/transfer/intent/api.{h,cc}</t>
        </is>
      </c>
      <c r="K45" s="11" t="inlineStr">
        <is>
          <t>统一传输语义组</t>
        </is>
      </c>
      <c r="L45" s="11" t="inlineStr">
        <is>
          <t>依赖AR：AR23-01-03-02-01；依赖SR：SR23-02-01-01、SR23-01-09-01</t>
        </is>
      </c>
    </row>
    <row r="46" ht="61.95000076293945" customHeight="1">
      <c r="A46" s="11" t="inlineStr">
        <is>
          <t>SF-01/IR-01-03/SR23-01-03-02/AR23-01-03-02-03</t>
        </is>
      </c>
      <c r="B46" s="11" t="n">
        <v>4</v>
      </c>
      <c r="C46" s="11" t="inlineStr">
        <is>
          <t>AR</t>
        </is>
      </c>
      <c r="D46" s="11" t="inlineStr">
        <is>
          <t>AR23-01-03-02-03</t>
        </is>
      </c>
      <c r="E46" s="11" t="inlineStr">
        <is>
          <t>SR23-01-03-02</t>
        </is>
      </c>
      <c r="F46" s="11" t="inlineStr">
        <is>
          <t>├─ AR23-01-03-02-03 异常回滚</t>
        </is>
      </c>
      <c r="G46" s="11" t="inlineStr">
        <is>
          <t>统一传输意图与粒度分发组件｜异常回滚</t>
        </is>
      </c>
      <c r="H46" s="11" t="inlineStr">
        <is>
          <t>实现并验证失败、超时、取消、降级、回滚与关闭路径：提供器（Provider） 不支持时返回 UNSUPPORTED 并交由 查询计划（QueryPlan） 切副本或重算</t>
        </is>
      </c>
      <c r="I46" s="11" t="inlineStr">
        <is>
          <t>代码通过编译、静态检查和单元测试；接口/配置有版本；失败语义和 功能开关（feature flag） 可验证。</t>
        </is>
      </c>
      <c r="J46" s="11" t="inlineStr">
        <is>
          <t>src/transfer/intent/fallback.{h,cc} + config/feature_flags/transfer_intent.yaml</t>
        </is>
      </c>
      <c r="K46" s="11" t="inlineStr">
        <is>
          <t>统一传输语义组</t>
        </is>
      </c>
      <c r="L46" s="11" t="inlineStr">
        <is>
          <t>依赖AR：AR23-01-03-02-02；依赖SR：SR23-02-01-01、SR23-01-09-01</t>
        </is>
      </c>
    </row>
    <row r="47" ht="61.95000076293945" customHeight="1">
      <c r="A47" s="11" t="inlineStr">
        <is>
          <t>SF-01/IR-01-03/SR23-01-03-02/AR23-01-03-02-04</t>
        </is>
      </c>
      <c r="B47" s="11" t="n">
        <v>4</v>
      </c>
      <c r="C47" s="11" t="inlineStr">
        <is>
          <t>AR</t>
        </is>
      </c>
      <c r="D47" s="11" t="inlineStr">
        <is>
          <t>AR23-01-03-02-04</t>
        </is>
      </c>
      <c r="E47" s="11" t="inlineStr">
        <is>
          <t>SR23-01-03-02</t>
        </is>
      </c>
      <c r="F47" s="11" t="inlineStr">
        <is>
          <t>├─ AR23-01-03-02-04 独立验收</t>
        </is>
      </c>
      <c r="G47" s="11" t="inlineStr">
        <is>
          <t>统一传输意图与粒度分发组件｜独立验收</t>
        </is>
      </c>
      <c r="H47" s="11" t="inlineStr">
        <is>
          <t>建立不依赖全项目的验收环境，执行功能、异常、兼容和性能门禁并生成可签字证据包。</t>
        </is>
      </c>
      <c r="I47" s="11" t="inlineStr">
        <is>
          <t>在“模式一致性（Schema conformance） + 三种 模拟提供器（MockProvider） 即可独立验收”中完成主路径、异常、兼容和回滚；全部证据可一键复现。</t>
        </is>
      </c>
      <c r="J47" s="11" t="inlineStr">
        <is>
          <t>tests/transfer_intent/ + benchmarks/transfer_intent/ + evidence/transfer_intent/manifest.yaml</t>
        </is>
      </c>
      <c r="K47" s="11" t="inlineStr">
        <is>
          <t>测试/验收负责人</t>
        </is>
      </c>
      <c r="L47" s="11" t="inlineStr">
        <is>
          <t>依赖AR：AR23-01-03-02-03；依赖SR：SR23-02-01-01、SR23-01-09-01</t>
        </is>
      </c>
    </row>
    <row r="48" ht="61.95000076293945" customHeight="1">
      <c r="A48" s="11" t="inlineStr">
        <is>
          <t>SF-01/IR-01-04</t>
        </is>
      </c>
      <c r="B48" s="11" t="n">
        <v>2</v>
      </c>
      <c r="C48" s="11" t="inlineStr">
        <is>
          <t>IR</t>
        </is>
      </c>
      <c r="D48" s="11" t="inlineStr">
        <is>
          <t>IR-01-04</t>
        </is>
      </c>
      <c r="E48" s="11" t="inlineStr">
        <is>
          <t>SF-01</t>
        </is>
      </c>
      <c r="F48" s="11" t="inlineStr">
        <is>
          <t>├─ IR-01-04 支持P/D分离、流水加载及一对多共享的异步KV传输编排</t>
        </is>
      </c>
      <c r="G48" s="11" t="inlineStr">
        <is>
          <t>支持P/D分离、流水加载及一对多共享的异步KV传输编排</t>
        </is>
      </c>
      <c r="H48" s="11" t="inlineStr">
        <is>
          <t>系统应把 P→D 推送、D→P 拉取、目录会合、Layer/Page 流水加载和公共前缀一对多分发统一组织为异步传输流程，能够管理任务依赖、并发额度、提交顺序、完成通知、目标级结果和取消。其目的在于让 KV 数据移动与推理计算重叠，避免单目标或单阶段串行等待放大 TTFT，并允许部分目标失败时局部重试或回退。</t>
        </is>
      </c>
      <c r="I48" s="11" t="inlineStr">
        <is>
          <t>预填充/解码交接（P/D handoff） p99降低≥20%；热点分发p99降低≥40%；广播完成率≥99.99%；计算/传输重叠≥60%。</t>
        </is>
      </c>
      <c r="J48" s="11" t="inlineStr">
        <is>
          <t>URMA/RDMA/NIXL/Mooncake 异步有向无环图（Async DAG） + Rendezvous + Multicast</t>
        </is>
      </c>
      <c r="K48" s="11" t="inlineStr">
        <is>
          <t>TM4</t>
        </is>
      </c>
      <c r="L48" s="11" t="inlineStr">
        <is>
          <t>V2.2 IR语义沿用</t>
        </is>
      </c>
    </row>
    <row r="49" ht="61.95000076293945" customHeight="1">
      <c r="A49" s="11" t="inlineStr">
        <is>
          <t>SF-01/IR-01-04/SR23-01-04-01</t>
        </is>
      </c>
      <c r="B49" s="11" t="n">
        <v>3</v>
      </c>
      <c r="C49" s="11" t="inlineStr">
        <is>
          <t>SR</t>
        </is>
      </c>
      <c r="D49" s="11" t="inlineStr">
        <is>
          <t>SR23-01-04-01</t>
        </is>
      </c>
      <c r="E49" s="11" t="inlineStr">
        <is>
          <t>IR-01-04</t>
        </is>
      </c>
      <c r="F49" s="11" t="inlineStr">
        <is>
          <t>├─ SR23-01-04-01 异步传输 有向无环图（DAG） 与流水加载执行器</t>
        </is>
      </c>
      <c r="G49" s="11" t="inlineStr">
        <is>
          <t>异步传输 有向无环图（DAG） 与流水加载执行器</t>
        </is>
      </c>
      <c r="H49" s="11" t="inlineStr">
        <is>
          <t>任务依赖、page/layer 流水、复制/预取、P2P 路由、并发额度和取消
交付：async-transfer-dag 库、传输票据（TransferTicket）、取消/超时/部分完成控制器</t>
        </is>
      </c>
      <c r="I49" s="11" t="inlineStr">
        <is>
          <t>计算/传输重叠≥60%；取消资源泄漏=0；部分完成状态一致；预填充/解码交接（P/D handoff） p99降低≥20%</t>
        </is>
      </c>
      <c r="J49" s="11" t="inlineStr">
        <is>
          <t>async-transfer-dag 库、传输票据（TransferTicket）、取消/超时/部分完成控制器</t>
        </is>
      </c>
      <c r="K49" s="11" t="inlineStr">
        <is>
          <t>异步传输编排组</t>
        </is>
      </c>
      <c r="L49" s="11" t="inlineStr">
        <is>
          <t>来源5条；依赖：SR23-01-02-01、SR23-01-03-02</t>
        </is>
      </c>
    </row>
    <row r="50" ht="61.95000076293945" customHeight="1">
      <c r="A50" s="11" t="inlineStr">
        <is>
          <t>SF-01/IR-01-04/SR23-01-04-01/AR23-01-04-01-01</t>
        </is>
      </c>
      <c r="B50" s="11" t="n">
        <v>4</v>
      </c>
      <c r="C50" s="11" t="inlineStr">
        <is>
          <t>AR</t>
        </is>
      </c>
      <c r="D50" s="11" t="inlineStr">
        <is>
          <t>AR23-01-04-01-01</t>
        </is>
      </c>
      <c r="E50" s="11" t="inlineStr">
        <is>
          <t>SR23-01-04-01</t>
        </is>
      </c>
      <c r="F50" s="11" t="inlineStr">
        <is>
          <t>├─ AR23-01-04-01-01 核心实现</t>
        </is>
      </c>
      <c r="G50" s="11" t="inlineStr">
        <is>
          <t>异步传输 有向无环图（DAG） 与流水加载执行器｜核心实现</t>
        </is>
      </c>
      <c r="H50" s="11" t="inlineStr">
        <is>
          <t>实现“异步传输 有向无环图（DAG） 与流水加载执行器”的可运行主路径，交付 async-transfer-dag 库、传输票据（TransferTicket）、取消/超时/部分完成控制器 的核心代码、构建入口和最小示例。</t>
        </is>
      </c>
      <c r="I50" s="11" t="inlineStr">
        <is>
          <t>代码通过编译、静态检查和单元测试；接口/配置有版本；失败语义和 功能开关（feature flag） 可验证。</t>
        </is>
      </c>
      <c r="J50" s="11" t="inlineStr">
        <is>
          <t>src/transfer/dag/core.{h,cc}</t>
        </is>
      </c>
      <c r="K50" s="11" t="inlineStr">
        <is>
          <t>异步传输编排组</t>
        </is>
      </c>
      <c r="L50" s="11" t="inlineStr">
        <is>
          <t>依赖AR：无；依赖SR：SR23-01-02-01、SR23-01-03-02</t>
        </is>
      </c>
    </row>
    <row r="51" ht="61.95000076293945" customHeight="1">
      <c r="A51" s="11" t="inlineStr">
        <is>
          <t>SF-01/IR-01-04/SR23-01-04-01/AR23-01-04-01-02</t>
        </is>
      </c>
      <c r="B51" s="11" t="n">
        <v>4</v>
      </c>
      <c r="C51" s="11" t="inlineStr">
        <is>
          <t>AR</t>
        </is>
      </c>
      <c r="D51" s="11" t="inlineStr">
        <is>
          <t>AR23-01-04-01-02</t>
        </is>
      </c>
      <c r="E51" s="11" t="inlineStr">
        <is>
          <t>SR23-01-04-01</t>
        </is>
      </c>
      <c r="F51" s="11" t="inlineStr">
        <is>
          <t>├─ AR23-01-04-01-02 接口契约</t>
        </is>
      </c>
      <c r="G51" s="11" t="inlineStr">
        <is>
          <t>异步传输 有向无环图（DAG） 与流水加载执行器｜接口契约</t>
        </is>
      </c>
      <c r="H51" s="11" t="inlineStr">
        <is>
          <t>冻结并实现接口/IDL、版本兼容、输入输出、错误码与 消费者（consumer） 示例：submit(查询计划（QueryPlan）, descriptors)→TransferTicket/completion/fence/per-target result</t>
        </is>
      </c>
      <c r="I51" s="11" t="inlineStr">
        <is>
          <t>代码通过编译、静态检查和单元测试；接口/配置有版本；失败语义和 功能开关（feature flag） 可验证。</t>
        </is>
      </c>
      <c r="J51" s="11" t="inlineStr">
        <is>
          <t>api/kvcache/v23/async_dag.proto + src/transfer/dag/api.{h,cc}</t>
        </is>
      </c>
      <c r="K51" s="11" t="inlineStr">
        <is>
          <t>异步传输编排组</t>
        </is>
      </c>
      <c r="L51" s="11" t="inlineStr">
        <is>
          <t>依赖AR：AR23-01-04-01-01；依赖SR：SR23-01-02-01、SR23-01-03-02</t>
        </is>
      </c>
    </row>
    <row r="52" ht="61.95000076293945" customHeight="1">
      <c r="A52" s="11" t="inlineStr">
        <is>
          <t>SF-01/IR-01-04/SR23-01-04-01/AR23-01-04-01-03</t>
        </is>
      </c>
      <c r="B52" s="11" t="n">
        <v>4</v>
      </c>
      <c r="C52" s="11" t="inlineStr">
        <is>
          <t>AR</t>
        </is>
      </c>
      <c r="D52" s="11" t="inlineStr">
        <is>
          <t>AR23-01-04-01-03</t>
        </is>
      </c>
      <c r="E52" s="11" t="inlineStr">
        <is>
          <t>SR23-01-04-01</t>
        </is>
      </c>
      <c r="F52" s="11" t="inlineStr">
        <is>
          <t>├─ AR23-01-04-01-03 状态模型</t>
        </is>
      </c>
      <c r="G52" s="11" t="inlineStr">
        <is>
          <t>异步传输 有向无环图（DAG） 与流水加载执行器｜状态模型</t>
        </is>
      </c>
      <c r="H52" s="11" t="inlineStr">
        <is>
          <t>实现状态、版本、并发互锁和持久/内存数据模型，覆盖正常转换与非法转换保护。</t>
        </is>
      </c>
      <c r="I52" s="11" t="inlineStr">
        <is>
          <t>代码通过编译、静态检查和单元测试；接口/配置有版本；失败语义和 功能开关（feature flag） 可验证。</t>
        </is>
      </c>
      <c r="J52" s="11" t="inlineStr">
        <is>
          <t>src/transfer/dag/state_model.{h,cc}</t>
        </is>
      </c>
      <c r="K52" s="11" t="inlineStr">
        <is>
          <t>异步传输编排组</t>
        </is>
      </c>
      <c r="L52" s="11" t="inlineStr">
        <is>
          <t>依赖AR：AR23-01-04-01-02；依赖SR：SR23-01-02-01、SR23-01-03-02</t>
        </is>
      </c>
    </row>
    <row r="53" ht="61.95000076293945" customHeight="1">
      <c r="A53" s="11" t="inlineStr">
        <is>
          <t>SF-01/IR-01-04/SR23-01-04-01/AR23-01-04-01-04</t>
        </is>
      </c>
      <c r="B53" s="11" t="n">
        <v>4</v>
      </c>
      <c r="C53" s="11" t="inlineStr">
        <is>
          <t>AR</t>
        </is>
      </c>
      <c r="D53" s="11" t="inlineStr">
        <is>
          <t>AR23-01-04-01-04</t>
        </is>
      </c>
      <c r="E53" s="11" t="inlineStr">
        <is>
          <t>SR23-01-04-01</t>
        </is>
      </c>
      <c r="F53" s="11" t="inlineStr">
        <is>
          <t>├─ AR23-01-04-01-04 异常回滚</t>
        </is>
      </c>
      <c r="G53" s="11" t="inlineStr">
        <is>
          <t>异步传输 有向无环图（DAG） 与流水加载执行器｜异常回滚</t>
        </is>
      </c>
      <c r="H53" s="11" t="inlineStr">
        <is>
          <t>实现并验证失败、超时、取消、降级、回滚与关闭路径：截止时限（deadline） 到期取消未提交任务；部分目标失败隔离重试；主路径失败切备用 提供器（Provider）</t>
        </is>
      </c>
      <c r="I53" s="11" t="inlineStr">
        <is>
          <t>代码通过编译、静态检查和单元测试；接口/配置有版本；失败语义和 功能开关（feature flag） 可验证。</t>
        </is>
      </c>
      <c r="J53" s="11" t="inlineStr">
        <is>
          <t>src/transfer/dag/fallback.{h,cc} + config/feature_flags/async_dag.yaml</t>
        </is>
      </c>
      <c r="K53" s="11" t="inlineStr">
        <is>
          <t>异步传输编排组</t>
        </is>
      </c>
      <c r="L53" s="11" t="inlineStr">
        <is>
          <t>依赖AR：AR23-01-04-01-03；依赖SR：SR23-01-02-01、SR23-01-03-02</t>
        </is>
      </c>
    </row>
    <row r="54" ht="61.95000076293945" customHeight="1">
      <c r="A54" s="11" t="inlineStr">
        <is>
          <t>SF-01/IR-01-04/SR23-01-04-01/AR23-01-04-01-05</t>
        </is>
      </c>
      <c r="B54" s="11" t="n">
        <v>4</v>
      </c>
      <c r="C54" s="11" t="inlineStr">
        <is>
          <t>AR</t>
        </is>
      </c>
      <c r="D54" s="11" t="inlineStr">
        <is>
          <t>AR23-01-04-01-05</t>
        </is>
      </c>
      <c r="E54" s="11" t="inlineStr">
        <is>
          <t>SR23-01-04-01</t>
        </is>
      </c>
      <c r="F54" s="11" t="inlineStr">
        <is>
          <t>├─ AR23-01-04-01-05 独立验收</t>
        </is>
      </c>
      <c r="G54" s="11" t="inlineStr">
        <is>
          <t>异步传输 有向无环图（DAG） 与流水加载执行器｜独立验收</t>
        </is>
      </c>
      <c r="H54" s="11" t="inlineStr">
        <is>
          <t>建立不依赖全项目的验收环境，执行功能、异常、兼容和性能门禁并生成可签字证据包。</t>
        </is>
      </c>
      <c r="I54" s="11" t="inlineStr">
        <is>
          <t>在“描述符编译器（DescriptorCompiler） + 模拟提供器（MockProvider） + 模拟时钟（fake clock） 即可独立验收”中完成主路径、异常、兼容和回滚；全部证据可一键复现。</t>
        </is>
      </c>
      <c r="J54" s="11" t="inlineStr">
        <is>
          <t>tests/async_dag/ + benchmarks/async_dag/ + evidence/async_dag/manifest.yaml</t>
        </is>
      </c>
      <c r="K54" s="11" t="inlineStr">
        <is>
          <t>测试/验收负责人</t>
        </is>
      </c>
      <c r="L54" s="11" t="inlineStr">
        <is>
          <t>依赖AR：AR23-01-04-01-04；依赖SR：SR23-01-02-01、SR23-01-03-02</t>
        </is>
      </c>
    </row>
    <row r="55" ht="61.95000076293945" customHeight="1">
      <c r="A55" s="11" t="inlineStr">
        <is>
          <t>SF-01/IR-01-04/SR23-01-04-01/AR23-01-04-01-06</t>
        </is>
      </c>
      <c r="B55" s="11" t="n">
        <v>4</v>
      </c>
      <c r="C55" s="11" t="inlineStr">
        <is>
          <t>AR</t>
        </is>
      </c>
      <c r="D55" s="11" t="inlineStr">
        <is>
          <t>AR23-01-04-01-06</t>
        </is>
      </c>
      <c r="E55" s="11" t="inlineStr">
        <is>
          <t>SR23-01-04-01</t>
        </is>
      </c>
      <c r="F55" s="11" t="inlineStr">
        <is>
          <t>├─ AR23-01-04-01-06 性能观测</t>
        </is>
      </c>
      <c r="G55" s="11" t="inlineStr">
        <is>
          <t>异步传输 有向无环图（DAG） 与流水加载执行器｜性能观测</t>
        </is>
      </c>
      <c r="H55" s="11" t="inlineStr">
        <is>
          <t>接入统一 遥测数据（telemetry），建立本 SR 专属性能/资源/正确性指标和回归阈值：计算/传输重叠≥60%；取消资源泄漏=0；部分完成状态一致；预填充/解码交接（P/D handoff） p99降低≥20%</t>
        </is>
      </c>
      <c r="I55" s="11" t="inlineStr">
        <is>
          <t>代码通过编译、静态检查和单元测试；接口/配置有版本；失败语义和 功能开关（feature flag） 可验证。</t>
        </is>
      </c>
      <c r="J55" s="11" t="inlineStr">
        <is>
          <t>src/transfer/dag/telemetry.{h,cc} + 仪表板（dashboards）/async_dag.json</t>
        </is>
      </c>
      <c r="K55" s="11" t="inlineStr">
        <is>
          <t>性能与可观测负责人</t>
        </is>
      </c>
      <c r="L55" s="11" t="inlineStr">
        <is>
          <t>依赖AR：AR23-01-04-01-05；依赖SR：SR23-01-02-01、SR23-01-03-02</t>
        </is>
      </c>
    </row>
    <row r="56" ht="61.95000076293945" customHeight="1">
      <c r="A56" s="11" t="inlineStr">
        <is>
          <t>SF-01/IR-01-04/SR23-01-04-02</t>
        </is>
      </c>
      <c r="B56" s="11" t="n">
        <v>3</v>
      </c>
      <c r="C56" s="11" t="inlineStr">
        <is>
          <t>SR</t>
        </is>
      </c>
      <c r="D56" s="11" t="inlineStr">
        <is>
          <t>SR23-01-04-02</t>
        </is>
      </c>
      <c r="E56" s="11" t="inlineStr">
        <is>
          <t>IR-01-04</t>
        </is>
      </c>
      <c r="F56" s="11" t="inlineStr">
        <is>
          <t>├─ SR23-01-04-02 一对多共享与可选多播 提供器（Provider）</t>
        </is>
      </c>
      <c r="G56" s="11" t="inlineStr">
        <is>
          <t>一对多共享与可选多播 提供器（Provider）</t>
        </is>
      </c>
      <c r="H56" s="11" t="inlineStr">
        <is>
          <t>1→N 分发、慢消费者隔离、per-target 结果和软件/硬件 扇出分发（fanout）
交付：fanout-provider 插件、软件 staging 基线、硬件 multicast 功能开关（feature flag）</t>
        </is>
      </c>
      <c r="I56" s="11" t="inlineStr">
        <is>
          <t>重复远端拉取下降≥50%；错误共享/租约泄漏=0；源端带宽增长显著低于 O(N)</t>
        </is>
      </c>
      <c r="J56" s="11" t="inlineStr">
        <is>
          <t>fanout-provider 插件、软件 staging 基线、硬件 multicast 功能开关（feature flag）</t>
        </is>
      </c>
      <c r="K56" s="11" t="inlineStr">
        <is>
          <t>共享分发插件组</t>
        </is>
      </c>
      <c r="L56" s="11" t="inlineStr">
        <is>
          <t>来源2条；依赖：SR23-01-04-01、SR23-01-10-01</t>
        </is>
      </c>
    </row>
    <row r="57" ht="61.95000076293945" customHeight="1">
      <c r="A57" s="11" t="inlineStr">
        <is>
          <t>SF-01/IR-01-04/SR23-01-04-02/AR23-01-04-02-01</t>
        </is>
      </c>
      <c r="B57" s="11" t="n">
        <v>4</v>
      </c>
      <c r="C57" s="11" t="inlineStr">
        <is>
          <t>AR</t>
        </is>
      </c>
      <c r="D57" s="11" t="inlineStr">
        <is>
          <t>AR23-01-04-02-01</t>
        </is>
      </c>
      <c r="E57" s="11" t="inlineStr">
        <is>
          <t>SR23-01-04-02</t>
        </is>
      </c>
      <c r="F57" s="11" t="inlineStr">
        <is>
          <t>├─ AR23-01-04-02-01 插件实现</t>
        </is>
      </c>
      <c r="G57" s="11" t="inlineStr">
        <is>
          <t>一对多共享与可选多播 提供器（Provider）｜插件实现</t>
        </is>
      </c>
      <c r="H57" s="11" t="inlineStr">
        <is>
          <t>按 提供器（Provider） SDK 实现“一对多共享与可选多播 提供器（Provider）”插件主路径，完成能力探测、注册和正常执行。</t>
        </is>
      </c>
      <c r="I57" s="11" t="inlineStr">
        <is>
          <t>代码通过编译、静态检查和单元测试；接口/配置有版本；失败语义和 功能开关（feature flag） 可验证。</t>
        </is>
      </c>
      <c r="J57" s="11" t="inlineStr">
        <is>
          <t>src/transfer/fanout/provider.{h,cc}</t>
        </is>
      </c>
      <c r="K57" s="11" t="inlineStr">
        <is>
          <t>共享分发插件组</t>
        </is>
      </c>
      <c r="L57" s="11" t="inlineStr">
        <is>
          <t>依赖AR：无；依赖SR：SR23-01-04-01、SR23-01-10-01</t>
        </is>
      </c>
    </row>
    <row r="58" ht="61.95000076293945" customHeight="1">
      <c r="A58" s="11" t="inlineStr">
        <is>
          <t>SF-01/IR-01-04/SR23-01-04-02/AR23-01-04-02-02</t>
        </is>
      </c>
      <c r="B58" s="11" t="n">
        <v>4</v>
      </c>
      <c r="C58" s="11" t="inlineStr">
        <is>
          <t>AR</t>
        </is>
      </c>
      <c r="D58" s="11" t="inlineStr">
        <is>
          <t>AR23-01-04-02-02</t>
        </is>
      </c>
      <c r="E58" s="11" t="inlineStr">
        <is>
          <t>SR23-01-04-02</t>
        </is>
      </c>
      <c r="F58" s="11" t="inlineStr">
        <is>
          <t>├─ AR23-01-04-02-02 能力声明</t>
        </is>
      </c>
      <c r="G58" s="11" t="inlineStr">
        <is>
          <t>一对多共享与可选多播 提供器（Provider）｜能力声明</t>
        </is>
      </c>
      <c r="H58" s="11" t="inlineStr">
        <is>
          <t>实现版本化 能力（capability）/功能开关（feature flag），明确 Supported/Conditional/Not Supported 和适用边界。</t>
        </is>
      </c>
      <c r="I58" s="11" t="inlineStr">
        <is>
          <t>代码通过编译、静态检查和单元测试；接口/配置有版本；失败语义和 功能开关（feature flag） 可验证。</t>
        </is>
      </c>
      <c r="J58" s="11" t="inlineStr">
        <is>
          <t>api/kvcache/v23/fanout_provider_capability.proto + config/capability/fanout_provider.yaml</t>
        </is>
      </c>
      <c r="K58" s="11" t="inlineStr">
        <is>
          <t>共享分发插件组</t>
        </is>
      </c>
      <c r="L58" s="11" t="inlineStr">
        <is>
          <t>依赖AR：AR23-01-04-02-01；依赖SR：SR23-01-04-01、SR23-01-10-01</t>
        </is>
      </c>
    </row>
    <row r="59" ht="61.95000076293945" customHeight="1">
      <c r="A59" s="11" t="inlineStr">
        <is>
          <t>SF-01/IR-01-04/SR23-01-04-02/AR23-01-04-02-03</t>
        </is>
      </c>
      <c r="B59" s="11" t="n">
        <v>4</v>
      </c>
      <c r="C59" s="11" t="inlineStr">
        <is>
          <t>AR</t>
        </is>
      </c>
      <c r="D59" s="11" t="inlineStr">
        <is>
          <t>AR23-01-04-02-03</t>
        </is>
      </c>
      <c r="E59" s="11" t="inlineStr">
        <is>
          <t>SR23-01-04-02</t>
        </is>
      </c>
      <c r="F59" s="11" t="inlineStr">
        <is>
          <t>├─ AR23-01-04-02-03 旁路回滚</t>
        </is>
      </c>
      <c r="G59" s="11" t="inlineStr">
        <is>
          <t>一对多共享与可选多播 提供器（Provider）｜旁路回滚</t>
        </is>
      </c>
      <c r="H59" s="11" t="inlineStr">
        <is>
          <t>实现插件旁路、功能开关（feature flag）、无损回退与 不支持（Not Supported） 行为：硬件多播无收益或不可用时回退软件 扇出分发（fanout）；单目标失败不阻塞其他目标</t>
        </is>
      </c>
      <c r="I59" s="11" t="inlineStr">
        <is>
          <t>代码通过编译、静态检查和单元测试；接口/配置有版本；失败语义和 功能开关（feature flag） 可验证。</t>
        </is>
      </c>
      <c r="J59" s="11" t="inlineStr">
        <is>
          <t>src/transfer/fanout/bypass.{h,cc} + config/feature_flags/fanout_provider.yaml</t>
        </is>
      </c>
      <c r="K59" s="11" t="inlineStr">
        <is>
          <t>共享分发插件组</t>
        </is>
      </c>
      <c r="L59" s="11" t="inlineStr">
        <is>
          <t>依赖AR：AR23-01-04-02-02；依赖SR：SR23-01-04-01、SR23-01-10-01</t>
        </is>
      </c>
    </row>
    <row r="60" ht="61.95000076293945" customHeight="1">
      <c r="A60" s="11" t="inlineStr">
        <is>
          <t>SF-01/IR-01-04/SR23-01-04-02/AR23-01-04-02-04</t>
        </is>
      </c>
      <c r="B60" s="11" t="n">
        <v>4</v>
      </c>
      <c r="C60" s="11" t="inlineStr">
        <is>
          <t>AR</t>
        </is>
      </c>
      <c r="D60" s="11" t="inlineStr">
        <is>
          <t>AR23-01-04-02-04</t>
        </is>
      </c>
      <c r="E60" s="11" t="inlineStr">
        <is>
          <t>SR23-01-04-02</t>
        </is>
      </c>
      <c r="F60" s="11" t="inlineStr">
        <is>
          <t>├─ AR23-01-04-02-04 独立验收</t>
        </is>
      </c>
      <c r="G60" s="11" t="inlineStr">
        <is>
          <t>一对多共享与可选多播 提供器（Provider）｜独立验收</t>
        </is>
      </c>
      <c r="H60" s="11" t="inlineStr">
        <is>
          <t>建立不依赖全项目的验收环境，执行功能、异常、兼容和性能门禁并生成可签字证据包。</t>
        </is>
      </c>
      <c r="I60" s="11" t="inlineStr">
        <is>
          <t>在“1源+2/4/8 模拟消费者（MockConsumer） 即可独立验收”中完成主路径、异常、兼容和回滚；全部证据可一键复现。</t>
        </is>
      </c>
      <c r="J60" s="11" t="inlineStr">
        <is>
          <t>tests/fanout_provider/ + benchmarks/fanout_provider/ + evidence/fanout_provider/manifest.yaml</t>
        </is>
      </c>
      <c r="K60" s="11" t="inlineStr">
        <is>
          <t>测试/验收负责人</t>
        </is>
      </c>
      <c r="L60" s="11" t="inlineStr">
        <is>
          <t>依赖AR：AR23-01-04-02-03；依赖SR：SR23-01-04-01、SR23-01-10-01</t>
        </is>
      </c>
    </row>
    <row r="61" ht="61.95000076293945" customHeight="1">
      <c r="A61" s="11" t="inlineStr">
        <is>
          <t>SF-01/IR-01-05</t>
        </is>
      </c>
      <c r="B61" s="11" t="n">
        <v>2</v>
      </c>
      <c r="C61" s="11" t="inlineStr">
        <is>
          <t>IR</t>
        </is>
      </c>
      <c r="D61" s="11" t="inlineStr">
        <is>
          <t>IR-01-05</t>
        </is>
      </c>
      <c r="E61" s="11" t="inlineStr">
        <is>
          <t>SF-01</t>
        </is>
      </c>
      <c r="F61" s="11" t="inlineStr">
        <is>
          <t>├─ IR-01-05 面向异构介质与集群拓扑的传输能力探测和动态路径选择</t>
        </is>
      </c>
      <c r="G61" s="11" t="inlineStr">
        <is>
          <t>面向异构介质与集群拓扑的传输能力探测和动态路径选择</t>
        </is>
      </c>
      <c r="H61" s="11" t="inlineStr">
        <is>
          <t>系统应持续识别节点、NPU、NUMA、网卡、SSD及交换网络之间可用的 KV 访问路径，回答每条路径支持什么介质、布局、数据规模和传输语义，以及当前带宽、时延、队列深度和健康状态。调度和存储策略应据此动态选择代价最低且满足 截止时限（deadline） 的路径，并在拥塞或故障时及时降权、切换或禁止使用，避免静态路由造成尾时延放大。</t>
        </is>
      </c>
      <c r="I61" s="11" t="inlineStr">
        <is>
          <t>路径选择准确率≥90%；同机架 本地可用命中（Local Usable Hit）提升≥30%；故障切换&lt;200ms；探测开销&lt;0.5% BW。</t>
        </is>
      </c>
      <c r="J61" s="11" t="inlineStr">
        <is>
          <t>能力矩阵（CapabilityMatrix） + hwloc/libnuma + 路径质量监视器（PathQualityMonitor）</t>
        </is>
      </c>
      <c r="K61" s="11" t="inlineStr">
        <is>
          <t>TM1/TM4</t>
        </is>
      </c>
      <c r="L61" s="11" t="inlineStr">
        <is>
          <t>V2.2 IR语义沿用</t>
        </is>
      </c>
    </row>
    <row r="62" ht="61.95000076293945" customHeight="1">
      <c r="A62" s="11" t="inlineStr">
        <is>
          <t>SF-01/IR-01-05/SR23-01-05-01</t>
        </is>
      </c>
      <c r="B62" s="11" t="n">
        <v>3</v>
      </c>
      <c r="C62" s="11" t="inlineStr">
        <is>
          <t>SR</t>
        </is>
      </c>
      <c r="D62" s="11" t="inlineStr">
        <is>
          <t>SR23-01-05-01</t>
        </is>
      </c>
      <c r="E62" s="11" t="inlineStr">
        <is>
          <t>IR-01-05</t>
        </is>
      </c>
      <c r="F62" s="11" t="inlineStr">
        <is>
          <t>├─ SR23-01-05-01 路径质量探测与动态路由组件</t>
        </is>
      </c>
      <c r="G62" s="11" t="inlineStr">
        <is>
          <t>路径质量探测与动态路由组件</t>
        </is>
      </c>
      <c r="H62" s="11" t="inlineStr">
        <is>
          <t>路径带宽/时延/水位探测、拓扑感知、动态质量评分、故障切换
交付：path-quality-monitor、拓扑快照、动态路径评分器和故障切换控制器</t>
        </is>
      </c>
      <c r="I62" s="11" t="inlineStr">
        <is>
          <t>路径选择准确率≥90%；切换&lt;200ms；探测开销&lt;0.5%带宽；无效路径选择=0</t>
        </is>
      </c>
      <c r="J62" s="11" t="inlineStr">
        <is>
          <t>path-quality-monitor、拓扑快照、动态路径评分器和故障切换控制器</t>
        </is>
      </c>
      <c r="K62" s="11" t="inlineStr">
        <is>
          <t>拓扑与路径质量组</t>
        </is>
      </c>
      <c r="L62" s="11" t="inlineStr">
        <is>
          <t>来源3条；依赖：SR23-01-09-01</t>
        </is>
      </c>
    </row>
    <row r="63" ht="61.95000076293945" customHeight="1">
      <c r="A63" s="11" t="inlineStr">
        <is>
          <t>SF-01/IR-01-05/SR23-01-05-01/AR23-01-05-01-01</t>
        </is>
      </c>
      <c r="B63" s="11" t="n">
        <v>4</v>
      </c>
      <c r="C63" s="11" t="inlineStr">
        <is>
          <t>AR</t>
        </is>
      </c>
      <c r="D63" s="11" t="inlineStr">
        <is>
          <t>AR23-01-05-01-01</t>
        </is>
      </c>
      <c r="E63" s="11" t="inlineStr">
        <is>
          <t>SR23-01-05-01</t>
        </is>
      </c>
      <c r="F63" s="11" t="inlineStr">
        <is>
          <t>├─ AR23-01-05-01-01 核心实现</t>
        </is>
      </c>
      <c r="G63" s="11" t="inlineStr">
        <is>
          <t>路径质量探测与动态路由组件｜核心实现</t>
        </is>
      </c>
      <c r="H63" s="11" t="inlineStr">
        <is>
          <t>实现“路径质量探测与动态路由组件”的可运行主路径，交付 path-quality-monitor、拓扑快照、动态路径评分器和故障切换控制器 的核心代码、构建入口和最小示例。</t>
        </is>
      </c>
      <c r="I63" s="11" t="inlineStr">
        <is>
          <t>代码通过编译、静态检查和单元测试；接口/配置有版本；失败语义和 功能开关（feature flag） 可验证。</t>
        </is>
      </c>
      <c r="J63" s="11" t="inlineStr">
        <is>
          <t>src/router/path_quality/core.{h,cc}</t>
        </is>
      </c>
      <c r="K63" s="11" t="inlineStr">
        <is>
          <t>拓扑与路径质量组</t>
        </is>
      </c>
      <c r="L63" s="11" t="inlineStr">
        <is>
          <t>依赖AR：无；依赖SR：SR23-01-09-01</t>
        </is>
      </c>
    </row>
    <row r="64" ht="61.95000076293945" customHeight="1">
      <c r="A64" s="11" t="inlineStr">
        <is>
          <t>SF-01/IR-01-05/SR23-01-05-01/AR23-01-05-01-02</t>
        </is>
      </c>
      <c r="B64" s="11" t="n">
        <v>4</v>
      </c>
      <c r="C64" s="11" t="inlineStr">
        <is>
          <t>AR</t>
        </is>
      </c>
      <c r="D64" s="11" t="inlineStr">
        <is>
          <t>AR23-01-05-01-02</t>
        </is>
      </c>
      <c r="E64" s="11" t="inlineStr">
        <is>
          <t>SR23-01-05-01</t>
        </is>
      </c>
      <c r="F64" s="11" t="inlineStr">
        <is>
          <t>├─ AR23-01-05-01-02 接口契约</t>
        </is>
      </c>
      <c r="G64" s="11" t="inlineStr">
        <is>
          <t>路径质量探测与动态路由组件｜接口契约</t>
        </is>
      </c>
      <c r="H64" s="11" t="inlineStr">
        <is>
          <t>冻结并实现接口/IDL、版本兼容、输入输出、错误码与 消费者（consumer） 示例：路径健康快照（PathHealthSnapshot）、路由候选项（RouteCandidate）、selectPath(size,SLO)</t>
        </is>
      </c>
      <c r="I64" s="11" t="inlineStr">
        <is>
          <t>代码通过编译、静态检查和单元测试；接口/配置有版本；失败语义和 功能开关（feature flag） 可验证。</t>
        </is>
      </c>
      <c r="J64" s="11" t="inlineStr">
        <is>
          <t>api/kvcache/v23/path_router.proto + src/router/path_quality/api.{h,cc}</t>
        </is>
      </c>
      <c r="K64" s="11" t="inlineStr">
        <is>
          <t>拓扑与路径质量组</t>
        </is>
      </c>
      <c r="L64" s="11" t="inlineStr">
        <is>
          <t>依赖AR：AR23-01-05-01-01；依赖SR：SR23-01-09-01</t>
        </is>
      </c>
    </row>
    <row r="65" ht="61.95000076293945" customHeight="1">
      <c r="A65" s="11" t="inlineStr">
        <is>
          <t>SF-01/IR-01-05/SR23-01-05-01/AR23-01-05-01-03</t>
        </is>
      </c>
      <c r="B65" s="11" t="n">
        <v>4</v>
      </c>
      <c r="C65" s="11" t="inlineStr">
        <is>
          <t>AR</t>
        </is>
      </c>
      <c r="D65" s="11" t="inlineStr">
        <is>
          <t>AR23-01-05-01-03</t>
        </is>
      </c>
      <c r="E65" s="11" t="inlineStr">
        <is>
          <t>SR23-01-05-01</t>
        </is>
      </c>
      <c r="F65" s="11" t="inlineStr">
        <is>
          <t>├─ AR23-01-05-01-03 状态模型</t>
        </is>
      </c>
      <c r="G65" s="11" t="inlineStr">
        <is>
          <t>路径质量探测与动态路由组件｜状态模型</t>
        </is>
      </c>
      <c r="H65" s="11" t="inlineStr">
        <is>
          <t>实现状态、版本、并发互锁和持久/内存数据模型，覆盖正常转换与非法转换保护。</t>
        </is>
      </c>
      <c r="I65" s="11" t="inlineStr">
        <is>
          <t>代码通过编译、静态检查和单元测试；接口/配置有版本；失败语义和 功能开关（feature flag） 可验证。</t>
        </is>
      </c>
      <c r="J65" s="11" t="inlineStr">
        <is>
          <t>src/router/path_quality/state_model.{h,cc}</t>
        </is>
      </c>
      <c r="K65" s="11" t="inlineStr">
        <is>
          <t>拓扑与路径质量组</t>
        </is>
      </c>
      <c r="L65" s="11" t="inlineStr">
        <is>
          <t>依赖AR：AR23-01-05-01-02；依赖SR：SR23-01-09-01</t>
        </is>
      </c>
    </row>
    <row r="66" ht="61.95000076293945" customHeight="1">
      <c r="A66" s="11" t="inlineStr">
        <is>
          <t>SF-01/IR-01-05/SR23-01-05-01/AR23-01-05-01-04</t>
        </is>
      </c>
      <c r="B66" s="11" t="n">
        <v>4</v>
      </c>
      <c r="C66" s="11" t="inlineStr">
        <is>
          <t>AR</t>
        </is>
      </c>
      <c r="D66" s="11" t="inlineStr">
        <is>
          <t>AR23-01-05-01-04</t>
        </is>
      </c>
      <c r="E66" s="11" t="inlineStr">
        <is>
          <t>SR23-01-05-01</t>
        </is>
      </c>
      <c r="F66" s="11" t="inlineStr">
        <is>
          <t>├─ AR23-01-05-01-04 异常回滚</t>
        </is>
      </c>
      <c r="G66" s="11" t="inlineStr">
        <is>
          <t>路径质量探测与动态路由组件｜异常回滚</t>
        </is>
      </c>
      <c r="H66" s="11" t="inlineStr">
        <is>
          <t>实现并验证失败、超时、取消、降级、回滚与关闭路径：质量噪声过大时使用静态白名单；探测失败不阻塞数据面；故障路径立即摘除</t>
        </is>
      </c>
      <c r="I66" s="11" t="inlineStr">
        <is>
          <t>代码通过编译、静态检查和单元测试；接口/配置有版本；失败语义和 功能开关（feature flag） 可验证。</t>
        </is>
      </c>
      <c r="J66" s="11" t="inlineStr">
        <is>
          <t>src/router/path_quality/fallback.{h,cc} + config/feature_flags/path_router.yaml</t>
        </is>
      </c>
      <c r="K66" s="11" t="inlineStr">
        <is>
          <t>拓扑与路径质量组</t>
        </is>
      </c>
      <c r="L66" s="11" t="inlineStr">
        <is>
          <t>依赖AR：AR23-01-05-01-03；依赖SR：SR23-01-09-01</t>
        </is>
      </c>
    </row>
    <row r="67" ht="61.95000076293945" customHeight="1">
      <c r="A67" s="11" t="inlineStr">
        <is>
          <t>SF-01/IR-01-05/SR23-01-05-01/AR23-01-05-01-05</t>
        </is>
      </c>
      <c r="B67" s="11" t="n">
        <v>4</v>
      </c>
      <c r="C67" s="11" t="inlineStr">
        <is>
          <t>AR</t>
        </is>
      </c>
      <c r="D67" s="11" t="inlineStr">
        <is>
          <t>AR23-01-05-01-05</t>
        </is>
      </c>
      <c r="E67" s="11" t="inlineStr">
        <is>
          <t>SR23-01-05-01</t>
        </is>
      </c>
      <c r="F67" s="11" t="inlineStr">
        <is>
          <t>├─ AR23-01-05-01-05 独立验收</t>
        </is>
      </c>
      <c r="G67" s="11" t="inlineStr">
        <is>
          <t>路径质量探测与动态路由组件｜独立验收</t>
        </is>
      </c>
      <c r="H67" s="11" t="inlineStr">
        <is>
          <t>建立不依赖全项目的验收环境，执行功能、异常、兼容和性能门禁并生成可签字证据包。</t>
        </is>
      </c>
      <c r="I67" s="11" t="inlineStr">
        <is>
          <t>在“三条模拟路径与故障注入即可独立验收”中完成主路径、异常、兼容和回滚；全部证据可一键复现。</t>
        </is>
      </c>
      <c r="J67" s="11" t="inlineStr">
        <is>
          <t>tests/path_router/ + benchmarks/path_router/ + evidence/path_router/manifest.yaml</t>
        </is>
      </c>
      <c r="K67" s="11" t="inlineStr">
        <is>
          <t>测试/验收负责人</t>
        </is>
      </c>
      <c r="L67" s="11" t="inlineStr">
        <is>
          <t>依赖AR：AR23-01-05-01-04；依赖SR：SR23-01-09-01</t>
        </is>
      </c>
    </row>
    <row r="68" ht="61.95000076293945" customHeight="1">
      <c r="A68" s="11" t="inlineStr">
        <is>
          <t>SF-01/IR-01-05/SR23-01-05-01/AR23-01-05-01-06</t>
        </is>
      </c>
      <c r="B68" s="11" t="n">
        <v>4</v>
      </c>
      <c r="C68" s="11" t="inlineStr">
        <is>
          <t>AR</t>
        </is>
      </c>
      <c r="D68" s="11" t="inlineStr">
        <is>
          <t>AR23-01-05-01-06</t>
        </is>
      </c>
      <c r="E68" s="11" t="inlineStr">
        <is>
          <t>SR23-01-05-01</t>
        </is>
      </c>
      <c r="F68" s="11" t="inlineStr">
        <is>
          <t>├─ AR23-01-05-01-06 性能观测</t>
        </is>
      </c>
      <c r="G68" s="11" t="inlineStr">
        <is>
          <t>路径质量探测与动态路由组件｜性能观测</t>
        </is>
      </c>
      <c r="H68" s="11" t="inlineStr">
        <is>
          <t>接入统一 遥测数据（telemetry），建立本 SR 专属性能/资源/正确性指标和回归阈值：路径选择准确率≥90%；切换&lt;200ms；探测开销&lt;0.5%带宽；无效路径选择=0</t>
        </is>
      </c>
      <c r="I68" s="11" t="inlineStr">
        <is>
          <t>代码通过编译、静态检查和单元测试；接口/配置有版本；失败语义和 功能开关（feature flag） 可验证。</t>
        </is>
      </c>
      <c r="J68" s="11" t="inlineStr">
        <is>
          <t>src/router/path_quality/telemetry.{h,cc} + 仪表板（dashboards）/path_router.json</t>
        </is>
      </c>
      <c r="K68" s="11" t="inlineStr">
        <is>
          <t>性能与可观测负责人</t>
        </is>
      </c>
      <c r="L68" s="11" t="inlineStr">
        <is>
          <t>依赖AR：AR23-01-05-01-05；依赖SR：SR23-01-09-01</t>
        </is>
      </c>
    </row>
    <row r="69" ht="61.95000076293945" customHeight="1">
      <c r="A69" s="11" t="inlineStr">
        <is>
          <t>SF-01/IR-01-06</t>
        </is>
      </c>
      <c r="B69" s="11" t="n">
        <v>2</v>
      </c>
      <c r="C69" s="11" t="inlineStr">
        <is>
          <t>IR</t>
        </is>
      </c>
      <c r="D69" s="11" t="inlineStr">
        <is>
          <t>IR-01-06</t>
        </is>
      </c>
      <c r="E69" s="11" t="inlineStr">
        <is>
          <t>SF-01</t>
        </is>
      </c>
      <c r="F69" s="11" t="inlineStr">
        <is>
          <t>├─ IR-01-06 支持跨节点HBM/DDR零拷贝的RDMA高速KV传输</t>
        </is>
      </c>
      <c r="G69" s="11" t="inlineStr">
        <is>
          <t>支持跨节点HBM/DDR零拷贝的RDMA高速KV传输</t>
        </is>
      </c>
      <c r="H69" s="11" t="inlineStr">
        <is>
          <t>系统应在硬件支持时提供跨节点 HBM↔HBM、HBM↔DDR 和 DDR↔DDR 的 RDMA 零拷贝传输能力，使 KV 有效载荷（Payload） 直接在注册内存区域之间移动，不经过 CPU 缓存或额外 主机暂存（Host staging）；同时提供注册区域生命周期、远端句柄、批量提交、流控、完成和错误结果，降低跨节点加载时延与 CPU 占用。</t>
        </is>
      </c>
      <c r="I69" s="11" t="inlineStr">
        <is>
          <t>端到端传输时延降低≥40%；有效带宽≥链路线速80%；CPU有效载荷复制（CPU payload copy）=0；CPU提交开销&lt;50 μs。</t>
        </is>
      </c>
      <c r="J69" s="11" t="inlineStr">
        <is>
          <t>rdma-core/libibverbs + 注册内存池（RegisteredPool） + GPUDirect/NPU Direct RDMA</t>
        </is>
      </c>
      <c r="K69" s="11" t="inlineStr">
        <is>
          <t>TM4</t>
        </is>
      </c>
      <c r="L69" s="11" t="inlineStr">
        <is>
          <t>V2.2 IR语义沿用</t>
        </is>
      </c>
    </row>
    <row r="70" ht="61.95000076293945" customHeight="1">
      <c r="A70" s="11" t="inlineStr">
        <is>
          <t>SF-01/IR-01-06/SR23-01-06-01</t>
        </is>
      </c>
      <c r="B70" s="11" t="n">
        <v>3</v>
      </c>
      <c r="C70" s="11" t="inlineStr">
        <is>
          <t>SR</t>
        </is>
      </c>
      <c r="D70" s="11" t="inlineStr">
        <is>
          <t>SR23-01-06-01</t>
        </is>
      </c>
      <c r="E70" s="11" t="inlineStr">
        <is>
          <t>IR-01-06</t>
        </is>
      </c>
      <c r="F70" s="11" t="inlineStr">
        <is>
          <t>├─ SR23-01-06-01 跨节点 RDMA 零拷贝 提供器（Provider）</t>
        </is>
      </c>
      <c r="G70" s="11" t="inlineStr">
        <is>
          <t>跨节点 RDMA 零拷贝 提供器（Provider）</t>
        </is>
      </c>
      <c r="H70" s="11" t="inlineStr">
        <is>
          <t>MR 注册池、远端句柄、安全寻址、NPU/HBM/DDR 零拷贝传输
交付：rdma-provider、注册内存池（RegisteredPool）、远端存储区段句柄（RemoteExtentHandle）、硬件/软件回归包</t>
        </is>
      </c>
      <c r="I70" s="11" t="inlineStr">
        <is>
          <t>有效带宽≥线速80%；CPU 有效载荷（Payload） 复制（copy）=0；提交开销&lt;50μs；越界访问=0</t>
        </is>
      </c>
      <c r="J70" s="11" t="inlineStr">
        <is>
          <t>rdma-provider、注册内存池（RegisteredPool）、远端存储区段句柄（RemoteExtentHandle）、硬件/软件回归包</t>
        </is>
      </c>
      <c r="K70" s="11" t="inlineStr">
        <is>
          <t>RDMA 后端组</t>
        </is>
      </c>
      <c r="L70" s="11" t="inlineStr">
        <is>
          <t>来源3条；依赖：SR23-01-09-01、SR23-01-12-01</t>
        </is>
      </c>
    </row>
    <row r="71" ht="61.95000076293945" customHeight="1">
      <c r="A71" s="11" t="inlineStr">
        <is>
          <t>SF-01/IR-01-06/SR23-01-06-01/AR23-01-06-01-01</t>
        </is>
      </c>
      <c r="B71" s="11" t="n">
        <v>4</v>
      </c>
      <c r="C71" s="11" t="inlineStr">
        <is>
          <t>AR</t>
        </is>
      </c>
      <c r="D71" s="11" t="inlineStr">
        <is>
          <t>AR23-01-06-01-01</t>
        </is>
      </c>
      <c r="E71" s="11" t="inlineStr">
        <is>
          <t>SR23-01-06-01</t>
        </is>
      </c>
      <c r="F71" s="11" t="inlineStr">
        <is>
          <t>├─ AR23-01-06-01-01 核心实现</t>
        </is>
      </c>
      <c r="G71" s="11" t="inlineStr">
        <is>
          <t>跨节点 RDMA 零拷贝 提供器（Provider）｜核心实现</t>
        </is>
      </c>
      <c r="H71" s="11" t="inlineStr">
        <is>
          <t>实现“跨节点 RDMA 零拷贝 提供器（Provider）”的可运行主路径，交付 rdma-provider、注册内存池（RegisteredPool）、远端存储区段句柄（RemoteExtentHandle）、硬件/软件回归包 的核心代码、构建入口和最小示例。</t>
        </is>
      </c>
      <c r="I71" s="11" t="inlineStr">
        <is>
          <t>代码通过编译、静态检查和单元测试；接口/配置有版本；失败语义和 功能开关（feature flag） 可验证。</t>
        </is>
      </c>
      <c r="J71" s="11" t="inlineStr">
        <is>
          <t>src/backends/rdma/core.{h,cc}</t>
        </is>
      </c>
      <c r="K71" s="11" t="inlineStr">
        <is>
          <t>RDMA 后端组</t>
        </is>
      </c>
      <c r="L71" s="11" t="inlineStr">
        <is>
          <t>依赖AR：无；依赖SR：SR23-01-09-01、SR23-01-12-01</t>
        </is>
      </c>
    </row>
    <row r="72" ht="61.95000076293945" customHeight="1">
      <c r="A72" s="11" t="inlineStr">
        <is>
          <t>SF-01/IR-01-06/SR23-01-06-01/AR23-01-06-01-02</t>
        </is>
      </c>
      <c r="B72" s="11" t="n">
        <v>4</v>
      </c>
      <c r="C72" s="11" t="inlineStr">
        <is>
          <t>AR</t>
        </is>
      </c>
      <c r="D72" s="11" t="inlineStr">
        <is>
          <t>AR23-01-06-01-02</t>
        </is>
      </c>
      <c r="E72" s="11" t="inlineStr">
        <is>
          <t>SR23-01-06-01</t>
        </is>
      </c>
      <c r="F72" s="11" t="inlineStr">
        <is>
          <t>├─ AR23-01-06-01-02 接口契约</t>
        </is>
      </c>
      <c r="G72" s="11" t="inlineStr">
        <is>
          <t>跨节点 RDMA 零拷贝 提供器（Provider）｜接口契约</t>
        </is>
      </c>
      <c r="H72" s="11" t="inlineStr">
        <is>
          <t>冻结并实现接口/IDL、版本兼容、输入输出、错误码与 消费者（consumer） 示例：ProviderCapability、register/transfer/cancel/queryCompletion</t>
        </is>
      </c>
      <c r="I72" s="11" t="inlineStr">
        <is>
          <t>代码通过编译、静态检查和单元测试；接口/配置有版本；失败语义和 功能开关（feature flag） 可验证。</t>
        </is>
      </c>
      <c r="J72" s="11" t="inlineStr">
        <is>
          <t>api/kvcache/v23/rdma_provider.proto + src/backends/rdma/api.{h,cc}</t>
        </is>
      </c>
      <c r="K72" s="11" t="inlineStr">
        <is>
          <t>RDMA 后端组</t>
        </is>
      </c>
      <c r="L72" s="11" t="inlineStr">
        <is>
          <t>依赖AR：AR23-01-06-01-01；依赖SR：SR23-01-09-01、SR23-01-12-01</t>
        </is>
      </c>
    </row>
    <row r="73" ht="61.95000076293945" customHeight="1">
      <c r="A73" s="11" t="inlineStr">
        <is>
          <t>SF-01/IR-01-06/SR23-01-06-01/AR23-01-06-01-03</t>
        </is>
      </c>
      <c r="B73" s="11" t="n">
        <v>4</v>
      </c>
      <c r="C73" s="11" t="inlineStr">
        <is>
          <t>AR</t>
        </is>
      </c>
      <c r="D73" s="11" t="inlineStr">
        <is>
          <t>AR23-01-06-01-03</t>
        </is>
      </c>
      <c r="E73" s="11" t="inlineStr">
        <is>
          <t>SR23-01-06-01</t>
        </is>
      </c>
      <c r="F73" s="11" t="inlineStr">
        <is>
          <t>├─ AR23-01-06-01-03 状态模型</t>
        </is>
      </c>
      <c r="G73" s="11" t="inlineStr">
        <is>
          <t>跨节点 RDMA 零拷贝 提供器（Provider）｜状态模型</t>
        </is>
      </c>
      <c r="H73" s="11" t="inlineStr">
        <is>
          <t>实现状态、版本、并发互锁和持久/内存数据模型，覆盖正常转换与非法转换保护。</t>
        </is>
      </c>
      <c r="I73" s="11" t="inlineStr">
        <is>
          <t>代码通过编译、静态检查和单元测试；接口/配置有版本；失败语义和 功能开关（feature flag） 可验证。</t>
        </is>
      </c>
      <c r="J73" s="11" t="inlineStr">
        <is>
          <t>src/backends/rdma/state_model.{h,cc}</t>
        </is>
      </c>
      <c r="K73" s="11" t="inlineStr">
        <is>
          <t>RDMA 后端组</t>
        </is>
      </c>
      <c r="L73" s="11" t="inlineStr">
        <is>
          <t>依赖AR：AR23-01-06-01-02；依赖SR：SR23-01-09-01、SR23-01-12-01</t>
        </is>
      </c>
    </row>
    <row r="74" ht="61.95000076293945" customHeight="1">
      <c r="A74" s="11" t="inlineStr">
        <is>
          <t>SF-01/IR-01-06/SR23-01-06-01/AR23-01-06-01-04</t>
        </is>
      </c>
      <c r="B74" s="11" t="n">
        <v>4</v>
      </c>
      <c r="C74" s="11" t="inlineStr">
        <is>
          <t>AR</t>
        </is>
      </c>
      <c r="D74" s="11" t="inlineStr">
        <is>
          <t>AR23-01-06-01-04</t>
        </is>
      </c>
      <c r="E74" s="11" t="inlineStr">
        <is>
          <t>SR23-01-06-01</t>
        </is>
      </c>
      <c r="F74" s="11" t="inlineStr">
        <is>
          <t>├─ AR23-01-06-01-04 异常回滚</t>
        </is>
      </c>
      <c r="G74" s="11" t="inlineStr">
        <is>
          <t>跨节点 RDMA 零拷贝 提供器（Provider）｜异常回滚</t>
        </is>
      </c>
      <c r="H74" s="11" t="inlineStr">
        <is>
          <t>实现并验证失败、超时、取消、降级、回滚与关闭路径：GPUDirect/NPU Direct 不支持时显式返回 STAGED_ONLY；由上层决定是否限流使用</t>
        </is>
      </c>
      <c r="I74" s="11" t="inlineStr">
        <is>
          <t>代码通过编译、静态检查和单元测试；接口/配置有版本；失败语义和 功能开关（feature flag） 可验证。</t>
        </is>
      </c>
      <c r="J74" s="11" t="inlineStr">
        <is>
          <t>src/backends/rdma/fallback.{h,cc} + config/feature_flags/rdma_provider.yaml</t>
        </is>
      </c>
      <c r="K74" s="11" t="inlineStr">
        <is>
          <t>RDMA 后端组</t>
        </is>
      </c>
      <c r="L74" s="11" t="inlineStr">
        <is>
          <t>依赖AR：AR23-01-06-01-03；依赖SR：SR23-01-09-01、SR23-01-12-01</t>
        </is>
      </c>
    </row>
    <row r="75" ht="61.95000076293945" customHeight="1">
      <c r="A75" s="11" t="inlineStr">
        <is>
          <t>SF-01/IR-01-06/SR23-01-06-01/AR23-01-06-01-05</t>
        </is>
      </c>
      <c r="B75" s="11" t="n">
        <v>4</v>
      </c>
      <c r="C75" s="11" t="inlineStr">
        <is>
          <t>AR</t>
        </is>
      </c>
      <c r="D75" s="11" t="inlineStr">
        <is>
          <t>AR23-01-06-01-05</t>
        </is>
      </c>
      <c r="E75" s="11" t="inlineStr">
        <is>
          <t>SR23-01-06-01</t>
        </is>
      </c>
      <c r="F75" s="11" t="inlineStr">
        <is>
          <t>├─ AR23-01-06-01-05 独立验收</t>
        </is>
      </c>
      <c r="G75" s="11" t="inlineStr">
        <is>
          <t>跨节点 RDMA 零拷贝 提供器（Provider）｜独立验收</t>
        </is>
      </c>
      <c r="H75" s="11" t="inlineStr">
        <is>
          <t>建立不依赖全项目的验收环境，执行功能、异常、兼容和性能门禁并生成可签字证据包。</t>
        </is>
      </c>
      <c r="I75" s="11" t="inlineStr">
        <is>
          <t>在“loopback/模拟器（simulator） 可完成接口与错误测试；真实硬件用于性能门禁”中完成主路径、异常、兼容和回滚；全部证据可一键复现。</t>
        </is>
      </c>
      <c r="J75" s="11" t="inlineStr">
        <is>
          <t>tests/rdma_provider/ + benchmarks/rdma_provider/ + evidence/rdma_provider/manifest.yaml</t>
        </is>
      </c>
      <c r="K75" s="11" t="inlineStr">
        <is>
          <t>测试/验收负责人</t>
        </is>
      </c>
      <c r="L75" s="11" t="inlineStr">
        <is>
          <t>依赖AR：AR23-01-06-01-04；依赖SR：SR23-01-09-01、SR23-01-12-01</t>
        </is>
      </c>
    </row>
    <row r="76" ht="61.95000076293945" customHeight="1">
      <c r="A76" s="11" t="inlineStr">
        <is>
          <t>SF-01/IR-01-06/SR23-01-06-01/AR23-01-06-01-06</t>
        </is>
      </c>
      <c r="B76" s="11" t="n">
        <v>4</v>
      </c>
      <c r="C76" s="11" t="inlineStr">
        <is>
          <t>AR</t>
        </is>
      </c>
      <c r="D76" s="11" t="inlineStr">
        <is>
          <t>AR23-01-06-01-06</t>
        </is>
      </c>
      <c r="E76" s="11" t="inlineStr">
        <is>
          <t>SR23-01-06-01</t>
        </is>
      </c>
      <c r="F76" s="11" t="inlineStr">
        <is>
          <t>├─ AR23-01-06-01-06 性能观测</t>
        </is>
      </c>
      <c r="G76" s="11" t="inlineStr">
        <is>
          <t>跨节点 RDMA 零拷贝 提供器（Provider）｜性能观测</t>
        </is>
      </c>
      <c r="H76" s="11" t="inlineStr">
        <is>
          <t>接入统一 遥测数据（telemetry），建立本 SR 专属性能/资源/正确性指标和回归阈值：有效带宽≥线速80%；CPU 有效载荷（Payload） 复制（copy）=0；提交开销&lt;50μs；越界访问=0</t>
        </is>
      </c>
      <c r="I76" s="11" t="inlineStr">
        <is>
          <t>代码通过编译、静态检查和单元测试；接口/配置有版本；失败语义和 功能开关（feature flag） 可验证。</t>
        </is>
      </c>
      <c r="J76" s="11" t="inlineStr">
        <is>
          <t>src/backends/rdma/telemetry.{h,cc} + 仪表板（dashboards）/rdma_provider.json</t>
        </is>
      </c>
      <c r="K76" s="11" t="inlineStr">
        <is>
          <t>性能与可观测负责人</t>
        </is>
      </c>
      <c r="L76" s="11" t="inlineStr">
        <is>
          <t>依赖AR：AR23-01-06-01-05；依赖SR：SR23-01-09-01、SR23-01-12-01</t>
        </is>
      </c>
    </row>
    <row r="77" ht="61.95000076293945" customHeight="1">
      <c r="A77" s="11" t="inlineStr">
        <is>
          <t>SF-01/IR-01-07</t>
        </is>
      </c>
      <c r="B77" s="11" t="n">
        <v>2</v>
      </c>
      <c r="C77" s="11" t="inlineStr">
        <is>
          <t>IR</t>
        </is>
      </c>
      <c r="D77" s="11" t="inlineStr">
        <is>
          <t>IR-01-07</t>
        </is>
      </c>
      <c r="E77" s="11" t="inlineStr">
        <is>
          <t>SF-01</t>
        </is>
      </c>
      <c r="F77" s="11" t="inlineStr">
        <is>
          <t>├─ IR-01-07 支持UBMEM/C2C内存语义的KV直接访问、回填与View保护</t>
        </is>
      </c>
      <c r="G77" s="11" t="inlineStr">
        <is>
          <t>支持UBMEM/C2C内存语义的KV直接访问、回填与View保护</t>
        </is>
      </c>
      <c r="H77" s="11" t="inlineStr">
        <is>
          <t>系统应在 UBMEM、URMA 或 C2C 具备合格能力的平台上，让热元数据和满足条件的 KV区间（KV span） 通过统一地址或 内存视图（memory view） 被直接访问，并能根据访问跨度、复用次数和 解码停顿（Decode stall） 风险在 直接视图（direct view） 与 复制到 HBM（copy-to-HBM） 之间选择。任何 视图（view） 都必须具备租约、可见性、撤销和回填语义，确保扩展有效容量时不以 TPOT 退化或悬空访问为代价。</t>
        </is>
      </c>
      <c r="I77" s="11" t="inlineStr">
        <is>
          <t>直接视图（direct-view） TPOT p99回退&lt;3%；主机有效载荷访问（Host Payload touch）=0；陈旧视图故障（stale view fault）=0；HBM+C2C有效容量提升≥20%。</t>
        </is>
      </c>
      <c r="J77" s="11" t="inlineStr">
        <is>
          <t>UBMEM/URMA + C2C Unified VA + mmap/madvise + DirectViewGuard</t>
        </is>
      </c>
      <c r="K77" s="11" t="inlineStr">
        <is>
          <t>TM3/TM4</t>
        </is>
      </c>
      <c r="L77" s="11" t="inlineStr">
        <is>
          <t>V2.2 IR语义沿用</t>
        </is>
      </c>
    </row>
    <row r="78" ht="61.95000076293945" customHeight="1">
      <c r="A78" s="11" t="inlineStr">
        <is>
          <t>SF-01/IR-01-07/SR23-01-07-01</t>
        </is>
      </c>
      <c r="B78" s="11" t="n">
        <v>3</v>
      </c>
      <c r="C78" s="11" t="inlineStr">
        <is>
          <t>SR</t>
        </is>
      </c>
      <c r="D78" s="11" t="inlineStr">
        <is>
          <t>SR23-01-07-01</t>
        </is>
      </c>
      <c r="E78" s="11" t="inlineStr">
        <is>
          <t>IR-01-07</t>
        </is>
      </c>
      <c r="F78" s="11" t="inlineStr">
        <is>
          <t>├─ SR23-01-07-01 UBMEM/C2C 直接视图（Direct View） 安全访问 提供器（Provider）</t>
        </is>
      </c>
      <c r="G78" s="11" t="inlineStr">
        <is>
          <t>UBMEM/C2C 直接视图（Direct View） 安全访问 提供器（Provider）</t>
        </is>
      </c>
      <c r="H78" s="11" t="inlineStr">
        <is>
          <t>合格 metadata/KV区间（KV span） 的只读 视图（view）、回填、访问保护与失效
交付：direct-view-provider、DirectViewGuard、租约（lease）/撤销（revoke） 与 复制到 HBM（copy-to-HBM） 回填适配</t>
        </is>
      </c>
      <c r="I78" s="11" t="inlineStr">
        <is>
          <t>陈旧（stale）/越界 视图（view）=0；撤销（revoke） p99&lt;1ms；安全区 TPOT p99回退&lt;3%；主机有效载荷访问（Host Payload touch）=0</t>
        </is>
      </c>
      <c r="J78" s="11" t="inlineStr">
        <is>
          <t>direct-view-provider、DirectViewGuard、租约（lease）/撤销（revoke） 与 复制到 HBM（copy-to-HBM） 回填适配</t>
        </is>
      </c>
      <c r="K78" s="11" t="inlineStr">
        <is>
          <t>统一内存访问组</t>
        </is>
      </c>
      <c r="L78" s="11" t="inlineStr">
        <is>
          <t>来源5条；依赖：SR23-01-09-01、SR23-01-12-01、SR23-01-12-02</t>
        </is>
      </c>
    </row>
    <row r="79" ht="61.95000076293945" customHeight="1">
      <c r="A79" s="11" t="inlineStr">
        <is>
          <t>SF-01/IR-01-07/SR23-01-07-01/AR23-01-07-01-01</t>
        </is>
      </c>
      <c r="B79" s="11" t="n">
        <v>4</v>
      </c>
      <c r="C79" s="11" t="inlineStr">
        <is>
          <t>AR</t>
        </is>
      </c>
      <c r="D79" s="11" t="inlineStr">
        <is>
          <t>AR23-01-07-01-01</t>
        </is>
      </c>
      <c r="E79" s="11" t="inlineStr">
        <is>
          <t>SR23-01-07-01</t>
        </is>
      </c>
      <c r="F79" s="11" t="inlineStr">
        <is>
          <t>├─ AR23-01-07-01-01 核心实现</t>
        </is>
      </c>
      <c r="G79" s="11" t="inlineStr">
        <is>
          <t>UBMEM/C2C 直接视图（Direct View） 安全访问 提供器（Provider）｜核心实现</t>
        </is>
      </c>
      <c r="H79" s="11" t="inlineStr">
        <is>
          <t>实现“UBMEM/C2C 直接视图（Direct View） 安全访问 提供器（Provider）”的可运行主路径，交付 direct-view-provider、DirectViewGuard、租约（lease）/撤销（revoke） 与 复制到 HBM（copy-to-HBM） 回填适配 的核心代码、构建入口和最小示例。</t>
        </is>
      </c>
      <c r="I79" s="11" t="inlineStr">
        <is>
          <t>代码通过编译、静态检查和单元测试；接口/配置有版本；失败语义和 功能开关（feature flag） 可验证。</t>
        </is>
      </c>
      <c r="J79" s="11" t="inlineStr">
        <is>
          <t>src/backends/direct_view/core.{h,cc}</t>
        </is>
      </c>
      <c r="K79" s="11" t="inlineStr">
        <is>
          <t>统一内存访问组</t>
        </is>
      </c>
      <c r="L79" s="11" t="inlineStr">
        <is>
          <t>依赖AR：无；依赖SR：SR23-01-09-01、SR23-01-12-01、SR23-01-12-02</t>
        </is>
      </c>
    </row>
    <row r="80" ht="61.95000076293945" customHeight="1">
      <c r="A80" s="11" t="inlineStr">
        <is>
          <t>SF-01/IR-01-07/SR23-01-07-01/AR23-01-07-01-02</t>
        </is>
      </c>
      <c r="B80" s="11" t="n">
        <v>4</v>
      </c>
      <c r="C80" s="11" t="inlineStr">
        <is>
          <t>AR</t>
        </is>
      </c>
      <c r="D80" s="11" t="inlineStr">
        <is>
          <t>AR23-01-07-01-02</t>
        </is>
      </c>
      <c r="E80" s="11" t="inlineStr">
        <is>
          <t>SR23-01-07-01</t>
        </is>
      </c>
      <c r="F80" s="11" t="inlineStr">
        <is>
          <t>├─ AR23-01-07-01-02 接口契约</t>
        </is>
      </c>
      <c r="G80" s="11" t="inlineStr">
        <is>
          <t>UBMEM/C2C 直接视图（Direct View） 安全访问 提供器（Provider）｜接口契约</t>
        </is>
      </c>
      <c r="H80" s="11" t="inlineStr">
        <is>
          <t>冻结并实现接口/IDL、版本兼容、输入输出、错误码与 消费者（consumer） 示例：ViewHandle、acquire/撤销（revoke）、AccessEvidence、copyToHBM</t>
        </is>
      </c>
      <c r="I80" s="11" t="inlineStr">
        <is>
          <t>代码通过编译、静态检查和单元测试；接口/配置有版本；失败语义和 功能开关（feature flag） 可验证。</t>
        </is>
      </c>
      <c r="J80" s="11" t="inlineStr">
        <is>
          <t>api/kvcache/v23/direct_view.proto + src/backends/direct_view/api.{h,cc}</t>
        </is>
      </c>
      <c r="K80" s="11" t="inlineStr">
        <is>
          <t>统一内存访问组</t>
        </is>
      </c>
      <c r="L80" s="11" t="inlineStr">
        <is>
          <t>依赖AR：AR23-01-07-01-01；依赖SR：SR23-01-09-01、SR23-01-12-01、SR23-01-12-02</t>
        </is>
      </c>
    </row>
    <row r="81" ht="61.95000076293945" customHeight="1">
      <c r="A81" s="11" t="inlineStr">
        <is>
          <t>SF-01/IR-01-07/SR23-01-07-01/AR23-01-07-01-03</t>
        </is>
      </c>
      <c r="B81" s="11" t="n">
        <v>4</v>
      </c>
      <c r="C81" s="11" t="inlineStr">
        <is>
          <t>AR</t>
        </is>
      </c>
      <c r="D81" s="11" t="inlineStr">
        <is>
          <t>AR23-01-07-01-03</t>
        </is>
      </c>
      <c r="E81" s="11" t="inlineStr">
        <is>
          <t>SR23-01-07-01</t>
        </is>
      </c>
      <c r="F81" s="11" t="inlineStr">
        <is>
          <t>├─ AR23-01-07-01-03 状态模型</t>
        </is>
      </c>
      <c r="G81" s="11" t="inlineStr">
        <is>
          <t>UBMEM/C2C 直接视图（Direct View） 安全访问 提供器（Provider）｜状态模型</t>
        </is>
      </c>
      <c r="H81" s="11" t="inlineStr">
        <is>
          <t>实现状态、版本、并发互锁和持久/内存数据模型，覆盖正常转换与非法转换保护。</t>
        </is>
      </c>
      <c r="I81" s="11" t="inlineStr">
        <is>
          <t>代码通过编译、静态检查和单元测试；接口/配置有版本；失败语义和 功能开关（feature flag） 可验证。</t>
        </is>
      </c>
      <c r="J81" s="11" t="inlineStr">
        <is>
          <t>src/backends/direct_view/state_model.{h,cc}</t>
        </is>
      </c>
      <c r="K81" s="11" t="inlineStr">
        <is>
          <t>统一内存访问组</t>
        </is>
      </c>
      <c r="L81" s="11" t="inlineStr">
        <is>
          <t>依赖AR：AR23-01-07-01-02；依赖SR：SR23-01-09-01、SR23-01-12-01、SR23-01-12-02</t>
        </is>
      </c>
    </row>
    <row r="82" ht="61.95000076293945" customHeight="1">
      <c r="A82" s="11" t="inlineStr">
        <is>
          <t>SF-01/IR-01-07/SR23-01-07-01/AR23-01-07-01-04</t>
        </is>
      </c>
      <c r="B82" s="11" t="n">
        <v>4</v>
      </c>
      <c r="C82" s="11" t="inlineStr">
        <is>
          <t>AR</t>
        </is>
      </c>
      <c r="D82" s="11" t="inlineStr">
        <is>
          <t>AR23-01-07-01-04</t>
        </is>
      </c>
      <c r="E82" s="11" t="inlineStr">
        <is>
          <t>SR23-01-07-01</t>
        </is>
      </c>
      <c r="F82" s="11" t="inlineStr">
        <is>
          <t>├─ AR23-01-07-01-04 异常回滚</t>
        </is>
      </c>
      <c r="G82" s="11" t="inlineStr">
        <is>
          <t>UBMEM/C2C 直接视图（Direct View） 安全访问 提供器（Provider）｜异常回滚</t>
        </is>
      </c>
      <c r="H82" s="11" t="inlineStr">
        <is>
          <t>实现并验证失败、超时、取消、降级、回滚与关闭路径：不在安全区或远端 停顿（stall） 超阈值时 复制到 HBM（copy-to-HBM）；失效后禁止继续访问</t>
        </is>
      </c>
      <c r="I82" s="11" t="inlineStr">
        <is>
          <t>代码通过编译、静态检查和单元测试；接口/配置有版本；失败语义和 功能开关（feature flag） 可验证。</t>
        </is>
      </c>
      <c r="J82" s="11" t="inlineStr">
        <is>
          <t>src/backends/direct_view/fallback.{h,cc} + config/feature_flags/direct_view.yaml</t>
        </is>
      </c>
      <c r="K82" s="11" t="inlineStr">
        <is>
          <t>统一内存访问组</t>
        </is>
      </c>
      <c r="L82" s="11" t="inlineStr">
        <is>
          <t>依赖AR：AR23-01-07-01-03；依赖SR：SR23-01-09-01、SR23-01-12-01、SR23-01-12-02</t>
        </is>
      </c>
    </row>
    <row r="83" ht="61.95000076293945" customHeight="1">
      <c r="A83" s="11" t="inlineStr">
        <is>
          <t>SF-01/IR-01-07/SR23-01-07-01/AR23-01-07-01-05</t>
        </is>
      </c>
      <c r="B83" s="11" t="n">
        <v>4</v>
      </c>
      <c r="C83" s="11" t="inlineStr">
        <is>
          <t>AR</t>
        </is>
      </c>
      <c r="D83" s="11" t="inlineStr">
        <is>
          <t>AR23-01-07-01-05</t>
        </is>
      </c>
      <c r="E83" s="11" t="inlineStr">
        <is>
          <t>SR23-01-07-01</t>
        </is>
      </c>
      <c r="F83" s="11" t="inlineStr">
        <is>
          <t>├─ AR23-01-07-01-05 独立验收</t>
        </is>
      </c>
      <c r="G83" s="11" t="inlineStr">
        <is>
          <t>UBMEM/C2C 直接视图（Direct View） 安全访问 提供器（Provider）｜独立验收</t>
        </is>
      </c>
      <c r="H83" s="11" t="inlineStr">
        <is>
          <t>建立不依赖全项目的验收环境，执行功能、异常、兼容和性能门禁并生成可签字证据包。</t>
        </is>
      </c>
      <c r="I83" s="11" t="inlineStr">
        <is>
          <t>在“UBMEM 模拟器（simulator） + page-fault/撤销（revoke） 注入即可独立验收”中完成主路径、异常、兼容和回滚；全部证据可一键复现。</t>
        </is>
      </c>
      <c r="J83" s="11" t="inlineStr">
        <is>
          <t>tests/direct_view/ + benchmarks/direct_view/ + evidence/direct_view/manifest.yaml</t>
        </is>
      </c>
      <c r="K83" s="11" t="inlineStr">
        <is>
          <t>测试/验收负责人</t>
        </is>
      </c>
      <c r="L83" s="11" t="inlineStr">
        <is>
          <t>依赖AR：AR23-01-07-01-04；依赖SR：SR23-01-09-01、SR23-01-12-01、SR23-01-12-02</t>
        </is>
      </c>
    </row>
    <row r="84" ht="61.95000076293945" customHeight="1">
      <c r="A84" s="11" t="inlineStr">
        <is>
          <t>SF-01/IR-01-07/SR23-01-07-01/AR23-01-07-01-06</t>
        </is>
      </c>
      <c r="B84" s="11" t="n">
        <v>4</v>
      </c>
      <c r="C84" s="11" t="inlineStr">
        <is>
          <t>AR</t>
        </is>
      </c>
      <c r="D84" s="11" t="inlineStr">
        <is>
          <t>AR23-01-07-01-06</t>
        </is>
      </c>
      <c r="E84" s="11" t="inlineStr">
        <is>
          <t>SR23-01-07-01</t>
        </is>
      </c>
      <c r="F84" s="11" t="inlineStr">
        <is>
          <t>├─ AR23-01-07-01-06 性能观测</t>
        </is>
      </c>
      <c r="G84" s="11" t="inlineStr">
        <is>
          <t>UBMEM/C2C 直接视图（Direct View） 安全访问 提供器（Provider）｜性能观测</t>
        </is>
      </c>
      <c r="H84" s="11" t="inlineStr">
        <is>
          <t>接入统一 遥测数据（telemetry），建立本 SR 专属性能/资源/正确性指标和回归阈值：陈旧（stale）/越界 视图（view）=0；撤销（revoke） p99&lt;1ms；安全区 TPOT p99回退&lt;3%；主机有效载荷访问（Host Payload touch）=0</t>
        </is>
      </c>
      <c r="I84" s="11" t="inlineStr">
        <is>
          <t>代码通过编译、静态检查和单元测试；接口/配置有版本；失败语义和 功能开关（feature flag） 可验证。</t>
        </is>
      </c>
      <c r="J84" s="11" t="inlineStr">
        <is>
          <t>src/backends/direct_view/telemetry.{h,cc} + 仪表板（dashboards）/direct_view.json</t>
        </is>
      </c>
      <c r="K84" s="11" t="inlineStr">
        <is>
          <t>性能与可观测负责人</t>
        </is>
      </c>
      <c r="L84" s="11" t="inlineStr">
        <is>
          <t>依赖AR：AR23-01-07-01-05；依赖SR：SR23-01-09-01、SR23-01-12-01、SR23-01-12-02</t>
        </is>
      </c>
    </row>
    <row r="85" ht="61.95000076293945" customHeight="1">
      <c r="A85" s="11" t="inlineStr">
        <is>
          <t>SF-01/IR-01-08</t>
        </is>
      </c>
      <c r="B85" s="11" t="n">
        <v>2</v>
      </c>
      <c r="C85" s="11" t="inlineStr">
        <is>
          <t>IR</t>
        </is>
      </c>
      <c r="D85" s="11" t="inlineStr">
        <is>
          <t>IR-01-08</t>
        </is>
      </c>
      <c r="E85" s="11" t="inlineStr">
        <is>
          <t>SF-01</t>
        </is>
      </c>
      <c r="F85" s="11" t="inlineStr">
        <is>
          <t>├─ IR-01-08 支持HBM↔SSD直达容量I/O及条件化DPU/硬件编解码器（Codec）卸载</t>
        </is>
      </c>
      <c r="G85" s="11" t="inlineStr">
        <is>
          <t>支持HBM↔SSD直达容量I/O及条件化DPU/硬件编解码器（Codec）卸载</t>
        </is>
      </c>
      <c r="H85" s="11" t="inlineStr">
        <is>
          <t>系统应把本地/远端 SSD 和 object storage 纳入 KVCache 主容量层，优先形成 HBM↔SSD 直达或低 Host 参与的大段异步 I/O；CPU仅参与控制面提交和异常诊断，不得在默认主路径承担 有效载荷（Payload） 压缩、解压或全量 CRC。DPU、硬件 编解码器（Codec） 与硬件校验仅在能力探测通过且端到端净收益为正时启用，并必须可旁路回 原始/直接（raw/direct） 路径。</t>
        </is>
      </c>
      <c r="I85" s="11" t="inlineStr">
        <is>
          <t>SSD restore TTFT降低≥30%；NPU 停顿（stall）降低≥50%；主路径主机有效载荷访问（Host Payload touch）=0；顺序带宽达到设备峰值≥80%；条件卸载必须相对原始/直接（raw/direct）路径产生正收益。</t>
        </is>
      </c>
      <c r="J85" s="11" t="inlineStr">
        <is>
          <t>SPDK + io_uring + GPUDirect Storage/NPU Direct Storage + conditional DPU/hardware 编解码器（codec）</t>
        </is>
      </c>
      <c r="K85" s="11" t="inlineStr">
        <is>
          <t>TM4</t>
        </is>
      </c>
      <c r="L85" s="11" t="inlineStr">
        <is>
          <t>V2.2 IR语义沿用</t>
        </is>
      </c>
    </row>
    <row r="86" ht="61.95000076293945" customHeight="1">
      <c r="A86" s="11" t="inlineStr">
        <is>
          <t>SF-01/IR-01-08/SR23-01-08-01</t>
        </is>
      </c>
      <c r="B86" s="11" t="n">
        <v>3</v>
      </c>
      <c r="C86" s="11" t="inlineStr">
        <is>
          <t>SR</t>
        </is>
      </c>
      <c r="D86" s="11" t="inlineStr">
        <is>
          <t>SR23-01-08-01</t>
        </is>
      </c>
      <c r="E86" s="11" t="inlineStr">
        <is>
          <t>IR-01-08</t>
        </is>
      </c>
      <c r="F86" s="11" t="inlineStr">
        <is>
          <t>├─ SR23-01-08-01 HBM↔SSD/对象存储（SSD/Object） 容量后端</t>
        </is>
      </c>
      <c r="G86" s="11" t="inlineStr">
        <is>
          <t>HBM↔SSD/对象存储（SSD/Object） 容量后端</t>
        </is>
      </c>
      <c r="H86" s="11" t="inlineStr">
        <is>
          <t>SSD/对象存储（SSD/Object） 存储区段（extent） 持久句柄、批量读写、Direct/low-host 路径、完成与可见性
交付：ssd-object-provider、持久存储区段句柄（PersistentExtentHandle）、Direct/low-host I/O 能力表</t>
        </is>
      </c>
      <c r="I86" s="11" t="inlineStr">
        <is>
          <t>顺序带宽≥设备峰值80%；错误/半写消费=0；主路径 主机有效载荷访问（Host Payload touch）=0</t>
        </is>
      </c>
      <c r="J86" s="11" t="inlineStr">
        <is>
          <t>ssd-object-provider、持久存储区段句柄（PersistentExtentHandle）、Direct/low-host I/O 能力表</t>
        </is>
      </c>
      <c r="K86" s="11" t="inlineStr">
        <is>
          <t>SSD/对象存储（SSD/Object） 后端组</t>
        </is>
      </c>
      <c r="L86" s="11" t="inlineStr">
        <is>
          <t>来源2条；依赖：SR23-01-09-01、SR23-01-12-01</t>
        </is>
      </c>
    </row>
    <row r="87" ht="61.95000076293945" customHeight="1">
      <c r="A87" s="11" t="inlineStr">
        <is>
          <t>SF-01/IR-01-08/SR23-01-08-01/AR23-01-08-01-01</t>
        </is>
      </c>
      <c r="B87" s="11" t="n">
        <v>4</v>
      </c>
      <c r="C87" s="11" t="inlineStr">
        <is>
          <t>AR</t>
        </is>
      </c>
      <c r="D87" s="11" t="inlineStr">
        <is>
          <t>AR23-01-08-01-01</t>
        </is>
      </c>
      <c r="E87" s="11" t="inlineStr">
        <is>
          <t>SR23-01-08-01</t>
        </is>
      </c>
      <c r="F87" s="11" t="inlineStr">
        <is>
          <t>├─ AR23-01-08-01-01 核心实现</t>
        </is>
      </c>
      <c r="G87" s="11" t="inlineStr">
        <is>
          <t>HBM↔SSD/对象存储（SSD/Object） 容量后端｜核心实现</t>
        </is>
      </c>
      <c r="H87" s="11" t="inlineStr">
        <is>
          <t>实现“HBM↔SSD/对象存储（SSD/Object） 容量后端”的可运行主路径，交付 ssd-object-provider、持久存储区段句柄（PersistentExtentHandle）、Direct/low-host I/O 能力表 的核心代码、构建入口和最小示例。</t>
        </is>
      </c>
      <c r="I87" s="11" t="inlineStr">
        <is>
          <t>代码通过编译、静态检查和单元测试；接口/配置有版本；失败语义和 功能开关（feature flag） 可验证。</t>
        </is>
      </c>
      <c r="J87" s="11" t="inlineStr">
        <is>
          <t>src/backends/storage/core.{h,cc}</t>
        </is>
      </c>
      <c r="K87" s="11" t="inlineStr">
        <is>
          <t>SSD/对象存储（SSD/Object） 后端组</t>
        </is>
      </c>
      <c r="L87" s="11" t="inlineStr">
        <is>
          <t>依赖AR：无；依赖SR：SR23-01-09-01、SR23-01-12-01</t>
        </is>
      </c>
    </row>
    <row r="88" ht="61.95000076293945" customHeight="1">
      <c r="A88" s="11" t="inlineStr">
        <is>
          <t>SF-01/IR-01-08/SR23-01-08-01/AR23-01-08-01-02</t>
        </is>
      </c>
      <c r="B88" s="11" t="n">
        <v>4</v>
      </c>
      <c r="C88" s="11" t="inlineStr">
        <is>
          <t>AR</t>
        </is>
      </c>
      <c r="D88" s="11" t="inlineStr">
        <is>
          <t>AR23-01-08-01-02</t>
        </is>
      </c>
      <c r="E88" s="11" t="inlineStr">
        <is>
          <t>SR23-01-08-01</t>
        </is>
      </c>
      <c r="F88" s="11" t="inlineStr">
        <is>
          <t>├─ AR23-01-08-01-02 接口契约</t>
        </is>
      </c>
      <c r="G88" s="11" t="inlineStr">
        <is>
          <t>HBM↔SSD/对象存储（SSD/Object） 容量后端｜接口契约</t>
        </is>
      </c>
      <c r="H88" s="11" t="inlineStr">
        <is>
          <t>冻结并实现接口/IDL、版本兼容、输入输出、错误码与 消费者（consumer） 示例：持久存储区段句柄（PersistentExtentHandle）、read/write/restore、存储能力（StorageCapability）</t>
        </is>
      </c>
      <c r="I88" s="11" t="inlineStr">
        <is>
          <t>代码通过编译、静态检查和单元测试；接口/配置有版本；失败语义和 功能开关（feature flag） 可验证。</t>
        </is>
      </c>
      <c r="J88" s="11" t="inlineStr">
        <is>
          <t>api/kvcache/v23/ssd_backend.proto + src/backends/storage/api.{h,cc}</t>
        </is>
      </c>
      <c r="K88" s="11" t="inlineStr">
        <is>
          <t>SSD/对象存储（SSD/Object） 后端组</t>
        </is>
      </c>
      <c r="L88" s="11" t="inlineStr">
        <is>
          <t>依赖AR：AR23-01-08-01-01；依赖SR：SR23-01-09-01、SR23-01-12-01</t>
        </is>
      </c>
    </row>
    <row r="89" ht="61.95000076293945" customHeight="1">
      <c r="A89" s="11" t="inlineStr">
        <is>
          <t>SF-01/IR-01-08/SR23-01-08-01/AR23-01-08-01-03</t>
        </is>
      </c>
      <c r="B89" s="11" t="n">
        <v>4</v>
      </c>
      <c r="C89" s="11" t="inlineStr">
        <is>
          <t>AR</t>
        </is>
      </c>
      <c r="D89" s="11" t="inlineStr">
        <is>
          <t>AR23-01-08-01-03</t>
        </is>
      </c>
      <c r="E89" s="11" t="inlineStr">
        <is>
          <t>SR23-01-08-01</t>
        </is>
      </c>
      <c r="F89" s="11" t="inlineStr">
        <is>
          <t>├─ AR23-01-08-01-03 状态模型</t>
        </is>
      </c>
      <c r="G89" s="11" t="inlineStr">
        <is>
          <t>HBM↔SSD/对象存储（SSD/Object） 容量后端｜状态模型</t>
        </is>
      </c>
      <c r="H89" s="11" t="inlineStr">
        <is>
          <t>实现状态、版本、并发互锁和持久/内存数据模型，覆盖正常转换与非法转换保护。</t>
        </is>
      </c>
      <c r="I89" s="11" t="inlineStr">
        <is>
          <t>代码通过编译、静态检查和单元测试；接口/配置有版本；失败语义和 功能开关（feature flag） 可验证。</t>
        </is>
      </c>
      <c r="J89" s="11" t="inlineStr">
        <is>
          <t>src/backends/storage/state_model.{h,cc}</t>
        </is>
      </c>
      <c r="K89" s="11" t="inlineStr">
        <is>
          <t>SSD/对象存储（SSD/Object） 后端组</t>
        </is>
      </c>
      <c r="L89" s="11" t="inlineStr">
        <is>
          <t>依赖AR：AR23-01-08-01-02；依赖SR：SR23-01-09-01、SR23-01-12-01</t>
        </is>
      </c>
    </row>
    <row r="90" ht="61.95000076293945" customHeight="1">
      <c r="A90" s="11" t="inlineStr">
        <is>
          <t>SF-01/IR-01-08/SR23-01-08-01/AR23-01-08-01-04</t>
        </is>
      </c>
      <c r="B90" s="11" t="n">
        <v>4</v>
      </c>
      <c r="C90" s="11" t="inlineStr">
        <is>
          <t>AR</t>
        </is>
      </c>
      <c r="D90" s="11" t="inlineStr">
        <is>
          <t>AR23-01-08-01-04</t>
        </is>
      </c>
      <c r="E90" s="11" t="inlineStr">
        <is>
          <t>SR23-01-08-01</t>
        </is>
      </c>
      <c r="F90" s="11" t="inlineStr">
        <is>
          <t>├─ AR23-01-08-01-04 异常回滚</t>
        </is>
      </c>
      <c r="G90" s="11" t="inlineStr">
        <is>
          <t>HBM↔SSD/对象存储（SSD/Object） 容量后端｜异常回滚</t>
        </is>
      </c>
      <c r="H90" s="11" t="inlineStr">
        <is>
          <t>实现并验证失败、超时、取消、降级、回滚与关闭路径：Direct Storage 不可用时返回 分阶段暂存（staged） 能力与明确 Host 预算，不伪装直达</t>
        </is>
      </c>
      <c r="I90" s="11" t="inlineStr">
        <is>
          <t>代码通过编译、静态检查和单元测试；接口/配置有版本；失败语义和 功能开关（feature flag） 可验证。</t>
        </is>
      </c>
      <c r="J90" s="11" t="inlineStr">
        <is>
          <t>src/backends/storage/fallback.{h,cc} + config/feature_flags/ssd_backend.yaml</t>
        </is>
      </c>
      <c r="K90" s="11" t="inlineStr">
        <is>
          <t>SSD/对象存储（SSD/Object） 后端组</t>
        </is>
      </c>
      <c r="L90" s="11" t="inlineStr">
        <is>
          <t>依赖AR：AR23-01-08-01-03；依赖SR：SR23-01-09-01、SR23-01-12-01</t>
        </is>
      </c>
    </row>
    <row r="91" ht="61.95000076293945" customHeight="1">
      <c r="A91" s="11" t="inlineStr">
        <is>
          <t>SF-01/IR-01-08/SR23-01-08-01/AR23-01-08-01-05</t>
        </is>
      </c>
      <c r="B91" s="11" t="n">
        <v>4</v>
      </c>
      <c r="C91" s="11" t="inlineStr">
        <is>
          <t>AR</t>
        </is>
      </c>
      <c r="D91" s="11" t="inlineStr">
        <is>
          <t>AR23-01-08-01-05</t>
        </is>
      </c>
      <c r="E91" s="11" t="inlineStr">
        <is>
          <t>SR23-01-08-01</t>
        </is>
      </c>
      <c r="F91" s="11" t="inlineStr">
        <is>
          <t>├─ AR23-01-08-01-05 独立验收</t>
        </is>
      </c>
      <c r="G91" s="11" t="inlineStr">
        <is>
          <t>HBM↔SSD/对象存储（SSD/Object） 容量后端｜独立验收</t>
        </is>
      </c>
      <c r="H91" s="11" t="inlineStr">
        <is>
          <t>建立不依赖全项目的验收环境，执行功能、异常、兼容和性能门禁并生成可签字证据包。</t>
        </is>
      </c>
      <c r="I91" s="11" t="inlineStr">
        <is>
          <t>在“文件后端可做功能验收；NVMe/对象存储用于性能门禁”中完成主路径、异常、兼容和回滚；全部证据可一键复现。</t>
        </is>
      </c>
      <c r="J91" s="11" t="inlineStr">
        <is>
          <t>tests/ssd_backend/ + benchmarks/ssd_backend/ + evidence/ssd_backend/manifest.yaml</t>
        </is>
      </c>
      <c r="K91" s="11" t="inlineStr">
        <is>
          <t>测试/验收负责人</t>
        </is>
      </c>
      <c r="L91" s="11" t="inlineStr">
        <is>
          <t>依赖AR：AR23-01-08-01-04；依赖SR：SR23-01-09-01、SR23-01-12-01</t>
        </is>
      </c>
    </row>
    <row r="92" ht="61.95000076293945" customHeight="1">
      <c r="A92" s="11" t="inlineStr">
        <is>
          <t>SF-01/IR-01-08/SR23-01-08-01/AR23-01-08-01-06</t>
        </is>
      </c>
      <c r="B92" s="11" t="n">
        <v>4</v>
      </c>
      <c r="C92" s="11" t="inlineStr">
        <is>
          <t>AR</t>
        </is>
      </c>
      <c r="D92" s="11" t="inlineStr">
        <is>
          <t>AR23-01-08-01-06</t>
        </is>
      </c>
      <c r="E92" s="11" t="inlineStr">
        <is>
          <t>SR23-01-08-01</t>
        </is>
      </c>
      <c r="F92" s="11" t="inlineStr">
        <is>
          <t>├─ AR23-01-08-01-06 性能观测</t>
        </is>
      </c>
      <c r="G92" s="11" t="inlineStr">
        <is>
          <t>HBM↔SSD/对象存储（SSD/Object） 容量后端｜性能观测</t>
        </is>
      </c>
      <c r="H92" s="11" t="inlineStr">
        <is>
          <t>接入统一 遥测数据（telemetry），建立本 SR 专属性能/资源/正确性指标和回归阈值：顺序带宽≥设备峰值80%；错误/半写消费=0；主路径 主机有效载荷访问（Host Payload touch）=0</t>
        </is>
      </c>
      <c r="I92" s="11" t="inlineStr">
        <is>
          <t>代码通过编译、静态检查和单元测试；接口/配置有版本；失败语义和 功能开关（feature flag） 可验证。</t>
        </is>
      </c>
      <c r="J92" s="11" t="inlineStr">
        <is>
          <t>src/backends/storage/telemetry.{h,cc} + 仪表板（dashboards）/ssd_backend.json</t>
        </is>
      </c>
      <c r="K92" s="11" t="inlineStr">
        <is>
          <t>性能与可观测负责人</t>
        </is>
      </c>
      <c r="L92" s="11" t="inlineStr">
        <is>
          <t>依赖AR：AR23-01-08-01-05；依赖SR：SR23-01-09-01、SR23-01-12-01</t>
        </is>
      </c>
    </row>
    <row r="93" ht="61.95000076293945" customHeight="1">
      <c r="A93" s="11" t="inlineStr">
        <is>
          <t>SF-01/IR-01-08/SR23-01-08-02</t>
        </is>
      </c>
      <c r="B93" s="11" t="n">
        <v>3</v>
      </c>
      <c r="C93" s="11" t="inlineStr">
        <is>
          <t>SR</t>
        </is>
      </c>
      <c r="D93" s="11" t="inlineStr">
        <is>
          <t>SR23-01-08-02</t>
        </is>
      </c>
      <c r="E93" s="11" t="inlineStr">
        <is>
          <t>IR-01-08</t>
        </is>
      </c>
      <c r="F93" s="11" t="inlineStr">
        <is>
          <t>├─ SR23-01-08-02 DPU/硬件 编解码器（Codec） 条件卸载插件包</t>
        </is>
      </c>
      <c r="G93" s="11" t="inlineStr">
        <is>
          <t>DPU/硬件 编解码器（Codec） 条件卸载插件包</t>
        </is>
      </c>
      <c r="H93" s="11" t="inlineStr">
        <is>
          <t>硬件压缩、解压、CQ/route 卸载的能力声明、A/B 和无损旁路
交付：offload-provider 插件接口、DPU/编解码器（codec） 功能开关（feature flag）、不支持（Not Supported）/Go 报告模板</t>
        </is>
      </c>
      <c r="I93" s="11" t="inlineStr">
        <is>
          <t>有硬件时 Host CPU下降≥30%且端到端净收益为正；故障旁路成功率100%</t>
        </is>
      </c>
      <c r="J93" s="11" t="inlineStr">
        <is>
          <t>offload-provider 插件接口、DPU/编解码器（codec） 功能开关（feature flag）、不支持（Not Supported）/Go 报告模板</t>
        </is>
      </c>
      <c r="K93" s="11" t="inlineStr">
        <is>
          <t>条件硬件卸载组</t>
        </is>
      </c>
      <c r="L93" s="11" t="inlineStr">
        <is>
          <t>来源3条；依赖：SR23-01-09-01、SR23-01-08-01、SR23-01-06-01</t>
        </is>
      </c>
    </row>
    <row r="94" ht="61.95000076293945" customHeight="1">
      <c r="A94" s="11" t="inlineStr">
        <is>
          <t>SF-01/IR-01-08/SR23-01-08-02/AR23-01-08-02-01</t>
        </is>
      </c>
      <c r="B94" s="11" t="n">
        <v>4</v>
      </c>
      <c r="C94" s="11" t="inlineStr">
        <is>
          <t>AR</t>
        </is>
      </c>
      <c r="D94" s="11" t="inlineStr">
        <is>
          <t>AR23-01-08-02-01</t>
        </is>
      </c>
      <c r="E94" s="11" t="inlineStr">
        <is>
          <t>SR23-01-08-02</t>
        </is>
      </c>
      <c r="F94" s="11" t="inlineStr">
        <is>
          <t>├─ AR23-01-08-02-01 插件实现</t>
        </is>
      </c>
      <c r="G94" s="11" t="inlineStr">
        <is>
          <t>DPU/硬件 编解码器（Codec） 条件卸载插件包｜插件实现</t>
        </is>
      </c>
      <c r="H94" s="11" t="inlineStr">
        <is>
          <t>按 提供器（Provider） SDK 实现“DPU/硬件 编解码器（Codec） 条件卸载插件包”插件主路径，完成能力探测、注册和正常执行。</t>
        </is>
      </c>
      <c r="I94" s="11" t="inlineStr">
        <is>
          <t>代码通过编译、静态检查和单元测试；接口/配置有版本；失败语义和 功能开关（feature flag） 可验证。</t>
        </is>
      </c>
      <c r="J94" s="11" t="inlineStr">
        <is>
          <t>src/backends/offload/provider.{h,cc}</t>
        </is>
      </c>
      <c r="K94" s="11" t="inlineStr">
        <is>
          <t>条件硬件卸载组</t>
        </is>
      </c>
      <c r="L94" s="11" t="inlineStr">
        <is>
          <t>依赖AR：无；依赖SR：SR23-01-09-01、SR23-01-08-01、SR23-01-06-01</t>
        </is>
      </c>
    </row>
    <row r="95" ht="61.95000076293945" customHeight="1">
      <c r="A95" s="11" t="inlineStr">
        <is>
          <t>SF-01/IR-01-08/SR23-01-08-02/AR23-01-08-02-02</t>
        </is>
      </c>
      <c r="B95" s="11" t="n">
        <v>4</v>
      </c>
      <c r="C95" s="11" t="inlineStr">
        <is>
          <t>AR</t>
        </is>
      </c>
      <c r="D95" s="11" t="inlineStr">
        <is>
          <t>AR23-01-08-02-02</t>
        </is>
      </c>
      <c r="E95" s="11" t="inlineStr">
        <is>
          <t>SR23-01-08-02</t>
        </is>
      </c>
      <c r="F95" s="11" t="inlineStr">
        <is>
          <t>├─ AR23-01-08-02-02 能力声明</t>
        </is>
      </c>
      <c r="G95" s="11" t="inlineStr">
        <is>
          <t>DPU/硬件 编解码器（Codec） 条件卸载插件包｜能力声明</t>
        </is>
      </c>
      <c r="H95" s="11" t="inlineStr">
        <is>
          <t>实现版本化 能力（capability）/功能开关（feature flag），明确 Supported/Conditional/Not Supported 和适用边界。</t>
        </is>
      </c>
      <c r="I95" s="11" t="inlineStr">
        <is>
          <t>代码通过编译、静态检查和单元测试；接口/配置有版本；失败语义和 功能开关（feature flag） 可验证。</t>
        </is>
      </c>
      <c r="J95" s="11" t="inlineStr">
        <is>
          <t>api/kvcache/v23/offload_plugin_capability.proto + config/capability/offload_plugin.yaml</t>
        </is>
      </c>
      <c r="K95" s="11" t="inlineStr">
        <is>
          <t>条件硬件卸载组</t>
        </is>
      </c>
      <c r="L95" s="11" t="inlineStr">
        <is>
          <t>依赖AR：AR23-01-08-02-01；依赖SR：SR23-01-09-01、SR23-01-08-01、SR23-01-06-01</t>
        </is>
      </c>
    </row>
    <row r="96" ht="61.95000076293945" customHeight="1">
      <c r="A96" s="11" t="inlineStr">
        <is>
          <t>SF-01/IR-01-08/SR23-01-08-02/AR23-01-08-02-03</t>
        </is>
      </c>
      <c r="B96" s="11" t="n">
        <v>4</v>
      </c>
      <c r="C96" s="11" t="inlineStr">
        <is>
          <t>AR</t>
        </is>
      </c>
      <c r="D96" s="11" t="inlineStr">
        <is>
          <t>AR23-01-08-02-03</t>
        </is>
      </c>
      <c r="E96" s="11" t="inlineStr">
        <is>
          <t>SR23-01-08-02</t>
        </is>
      </c>
      <c r="F96" s="11" t="inlineStr">
        <is>
          <t>├─ AR23-01-08-02-03 旁路回滚</t>
        </is>
      </c>
      <c r="G96" s="11" t="inlineStr">
        <is>
          <t>DPU/硬件 编解码器（Codec） 条件卸载插件包｜旁路回滚</t>
        </is>
      </c>
      <c r="H96" s="11" t="inlineStr">
        <is>
          <t>实现插件旁路、功能开关（feature flag）、无损回退与 不支持（Not Supported） 行为：硬件不可用/无净收益/故障时旁路为 原始/直接（raw/direct）；禁止切 CPU 编解码器（codec）</t>
        </is>
      </c>
      <c r="I96" s="11" t="inlineStr">
        <is>
          <t>代码通过编译、静态检查和单元测试；接口/配置有版本；失败语义和 功能开关（feature flag） 可验证。</t>
        </is>
      </c>
      <c r="J96" s="11" t="inlineStr">
        <is>
          <t>src/backends/offload/bypass.{h,cc} + config/feature_flags/offload_plugin.yaml</t>
        </is>
      </c>
      <c r="K96" s="11" t="inlineStr">
        <is>
          <t>条件硬件卸载组</t>
        </is>
      </c>
      <c r="L96" s="11" t="inlineStr">
        <is>
          <t>依赖AR：AR23-01-08-02-02；依赖SR：SR23-01-09-01、SR23-01-08-01、SR23-01-06-01</t>
        </is>
      </c>
    </row>
    <row r="97" ht="61.95000076293945" customHeight="1">
      <c r="A97" s="11" t="inlineStr">
        <is>
          <t>SF-01/IR-01-08/SR23-01-08-02/AR23-01-08-02-04</t>
        </is>
      </c>
      <c r="B97" s="11" t="n">
        <v>4</v>
      </c>
      <c r="C97" s="11" t="inlineStr">
        <is>
          <t>AR</t>
        </is>
      </c>
      <c r="D97" s="11" t="inlineStr">
        <is>
          <t>AR23-01-08-02-04</t>
        </is>
      </c>
      <c r="E97" s="11" t="inlineStr">
        <is>
          <t>SR23-01-08-02</t>
        </is>
      </c>
      <c r="F97" s="11" t="inlineStr">
        <is>
          <t>├─ AR23-01-08-02-04 独立验收</t>
        </is>
      </c>
      <c r="G97" s="11" t="inlineStr">
        <is>
          <t>DPU/硬件 编解码器（Codec） 条件卸载插件包｜独立验收</t>
        </is>
      </c>
      <c r="H97" s="11" t="inlineStr">
        <is>
          <t>建立不依赖全项目的验收环境，执行功能、异常、兼容和性能门禁并生成可签字证据包。</t>
        </is>
      </c>
      <c r="I97" s="11" t="inlineStr">
        <is>
          <t>在“无硬件时完成 不支持（Not Supported） 契约验收；有硬件时执行 A/B”中完成主路径、异常、兼容和回滚；全部证据可一键复现。</t>
        </is>
      </c>
      <c r="J97" s="11" t="inlineStr">
        <is>
          <t>tests/offload_plugin/ + benchmarks/offload_plugin/ + evidence/offload_plugin/manifest.yaml</t>
        </is>
      </c>
      <c r="K97" s="11" t="inlineStr">
        <is>
          <t>测试/验收负责人</t>
        </is>
      </c>
      <c r="L97" s="11" t="inlineStr">
        <is>
          <t>依赖AR：AR23-01-08-02-03；依赖SR：SR23-01-09-01、SR23-01-08-01、SR23-01-06-01</t>
        </is>
      </c>
    </row>
    <row r="98" ht="61.95000076293945" customHeight="1">
      <c r="A98" s="11" t="inlineStr">
        <is>
          <t>SF-01/IR-01-09</t>
        </is>
      </c>
      <c r="B98" s="11" t="n">
        <v>2</v>
      </c>
      <c r="C98" s="11" t="inlineStr">
        <is>
          <t>IR</t>
        </is>
      </c>
      <c r="D98" s="11" t="inlineStr">
        <is>
          <t>IR-01-09</t>
        </is>
      </c>
      <c r="E98" s="11" t="inlineStr">
        <is>
          <t>SF-01</t>
        </is>
      </c>
      <c r="F98" s="11" t="inlineStr">
        <is>
          <t>├─ IR-01-09 统一抽象UB、URMA、RDMA、C2C和SSD传输能力并按需路由</t>
        </is>
      </c>
      <c r="G98" s="11" t="inlineStr">
        <is>
          <t>统一抽象UB、URMA、RDMA、C2C和SSD传输能力并按需路由</t>
        </is>
      </c>
      <c r="H98" s="11" t="inlineStr">
        <is>
          <t>系统应以统一 能力（Capability） 模型描述 UB、URMA、RDMA、C2C、SSD/DPU 等物理能力及其软件后端，明确 HBM↔SSD 是否直达、地址可达性、注册要求、支持布局、主机有效载荷访问（Host Payload touch）、完成/错误语义和可观测字段。上层只依据标准能力选择路径，不得因实现便利静默退化为 HBM→DDR→SSD 三级串行搬运。</t>
        </is>
      </c>
      <c r="I98" s="11" t="inlineStr">
        <is>
          <t>能力表覆盖率=100%；错误路由=0；查询计划（QueryPlan）策略决策&lt;5 μs；互联网络路由器（Fabric Router）路由决策&lt;3 μs；任何 分阶段暂存（staged） 例外可见且可禁用。</t>
        </is>
      </c>
      <c r="J98" s="11" t="inlineStr">
        <is>
          <t>UB/URMA/RDMA/C2C/SSD 能力提供器（Capability Provider） + 后端注册表（Backend Registry） + 互联路由器（FabricRouter）</t>
        </is>
      </c>
      <c r="K98" s="11" t="inlineStr">
        <is>
          <t>TM4</t>
        </is>
      </c>
      <c r="L98" s="11" t="inlineStr">
        <is>
          <t>V2.2 IR语义沿用</t>
        </is>
      </c>
    </row>
    <row r="99" ht="61.95000076293945" customHeight="1">
      <c r="A99" s="11" t="inlineStr">
        <is>
          <t>SF-01/IR-01-09/SR23-01-09-01</t>
        </is>
      </c>
      <c r="B99" s="11" t="n">
        <v>3</v>
      </c>
      <c r="C99" s="11" t="inlineStr">
        <is>
          <t>SR</t>
        </is>
      </c>
      <c r="D99" s="11" t="inlineStr">
        <is>
          <t>SR23-01-09-01</t>
        </is>
      </c>
      <c r="E99" s="11" t="inlineStr">
        <is>
          <t>IR-01-09</t>
        </is>
      </c>
      <c r="F99" s="11" t="inlineStr">
        <is>
          <t>├─ SR23-01-09-01 统一 能力（Capability） 注册表（Registry） 与 互联网络路由器（Fabric Router）</t>
        </is>
      </c>
      <c r="G99" s="11" t="inlineStr">
        <is>
          <t>统一 能力（Capability） 注册表（Registry） 与 互联网络路由器（Fabric Router）</t>
        </is>
      </c>
      <c r="H99" s="11" t="inlineStr">
        <is>
          <t>UB/URMA/RDMA/C2C/SSD 能力抽象、提供器（Provider） 注册、主机访问（Host touch） 真值、布局约束与选路
交付：capability-registry、后端提供器（Backend Provider） SDK、互联路由器（FabricRouter） 与能力快照</t>
        </is>
      </c>
      <c r="I99" s="11" t="inlineStr">
        <is>
          <t>能力字段覆盖率100%；错误路由=0；互联网络路由器（Fabric Router） p99&lt;3μs；所有 分阶段暂存（staged） 路径可审计</t>
        </is>
      </c>
      <c r="J99" s="11" t="inlineStr">
        <is>
          <t>capability-registry、后端提供器（Backend Provider） SDK、互联路由器（FabricRouter） 与能力快照</t>
        </is>
      </c>
      <c r="K99" s="11" t="inlineStr">
        <is>
          <t>传输底座平台组</t>
        </is>
      </c>
      <c r="L99" s="11" t="inlineStr">
        <is>
          <t>来源7条；依赖：无外部前置</t>
        </is>
      </c>
    </row>
    <row r="100" ht="61.95000076293945" customHeight="1">
      <c r="A100" s="11" t="inlineStr">
        <is>
          <t>SF-01/IR-01-09/SR23-01-09-01/AR23-01-09-01-01</t>
        </is>
      </c>
      <c r="B100" s="11" t="n">
        <v>4</v>
      </c>
      <c r="C100" s="11" t="inlineStr">
        <is>
          <t>AR</t>
        </is>
      </c>
      <c r="D100" s="11" t="inlineStr">
        <is>
          <t>AR23-01-09-01-01</t>
        </is>
      </c>
      <c r="E100" s="11" t="inlineStr">
        <is>
          <t>SR23-01-09-01</t>
        </is>
      </c>
      <c r="F100" s="11" t="inlineStr">
        <is>
          <t>├─ AR23-01-09-01-01 核心实现</t>
        </is>
      </c>
      <c r="G100" s="11" t="inlineStr">
        <is>
          <t>统一 能力（Capability） 注册表（Registry） 与 互联网络路由器（Fabric Router）｜核心实现</t>
        </is>
      </c>
      <c r="H100" s="11" t="inlineStr">
        <is>
          <t>实现“统一 能力（Capability） 注册表（Registry） 与 互联网络路由器（Fabric Router）”的可运行主路径，交付 capability-registry、后端提供器（Backend Provider） SDK、互联路由器（FabricRouter） 与能力快照 的核心代码、构建入口和最小示例。</t>
        </is>
      </c>
      <c r="I100" s="11" t="inlineStr">
        <is>
          <t>代码通过编译、静态检查和单元测试；接口/配置有版本；失败语义和 功能开关（feature flag） 可验证。</t>
        </is>
      </c>
      <c r="J100" s="11" t="inlineStr">
        <is>
          <t>src/fabric/capability/core.{h,cc}</t>
        </is>
      </c>
      <c r="K100" s="11" t="inlineStr">
        <is>
          <t>传输底座平台组</t>
        </is>
      </c>
      <c r="L100" s="11" t="inlineStr">
        <is>
          <t>依赖AR：无；依赖SR：无</t>
        </is>
      </c>
    </row>
    <row r="101" ht="61.95000076293945" customHeight="1">
      <c r="A101" s="11" t="inlineStr">
        <is>
          <t>SF-01/IR-01-09/SR23-01-09-01/AR23-01-09-01-02</t>
        </is>
      </c>
      <c r="B101" s="11" t="n">
        <v>4</v>
      </c>
      <c r="C101" s="11" t="inlineStr">
        <is>
          <t>AR</t>
        </is>
      </c>
      <c r="D101" s="11" t="inlineStr">
        <is>
          <t>AR23-01-09-01-02</t>
        </is>
      </c>
      <c r="E101" s="11" t="inlineStr">
        <is>
          <t>SR23-01-09-01</t>
        </is>
      </c>
      <c r="F101" s="11" t="inlineStr">
        <is>
          <t>├─ AR23-01-09-01-02 接口契约</t>
        </is>
      </c>
      <c r="G101" s="11" t="inlineStr">
        <is>
          <t>统一 能力（Capability） 注册表（Registry） 与 互联网络路由器（Fabric Router）｜接口契约</t>
        </is>
      </c>
      <c r="H101" s="11" t="inlineStr">
        <is>
          <t>冻结并实现接口/IDL、版本兼容、输入输出、错误码与 消费者（consumer） 示例：提供器（Provider） SDK、能力矩阵（CapabilityMatrix）、selectProvider、功能开关（feature flags）</t>
        </is>
      </c>
      <c r="I101" s="11" t="inlineStr">
        <is>
          <t>代码通过编译、静态检查和单元测试；接口/配置有版本；失败语义和 功能开关（feature flag） 可验证。</t>
        </is>
      </c>
      <c r="J101" s="11" t="inlineStr">
        <is>
          <t>api/kvcache/v23/cap_router.proto + src/fabric/capability/api.{h,cc}</t>
        </is>
      </c>
      <c r="K101" s="11" t="inlineStr">
        <is>
          <t>传输底座平台组</t>
        </is>
      </c>
      <c r="L101" s="11" t="inlineStr">
        <is>
          <t>依赖AR：AR23-01-09-01-01；依赖SR：无</t>
        </is>
      </c>
    </row>
    <row r="102" ht="61.95000076293945" customHeight="1">
      <c r="A102" s="11" t="inlineStr">
        <is>
          <t>SF-01/IR-01-09/SR23-01-09-01/AR23-01-09-01-03</t>
        </is>
      </c>
      <c r="B102" s="11" t="n">
        <v>4</v>
      </c>
      <c r="C102" s="11" t="inlineStr">
        <is>
          <t>AR</t>
        </is>
      </c>
      <c r="D102" s="11" t="inlineStr">
        <is>
          <t>AR23-01-09-01-03</t>
        </is>
      </c>
      <c r="E102" s="11" t="inlineStr">
        <is>
          <t>SR23-01-09-01</t>
        </is>
      </c>
      <c r="F102" s="11" t="inlineStr">
        <is>
          <t>├─ AR23-01-09-01-03 状态模型</t>
        </is>
      </c>
      <c r="G102" s="11" t="inlineStr">
        <is>
          <t>统一 能力（Capability） 注册表（Registry） 与 互联网络路由器（Fabric Router）｜状态模型</t>
        </is>
      </c>
      <c r="H102" s="11" t="inlineStr">
        <is>
          <t>实现状态、版本、并发互锁和持久/内存数据模型，覆盖正常转换与非法转换保护。</t>
        </is>
      </c>
      <c r="I102" s="11" t="inlineStr">
        <is>
          <t>代码通过编译、静态检查和单元测试；接口/配置有版本；失败语义和 功能开关（feature flag） 可验证。</t>
        </is>
      </c>
      <c r="J102" s="11" t="inlineStr">
        <is>
          <t>src/fabric/capability/state_model.{h,cc}</t>
        </is>
      </c>
      <c r="K102" s="11" t="inlineStr">
        <is>
          <t>传输底座平台组</t>
        </is>
      </c>
      <c r="L102" s="11" t="inlineStr">
        <is>
          <t>依赖AR：AR23-01-09-01-02；依赖SR：无</t>
        </is>
      </c>
    </row>
    <row r="103" ht="61.95000076293945" customHeight="1">
      <c r="A103" s="11" t="inlineStr">
        <is>
          <t>SF-01/IR-01-09/SR23-01-09-01/AR23-01-09-01-04</t>
        </is>
      </c>
      <c r="B103" s="11" t="n">
        <v>4</v>
      </c>
      <c r="C103" s="11" t="inlineStr">
        <is>
          <t>AR</t>
        </is>
      </c>
      <c r="D103" s="11" t="inlineStr">
        <is>
          <t>AR23-01-09-01-04</t>
        </is>
      </c>
      <c r="E103" s="11" t="inlineStr">
        <is>
          <t>SR23-01-09-01</t>
        </is>
      </c>
      <c r="F103" s="11" t="inlineStr">
        <is>
          <t>├─ AR23-01-09-01-04 异常回滚</t>
        </is>
      </c>
      <c r="G103" s="11" t="inlineStr">
        <is>
          <t>统一 能力（Capability） 注册表（Registry） 与 互联网络路由器（Fabric Router）｜异常回滚</t>
        </is>
      </c>
      <c r="H103" s="11" t="inlineStr">
        <is>
          <t>实现并验证失败、超时、取消、降级、回滚与关闭路径：能力缺失时关闭 功能开关（feature flag）；分阶段暂存（staged） 例外显式可见、可限流、可禁用</t>
        </is>
      </c>
      <c r="I103" s="11" t="inlineStr">
        <is>
          <t>代码通过编译、静态检查和单元测试；接口/配置有版本；失败语义和 功能开关（feature flag） 可验证。</t>
        </is>
      </c>
      <c r="J103" s="11" t="inlineStr">
        <is>
          <t>src/fabric/capability/fallback.{h,cc} + config/feature_flags/cap_router.yaml</t>
        </is>
      </c>
      <c r="K103" s="11" t="inlineStr">
        <is>
          <t>传输底座平台组</t>
        </is>
      </c>
      <c r="L103" s="11" t="inlineStr">
        <is>
          <t>依赖AR：AR23-01-09-01-03；依赖SR：无</t>
        </is>
      </c>
    </row>
    <row r="104" ht="61.95000076293945" customHeight="1">
      <c r="A104" s="11" t="inlineStr">
        <is>
          <t>SF-01/IR-01-09/SR23-01-09-01/AR23-01-09-01-05</t>
        </is>
      </c>
      <c r="B104" s="11" t="n">
        <v>4</v>
      </c>
      <c r="C104" s="11" t="inlineStr">
        <is>
          <t>AR</t>
        </is>
      </c>
      <c r="D104" s="11" t="inlineStr">
        <is>
          <t>AR23-01-09-01-05</t>
        </is>
      </c>
      <c r="E104" s="11" t="inlineStr">
        <is>
          <t>SR23-01-09-01</t>
        </is>
      </c>
      <c r="F104" s="11" t="inlineStr">
        <is>
          <t>├─ AR23-01-09-01-05 独立验收</t>
        </is>
      </c>
      <c r="G104" s="11" t="inlineStr">
        <is>
          <t>统一 能力（Capability） 注册表（Registry） 与 互联网络路由器（Fabric Router）｜独立验收</t>
        </is>
      </c>
      <c r="H104" s="11" t="inlineStr">
        <is>
          <t>建立不依赖全项目的验收环境，执行功能、异常、兼容和性能门禁并生成可签字证据包。</t>
        </is>
      </c>
      <c r="I104" s="11" t="inlineStr">
        <is>
          <t>在“三类 模拟提供器（MockProvider） 即可独立完成 SDK 和路由验收”中完成主路径、异常、兼容和回滚；全部证据可一键复现。</t>
        </is>
      </c>
      <c r="J104" s="11" t="inlineStr">
        <is>
          <t>tests/cap_router/ + benchmarks/cap_router/ + evidence/cap_router/manifest.yaml</t>
        </is>
      </c>
      <c r="K104" s="11" t="inlineStr">
        <is>
          <t>测试/验收负责人</t>
        </is>
      </c>
      <c r="L104" s="11" t="inlineStr">
        <is>
          <t>依赖AR：AR23-01-09-01-04；依赖SR：无</t>
        </is>
      </c>
    </row>
    <row r="105" ht="61.95000076293945" customHeight="1">
      <c r="A105" s="11" t="inlineStr">
        <is>
          <t>SF-01/IR-01-09/SR23-01-09-01/AR23-01-09-01-06</t>
        </is>
      </c>
      <c r="B105" s="11" t="n">
        <v>4</v>
      </c>
      <c r="C105" s="11" t="inlineStr">
        <is>
          <t>AR</t>
        </is>
      </c>
      <c r="D105" s="11" t="inlineStr">
        <is>
          <t>AR23-01-09-01-06</t>
        </is>
      </c>
      <c r="E105" s="11" t="inlineStr">
        <is>
          <t>SR23-01-09-01</t>
        </is>
      </c>
      <c r="F105" s="11" t="inlineStr">
        <is>
          <t>├─ AR23-01-09-01-06 性能观测</t>
        </is>
      </c>
      <c r="G105" s="11" t="inlineStr">
        <is>
          <t>统一 能力（Capability） 注册表（Registry） 与 互联网络路由器（Fabric Router）｜性能观测</t>
        </is>
      </c>
      <c r="H105" s="11" t="inlineStr">
        <is>
          <t>接入统一 遥测数据（telemetry），建立本 SR 专属性能/资源/正确性指标和回归阈值：能力字段覆盖率100%；错误路由=0；互联网络路由器（Fabric Router） p99&lt;3μs；所有 分阶段暂存（staged） 路径可审计</t>
        </is>
      </c>
      <c r="I105" s="11" t="inlineStr">
        <is>
          <t>代码通过编译、静态检查和单元测试；接口/配置有版本；失败语义和 功能开关（feature flag） 可验证。</t>
        </is>
      </c>
      <c r="J105" s="11" t="inlineStr">
        <is>
          <t>src/fabric/capability/telemetry.{h,cc} + 仪表板（dashboards）/cap_router.json</t>
        </is>
      </c>
      <c r="K105" s="11" t="inlineStr">
        <is>
          <t>性能与可观测负责人</t>
        </is>
      </c>
      <c r="L105" s="11" t="inlineStr">
        <is>
          <t>依赖AR：AR23-01-09-01-05；依赖SR：无</t>
        </is>
      </c>
    </row>
    <row r="106" ht="61.95000076293945" customHeight="1">
      <c r="A106" s="11" t="inlineStr">
        <is>
          <t>SF-01/IR-01-10</t>
        </is>
      </c>
      <c r="B106" s="11" t="n">
        <v>2</v>
      </c>
      <c r="C106" s="11" t="inlineStr">
        <is>
          <t>IR</t>
        </is>
      </c>
      <c r="D106" s="11" t="inlineStr">
        <is>
          <t>IR-01-10</t>
        </is>
      </c>
      <c r="E106" s="11" t="inlineStr">
        <is>
          <t>SF-01</t>
        </is>
      </c>
      <c r="F106" s="11" t="inlineStr">
        <is>
          <t>├─ IR-01-10 支持多消费者共享、租约引用管理及故障快速回退</t>
        </is>
      </c>
      <c r="G106" s="11" t="inlineStr">
        <is>
          <t>支持多消费者共享、租约引用管理及故障快速回退</t>
        </is>
      </c>
      <c r="H106" s="11" t="inlineStr">
        <is>
          <t>系统应允许多个请求、实例或并行 并行秩（rank） 安全共享同一 KV 对象，通过 附加句柄（AttachHandle）、租约（lease）、引用计数（refcount） 和消费资格控制对象何时可读、何时可迁移或释放，并合并重复远端拉取。发生超时、对象状态冲突或路径失败时，应在有界时间内切换备用副本、本地缓存或重算，既保证共享收益，又避免 陈旧视图（stale view）、资源泄漏和无限等待。</t>
        </is>
      </c>
      <c r="I106" s="11" t="inlineStr">
        <is>
          <t>陈旧视图故障（stale view fault）=0；重复远端拉取降低≥50%；回退（fallback）成功率=100%；回退（fallback）触发到恢复&lt;500ms。</t>
        </is>
      </c>
      <c r="J106" s="11" t="inlineStr">
        <is>
          <t>租约/引用计数（Lease/RefCount） + RCU + 附加句柄（AttachHandle） + 回退契约（FallbackContract）</t>
        </is>
      </c>
      <c r="K106" s="11" t="inlineStr">
        <is>
          <t>TM5/TM6</t>
        </is>
      </c>
      <c r="L106" s="11" t="inlineStr">
        <is>
          <t>V2.2 IR语义沿用</t>
        </is>
      </c>
    </row>
    <row r="107" ht="61.95000076293945" customHeight="1">
      <c r="A107" s="11" t="inlineStr">
        <is>
          <t>SF-01/IR-01-10/SR23-01-10-01</t>
        </is>
      </c>
      <c r="B107" s="11" t="n">
        <v>3</v>
      </c>
      <c r="C107" s="11" t="inlineStr">
        <is>
          <t>SR</t>
        </is>
      </c>
      <c r="D107" s="11" t="inlineStr">
        <is>
          <t>SR23-01-10-01</t>
        </is>
      </c>
      <c r="E107" s="11" t="inlineStr">
        <is>
          <t>IR-01-10</t>
        </is>
      </c>
      <c r="F107" s="11" t="inlineStr">
        <is>
          <t>├─ SR23-01-10-01 共享 附加（Attach）、租约引用与快速回退组件</t>
        </is>
      </c>
      <c r="G107" s="11" t="inlineStr">
        <is>
          <t>共享 附加（Attach）、租约引用与快速回退组件</t>
        </is>
      </c>
      <c r="H107" s="11" t="inlineStr">
        <is>
          <t>多 消费者（consumer） 附加（attach）、租约、引用、失败原因码、defrag pause 和批量共享
交付：shared-attach 库、AttachHandle/Lease/RefCount、回退契约（FallbackContract） 与 故障用例（fault cases）</t>
        </is>
      </c>
      <c r="I107" s="11" t="inlineStr">
        <is>
          <t>陈旧视图故障（stale view fault）=0；回退（fallback）成功率100%；重复远端拉取下降≥50%；租约泄漏=0</t>
        </is>
      </c>
      <c r="J107" s="11" t="inlineStr">
        <is>
          <t>shared-attach 库、AttachHandle/Lease/RefCount、回退契约（FallbackContract） 与 故障用例（fault cases）</t>
        </is>
      </c>
      <c r="K107" s="11" t="inlineStr">
        <is>
          <t>共享访问与回退组</t>
        </is>
      </c>
      <c r="L107" s="11" t="inlineStr">
        <is>
          <t>来源6条；依赖：SR23-02-01-01、SR23-01-11-01、SR23-01-12-01</t>
        </is>
      </c>
    </row>
    <row r="108" ht="61.95000076293945" customHeight="1">
      <c r="A108" s="11" t="inlineStr">
        <is>
          <t>SF-01/IR-01-10/SR23-01-10-01/AR23-01-10-01-01</t>
        </is>
      </c>
      <c r="B108" s="11" t="n">
        <v>4</v>
      </c>
      <c r="C108" s="11" t="inlineStr">
        <is>
          <t>AR</t>
        </is>
      </c>
      <c r="D108" s="11" t="inlineStr">
        <is>
          <t>AR23-01-10-01-01</t>
        </is>
      </c>
      <c r="E108" s="11" t="inlineStr">
        <is>
          <t>SR23-01-10-01</t>
        </is>
      </c>
      <c r="F108" s="11" t="inlineStr">
        <is>
          <t>├─ AR23-01-10-01-01 核心实现</t>
        </is>
      </c>
      <c r="G108" s="11" t="inlineStr">
        <is>
          <t>共享 附加（Attach）、租约引用与快速回退组件｜核心实现</t>
        </is>
      </c>
      <c r="H108" s="11" t="inlineStr">
        <is>
          <t>实现“共享 附加（Attach）、租约引用与快速回退组件”的可运行主路径，交付 shared-attach 库、AttachHandle/Lease/RefCount、回退契约（FallbackContract） 与 故障用例（fault cases） 的核心代码、构建入口和最小示例。</t>
        </is>
      </c>
      <c r="I108" s="11" t="inlineStr">
        <is>
          <t>代码通过编译、静态检查和单元测试；接口/配置有版本；失败语义和 功能开关（feature flag） 可验证。</t>
        </is>
      </c>
      <c r="J108" s="11" t="inlineStr">
        <is>
          <t>src/access/shared_attach/core.{h,cc}</t>
        </is>
      </c>
      <c r="K108" s="11" t="inlineStr">
        <is>
          <t>共享访问与回退组</t>
        </is>
      </c>
      <c r="L108" s="11" t="inlineStr">
        <is>
          <t>依赖AR：无；依赖SR：SR23-02-01-01、SR23-01-11-01、SR23-01-12-01</t>
        </is>
      </c>
    </row>
    <row r="109" ht="61.95000076293945" customHeight="1">
      <c r="A109" s="11" t="inlineStr">
        <is>
          <t>SF-01/IR-01-10/SR23-01-10-01/AR23-01-10-01-02</t>
        </is>
      </c>
      <c r="B109" s="11" t="n">
        <v>4</v>
      </c>
      <c r="C109" s="11" t="inlineStr">
        <is>
          <t>AR</t>
        </is>
      </c>
      <c r="D109" s="11" t="inlineStr">
        <is>
          <t>AR23-01-10-01-02</t>
        </is>
      </c>
      <c r="E109" s="11" t="inlineStr">
        <is>
          <t>SR23-01-10-01</t>
        </is>
      </c>
      <c r="F109" s="11" t="inlineStr">
        <is>
          <t>├─ AR23-01-10-01-02 接口契约</t>
        </is>
      </c>
      <c r="G109" s="11" t="inlineStr">
        <is>
          <t>共享 附加（Attach）、租约引用与快速回退组件｜接口契约</t>
        </is>
      </c>
      <c r="H109" s="11" t="inlineStr">
        <is>
          <t>冻结并实现接口/IDL、版本兼容、输入输出、错误码与 消费者（consumer） 示例：附加句柄（AttachHandle）、LeaseToken、获取/释放（acquire/release）、FallbackReason</t>
        </is>
      </c>
      <c r="I109" s="11" t="inlineStr">
        <is>
          <t>代码通过编译、静态检查和单元测试；接口/配置有版本；失败语义和 功能开关（feature flag） 可验证。</t>
        </is>
      </c>
      <c r="J109" s="11" t="inlineStr">
        <is>
          <t>api/kvcache/v23/shared_attach.proto + src/access/shared_attach/api.{h,cc}</t>
        </is>
      </c>
      <c r="K109" s="11" t="inlineStr">
        <is>
          <t>共享访问与回退组</t>
        </is>
      </c>
      <c r="L109" s="11" t="inlineStr">
        <is>
          <t>依赖AR：AR23-01-10-01-01；依赖SR：SR23-02-01-01、SR23-01-11-01、SR23-01-12-01</t>
        </is>
      </c>
    </row>
    <row r="110" ht="61.95000076293945" customHeight="1">
      <c r="A110" s="11" t="inlineStr">
        <is>
          <t>SF-01/IR-01-10/SR23-01-10-01/AR23-01-10-01-03</t>
        </is>
      </c>
      <c r="B110" s="11" t="n">
        <v>4</v>
      </c>
      <c r="C110" s="11" t="inlineStr">
        <is>
          <t>AR</t>
        </is>
      </c>
      <c r="D110" s="11" t="inlineStr">
        <is>
          <t>AR23-01-10-01-03</t>
        </is>
      </c>
      <c r="E110" s="11" t="inlineStr">
        <is>
          <t>SR23-01-10-01</t>
        </is>
      </c>
      <c r="F110" s="11" t="inlineStr">
        <is>
          <t>├─ AR23-01-10-01-03 状态模型</t>
        </is>
      </c>
      <c r="G110" s="11" t="inlineStr">
        <is>
          <t>共享 附加（Attach）、租约引用与快速回退组件｜状态模型</t>
        </is>
      </c>
      <c r="H110" s="11" t="inlineStr">
        <is>
          <t>实现状态、版本、并发互锁和持久/内存数据模型，覆盖正常转换与非法转换保护。</t>
        </is>
      </c>
      <c r="I110" s="11" t="inlineStr">
        <is>
          <t>代码通过编译、静态检查和单元测试；接口/配置有版本；失败语义和 功能开关（feature flag） 可验证。</t>
        </is>
      </c>
      <c r="J110" s="11" t="inlineStr">
        <is>
          <t>src/access/shared_attach/state_model.{h,cc}</t>
        </is>
      </c>
      <c r="K110" s="11" t="inlineStr">
        <is>
          <t>共享访问与回退组</t>
        </is>
      </c>
      <c r="L110" s="11" t="inlineStr">
        <is>
          <t>依赖AR：AR23-01-10-01-02；依赖SR：SR23-02-01-01、SR23-01-11-01、SR23-01-12-01</t>
        </is>
      </c>
    </row>
    <row r="111" ht="61.95000076293945" customHeight="1">
      <c r="A111" s="11" t="inlineStr">
        <is>
          <t>SF-01/IR-01-10/SR23-01-10-01/AR23-01-10-01-04</t>
        </is>
      </c>
      <c r="B111" s="11" t="n">
        <v>4</v>
      </c>
      <c r="C111" s="11" t="inlineStr">
        <is>
          <t>AR</t>
        </is>
      </c>
      <c r="D111" s="11" t="inlineStr">
        <is>
          <t>AR23-01-10-01-04</t>
        </is>
      </c>
      <c r="E111" s="11" t="inlineStr">
        <is>
          <t>SR23-01-10-01</t>
        </is>
      </c>
      <c r="F111" s="11" t="inlineStr">
        <is>
          <t>├─ AR23-01-10-01-04 异常回滚</t>
        </is>
      </c>
      <c r="G111" s="11" t="inlineStr">
        <is>
          <t>共享 附加（Attach）、租约引用与快速回退组件｜异常回滚</t>
        </is>
      </c>
      <c r="H111" s="11" t="inlineStr">
        <is>
          <t>实现并验证失败、超时、取消、降级、回滚与关闭路径：加载/状态失败切备用副本或重算；失效租约立即阻断消费</t>
        </is>
      </c>
      <c r="I111" s="11" t="inlineStr">
        <is>
          <t>代码通过编译、静态检查和单元测试；接口/配置有版本；失败语义和 功能开关（feature flag） 可验证。</t>
        </is>
      </c>
      <c r="J111" s="11" t="inlineStr">
        <is>
          <t>src/access/shared_attach/fallback.{h,cc} + config/feature_flags/shared_attach.yaml</t>
        </is>
      </c>
      <c r="K111" s="11" t="inlineStr">
        <is>
          <t>共享访问与回退组</t>
        </is>
      </c>
      <c r="L111" s="11" t="inlineStr">
        <is>
          <t>依赖AR：AR23-01-10-01-03；依赖SR：SR23-02-01-01、SR23-01-11-01、SR23-01-12-01</t>
        </is>
      </c>
    </row>
    <row r="112" ht="61.95000076293945" customHeight="1">
      <c r="A112" s="11" t="inlineStr">
        <is>
          <t>SF-01/IR-01-10/SR23-01-10-01/AR23-01-10-01-05</t>
        </is>
      </c>
      <c r="B112" s="11" t="n">
        <v>4</v>
      </c>
      <c r="C112" s="11" t="inlineStr">
        <is>
          <t>AR</t>
        </is>
      </c>
      <c r="D112" s="11" t="inlineStr">
        <is>
          <t>AR23-01-10-01-05</t>
        </is>
      </c>
      <c r="E112" s="11" t="inlineStr">
        <is>
          <t>SR23-01-10-01</t>
        </is>
      </c>
      <c r="F112" s="11" t="inlineStr">
        <is>
          <t>├─ AR23-01-10-01-05 独立验收</t>
        </is>
      </c>
      <c r="G112" s="11" t="inlineStr">
        <is>
          <t>共享 附加（Attach）、租约引用与快速回退组件｜独立验收</t>
        </is>
      </c>
      <c r="H112" s="11" t="inlineStr">
        <is>
          <t>建立不依赖全项目的验收环境，执行功能、异常、兼容和性能门禁并生成可签字证据包。</t>
        </is>
      </c>
      <c r="I112" s="11" t="inlineStr">
        <is>
          <t>在“连接器（Connector） 测试夹具（fixture） + MockObjectStore 即可独立验收”中完成主路径、异常、兼容和回滚；全部证据可一键复现。</t>
        </is>
      </c>
      <c r="J112" s="11" t="inlineStr">
        <is>
          <t>tests/shared_attach/ + benchmarks/shared_attach/ + evidence/shared_attach/manifest.yaml</t>
        </is>
      </c>
      <c r="K112" s="11" t="inlineStr">
        <is>
          <t>测试/验收负责人</t>
        </is>
      </c>
      <c r="L112" s="11" t="inlineStr">
        <is>
          <t>依赖AR：AR23-01-10-01-04；依赖SR：SR23-02-01-01、SR23-01-11-01、SR23-01-12-01</t>
        </is>
      </c>
    </row>
    <row r="113" ht="61.95000076293945" customHeight="1">
      <c r="A113" s="11" t="inlineStr">
        <is>
          <t>SF-01/IR-01-11</t>
        </is>
      </c>
      <c r="B113" s="11" t="n">
        <v>2</v>
      </c>
      <c r="C113" s="11" t="inlineStr">
        <is>
          <t>IR</t>
        </is>
      </c>
      <c r="D113" s="11" t="inlineStr">
        <is>
          <t>IR-01-11</t>
        </is>
      </c>
      <c r="E113" s="11" t="inlineStr">
        <is>
          <t>SF-01</t>
        </is>
      </c>
      <c r="F113" s="11" t="inlineStr">
        <is>
          <t>├─ IR-01-11 支持KV发布迁移一致性、多租户隔离和前后台传输QoS</t>
        </is>
      </c>
      <c r="G113" s="11" t="inlineStr">
        <is>
          <t>支持KV发布迁移一致性、多租户隔离和前后台传输QoS</t>
        </is>
      </c>
      <c r="H113" s="11" t="inlineStr">
        <is>
          <t>系统应建立 KV 对象发布、就绪状态（ready）、版本、租约、引用、迁移和回收之间的并发一致性规则，并对 TTFT 加载、解码阶段（Decode） 关键传输、预取、写回和冷回源设置独立流量等级、带宽预算和抢占关系；同时按 tenant/security domain 隔离容量、队列和访问权限，确保后台治理和其他租户不会破坏前台 TPOT、数据正确性或服务公平性。</t>
        </is>
      </c>
      <c r="I113" s="11" t="inlineStr">
        <is>
          <t>data corruption=0；后台干扰降低≥50%；TPOT p99回退&lt;3%；租户间干扰&lt;5%；越权访问=0。</t>
        </is>
      </c>
      <c r="J113" s="11" t="inlineStr">
        <is>
          <t>MVCC/RCU + ReadyBitmap + TokenBucket/WFQ + TrafficClass</t>
        </is>
      </c>
      <c r="K113" s="11" t="inlineStr">
        <is>
          <t>TM5</t>
        </is>
      </c>
      <c r="L113" s="11" t="inlineStr">
        <is>
          <t>V2.2 IR语义沿用</t>
        </is>
      </c>
    </row>
    <row r="114" ht="61.95000076293945" customHeight="1">
      <c r="A114" s="11" t="inlineStr">
        <is>
          <t>SF-01/IR-01-11/SR23-01-11-01</t>
        </is>
      </c>
      <c r="B114" s="11" t="n">
        <v>3</v>
      </c>
      <c r="C114" s="11" t="inlineStr">
        <is>
          <t>SR</t>
        </is>
      </c>
      <c r="D114" s="11" t="inlineStr">
        <is>
          <t>SR23-01-11-01</t>
        </is>
      </c>
      <c r="E114" s="11" t="inlineStr">
        <is>
          <t>IR-01-11</t>
        </is>
      </c>
      <c r="F114" s="11" t="inlineStr">
        <is>
          <t>├─ SR23-01-11-01 KV 发布、可见性与迁移一致性服务</t>
        </is>
      </c>
      <c r="G114" s="11" t="inlineStr">
        <is>
          <t>KV 发布、可见性与迁移一致性服务</t>
        </is>
      </c>
      <c r="H114" s="11" t="inlineStr">
        <is>
          <t>版本发布、就绪状态（ready） 可见性、所有权/引用回收、迁移互锁、异常副本隔离
交付：consistency-service、PublishCommitLog、ReadyBitmap、RCU 租约（lease） 与 隔离（quarantine）</t>
        </is>
      </c>
      <c r="I114" s="11" t="inlineStr">
        <is>
          <t>错误/半写对象可见=0；释放后使用（use-after-free）=0；发布恢复成功率100%；迁移抖动&lt;5%</t>
        </is>
      </c>
      <c r="J114" s="11" t="inlineStr">
        <is>
          <t>consistency-service、PublishCommitLog、ReadyBitmap、RCU 租约（lease） 与 隔离（quarantine）</t>
        </is>
      </c>
      <c r="K114" s="11" t="inlineStr">
        <is>
          <t>一致性与生命周期组</t>
        </is>
      </c>
      <c r="L114" s="11" t="inlineStr">
        <is>
          <t>来源8条；依赖：SR23-01-01-01、SR23-01-12-01</t>
        </is>
      </c>
    </row>
    <row r="115" ht="61.95000076293945" customHeight="1">
      <c r="A115" s="11" t="inlineStr">
        <is>
          <t>SF-01/IR-01-11/SR23-01-11-01/AR23-01-11-01-01</t>
        </is>
      </c>
      <c r="B115" s="11" t="n">
        <v>4</v>
      </c>
      <c r="C115" s="11" t="inlineStr">
        <is>
          <t>AR</t>
        </is>
      </c>
      <c r="D115" s="11" t="inlineStr">
        <is>
          <t>AR23-01-11-01-01</t>
        </is>
      </c>
      <c r="E115" s="11" t="inlineStr">
        <is>
          <t>SR23-01-11-01</t>
        </is>
      </c>
      <c r="F115" s="11" t="inlineStr">
        <is>
          <t>├─ AR23-01-11-01-01 核心实现</t>
        </is>
      </c>
      <c r="G115" s="11" t="inlineStr">
        <is>
          <t>KV 发布、可见性与迁移一致性服务｜核心实现</t>
        </is>
      </c>
      <c r="H115" s="11" t="inlineStr">
        <is>
          <t>实现“KV 发布、可见性与迁移一致性服务”的可运行主路径，交付 consistency-service、PublishCommitLog、ReadyBitmap、RCU 租约（lease） 与 隔离（quarantine） 的核心代码、构建入口和最小示例。</t>
        </is>
      </c>
      <c r="I115" s="11" t="inlineStr">
        <is>
          <t>代码通过编译、静态检查和单元测试；接口/配置有版本；失败语义和 功能开关（feature flag） 可验证。</t>
        </is>
      </c>
      <c r="J115" s="11" t="inlineStr">
        <is>
          <t>src/consistency/core.{h,cc}</t>
        </is>
      </c>
      <c r="K115" s="11" t="inlineStr">
        <is>
          <t>一致性与生命周期组</t>
        </is>
      </c>
      <c r="L115" s="11" t="inlineStr">
        <is>
          <t>依赖AR：无；依赖SR：SR23-01-01-01、SR23-01-12-01</t>
        </is>
      </c>
    </row>
    <row r="116" ht="61.95000076293945" customHeight="1">
      <c r="A116" s="11" t="inlineStr">
        <is>
          <t>SF-01/IR-01-11/SR23-01-11-01/AR23-01-11-01-02</t>
        </is>
      </c>
      <c r="B116" s="11" t="n">
        <v>4</v>
      </c>
      <c r="C116" s="11" t="inlineStr">
        <is>
          <t>AR</t>
        </is>
      </c>
      <c r="D116" s="11" t="inlineStr">
        <is>
          <t>AR23-01-11-01-02</t>
        </is>
      </c>
      <c r="E116" s="11" t="inlineStr">
        <is>
          <t>SR23-01-11-01</t>
        </is>
      </c>
      <c r="F116" s="11" t="inlineStr">
        <is>
          <t>├─ AR23-01-11-01-02 接口契约</t>
        </is>
      </c>
      <c r="G116" s="11" t="inlineStr">
        <is>
          <t>KV 发布、可见性与迁移一致性服务｜接口契约</t>
        </is>
      </c>
      <c r="H116" s="11" t="inlineStr">
        <is>
          <t>冻结并实现接口/IDL、版本兼容、输入输出、错误码与 消费者（consumer） 示例：publish/commit/abort、ReadyEvidence、OwnershipToken、隔离（quarantine）</t>
        </is>
      </c>
      <c r="I116" s="11" t="inlineStr">
        <is>
          <t>代码通过编译、静态检查和单元测试；接口/配置有版本；失败语义和 功能开关（feature flag） 可验证。</t>
        </is>
      </c>
      <c r="J116" s="11" t="inlineStr">
        <is>
          <t>api/kvcache/v23/consistency_service.proto + src/consistency/api.{h,cc}</t>
        </is>
      </c>
      <c r="K116" s="11" t="inlineStr">
        <is>
          <t>一致性与生命周期组</t>
        </is>
      </c>
      <c r="L116" s="11" t="inlineStr">
        <is>
          <t>依赖AR：AR23-01-11-01-01；依赖SR：SR23-01-01-01、SR23-01-12-01</t>
        </is>
      </c>
    </row>
    <row r="117" ht="61.95000076293945" customHeight="1">
      <c r="A117" s="11" t="inlineStr">
        <is>
          <t>SF-01/IR-01-11/SR23-01-11-01/AR23-01-11-01-03</t>
        </is>
      </c>
      <c r="B117" s="11" t="n">
        <v>4</v>
      </c>
      <c r="C117" s="11" t="inlineStr">
        <is>
          <t>AR</t>
        </is>
      </c>
      <c r="D117" s="11" t="inlineStr">
        <is>
          <t>AR23-01-11-01-03</t>
        </is>
      </c>
      <c r="E117" s="11" t="inlineStr">
        <is>
          <t>SR23-01-11-01</t>
        </is>
      </c>
      <c r="F117" s="11" t="inlineStr">
        <is>
          <t>├─ AR23-01-11-01-03 状态模型</t>
        </is>
      </c>
      <c r="G117" s="11" t="inlineStr">
        <is>
          <t>KV 发布、可见性与迁移一致性服务｜状态模型</t>
        </is>
      </c>
      <c r="H117" s="11" t="inlineStr">
        <is>
          <t>实现状态、版本、并发互锁和持久/内存数据模型，覆盖正常转换与非法转换保护。</t>
        </is>
      </c>
      <c r="I117" s="11" t="inlineStr">
        <is>
          <t>代码通过编译、静态检查和单元测试；接口/配置有版本；失败语义和 功能开关（feature flag） 可验证。</t>
        </is>
      </c>
      <c r="J117" s="11" t="inlineStr">
        <is>
          <t>src/consistency/state_model.{h,cc}</t>
        </is>
      </c>
      <c r="K117" s="11" t="inlineStr">
        <is>
          <t>一致性与生命周期组</t>
        </is>
      </c>
      <c r="L117" s="11" t="inlineStr">
        <is>
          <t>依赖AR：AR23-01-11-01-02；依赖SR：SR23-01-01-01、SR23-01-12-01</t>
        </is>
      </c>
    </row>
    <row r="118" ht="61.95000076293945" customHeight="1">
      <c r="A118" s="11" t="inlineStr">
        <is>
          <t>SF-01/IR-01-11/SR23-01-11-01/AR23-01-11-01-04</t>
        </is>
      </c>
      <c r="B118" s="11" t="n">
        <v>4</v>
      </c>
      <c r="C118" s="11" t="inlineStr">
        <is>
          <t>AR</t>
        </is>
      </c>
      <c r="D118" s="11" t="inlineStr">
        <is>
          <t>AR23-01-11-01-04</t>
        </is>
      </c>
      <c r="E118" s="11" t="inlineStr">
        <is>
          <t>SR23-01-11-01</t>
        </is>
      </c>
      <c r="F118" s="11" t="inlineStr">
        <is>
          <t>├─ AR23-01-11-01-04 异常回滚</t>
        </is>
      </c>
      <c r="G118" s="11" t="inlineStr">
        <is>
          <t>KV 发布、可见性与迁移一致性服务｜异常回滚</t>
        </is>
      </c>
      <c r="H118" s="11" t="inlineStr">
        <is>
          <t>实现并验证失败、超时、取消、降级、回滚与关闭路径：发布中断回滚 提交日志（commit log）；证据不足保持 NOT_READY；异常副本 隔离（quarantine）</t>
        </is>
      </c>
      <c r="I118" s="11" t="inlineStr">
        <is>
          <t>代码通过编译、静态检查和单元测试；接口/配置有版本；失败语义和 功能开关（feature flag） 可验证。</t>
        </is>
      </c>
      <c r="J118" s="11" t="inlineStr">
        <is>
          <t>src/consistency/fallback.{h,cc} + config/feature_flags/consistency_service.yaml</t>
        </is>
      </c>
      <c r="K118" s="11" t="inlineStr">
        <is>
          <t>一致性与生命周期组</t>
        </is>
      </c>
      <c r="L118" s="11" t="inlineStr">
        <is>
          <t>依赖AR：AR23-01-11-01-03；依赖SR：SR23-01-01-01、SR23-01-12-01</t>
        </is>
      </c>
    </row>
    <row r="119" ht="61.95000076293945" customHeight="1">
      <c r="A119" s="11" t="inlineStr">
        <is>
          <t>SF-01/IR-01-11/SR23-01-11-01/AR23-01-11-01-05</t>
        </is>
      </c>
      <c r="B119" s="11" t="n">
        <v>4</v>
      </c>
      <c r="C119" s="11" t="inlineStr">
        <is>
          <t>AR</t>
        </is>
      </c>
      <c r="D119" s="11" t="inlineStr">
        <is>
          <t>AR23-01-11-01-05</t>
        </is>
      </c>
      <c r="E119" s="11" t="inlineStr">
        <is>
          <t>SR23-01-11-01</t>
        </is>
      </c>
      <c r="F119" s="11" t="inlineStr">
        <is>
          <t>├─ AR23-01-11-01-05 独立验收</t>
        </is>
      </c>
      <c r="G119" s="11" t="inlineStr">
        <is>
          <t>KV 发布、可见性与迁移一致性服务｜独立验收</t>
        </is>
      </c>
      <c r="H119" s="11" t="inlineStr">
        <is>
          <t>建立不依赖全项目的验收环境，执行功能、异常、兼容和性能门禁并生成可签字证据包。</t>
        </is>
      </c>
      <c r="I119" s="11" t="inlineStr">
        <is>
          <t>在“内存状态机 + 并发/故障注入即可独立验收”中完成主路径、异常、兼容和回滚；全部证据可一键复现。</t>
        </is>
      </c>
      <c r="J119" s="11" t="inlineStr">
        <is>
          <t>tests/consistency_service/ + benchmarks/consistency_service/ + evidence/consistency_service/manifest.yaml</t>
        </is>
      </c>
      <c r="K119" s="11" t="inlineStr">
        <is>
          <t>测试/验收负责人</t>
        </is>
      </c>
      <c r="L119" s="11" t="inlineStr">
        <is>
          <t>依赖AR：AR23-01-11-01-04；依赖SR：SR23-01-01-01、SR23-01-12-01</t>
        </is>
      </c>
    </row>
    <row r="120" ht="61.95000076293945" customHeight="1">
      <c r="A120" s="11" t="inlineStr">
        <is>
          <t>SF-01/IR-01-11/SR23-01-11-01/AR23-01-11-01-06</t>
        </is>
      </c>
      <c r="B120" s="11" t="n">
        <v>4</v>
      </c>
      <c r="C120" s="11" t="inlineStr">
        <is>
          <t>AR</t>
        </is>
      </c>
      <c r="D120" s="11" t="inlineStr">
        <is>
          <t>AR23-01-11-01-06</t>
        </is>
      </c>
      <c r="E120" s="11" t="inlineStr">
        <is>
          <t>SR23-01-11-01</t>
        </is>
      </c>
      <c r="F120" s="11" t="inlineStr">
        <is>
          <t>├─ AR23-01-11-01-06 性能观测</t>
        </is>
      </c>
      <c r="G120" s="11" t="inlineStr">
        <is>
          <t>KV 发布、可见性与迁移一致性服务｜性能观测</t>
        </is>
      </c>
      <c r="H120" s="11" t="inlineStr">
        <is>
          <t>接入统一 遥测数据（telemetry），建立本 SR 专属性能/资源/正确性指标和回归阈值：错误/半写对象可见=0；释放后使用（use-after-free）=0；发布恢复成功率100%；迁移抖动&lt;5%</t>
        </is>
      </c>
      <c r="I120" s="11" t="inlineStr">
        <is>
          <t>代码通过编译、静态检查和单元测试；接口/配置有版本；失败语义和 功能开关（feature flag） 可验证。</t>
        </is>
      </c>
      <c r="J120" s="11" t="inlineStr">
        <is>
          <t>src/consistency/telemetry.{h,cc} + 仪表板（dashboards）/consistency_service.json</t>
        </is>
      </c>
      <c r="K120" s="11" t="inlineStr">
        <is>
          <t>性能与可观测负责人</t>
        </is>
      </c>
      <c r="L120" s="11" t="inlineStr">
        <is>
          <t>依赖AR：AR23-01-11-01-05；依赖SR：SR23-01-01-01、SR23-01-12-01</t>
        </is>
      </c>
    </row>
    <row r="121" ht="61.95000076293945" customHeight="1">
      <c r="A121" s="11" t="inlineStr">
        <is>
          <t>SF-01/IR-01-11/SR23-01-11-02</t>
        </is>
      </c>
      <c r="B121" s="11" t="n">
        <v>3</v>
      </c>
      <c r="C121" s="11" t="inlineStr">
        <is>
          <t>SR</t>
        </is>
      </c>
      <c r="D121" s="11" t="inlineStr">
        <is>
          <t>SR23-01-11-02</t>
        </is>
      </c>
      <c r="E121" s="11" t="inlineStr">
        <is>
          <t>IR-01-11</t>
        </is>
      </c>
      <c r="F121" s="11" t="inlineStr">
        <is>
          <t>├─ SR23-01-11-02 多租户隔离与前后台传输 QoS 控制器</t>
        </is>
      </c>
      <c r="G121" s="11" t="inlineStr">
        <is>
          <t>多租户隔离与前后台传输 QoS 控制器</t>
        </is>
      </c>
      <c r="H121" s="11" t="inlineStr">
        <is>
          <t>租户池隔离、前台/后台语义队列、迁移限速、硬件 TC 映射
交付：tenant-qos-controller、TrafficClass/TokenBucket/WFQ 配置和混压安全包络</t>
        </is>
      </c>
      <c r="I121" s="11" t="inlineStr">
        <is>
          <t>TPOT p99回退&lt;3%；租户间干扰&lt;5%；越权访问=0；后台干扰降低≥50%</t>
        </is>
      </c>
      <c r="J121" s="11" t="inlineStr">
        <is>
          <t>tenant-qos-controller、TrafficClass/TokenBucket/WFQ 配置和混压安全包络</t>
        </is>
      </c>
      <c r="K121" s="11" t="inlineStr">
        <is>
          <t>隔离与 QoS 组</t>
        </is>
      </c>
      <c r="L121" s="11" t="inlineStr">
        <is>
          <t>来源5条；依赖：SR23-01-11-01、SR23-01-09-01</t>
        </is>
      </c>
    </row>
    <row r="122" ht="61.95000076293945" customHeight="1">
      <c r="A122" s="11" t="inlineStr">
        <is>
          <t>SF-01/IR-01-11/SR23-01-11-02/AR23-01-11-02-01</t>
        </is>
      </c>
      <c r="B122" s="11" t="n">
        <v>4</v>
      </c>
      <c r="C122" s="11" t="inlineStr">
        <is>
          <t>AR</t>
        </is>
      </c>
      <c r="D122" s="11" t="inlineStr">
        <is>
          <t>AR23-01-11-02-01</t>
        </is>
      </c>
      <c r="E122" s="11" t="inlineStr">
        <is>
          <t>SR23-01-11-02</t>
        </is>
      </c>
      <c r="F122" s="11" t="inlineStr">
        <is>
          <t>├─ AR23-01-11-02-01 核心实现</t>
        </is>
      </c>
      <c r="G122" s="11" t="inlineStr">
        <is>
          <t>多租户隔离与前后台传输 QoS 控制器｜核心实现</t>
        </is>
      </c>
      <c r="H122" s="11" t="inlineStr">
        <is>
          <t>实现“多租户隔离与前后台传输 QoS 控制器”的可运行主路径，交付 tenant-qos-controller、TrafficClass/TokenBucket/WFQ 配置和混压安全包络 的核心代码、构建入口和最小示例。</t>
        </is>
      </c>
      <c r="I122" s="11" t="inlineStr">
        <is>
          <t>代码通过编译、静态检查和单元测试；接口/配置有版本；失败语义和 功能开关（feature flag） 可验证。</t>
        </is>
      </c>
      <c r="J122" s="11" t="inlineStr">
        <is>
          <t>src/qos/core.{h,cc}</t>
        </is>
      </c>
      <c r="K122" s="11" t="inlineStr">
        <is>
          <t>隔离与 QoS 组</t>
        </is>
      </c>
      <c r="L122" s="11" t="inlineStr">
        <is>
          <t>依赖AR：无；依赖SR：SR23-01-11-01、SR23-01-09-01</t>
        </is>
      </c>
    </row>
    <row r="123" ht="61.95000076293945" customHeight="1">
      <c r="A123" s="11" t="inlineStr">
        <is>
          <t>SF-01/IR-01-11/SR23-01-11-02/AR23-01-11-02-02</t>
        </is>
      </c>
      <c r="B123" s="11" t="n">
        <v>4</v>
      </c>
      <c r="C123" s="11" t="inlineStr">
        <is>
          <t>AR</t>
        </is>
      </c>
      <c r="D123" s="11" t="inlineStr">
        <is>
          <t>AR23-01-11-02-02</t>
        </is>
      </c>
      <c r="E123" s="11" t="inlineStr">
        <is>
          <t>SR23-01-11-02</t>
        </is>
      </c>
      <c r="F123" s="11" t="inlineStr">
        <is>
          <t>├─ AR23-01-11-02-02 接口契约</t>
        </is>
      </c>
      <c r="G123" s="11" t="inlineStr">
        <is>
          <t>多租户隔离与前后台传输 QoS 控制器｜接口契约</t>
        </is>
      </c>
      <c r="H123" s="11" t="inlineStr">
        <is>
          <t>冻结并实现接口/IDL、版本兼容、输入输出、错误码与 消费者（consumer） 示例：TrafficClass、TransferBudget、TenantQuota、pause/排空（drain）</t>
        </is>
      </c>
      <c r="I123" s="11" t="inlineStr">
        <is>
          <t>代码通过编译、静态检查和单元测试；接口/配置有版本；失败语义和 功能开关（feature flag） 可验证。</t>
        </is>
      </c>
      <c r="J123" s="11" t="inlineStr">
        <is>
          <t>api/kvcache/v23/tenant_qos.proto + src/qos/api.{h,cc}</t>
        </is>
      </c>
      <c r="K123" s="11" t="inlineStr">
        <is>
          <t>隔离与 QoS 组</t>
        </is>
      </c>
      <c r="L123" s="11" t="inlineStr">
        <is>
          <t>依赖AR：AR23-01-11-02-01；依赖SR：SR23-01-11-01、SR23-01-09-01</t>
        </is>
      </c>
    </row>
    <row r="124" ht="61.95000076293945" customHeight="1">
      <c r="A124" s="11" t="inlineStr">
        <is>
          <t>SF-01/IR-01-11/SR23-01-11-02/AR23-01-11-02-03</t>
        </is>
      </c>
      <c r="B124" s="11" t="n">
        <v>4</v>
      </c>
      <c r="C124" s="11" t="inlineStr">
        <is>
          <t>AR</t>
        </is>
      </c>
      <c r="D124" s="11" t="inlineStr">
        <is>
          <t>AR23-01-11-02-03</t>
        </is>
      </c>
      <c r="E124" s="11" t="inlineStr">
        <is>
          <t>SR23-01-11-02</t>
        </is>
      </c>
      <c r="F124" s="11" t="inlineStr">
        <is>
          <t>├─ AR23-01-11-02-03 状态模型</t>
        </is>
      </c>
      <c r="G124" s="11" t="inlineStr">
        <is>
          <t>多租户隔离与前后台传输 QoS 控制器｜状态模型</t>
        </is>
      </c>
      <c r="H124" s="11" t="inlineStr">
        <is>
          <t>实现状态、版本、并发互锁和持久/内存数据模型，覆盖正常转换与非法转换保护。</t>
        </is>
      </c>
      <c r="I124" s="11" t="inlineStr">
        <is>
          <t>代码通过编译、静态检查和单元测试；接口/配置有版本；失败语义和 功能开关（feature flag） 可验证。</t>
        </is>
      </c>
      <c r="J124" s="11" t="inlineStr">
        <is>
          <t>src/qos/state_model.{h,cc}</t>
        </is>
      </c>
      <c r="K124" s="11" t="inlineStr">
        <is>
          <t>隔离与 QoS 组</t>
        </is>
      </c>
      <c r="L124" s="11" t="inlineStr">
        <is>
          <t>依赖AR：AR23-01-11-02-02；依赖SR：SR23-01-11-01、SR23-01-09-01</t>
        </is>
      </c>
    </row>
    <row r="125" ht="61.95000076293945" customHeight="1">
      <c r="A125" s="11" t="inlineStr">
        <is>
          <t>SF-01/IR-01-11/SR23-01-11-02/AR23-01-11-02-04</t>
        </is>
      </c>
      <c r="B125" s="11" t="n">
        <v>4</v>
      </c>
      <c r="C125" s="11" t="inlineStr">
        <is>
          <t>AR</t>
        </is>
      </c>
      <c r="D125" s="11" t="inlineStr">
        <is>
          <t>AR23-01-11-02-04</t>
        </is>
      </c>
      <c r="E125" s="11" t="inlineStr">
        <is>
          <t>SR23-01-11-02</t>
        </is>
      </c>
      <c r="F125" s="11" t="inlineStr">
        <is>
          <t>├─ AR23-01-11-02-04 异常回滚</t>
        </is>
      </c>
      <c r="G125" s="11" t="inlineStr">
        <is>
          <t>多租户隔离与前后台传输 QoS 控制器｜异常回滚</t>
        </is>
      </c>
      <c r="H125" s="11" t="inlineStr">
        <is>
          <t>实现并验证失败、超时、取消、降级、回滚与关闭路径：硬件 TC 不可用时使用软件队列；超预算暂停后台任务；前台超时回退重算</t>
        </is>
      </c>
      <c r="I125" s="11" t="inlineStr">
        <is>
          <t>代码通过编译、静态检查和单元测试；接口/配置有版本；失败语义和 功能开关（feature flag） 可验证。</t>
        </is>
      </c>
      <c r="J125" s="11" t="inlineStr">
        <is>
          <t>src/qos/fallback.{h,cc} + config/feature_flags/tenant_qos.yaml</t>
        </is>
      </c>
      <c r="K125" s="11" t="inlineStr">
        <is>
          <t>隔离与 QoS 组</t>
        </is>
      </c>
      <c r="L125" s="11" t="inlineStr">
        <is>
          <t>依赖AR：AR23-01-11-02-03；依赖SR：SR23-01-11-01、SR23-01-09-01</t>
        </is>
      </c>
    </row>
    <row r="126" ht="61.95000076293945" customHeight="1">
      <c r="A126" s="11" t="inlineStr">
        <is>
          <t>SF-01/IR-01-11/SR23-01-11-02/AR23-01-11-02-05</t>
        </is>
      </c>
      <c r="B126" s="11" t="n">
        <v>4</v>
      </c>
      <c r="C126" s="11" t="inlineStr">
        <is>
          <t>AR</t>
        </is>
      </c>
      <c r="D126" s="11" t="inlineStr">
        <is>
          <t>AR23-01-11-02-05</t>
        </is>
      </c>
      <c r="E126" s="11" t="inlineStr">
        <is>
          <t>SR23-01-11-02</t>
        </is>
      </c>
      <c r="F126" s="11" t="inlineStr">
        <is>
          <t>├─ AR23-01-11-02-05 独立验收</t>
        </is>
      </c>
      <c r="G126" s="11" t="inlineStr">
        <is>
          <t>多租户隔离与前后台传输 QoS 控制器｜独立验收</t>
        </is>
      </c>
      <c r="H126" s="11" t="inlineStr">
        <is>
          <t>建立不依赖全项目的验收环境，执行功能、异常、兼容和性能门禁并生成可签字证据包。</t>
        </is>
      </c>
      <c r="I126" s="11" t="inlineStr">
        <is>
          <t>在“软件队列模拟器 + 混压 工作负载（workload） 即可独立验收”中完成主路径、异常、兼容和回滚；全部证据可一键复现。</t>
        </is>
      </c>
      <c r="J126" s="11" t="inlineStr">
        <is>
          <t>tests/tenant_qos/ + benchmarks/tenant_qos/ + evidence/tenant_qos/manifest.yaml</t>
        </is>
      </c>
      <c r="K126" s="11" t="inlineStr">
        <is>
          <t>测试/验收负责人</t>
        </is>
      </c>
      <c r="L126" s="11" t="inlineStr">
        <is>
          <t>依赖AR：AR23-01-11-02-04；依赖SR：SR23-01-11-01、SR23-01-09-01</t>
        </is>
      </c>
    </row>
    <row r="127" ht="61.95000076293945" customHeight="1">
      <c r="A127" s="11" t="inlineStr">
        <is>
          <t>SF-01/IR-01-11/SR23-01-11-02/AR23-01-11-02-06</t>
        </is>
      </c>
      <c r="B127" s="11" t="n">
        <v>4</v>
      </c>
      <c r="C127" s="11" t="inlineStr">
        <is>
          <t>AR</t>
        </is>
      </c>
      <c r="D127" s="11" t="inlineStr">
        <is>
          <t>AR23-01-11-02-06</t>
        </is>
      </c>
      <c r="E127" s="11" t="inlineStr">
        <is>
          <t>SR23-01-11-02</t>
        </is>
      </c>
      <c r="F127" s="11" t="inlineStr">
        <is>
          <t>├─ AR23-01-11-02-06 性能观测</t>
        </is>
      </c>
      <c r="G127" s="11" t="inlineStr">
        <is>
          <t>多租户隔离与前后台传输 QoS 控制器｜性能观测</t>
        </is>
      </c>
      <c r="H127" s="11" t="inlineStr">
        <is>
          <t>接入统一 遥测数据（telemetry），建立本 SR 专属性能/资源/正确性指标和回归阈值：TPOT p99回退&lt;3%；租户间干扰&lt;5%；越权访问=0；后台干扰降低≥50%</t>
        </is>
      </c>
      <c r="I127" s="11" t="inlineStr">
        <is>
          <t>代码通过编译、静态检查和单元测试；接口/配置有版本；失败语义和 功能开关（feature flag） 可验证。</t>
        </is>
      </c>
      <c r="J127" s="11" t="inlineStr">
        <is>
          <t>src/qos/telemetry.{h,cc} + 仪表板（dashboards）/tenant_qos.json</t>
        </is>
      </c>
      <c r="K127" s="11" t="inlineStr">
        <is>
          <t>性能与可观测负责人</t>
        </is>
      </c>
      <c r="L127" s="11" t="inlineStr">
        <is>
          <t>依赖AR：AR23-01-11-02-05；依赖SR：SR23-01-11-01、SR23-01-09-01</t>
        </is>
      </c>
    </row>
    <row r="128" ht="61.95000076293945" customHeight="1">
      <c r="A128" s="11" t="inlineStr">
        <is>
          <t>SF-01/IR-01-12</t>
        </is>
      </c>
      <c r="B128" s="11" t="n">
        <v>2</v>
      </c>
      <c r="C128" s="11" t="inlineStr">
        <is>
          <t>IR</t>
        </is>
      </c>
      <c r="D128" s="11" t="inlineStr">
        <is>
          <t>IR-01-12</t>
        </is>
      </c>
      <c r="E128" s="11" t="inlineStr">
        <is>
          <t>SF-01</t>
        </is>
      </c>
      <c r="F128" s="11" t="inlineStr">
        <is>
          <t>├─ IR-01-12 支持按路径提供KV完整性证据、访问保护及硬件故障恢复</t>
        </is>
      </c>
      <c r="G128" s="11" t="inlineStr">
        <is>
          <t>支持按路径提供KV完整性证据、访问保护及硬件故障恢复</t>
        </is>
      </c>
      <c r="H128" s="11" t="inlineStr">
        <is>
          <t>系统应在 KV 对象进入 就绪状态（ready） 或被 附加（attach） 前，根据介质和路径能力验证版本、长度、布局、DMA 完成/栅栏（completion/fence）、ECC/RAS、后端 checksum 或硬件端到端校验证据，并通过 IOMMU、MR 和安全域限制访问范围。CPU CRC不得成为所有Direct路径的统一提交前置条件；只有在受预算、可观测、可禁用的异常回退或诊断路径中允许使用。</t>
        </is>
      </c>
      <c r="I128" s="11" t="inlineStr">
        <is>
          <t>错误/过期 KV 被消费=0；越权访问=0；主路径CPU全量CRC=0；视图（view） revocation p99&lt;1ms；故障注入覆盖率=100%。</t>
        </is>
      </c>
      <c r="J128" s="11" t="inlineStr">
        <is>
          <t>IOMMU/MR Protection + ECC/RAS + DMA 完成/栅栏（completion/fence） + backend/hardware checksum + IntegrityPolicy</t>
        </is>
      </c>
      <c r="K128" s="11" t="inlineStr">
        <is>
          <t>TM5/TM6</t>
        </is>
      </c>
      <c r="L128" s="11" t="inlineStr">
        <is>
          <t>V2.2 IR语义沿用</t>
        </is>
      </c>
    </row>
    <row r="129" ht="61.95000076293945" customHeight="1">
      <c r="A129" s="11" t="inlineStr">
        <is>
          <t>SF-01/IR-01-12/SR23-01-12-01</t>
        </is>
      </c>
      <c r="B129" s="11" t="n">
        <v>3</v>
      </c>
      <c r="C129" s="11" t="inlineStr">
        <is>
          <t>SR</t>
        </is>
      </c>
      <c r="D129" s="11" t="inlineStr">
        <is>
          <t>SR23-01-12-01</t>
        </is>
      </c>
      <c r="E129" s="11" t="inlineStr">
        <is>
          <t>IR-01-12</t>
        </is>
      </c>
      <c r="F129" s="11" t="inlineStr">
        <is>
          <t>├─ SR23-01-12-01 按路径完整性证据与 RAS 故障映射组件</t>
        </is>
      </c>
      <c r="G129" s="11" t="inlineStr">
        <is>
          <t>按路径完整性证据与 RAS 故障映射组件</t>
        </is>
      </c>
      <c r="H129" s="11" t="inlineStr">
        <is>
          <t>完成→fence→完整性→就绪状态（ready） 证据链、差异化后端校验、RAS 映射
交付：integrity-evidence SDK、完成/栅栏（Completion/Fence） 证据模型、RAS/ErrorMap 与 故障测试套件（fault suite）</t>
        </is>
      </c>
      <c r="I129" s="11" t="inlineStr">
        <is>
          <t>错误/过期 KV 被消费=0；故障注入覆盖率100%；主路径 CPU 全量 CRC=0</t>
        </is>
      </c>
      <c r="J129" s="11" t="inlineStr">
        <is>
          <t>integrity-evidence SDK、完成/栅栏（Completion/Fence） 证据模型、RAS/ErrorMap 与 故障测试套件（fault suite）</t>
        </is>
      </c>
      <c r="K129" s="11" t="inlineStr">
        <is>
          <t>完整性与 RAS 组</t>
        </is>
      </c>
      <c r="L129" s="11" t="inlineStr">
        <is>
          <t>来源5条；依赖：SR23-01-09-01</t>
        </is>
      </c>
    </row>
    <row r="130" ht="61.95000076293945" customHeight="1">
      <c r="A130" s="11" t="inlineStr">
        <is>
          <t>SF-01/IR-01-12/SR23-01-12-01/AR23-01-12-01-01</t>
        </is>
      </c>
      <c r="B130" s="11" t="n">
        <v>4</v>
      </c>
      <c r="C130" s="11" t="inlineStr">
        <is>
          <t>AR</t>
        </is>
      </c>
      <c r="D130" s="11" t="inlineStr">
        <is>
          <t>AR23-01-12-01-01</t>
        </is>
      </c>
      <c r="E130" s="11" t="inlineStr">
        <is>
          <t>SR23-01-12-01</t>
        </is>
      </c>
      <c r="F130" s="11" t="inlineStr">
        <is>
          <t>├─ AR23-01-12-01-01 核心实现</t>
        </is>
      </c>
      <c r="G130" s="11" t="inlineStr">
        <is>
          <t>按路径完整性证据与 RAS 故障映射组件｜核心实现</t>
        </is>
      </c>
      <c r="H130" s="11" t="inlineStr">
        <is>
          <t>实现“按路径完整性证据与 RAS 故障映射组件”的可运行主路径，交付 integrity-evidence SDK、完成/栅栏（Completion/Fence） 证据模型、RAS/ErrorMap 与 故障测试套件（fault suite） 的核心代码、构建入口和最小示例。</t>
        </is>
      </c>
      <c r="I130" s="11" t="inlineStr">
        <is>
          <t>代码通过编译、静态检查和单元测试；接口/配置有版本；失败语义和 功能开关（feature flag） 可验证。</t>
        </is>
      </c>
      <c r="J130" s="11" t="inlineStr">
        <is>
          <t>src/integrity/core.{h,cc}</t>
        </is>
      </c>
      <c r="K130" s="11" t="inlineStr">
        <is>
          <t>完整性与 RAS 组</t>
        </is>
      </c>
      <c r="L130" s="11" t="inlineStr">
        <is>
          <t>依赖AR：无；依赖SR：SR23-01-09-01</t>
        </is>
      </c>
    </row>
    <row r="131" ht="61.95000076293945" customHeight="1">
      <c r="A131" s="11" t="inlineStr">
        <is>
          <t>SF-01/IR-01-12/SR23-01-12-01/AR23-01-12-01-02</t>
        </is>
      </c>
      <c r="B131" s="11" t="n">
        <v>4</v>
      </c>
      <c r="C131" s="11" t="inlineStr">
        <is>
          <t>AR</t>
        </is>
      </c>
      <c r="D131" s="11" t="inlineStr">
        <is>
          <t>AR23-01-12-01-02</t>
        </is>
      </c>
      <c r="E131" s="11" t="inlineStr">
        <is>
          <t>SR23-01-12-01</t>
        </is>
      </c>
      <c r="F131" s="11" t="inlineStr">
        <is>
          <t>├─ AR23-01-12-01-02 接口契约</t>
        </is>
      </c>
      <c r="G131" s="11" t="inlineStr">
        <is>
          <t>按路径完整性证据与 RAS 故障映射组件｜接口契约</t>
        </is>
      </c>
      <c r="H131" s="11" t="inlineStr">
        <is>
          <t>冻结并实现接口/IDL、版本兼容、输入输出、错误码与 消费者（consumer） 示例：IntegrityEvidence、CompletionEvidence、ErrorMap、canPublishReady</t>
        </is>
      </c>
      <c r="I131" s="11" t="inlineStr">
        <is>
          <t>代码通过编译、静态检查和单元测试；接口/配置有版本；失败语义和 功能开关（feature flag） 可验证。</t>
        </is>
      </c>
      <c r="J131" s="11" t="inlineStr">
        <is>
          <t>api/kvcache/v23/integrity_evidence.proto + src/integrity/api.{h,cc}</t>
        </is>
      </c>
      <c r="K131" s="11" t="inlineStr">
        <is>
          <t>完整性与 RAS 组</t>
        </is>
      </c>
      <c r="L131" s="11" t="inlineStr">
        <is>
          <t>依赖AR：AR23-01-12-01-01；依赖SR：SR23-01-09-01</t>
        </is>
      </c>
    </row>
    <row r="132" ht="61.95000076293945" customHeight="1">
      <c r="A132" s="11" t="inlineStr">
        <is>
          <t>SF-01/IR-01-12/SR23-01-12-01/AR23-01-12-01-03</t>
        </is>
      </c>
      <c r="B132" s="11" t="n">
        <v>4</v>
      </c>
      <c r="C132" s="11" t="inlineStr">
        <is>
          <t>AR</t>
        </is>
      </c>
      <c r="D132" s="11" t="inlineStr">
        <is>
          <t>AR23-01-12-01-03</t>
        </is>
      </c>
      <c r="E132" s="11" t="inlineStr">
        <is>
          <t>SR23-01-12-01</t>
        </is>
      </c>
      <c r="F132" s="11" t="inlineStr">
        <is>
          <t>├─ AR23-01-12-01-03 状态模型</t>
        </is>
      </c>
      <c r="G132" s="11" t="inlineStr">
        <is>
          <t>按路径完整性证据与 RAS 故障映射组件｜状态模型</t>
        </is>
      </c>
      <c r="H132" s="11" t="inlineStr">
        <is>
          <t>实现状态、版本、并发互锁和持久/内存数据模型，覆盖正常转换与非法转换保护。</t>
        </is>
      </c>
      <c r="I132" s="11" t="inlineStr">
        <is>
          <t>代码通过编译、静态检查和单元测试；接口/配置有版本；失败语义和 功能开关（feature flag） 可验证。</t>
        </is>
      </c>
      <c r="J132" s="11" t="inlineStr">
        <is>
          <t>src/integrity/state_model.{h,cc}</t>
        </is>
      </c>
      <c r="K132" s="11" t="inlineStr">
        <is>
          <t>完整性与 RAS 组</t>
        </is>
      </c>
      <c r="L132" s="11" t="inlineStr">
        <is>
          <t>依赖AR：AR23-01-12-01-02；依赖SR：SR23-01-09-01</t>
        </is>
      </c>
    </row>
    <row r="133" ht="61.95000076293945" customHeight="1">
      <c r="A133" s="11" t="inlineStr">
        <is>
          <t>SF-01/IR-01-12/SR23-01-12-01/AR23-01-12-01-04</t>
        </is>
      </c>
      <c r="B133" s="11" t="n">
        <v>4</v>
      </c>
      <c r="C133" s="11" t="inlineStr">
        <is>
          <t>AR</t>
        </is>
      </c>
      <c r="D133" s="11" t="inlineStr">
        <is>
          <t>AR23-01-12-01-04</t>
        </is>
      </c>
      <c r="E133" s="11" t="inlineStr">
        <is>
          <t>SR23-01-12-01</t>
        </is>
      </c>
      <c r="F133" s="11" t="inlineStr">
        <is>
          <t>├─ AR23-01-12-01-04 异常回滚</t>
        </is>
      </c>
      <c r="G133" s="11" t="inlineStr">
        <is>
          <t>按路径完整性证据与 RAS 故障映射组件｜异常回滚</t>
        </is>
      </c>
      <c r="H133" s="11" t="inlineStr">
        <is>
          <t>实现并验证失败、超时、取消、降级、回滚与关闭路径：证据不足不得 就绪状态（ready）；无硬件校验时使用后端已有证据或回退重算</t>
        </is>
      </c>
      <c r="I133" s="11" t="inlineStr">
        <is>
          <t>代码通过编译、静态检查和单元测试；接口/配置有版本；失败语义和 功能开关（feature flag） 可验证。</t>
        </is>
      </c>
      <c r="J133" s="11" t="inlineStr">
        <is>
          <t>src/integrity/fallback.{h,cc} + config/feature_flags/integrity_evidence.yaml</t>
        </is>
      </c>
      <c r="K133" s="11" t="inlineStr">
        <is>
          <t>完整性与 RAS 组</t>
        </is>
      </c>
      <c r="L133" s="11" t="inlineStr">
        <is>
          <t>依赖AR：AR23-01-12-01-03；依赖SR：SR23-01-09-01</t>
        </is>
      </c>
    </row>
    <row r="134" ht="61.95000076293945" customHeight="1">
      <c r="A134" s="11" t="inlineStr">
        <is>
          <t>SF-01/IR-01-12/SR23-01-12-01/AR23-01-12-01-05</t>
        </is>
      </c>
      <c r="B134" s="11" t="n">
        <v>4</v>
      </c>
      <c r="C134" s="11" t="inlineStr">
        <is>
          <t>AR</t>
        </is>
      </c>
      <c r="D134" s="11" t="inlineStr">
        <is>
          <t>AR23-01-12-01-05</t>
        </is>
      </c>
      <c r="E134" s="11" t="inlineStr">
        <is>
          <t>SR23-01-12-01</t>
        </is>
      </c>
      <c r="F134" s="11" t="inlineStr">
        <is>
          <t>├─ AR23-01-12-01-05 独立验收</t>
        </is>
      </c>
      <c r="G134" s="11" t="inlineStr">
        <is>
          <t>按路径完整性证据与 RAS 故障映射组件｜独立验收</t>
        </is>
      </c>
      <c r="H134" s="11" t="inlineStr">
        <is>
          <t>建立不依赖全项目的验收环境，执行功能、异常、兼容和性能门禁并生成可签字证据包。</t>
        </is>
      </c>
      <c r="I134" s="11" t="inlineStr">
        <is>
          <t>在“FakeProvider + 半写/ECC/超时/乱序注入即可独立验收”中完成主路径、异常、兼容和回滚；全部证据可一键复现。</t>
        </is>
      </c>
      <c r="J134" s="11" t="inlineStr">
        <is>
          <t>tests/integrity_evidence/ + benchmarks/integrity_evidence/ + evidence/integrity_evidence/manifest.yaml</t>
        </is>
      </c>
      <c r="K134" s="11" t="inlineStr">
        <is>
          <t>测试/验收负责人</t>
        </is>
      </c>
      <c r="L134" s="11" t="inlineStr">
        <is>
          <t>依赖AR：AR23-01-12-01-04；依赖SR：SR23-01-09-01</t>
        </is>
      </c>
    </row>
    <row r="135" ht="61.95000076293945" customHeight="1">
      <c r="A135" s="11" t="inlineStr">
        <is>
          <t>SF-01/IR-01-12/SR23-01-12-01/AR23-01-12-01-06</t>
        </is>
      </c>
      <c r="B135" s="11" t="n">
        <v>4</v>
      </c>
      <c r="C135" s="11" t="inlineStr">
        <is>
          <t>AR</t>
        </is>
      </c>
      <c r="D135" s="11" t="inlineStr">
        <is>
          <t>AR23-01-12-01-06</t>
        </is>
      </c>
      <c r="E135" s="11" t="inlineStr">
        <is>
          <t>SR23-01-12-01</t>
        </is>
      </c>
      <c r="F135" s="11" t="inlineStr">
        <is>
          <t>├─ AR23-01-12-01-06 性能观测</t>
        </is>
      </c>
      <c r="G135" s="11" t="inlineStr">
        <is>
          <t>按路径完整性证据与 RAS 故障映射组件｜性能观测</t>
        </is>
      </c>
      <c r="H135" s="11" t="inlineStr">
        <is>
          <t>接入统一 遥测数据（telemetry），建立本 SR 专属性能/资源/正确性指标和回归阈值：错误/过期 KV 被消费=0；故障注入覆盖率100%；主路径 CPU 全量 CRC=0</t>
        </is>
      </c>
      <c r="I135" s="11" t="inlineStr">
        <is>
          <t>代码通过编译、静态检查和单元测试；接口/配置有版本；失败语义和 功能开关（feature flag） 可验证。</t>
        </is>
      </c>
      <c r="J135" s="11" t="inlineStr">
        <is>
          <t>src/integrity/telemetry.{h,cc} + 仪表板（dashboards）/integrity_evidence.json</t>
        </is>
      </c>
      <c r="K135" s="11" t="inlineStr">
        <is>
          <t>性能与可观测负责人</t>
        </is>
      </c>
      <c r="L135" s="11" t="inlineStr">
        <is>
          <t>依赖AR：AR23-01-12-01-05；依赖SR：SR23-01-09-01</t>
        </is>
      </c>
    </row>
    <row r="136" ht="61.95000076293945" customHeight="1">
      <c r="A136" s="11" t="inlineStr">
        <is>
          <t>SF-01/IR-01-12/SR23-01-12-02</t>
        </is>
      </c>
      <c r="B136" s="11" t="n">
        <v>3</v>
      </c>
      <c r="C136" s="11" t="inlineStr">
        <is>
          <t>SR</t>
        </is>
      </c>
      <c r="D136" s="11" t="inlineStr">
        <is>
          <t>SR23-01-12-02</t>
        </is>
      </c>
      <c r="E136" s="11" t="inlineStr">
        <is>
          <t>IR-01-12</t>
        </is>
      </c>
      <c r="F136" s="11" t="inlineStr">
        <is>
          <t>├─ SR23-01-12-02 安全访问、资源下线与地址切换组件</t>
        </is>
      </c>
      <c r="G136" s="11" t="inlineStr">
        <is>
          <t>安全访问、资源下线与地址切换组件</t>
        </is>
      </c>
      <c r="H136" s="11" t="inlineStr">
        <is>
          <t>访问保护、租户边界、后端下线、地址切换、安全释放、可选 page migration
交付：secure-lifecycle 库、ViewProtection、排空/静默（drain/quiesce）、secure release 与 重映射（remap） 适配器（adapter）</t>
        </is>
      </c>
      <c r="I136" s="11" t="inlineStr">
        <is>
          <t>越权访问=0；安全释放后残留读取=0；视图（view） 撤销（revoke） p99&lt;1ms；失败可回滚</t>
        </is>
      </c>
      <c r="J136" s="11" t="inlineStr">
        <is>
          <t>secure-lifecycle 库、ViewProtection、排空/静默（drain/quiesce）、secure release 与 重映射（remap） 适配器（adapter）</t>
        </is>
      </c>
      <c r="K136" s="11" t="inlineStr">
        <is>
          <t>安全访问与资源治理组</t>
        </is>
      </c>
      <c r="L136" s="11" t="inlineStr">
        <is>
          <t>来源6条；依赖：SR23-01-11-01、SR23-01-12-01</t>
        </is>
      </c>
    </row>
    <row r="137" ht="61.95000076293945" customHeight="1">
      <c r="A137" s="11" t="inlineStr">
        <is>
          <t>SF-01/IR-01-12/SR23-01-12-02/AR23-01-12-02-01</t>
        </is>
      </c>
      <c r="B137" s="11" t="n">
        <v>4</v>
      </c>
      <c r="C137" s="11" t="inlineStr">
        <is>
          <t>AR</t>
        </is>
      </c>
      <c r="D137" s="11" t="inlineStr">
        <is>
          <t>AR23-01-12-02-01</t>
        </is>
      </c>
      <c r="E137" s="11" t="inlineStr">
        <is>
          <t>SR23-01-12-02</t>
        </is>
      </c>
      <c r="F137" s="11" t="inlineStr">
        <is>
          <t>├─ AR23-01-12-02-01 核心实现</t>
        </is>
      </c>
      <c r="G137" s="11" t="inlineStr">
        <is>
          <t>安全访问、资源下线与地址切换组件｜核心实现</t>
        </is>
      </c>
      <c r="H137" s="11" t="inlineStr">
        <is>
          <t>实现“安全访问、资源下线与地址切换组件”的可运行主路径，交付 secure-lifecycle 库、ViewProtection、排空/静默（drain/quiesce）、secure release 与 重映射（remap） 适配器（adapter） 的核心代码、构建入口和最小示例。</t>
        </is>
      </c>
      <c r="I137" s="11" t="inlineStr">
        <is>
          <t>代码通过编译、静态检查和单元测试；接口/配置有版本；失败语义和 功能开关（feature flag） 可验证。</t>
        </is>
      </c>
      <c r="J137" s="11" t="inlineStr">
        <is>
          <t>src/security/lifecycle/core.{h,cc}</t>
        </is>
      </c>
      <c r="K137" s="11" t="inlineStr">
        <is>
          <t>安全访问与资源治理组</t>
        </is>
      </c>
      <c r="L137" s="11" t="inlineStr">
        <is>
          <t>依赖AR：无；依赖SR：SR23-01-11-01、SR23-01-12-01</t>
        </is>
      </c>
    </row>
    <row r="138" ht="61.95000076293945" customHeight="1">
      <c r="A138" s="11" t="inlineStr">
        <is>
          <t>SF-01/IR-01-12/SR23-01-12-02/AR23-01-12-02-02</t>
        </is>
      </c>
      <c r="B138" s="11" t="n">
        <v>4</v>
      </c>
      <c r="C138" s="11" t="inlineStr">
        <is>
          <t>AR</t>
        </is>
      </c>
      <c r="D138" s="11" t="inlineStr">
        <is>
          <t>AR23-01-12-02-02</t>
        </is>
      </c>
      <c r="E138" s="11" t="inlineStr">
        <is>
          <t>SR23-01-12-02</t>
        </is>
      </c>
      <c r="F138" s="11" t="inlineStr">
        <is>
          <t>├─ AR23-01-12-02-02 接口契约</t>
        </is>
      </c>
      <c r="G138" s="11" t="inlineStr">
        <is>
          <t>安全访问、资源下线与地址切换组件｜接口契约</t>
        </is>
      </c>
      <c r="H138" s="11" t="inlineStr">
        <is>
          <t>冻结并实现接口/IDL、版本兼容、输入输出、错误码与 消费者（consumer） 示例：AccessPolicy、排空/静默（drain/quiesce）、secureRelease、重映射（remap）/rollback</t>
        </is>
      </c>
      <c r="I138" s="11" t="inlineStr">
        <is>
          <t>代码通过编译、静态检查和单元测试；接口/配置有版本；失败语义和 功能开关（feature flag） 可验证。</t>
        </is>
      </c>
      <c r="J138" s="11" t="inlineStr">
        <is>
          <t>api/kvcache/v23/secure_lifecycle.proto + src/security/lifecycle/api.{h,cc}</t>
        </is>
      </c>
      <c r="K138" s="11" t="inlineStr">
        <is>
          <t>安全访问与资源治理组</t>
        </is>
      </c>
      <c r="L138" s="11" t="inlineStr">
        <is>
          <t>依赖AR：AR23-01-12-02-01；依赖SR：SR23-01-11-01、SR23-01-12-01</t>
        </is>
      </c>
    </row>
    <row r="139" ht="61.95000076293945" customHeight="1">
      <c r="A139" s="11" t="inlineStr">
        <is>
          <t>SF-01/IR-01-12/SR23-01-12-02/AR23-01-12-02-03</t>
        </is>
      </c>
      <c r="B139" s="11" t="n">
        <v>4</v>
      </c>
      <c r="C139" s="11" t="inlineStr">
        <is>
          <t>AR</t>
        </is>
      </c>
      <c r="D139" s="11" t="inlineStr">
        <is>
          <t>AR23-01-12-02-03</t>
        </is>
      </c>
      <c r="E139" s="11" t="inlineStr">
        <is>
          <t>SR23-01-12-02</t>
        </is>
      </c>
      <c r="F139" s="11" t="inlineStr">
        <is>
          <t>├─ AR23-01-12-02-03 状态模型</t>
        </is>
      </c>
      <c r="G139" s="11" t="inlineStr">
        <is>
          <t>安全访问、资源下线与地址切换组件｜状态模型</t>
        </is>
      </c>
      <c r="H139" s="11" t="inlineStr">
        <is>
          <t>实现状态、版本、并发互锁和持久/内存数据模型，覆盖正常转换与非法转换保护。</t>
        </is>
      </c>
      <c r="I139" s="11" t="inlineStr">
        <is>
          <t>代码通过编译、静态检查和单元测试；接口/配置有版本；失败语义和 功能开关（feature flag） 可验证。</t>
        </is>
      </c>
      <c r="J139" s="11" t="inlineStr">
        <is>
          <t>src/security/lifecycle/state_model.{h,cc}</t>
        </is>
      </c>
      <c r="K139" s="11" t="inlineStr">
        <is>
          <t>安全访问与资源治理组</t>
        </is>
      </c>
      <c r="L139" s="11" t="inlineStr">
        <is>
          <t>依赖AR：AR23-01-12-02-02；依赖SR：SR23-01-11-01、SR23-01-12-01</t>
        </is>
      </c>
    </row>
    <row r="140" ht="61.95000076293945" customHeight="1">
      <c r="A140" s="11" t="inlineStr">
        <is>
          <t>SF-01/IR-01-12/SR23-01-12-02/AR23-01-12-02-04</t>
        </is>
      </c>
      <c r="B140" s="11" t="n">
        <v>4</v>
      </c>
      <c r="C140" s="11" t="inlineStr">
        <is>
          <t>AR</t>
        </is>
      </c>
      <c r="D140" s="11" t="inlineStr">
        <is>
          <t>AR23-01-12-02-04</t>
        </is>
      </c>
      <c r="E140" s="11" t="inlineStr">
        <is>
          <t>SR23-01-12-02</t>
        </is>
      </c>
      <c r="F140" s="11" t="inlineStr">
        <is>
          <t>├─ AR23-01-12-02-04 异常回滚</t>
        </is>
      </c>
      <c r="G140" s="11" t="inlineStr">
        <is>
          <t>安全访问、资源下线与地址切换组件｜异常回滚</t>
        </is>
      </c>
      <c r="H140" s="11" t="inlineStr">
        <is>
          <t>实现并验证失败、超时、取消、降级、回滚与关闭路径：硬件 重映射（remap） 不可用时使用 RCU+copy-on-migrate；无法安全下线时保持隔离</t>
        </is>
      </c>
      <c r="I140" s="11" t="inlineStr">
        <is>
          <t>代码通过编译、静态检查和单元测试；接口/配置有版本；失败语义和 功能开关（feature flag） 可验证。</t>
        </is>
      </c>
      <c r="J140" s="11" t="inlineStr">
        <is>
          <t>src/security/lifecycle/fallback.{h,cc} + config/feature_flags/secure_lifecycle.yaml</t>
        </is>
      </c>
      <c r="K140" s="11" t="inlineStr">
        <is>
          <t>安全访问与资源治理组</t>
        </is>
      </c>
      <c r="L140" s="11" t="inlineStr">
        <is>
          <t>依赖AR：AR23-01-12-02-03；依赖SR：SR23-01-11-01、SR23-01-12-01</t>
        </is>
      </c>
    </row>
    <row r="141" ht="61.95000076293945" customHeight="1">
      <c r="A141" s="11" t="inlineStr">
        <is>
          <t>SF-01/IR-01-12/SR23-01-12-02/AR23-01-12-02-05</t>
        </is>
      </c>
      <c r="B141" s="11" t="n">
        <v>4</v>
      </c>
      <c r="C141" s="11" t="inlineStr">
        <is>
          <t>AR</t>
        </is>
      </c>
      <c r="D141" s="11" t="inlineStr">
        <is>
          <t>AR23-01-12-02-05</t>
        </is>
      </c>
      <c r="E141" s="11" t="inlineStr">
        <is>
          <t>SR23-01-12-02</t>
        </is>
      </c>
      <c r="F141" s="11" t="inlineStr">
        <is>
          <t>├─ AR23-01-12-02-05 独立验收</t>
        </is>
      </c>
      <c r="G141" s="11" t="inlineStr">
        <is>
          <t>安全访问、资源下线与地址切换组件｜独立验收</t>
        </is>
      </c>
      <c r="H141" s="11" t="inlineStr">
        <is>
          <t>建立不依赖全项目的验收环境，执行功能、异常、兼容和性能门禁并生成可签字证据包。</t>
        </is>
      </c>
      <c r="I141" s="11" t="inlineStr">
        <is>
          <t>在“IOMMU/MR 模拟器 + 并发 租约（lease） 测试即可独立验收”中完成主路径、异常、兼容和回滚；全部证据可一键复现。</t>
        </is>
      </c>
      <c r="J141" s="11" t="inlineStr">
        <is>
          <t>tests/secure_lifecycle/ + benchmarks/secure_lifecycle/ + evidence/secure_lifecycle/manifest.yaml</t>
        </is>
      </c>
      <c r="K141" s="11" t="inlineStr">
        <is>
          <t>测试/验收负责人</t>
        </is>
      </c>
      <c r="L141" s="11" t="inlineStr">
        <is>
          <t>依赖AR：AR23-01-12-02-04；依赖SR：SR23-01-11-01、SR23-01-12-01</t>
        </is>
      </c>
    </row>
    <row r="142" ht="61.95000076293945" customHeight="1">
      <c r="A142" s="11" t="inlineStr">
        <is>
          <t>SF-02</t>
        </is>
      </c>
      <c r="B142" s="11" t="n">
        <v>1</v>
      </c>
      <c r="C142" s="11" t="inlineStr">
        <is>
          <t>SF</t>
        </is>
      </c>
      <c r="D142" s="11" t="inlineStr">
        <is>
          <t>SF-02</t>
        </is>
      </c>
      <c r="E142" s="11" t="inlineStr">
        <is>
          <t>ROOT</t>
        </is>
      </c>
      <c r="F142" s="11" t="inlineStr">
        <is>
          <t>● SF-02 集群复用与推理 SLO 闭环</t>
        </is>
      </c>
      <c r="G142" s="11" t="inlineStr">
        <is>
          <t>集群复用与推理 SLO 闭环</t>
        </is>
      </c>
      <c r="H142" s="11" t="inlineStr">
        <is>
          <t>面向 vLLM/SGLang 交付可消费命中、加载决策、目录、调度、预取、观测与工程化能力，把存储和传输收益兑现为 TTFT、TPOT、容量及 NPU 利用率。</t>
        </is>
      </c>
      <c r="I142" s="11" t="inlineStr">
        <is>
          <t>目标工作负载 p99 TTFT 降低≥20%；TPOT p99 回退&lt;3%；可用命中率（Usable Hit Rate） 提升≥20%；HBM 有效容量提升≥30%。</t>
        </is>
      </c>
      <c r="J142" s="11" t="inlineStr">
        <is>
          <t>全系统交付</t>
        </is>
      </c>
      <c r="K142" s="11" t="inlineStr">
        <is>
          <t>全系统</t>
        </is>
      </c>
      <c r="L142" s="11" t="inlineStr">
        <is>
          <t>V2.3.1定义</t>
        </is>
      </c>
    </row>
    <row r="143" ht="61.95000076293945" customHeight="1">
      <c r="A143" s="11" t="inlineStr">
        <is>
          <t>SF-02/IR-02-01</t>
        </is>
      </c>
      <c r="B143" s="11" t="n">
        <v>2</v>
      </c>
      <c r="C143" s="11" t="inlineStr">
        <is>
          <t>IR</t>
        </is>
      </c>
      <c r="D143" s="11" t="inlineStr">
        <is>
          <t>IR-02-01</t>
        </is>
      </c>
      <c r="E143" s="11" t="inlineStr">
        <is>
          <t>SF-02</t>
        </is>
      </c>
      <c r="F143" s="11" t="inlineStr">
        <is>
          <t>├─ IR-02-01 面向vLLM/SGLang的统一KVCache访问接口和后端插件规范</t>
        </is>
      </c>
      <c r="G143" s="11" t="inlineStr">
        <is>
          <t>面向vLLM/SGLang的统一KVCache访问接口和后端插件规范</t>
        </is>
      </c>
      <c r="H143" s="11" t="inlineStr">
        <is>
          <t>系统应向 vLLM、SGLang 及 KV 传输/存储后端提供版本化的统一访问协议，覆盖 发布（publish）、查询（lookup）、加载（load）、预取（prefetch）、附加（attach）、淘汰（evict）、status、指标（metrics） 和 回退（fallback），使框架只表达 KV 语义身份、访问意图、时限和消费目标，不绑定具体介质或后端。新框架或新后端应通过同一兼容性测试接入，避免为每种组合重复开发。</t>
        </is>
      </c>
      <c r="I143" s="11" t="inlineStr">
        <is>
          <t>符合性（conformance）通过率=100%；接口调用&lt;5 μs；元数据编解码&lt;200 ns/次；新后端接入工期降低≥50%。</t>
        </is>
      </c>
      <c r="J143" s="11" t="inlineStr">
        <is>
          <t>C++ API + Python 协议（Protocol） + gRPC/Protobuf：KVAccessIntent/QueryPlan/AttachHandle</t>
        </is>
      </c>
      <c r="K143" s="11" t="inlineStr">
        <is>
          <t>TM1</t>
        </is>
      </c>
      <c r="L143" s="11" t="inlineStr">
        <is>
          <t>V2.2 IR语义沿用</t>
        </is>
      </c>
    </row>
    <row r="144" ht="61.95000076293945" customHeight="1">
      <c r="A144" s="11" t="inlineStr">
        <is>
          <t>SF-02/IR-02-01/SR23-02-01-01</t>
        </is>
      </c>
      <c r="B144" s="11" t="n">
        <v>3</v>
      </c>
      <c r="C144" s="11" t="inlineStr">
        <is>
          <t>SR</t>
        </is>
      </c>
      <c r="D144" s="11" t="inlineStr">
        <is>
          <t>SR23-02-01-01</t>
        </is>
      </c>
      <c r="E144" s="11" t="inlineStr">
        <is>
          <t>IR-02-01</t>
        </is>
      </c>
      <c r="F144" s="11" t="inlineStr">
        <is>
          <t>├─ SR23-02-01-01 vLLM/SGLang 统一 KV连接器（KVConnector） 协议与插件 SDK</t>
        </is>
      </c>
      <c r="G144" s="11" t="inlineStr">
        <is>
          <t>vLLM/SGLang 统一 KV连接器（KVConnector） 协议与插件 SDK</t>
        </is>
      </c>
      <c r="H144" s="11" t="inlineStr">
        <is>
          <t>KVAccessIntent/QueryPlan/AttachHandle、put/get/prefetch/evict/status、buffer contract 与语义身份
交付：KV连接器（KVConnector） 协议（Protocol）、C++/Python SDK、gRPC/Protobuf IDL、符合性测试套件（conformance suite）</t>
        </is>
      </c>
      <c r="I144" s="11" t="inlineStr">
        <is>
          <t>符合性（conformance）通过率100%；接口调用 p99&lt;5μs；新后端接入工期降低≥50%</t>
        </is>
      </c>
      <c r="J144" s="11" t="inlineStr">
        <is>
          <t>KV连接器（KVConnector） 协议（Protocol）、C++/Python SDK、gRPC/Protobuf IDL、符合性测试套件（conformance suite）</t>
        </is>
      </c>
      <c r="K144" s="11" t="inlineStr">
        <is>
          <t>连接器（Connector） 协议与框架接入组</t>
        </is>
      </c>
      <c r="L144" s="11" t="inlineStr">
        <is>
          <t>来源5条；依赖：无外部前置</t>
        </is>
      </c>
    </row>
    <row r="145" ht="61.95000076293945" customHeight="1">
      <c r="A145" s="11" t="inlineStr">
        <is>
          <t>SF-02/IR-02-01/SR23-02-01-01/AR23-02-01-01-01</t>
        </is>
      </c>
      <c r="B145" s="11" t="n">
        <v>4</v>
      </c>
      <c r="C145" s="11" t="inlineStr">
        <is>
          <t>AR</t>
        </is>
      </c>
      <c r="D145" s="11" t="inlineStr">
        <is>
          <t>AR23-02-01-01-01</t>
        </is>
      </c>
      <c r="E145" s="11" t="inlineStr">
        <is>
          <t>SR23-02-01-01</t>
        </is>
      </c>
      <c r="F145" s="11" t="inlineStr">
        <is>
          <t>├─ AR23-02-01-01-01 核心实现</t>
        </is>
      </c>
      <c r="G145" s="11" t="inlineStr">
        <is>
          <t>vLLM/SGLang 统一 KV连接器（KVConnector） 协议与插件 SDK｜核心实现</t>
        </is>
      </c>
      <c r="H145" s="11" t="inlineStr">
        <is>
          <t>实现“vLLM/SGLang 统一 KV连接器（KVConnector） 协议与插件 SDK”的可运行主路径，交付 KV连接器（KVConnector） 协议（Protocol）、C++/Python SDK、gRPC/Protobuf IDL、符合性测试套件（conformance suite） 的核心代码、构建入口和最小示例。</t>
        </is>
      </c>
      <c r="I145" s="11" t="inlineStr">
        <is>
          <t>代码通过编译、静态检查和单元测试；接口/配置有版本；失败语义和 功能开关（feature flag） 可验证。</t>
        </is>
      </c>
      <c r="J145" s="11" t="inlineStr">
        <is>
          <t>src/connector/sdk/core.{h,cc}</t>
        </is>
      </c>
      <c r="K145" s="11" t="inlineStr">
        <is>
          <t>连接器（Connector） 协议与框架接入组</t>
        </is>
      </c>
      <c r="L145" s="11" t="inlineStr">
        <is>
          <t>依赖AR：无；依赖SR：无</t>
        </is>
      </c>
    </row>
    <row r="146" ht="61.95000076293945" customHeight="1">
      <c r="A146" s="11" t="inlineStr">
        <is>
          <t>SF-02/IR-02-01/SR23-02-01-01/AR23-02-01-01-02</t>
        </is>
      </c>
      <c r="B146" s="11" t="n">
        <v>4</v>
      </c>
      <c r="C146" s="11" t="inlineStr">
        <is>
          <t>AR</t>
        </is>
      </c>
      <c r="D146" s="11" t="inlineStr">
        <is>
          <t>AR23-02-01-01-02</t>
        </is>
      </c>
      <c r="E146" s="11" t="inlineStr">
        <is>
          <t>SR23-02-01-01</t>
        </is>
      </c>
      <c r="F146" s="11" t="inlineStr">
        <is>
          <t>├─ AR23-02-01-01-02 接口契约</t>
        </is>
      </c>
      <c r="G146" s="11" t="inlineStr">
        <is>
          <t>vLLM/SGLang 统一 KV连接器（KVConnector） 协议与插件 SDK｜接口契约</t>
        </is>
      </c>
      <c r="H146" s="11" t="inlineStr">
        <is>
          <t>冻结并实现接口/IDL、版本兼容、输入输出、错误码与 消费者（consumer） 示例：版本化 SDK/IDL、同步/异步语义、错误码、超时、重试与兼容规则</t>
        </is>
      </c>
      <c r="I146" s="11" t="inlineStr">
        <is>
          <t>代码通过编译、静态检查和单元测试；接口/配置有版本；失败语义和 功能开关（feature flag） 可验证。</t>
        </is>
      </c>
      <c r="J146" s="11" t="inlineStr">
        <is>
          <t>api/kvcache/v23/connector_protocol.proto + src/connector/sdk/api.{h,cc}</t>
        </is>
      </c>
      <c r="K146" s="11" t="inlineStr">
        <is>
          <t>连接器（Connector） 协议与框架接入组</t>
        </is>
      </c>
      <c r="L146" s="11" t="inlineStr">
        <is>
          <t>依赖AR：AR23-02-01-01-01；依赖SR：无</t>
        </is>
      </c>
    </row>
    <row r="147" ht="61.95000076293945" customHeight="1">
      <c r="A147" s="11" t="inlineStr">
        <is>
          <t>SF-02/IR-02-01/SR23-02-01-01/AR23-02-01-01-03</t>
        </is>
      </c>
      <c r="B147" s="11" t="n">
        <v>4</v>
      </c>
      <c r="C147" s="11" t="inlineStr">
        <is>
          <t>AR</t>
        </is>
      </c>
      <c r="D147" s="11" t="inlineStr">
        <is>
          <t>AR23-02-01-01-03</t>
        </is>
      </c>
      <c r="E147" s="11" t="inlineStr">
        <is>
          <t>SR23-02-01-01</t>
        </is>
      </c>
      <c r="F147" s="11" t="inlineStr">
        <is>
          <t>├─ AR23-02-01-01-03 状态模型</t>
        </is>
      </c>
      <c r="G147" s="11" t="inlineStr">
        <is>
          <t>vLLM/SGLang 统一 KV连接器（KVConnector） 协议与插件 SDK｜状态模型</t>
        </is>
      </c>
      <c r="H147" s="11" t="inlineStr">
        <is>
          <t>实现状态、版本、并发互锁和持久/内存数据模型，覆盖正常转换与非法转换保护。</t>
        </is>
      </c>
      <c r="I147" s="11" t="inlineStr">
        <is>
          <t>代码通过编译、静态检查和单元测试；接口/配置有版本；失败语义和 功能开关（feature flag） 可验证。</t>
        </is>
      </c>
      <c r="J147" s="11" t="inlineStr">
        <is>
          <t>src/connector/sdk/state_model.{h,cc}</t>
        </is>
      </c>
      <c r="K147" s="11" t="inlineStr">
        <is>
          <t>连接器（Connector） 协议与框架接入组</t>
        </is>
      </c>
      <c r="L147" s="11" t="inlineStr">
        <is>
          <t>依赖AR：AR23-02-01-01-02；依赖SR：无</t>
        </is>
      </c>
    </row>
    <row r="148" ht="61.95000076293945" customHeight="1">
      <c r="A148" s="11" t="inlineStr">
        <is>
          <t>SF-02/IR-02-01/SR23-02-01-01/AR23-02-01-01-04</t>
        </is>
      </c>
      <c r="B148" s="11" t="n">
        <v>4</v>
      </c>
      <c r="C148" s="11" t="inlineStr">
        <is>
          <t>AR</t>
        </is>
      </c>
      <c r="D148" s="11" t="inlineStr">
        <is>
          <t>AR23-02-01-01-04</t>
        </is>
      </c>
      <c r="E148" s="11" t="inlineStr">
        <is>
          <t>SR23-02-01-01</t>
        </is>
      </c>
      <c r="F148" s="11" t="inlineStr">
        <is>
          <t>├─ AR23-02-01-01-04 异常回滚</t>
        </is>
      </c>
      <c r="G148" s="11" t="inlineStr">
        <is>
          <t>vLLM/SGLang 统一 KV连接器（KVConnector） 协议与插件 SDK｜异常回滚</t>
        </is>
      </c>
      <c r="H148" s="11" t="inlineStr">
        <is>
          <t>实现并验证失败、超时、取消、降级、回滚与关闭路径：插件缺失或版本不兼容时禁用统一池并回到框架原生 cache/重算（recompute）</t>
        </is>
      </c>
      <c r="I148" s="11" t="inlineStr">
        <is>
          <t>代码通过编译、静态检查和单元测试；接口/配置有版本；失败语义和 功能开关（feature flag） 可验证。</t>
        </is>
      </c>
      <c r="J148" s="11" t="inlineStr">
        <is>
          <t>src/connector/sdk/fallback.{h,cc} + config/feature_flags/connector_protocol.yaml</t>
        </is>
      </c>
      <c r="K148" s="11" t="inlineStr">
        <is>
          <t>连接器（Connector） 协议与框架接入组</t>
        </is>
      </c>
      <c r="L148" s="11" t="inlineStr">
        <is>
          <t>依赖AR：AR23-02-01-01-03；依赖SR：无</t>
        </is>
      </c>
    </row>
    <row r="149" ht="61.95000076293945" customHeight="1">
      <c r="A149" s="11" t="inlineStr">
        <is>
          <t>SF-02/IR-02-01/SR23-02-01-01/AR23-02-01-01-05</t>
        </is>
      </c>
      <c r="B149" s="11" t="n">
        <v>4</v>
      </c>
      <c r="C149" s="11" t="inlineStr">
        <is>
          <t>AR</t>
        </is>
      </c>
      <c r="D149" s="11" t="inlineStr">
        <is>
          <t>AR23-02-01-01-05</t>
        </is>
      </c>
      <c r="E149" s="11" t="inlineStr">
        <is>
          <t>SR23-02-01-01</t>
        </is>
      </c>
      <c r="F149" s="11" t="inlineStr">
        <is>
          <t>├─ AR23-02-01-01-05 独立验收</t>
        </is>
      </c>
      <c r="G149" s="11" t="inlineStr">
        <is>
          <t>vLLM/SGLang 统一 KV连接器（KVConnector） 协议与插件 SDK｜独立验收</t>
        </is>
      </c>
      <c r="H149" s="11" t="inlineStr">
        <is>
          <t>建立不依赖全项目的验收环境，执行功能、异常、兼容和性能门禁并生成可签字证据包。</t>
        </is>
      </c>
      <c r="I149" s="11" t="inlineStr">
        <is>
          <t>在“Reference 连接器（Connector） + 两个框架 适配器（adapter） mock 即可独立验收”中完成主路径、异常、兼容和回滚；全部证据可一键复现。</t>
        </is>
      </c>
      <c r="J149" s="11" t="inlineStr">
        <is>
          <t>tests/connector_protocol/ + benchmarks/connector_protocol/ + evidence/connector_protocol/manifest.yaml</t>
        </is>
      </c>
      <c r="K149" s="11" t="inlineStr">
        <is>
          <t>测试/验收负责人</t>
        </is>
      </c>
      <c r="L149" s="11" t="inlineStr">
        <is>
          <t>依赖AR：AR23-02-01-01-04；依赖SR：无</t>
        </is>
      </c>
    </row>
    <row r="150" ht="61.95000076293945" customHeight="1">
      <c r="A150" s="11" t="inlineStr">
        <is>
          <t>SF-02/IR-02-01/SR23-02-01-01/AR23-02-01-01-06</t>
        </is>
      </c>
      <c r="B150" s="11" t="n">
        <v>4</v>
      </c>
      <c r="C150" s="11" t="inlineStr">
        <is>
          <t>AR</t>
        </is>
      </c>
      <c r="D150" s="11" t="inlineStr">
        <is>
          <t>AR23-02-01-01-06</t>
        </is>
      </c>
      <c r="E150" s="11" t="inlineStr">
        <is>
          <t>SR23-02-01-01</t>
        </is>
      </c>
      <c r="F150" s="11" t="inlineStr">
        <is>
          <t>├─ AR23-02-01-01-06 性能观测</t>
        </is>
      </c>
      <c r="G150" s="11" t="inlineStr">
        <is>
          <t>vLLM/SGLang 统一 KV连接器（KVConnector） 协议与插件 SDK｜性能观测</t>
        </is>
      </c>
      <c r="H150" s="11" t="inlineStr">
        <is>
          <t>接入统一 遥测数据（telemetry），建立本 SR 专属性能/资源/正确性指标和回归阈值：符合性（conformance）通过率100%；接口调用 p99&lt;5μs；新后端接入工期降低≥50%</t>
        </is>
      </c>
      <c r="I150" s="11" t="inlineStr">
        <is>
          <t>代码通过编译、静态检查和单元测试；接口/配置有版本；失败语义和 功能开关（feature flag） 可验证。</t>
        </is>
      </c>
      <c r="J150" s="11" t="inlineStr">
        <is>
          <t>src/connector/sdk/telemetry.{h,cc} + 仪表板（dashboards）/connector_protocol.json</t>
        </is>
      </c>
      <c r="K150" s="11" t="inlineStr">
        <is>
          <t>性能与可观测负责人</t>
        </is>
      </c>
      <c r="L150" s="11" t="inlineStr">
        <is>
          <t>依赖AR：AR23-02-01-01-05；依赖SR：无</t>
        </is>
      </c>
    </row>
    <row r="151" ht="61.95000076293945" customHeight="1">
      <c r="A151" s="11" t="inlineStr">
        <is>
          <t>SF-02/IR-02-02</t>
        </is>
      </c>
      <c r="B151" s="11" t="n">
        <v>2</v>
      </c>
      <c r="C151" s="11" t="inlineStr">
        <is>
          <t>IR</t>
        </is>
      </c>
      <c r="D151" s="11" t="inlineStr">
        <is>
          <t>IR-02-02</t>
        </is>
      </c>
      <c r="E151" s="11" t="inlineStr">
        <is>
          <t>SF-02</t>
        </is>
      </c>
      <c r="F151" s="11" t="inlineStr">
        <is>
          <t>├─ IR-02-02 基于缓存位置、加载收益和水位预算的推理调度与准入</t>
        </is>
      </c>
      <c r="G151" s="11" t="inlineStr">
        <is>
          <t>基于缓存位置、加载收益和水位预算的推理调度与准入</t>
        </is>
      </c>
      <c r="H151" s="11" t="inlineStr">
        <is>
          <t>系统应在请求进入执行实例和 前缀命中（Prefix Hit） 被消费之前，根据前缀判断预算、KV 所在位置、加载/附加/同步成本、重算可节省时间、HBM 水位和实例负载完成路由与准入。只有预计在 TTFT 截止时限（deadline） 内获得正收益的 KV 才允许加载，否则立即选择局部命中、部分重算、完全重算或平滑拒绝，避免命中反而拖慢业务。</t>
        </is>
      </c>
      <c r="I151" s="11" t="inlineStr">
        <is>
          <t>p99 TTFT降低≥20%；废弃远端加载（abandoned remote load）降低≥50%；跨节点每请求字节数（bytes/request）降低≥30%；QPS提升≥10%。</t>
        </is>
      </c>
      <c r="J151" s="11" t="inlineStr">
        <is>
          <t>vLLM 调度器（Scheduler）/BlockSpaceManager + SGLang 调度器（Scheduler） + Load-vs-Recompute 准入控制（Admission）</t>
        </is>
      </c>
      <c r="K151" s="11" t="inlineStr">
        <is>
          <t>TM1</t>
        </is>
      </c>
      <c r="L151" s="11" t="inlineStr">
        <is>
          <t>V2.2 IR语义沿用</t>
        </is>
      </c>
    </row>
    <row r="152" ht="61.95000076293945" customHeight="1">
      <c r="A152" s="11" t="inlineStr">
        <is>
          <t>SF-02/IR-02-02/SR23-02-02-01</t>
        </is>
      </c>
      <c r="B152" s="11" t="n">
        <v>3</v>
      </c>
      <c r="C152" s="11" t="inlineStr">
        <is>
          <t>SR</t>
        </is>
      </c>
      <c r="D152" s="11" t="inlineStr">
        <is>
          <t>SR23-02-02-01</t>
        </is>
      </c>
      <c r="E152" s="11" t="inlineStr">
        <is>
          <t>IR-02-02</t>
        </is>
      </c>
      <c r="F152" s="11" t="inlineStr">
        <is>
          <t>├─ SR23-02-02-01 前缀预算（Prefix Budget）、加载与重算（load-vs-recompute） 与水位准入组件</t>
        </is>
      </c>
      <c r="G152" s="11" t="inlineStr">
        <is>
          <t>前缀预算（Prefix Budget）、加载与重算（load-vs-recompute） 与水位准入组件</t>
        </is>
      </c>
      <c r="H152" s="11" t="inlineStr">
        <is>
          <t>前缀决策预算、加载收益判断、级联水位反压与 partial/重算（recompute）
交付：admission-engine 插件、前缀预算（PrefixBudget）/水位准入（WatermarkAdmission） 与 影子决策（shadow decision） 日志</t>
        </is>
      </c>
      <c r="I152" s="11" t="inlineStr">
        <is>
          <t>p99 TTFT降低≥20%；废弃远端加载（abandoned remote load）降低≥50%；错误 加载（Load）&lt;1%</t>
        </is>
      </c>
      <c r="J152" s="11" t="inlineStr">
        <is>
          <t>admission-engine 插件、前缀预算（PrefixBudget）/水位准入（WatermarkAdmission） 与 影子决策（shadow decision） 日志</t>
        </is>
      </c>
      <c r="K152" s="11" t="inlineStr">
        <is>
          <t>推理准入与收益决策组</t>
        </is>
      </c>
      <c r="L152" s="11" t="inlineStr">
        <is>
          <t>来源3条；依赖：SR23-02-01-01、SR23-01-03-01、SR23-02-05-02</t>
        </is>
      </c>
    </row>
    <row r="153" ht="61.95000076293945" customHeight="1">
      <c r="A153" s="11" t="inlineStr">
        <is>
          <t>SF-02/IR-02-02/SR23-02-02-01/AR23-02-02-01-01</t>
        </is>
      </c>
      <c r="B153" s="11" t="n">
        <v>4</v>
      </c>
      <c r="C153" s="11" t="inlineStr">
        <is>
          <t>AR</t>
        </is>
      </c>
      <c r="D153" s="11" t="inlineStr">
        <is>
          <t>AR23-02-02-01-01</t>
        </is>
      </c>
      <c r="E153" s="11" t="inlineStr">
        <is>
          <t>SR23-02-02-01</t>
        </is>
      </c>
      <c r="F153" s="11" t="inlineStr">
        <is>
          <t>├─ AR23-02-02-01-01 核心实现</t>
        </is>
      </c>
      <c r="G153" s="11" t="inlineStr">
        <is>
          <t>前缀预算（Prefix Budget）、加载与重算（load-vs-recompute） 与水位准入组件｜核心实现</t>
        </is>
      </c>
      <c r="H153" s="11" t="inlineStr">
        <is>
          <t>实现“前缀预算（Prefix Budget）、加载与重算（load-vs-recompute） 与水位准入组件”的可运行主路径，交付 admission-engine 插件、前缀预算（PrefixBudget）/水位准入（WatermarkAdmission） 与 影子决策（shadow decision） 日志 的核心代码、构建入口和最小示例。</t>
        </is>
      </c>
      <c r="I153" s="11" t="inlineStr">
        <is>
          <t>代码通过编译、静态检查和单元测试；接口/配置有版本；失败语义和 功能开关（feature flag） 可验证。</t>
        </is>
      </c>
      <c r="J153" s="11" t="inlineStr">
        <is>
          <t>src/runtime/admission/core.{h,cc}</t>
        </is>
      </c>
      <c r="K153" s="11" t="inlineStr">
        <is>
          <t>推理准入与收益决策组</t>
        </is>
      </c>
      <c r="L153" s="11" t="inlineStr">
        <is>
          <t>依赖AR：无；依赖SR：SR23-02-01-01、SR23-01-03-01、SR23-02-05-02</t>
        </is>
      </c>
    </row>
    <row r="154" ht="61.95000076293945" customHeight="1">
      <c r="A154" s="11" t="inlineStr">
        <is>
          <t>SF-02/IR-02-02/SR23-02-02-01/AR23-02-02-01-02</t>
        </is>
      </c>
      <c r="B154" s="11" t="n">
        <v>4</v>
      </c>
      <c r="C154" s="11" t="inlineStr">
        <is>
          <t>AR</t>
        </is>
      </c>
      <c r="D154" s="11" t="inlineStr">
        <is>
          <t>AR23-02-02-01-02</t>
        </is>
      </c>
      <c r="E154" s="11" t="inlineStr">
        <is>
          <t>SR23-02-02-01</t>
        </is>
      </c>
      <c r="F154" s="11" t="inlineStr">
        <is>
          <t>├─ AR23-02-02-01-02 接口契约</t>
        </is>
      </c>
      <c r="G154" s="11" t="inlineStr">
        <is>
          <t>前缀预算（Prefix Budget）、加载与重算（load-vs-recompute） 与水位准入组件｜接口契约</t>
        </is>
      </c>
      <c r="H154" s="11" t="inlineStr">
        <is>
          <t>冻结并实现接口/IDL、版本兼容、输入输出、错误码与 消费者（consumer） 示例：AdmissionRequest/Decision、截止时限（deadline）、原因（reason） code 与 回退（fallback） action</t>
        </is>
      </c>
      <c r="I154" s="11" t="inlineStr">
        <is>
          <t>代码通过编译、静态检查和单元测试；接口/配置有版本；失败语义和 功能开关（feature flag） 可验证。</t>
        </is>
      </c>
      <c r="J154" s="11" t="inlineStr">
        <is>
          <t>api/kvcache/v23/admission_engine.proto + src/runtime/admission/api.{h,cc}</t>
        </is>
      </c>
      <c r="K154" s="11" t="inlineStr">
        <is>
          <t>推理准入与收益决策组</t>
        </is>
      </c>
      <c r="L154" s="11" t="inlineStr">
        <is>
          <t>依赖AR：AR23-02-02-01-01；依赖SR：SR23-02-01-01、SR23-01-03-01、SR23-02-05-02</t>
        </is>
      </c>
    </row>
    <row r="155" ht="61.95000076293945" customHeight="1">
      <c r="A155" s="11" t="inlineStr">
        <is>
          <t>SF-02/IR-02-02/SR23-02-02-01/AR23-02-02-01-03</t>
        </is>
      </c>
      <c r="B155" s="11" t="n">
        <v>4</v>
      </c>
      <c r="C155" s="11" t="inlineStr">
        <is>
          <t>AR</t>
        </is>
      </c>
      <c r="D155" s="11" t="inlineStr">
        <is>
          <t>AR23-02-02-01-03</t>
        </is>
      </c>
      <c r="E155" s="11" t="inlineStr">
        <is>
          <t>SR23-02-02-01</t>
        </is>
      </c>
      <c r="F155" s="11" t="inlineStr">
        <is>
          <t>├─ AR23-02-02-01-03 状态模型</t>
        </is>
      </c>
      <c r="G155" s="11" t="inlineStr">
        <is>
          <t>前缀预算（Prefix Budget）、加载与重算（load-vs-recompute） 与水位准入组件｜状态模型</t>
        </is>
      </c>
      <c r="H155" s="11" t="inlineStr">
        <is>
          <t>实现状态、版本、并发互锁和持久/内存数据模型，覆盖正常转换与非法转换保护。</t>
        </is>
      </c>
      <c r="I155" s="11" t="inlineStr">
        <is>
          <t>代码通过编译、静态检查和单元测试；接口/配置有版本；失败语义和 功能开关（feature flag） 可验证。</t>
        </is>
      </c>
      <c r="J155" s="11" t="inlineStr">
        <is>
          <t>src/runtime/admission/state_model.{h,cc}</t>
        </is>
      </c>
      <c r="K155" s="11" t="inlineStr">
        <is>
          <t>推理准入与收益决策组</t>
        </is>
      </c>
      <c r="L155" s="11" t="inlineStr">
        <is>
          <t>依赖AR：AR23-02-02-01-02；依赖SR：SR23-02-01-01、SR23-01-03-01、SR23-02-05-02</t>
        </is>
      </c>
    </row>
    <row r="156" ht="61.95000076293945" customHeight="1">
      <c r="A156" s="11" t="inlineStr">
        <is>
          <t>SF-02/IR-02-02/SR23-02-02-01/AR23-02-02-01-04</t>
        </is>
      </c>
      <c r="B156" s="11" t="n">
        <v>4</v>
      </c>
      <c r="C156" s="11" t="inlineStr">
        <is>
          <t>AR</t>
        </is>
      </c>
      <c r="D156" s="11" t="inlineStr">
        <is>
          <t>AR23-02-02-01-04</t>
        </is>
      </c>
      <c r="E156" s="11" t="inlineStr">
        <is>
          <t>SR23-02-02-01</t>
        </is>
      </c>
      <c r="F156" s="11" t="inlineStr">
        <is>
          <t>├─ AR23-02-02-01-04 异常回滚</t>
        </is>
      </c>
      <c r="G156" s="11" t="inlineStr">
        <is>
          <t>前缀预算（Prefix Budget）、加载与重算（load-vs-recompute） 与水位准入组件｜异常回滚</t>
        </is>
      </c>
      <c r="H156" s="11" t="inlineStr">
        <is>
          <t>实现并验证失败、超时、取消、降级、回滚与关闭路径：预算超时、成本不可信或水位过高时 partial/重算（recompute）；不得等待远端负收益 加载（Load）</t>
        </is>
      </c>
      <c r="I156" s="11" t="inlineStr">
        <is>
          <t>代码通过编译、静态检查和单元测试；接口/配置有版本；失败语义和 功能开关（feature flag） 可验证。</t>
        </is>
      </c>
      <c r="J156" s="11" t="inlineStr">
        <is>
          <t>src/runtime/admission/fallback.{h,cc} + config/feature_flags/admission_engine.yaml</t>
        </is>
      </c>
      <c r="K156" s="11" t="inlineStr">
        <is>
          <t>推理准入与收益决策组</t>
        </is>
      </c>
      <c r="L156" s="11" t="inlineStr">
        <is>
          <t>依赖AR：AR23-02-02-01-03；依赖SR：SR23-02-01-01、SR23-01-03-01、SR23-02-05-02</t>
        </is>
      </c>
    </row>
    <row r="157" ht="61.95000076293945" customHeight="1">
      <c r="A157" s="11" t="inlineStr">
        <is>
          <t>SF-02/IR-02-02/SR23-02-02-01/AR23-02-02-01-05</t>
        </is>
      </c>
      <c r="B157" s="11" t="n">
        <v>4</v>
      </c>
      <c r="C157" s="11" t="inlineStr">
        <is>
          <t>AR</t>
        </is>
      </c>
      <c r="D157" s="11" t="inlineStr">
        <is>
          <t>AR23-02-02-01-05</t>
        </is>
      </c>
      <c r="E157" s="11" t="inlineStr">
        <is>
          <t>SR23-02-02-01</t>
        </is>
      </c>
      <c r="F157" s="11" t="inlineStr">
        <is>
          <t>├─ AR23-02-02-01-05 独立验收</t>
        </is>
      </c>
      <c r="G157" s="11" t="inlineStr">
        <is>
          <t>前缀预算（Prefix Budget）、加载与重算（load-vs-recompute） 与水位准入组件｜独立验收</t>
        </is>
      </c>
      <c r="H157" s="11" t="inlineStr">
        <is>
          <t>建立不依赖全项目的验收环境，执行功能、异常、兼容和性能门禁并生成可签字证据包。</t>
        </is>
      </c>
      <c r="I157" s="11" t="inlineStr">
        <is>
          <t>在“调度器（Scheduler） 测试支架（harness） + 查询计划（QueryPlan）/目录（Directory） 桩（stub） 即可独立验收”中完成主路径、异常、兼容和回滚；全部证据可一键复现。</t>
        </is>
      </c>
      <c r="J157" s="11" t="inlineStr">
        <is>
          <t>tests/admission_engine/ + benchmarks/admission_engine/ + evidence/admission_engine/manifest.yaml</t>
        </is>
      </c>
      <c r="K157" s="11" t="inlineStr">
        <is>
          <t>测试/验收负责人</t>
        </is>
      </c>
      <c r="L157" s="11" t="inlineStr">
        <is>
          <t>依赖AR：AR23-02-02-01-04；依赖SR：SR23-02-01-01、SR23-01-03-01、SR23-02-05-02</t>
        </is>
      </c>
    </row>
    <row r="158" ht="61.95000076293945" customHeight="1">
      <c r="A158" s="11" t="inlineStr">
        <is>
          <t>SF-02/IR-02-02/SR23-02-02-01/AR23-02-02-01-06</t>
        </is>
      </c>
      <c r="B158" s="11" t="n">
        <v>4</v>
      </c>
      <c r="C158" s="11" t="inlineStr">
        <is>
          <t>AR</t>
        </is>
      </c>
      <c r="D158" s="11" t="inlineStr">
        <is>
          <t>AR23-02-02-01-06</t>
        </is>
      </c>
      <c r="E158" s="11" t="inlineStr">
        <is>
          <t>SR23-02-02-01</t>
        </is>
      </c>
      <c r="F158" s="11" t="inlineStr">
        <is>
          <t>├─ AR23-02-02-01-06 性能观测</t>
        </is>
      </c>
      <c r="G158" s="11" t="inlineStr">
        <is>
          <t>前缀预算（Prefix Budget）、加载与重算（load-vs-recompute） 与水位准入组件｜性能观测</t>
        </is>
      </c>
      <c r="H158" s="11" t="inlineStr">
        <is>
          <t>接入统一 遥测数据（telemetry），建立本 SR 专属性能/资源/正确性指标和回归阈值：p99 TTFT降低≥20%；废弃远端加载（abandoned remote load）降低≥50%；错误 加载（Load）&lt;1%</t>
        </is>
      </c>
      <c r="I158" s="11" t="inlineStr">
        <is>
          <t>代码通过编译、静态检查和单元测试；接口/配置有版本；失败语义和 功能开关（feature flag） 可验证。</t>
        </is>
      </c>
      <c r="J158" s="11" t="inlineStr">
        <is>
          <t>src/runtime/admission/telemetry.{h,cc} + 仪表板（dashboards）/admission_engine.json</t>
        </is>
      </c>
      <c r="K158" s="11" t="inlineStr">
        <is>
          <t>性能与可观测负责人</t>
        </is>
      </c>
      <c r="L158" s="11" t="inlineStr">
        <is>
          <t>依赖AR：AR23-02-02-01-05；依赖SR：SR23-02-01-01、SR23-01-03-01、SR23-02-05-02</t>
        </is>
      </c>
    </row>
    <row r="159" ht="61.95000076293945" customHeight="1">
      <c r="A159" s="11" t="inlineStr">
        <is>
          <t>SF-02/IR-02-02/SR23-02-02-02</t>
        </is>
      </c>
      <c r="B159" s="11" t="n">
        <v>3</v>
      </c>
      <c r="C159" s="11" t="inlineStr">
        <is>
          <t>SR</t>
        </is>
      </c>
      <c r="D159" s="11" t="inlineStr">
        <is>
          <t>SR23-02-02-02</t>
        </is>
      </c>
      <c r="E159" s="11" t="inlineStr">
        <is>
          <t>IR-02-02</t>
        </is>
      </c>
      <c r="F159" s="11" t="inlineStr">
        <is>
          <t>├─ SR23-02-02-02 缓存感知（Cache-aware） 路由与异构存储调度插件</t>
        </is>
      </c>
      <c r="G159" s="11" t="inlineStr">
        <is>
          <t>缓存感知（Cache-aware） 路由与异构存储调度插件</t>
        </is>
      </c>
      <c r="H159" s="11" t="inlineStr">
        <is>
          <t>按 放置位置（Placement）/本地可用命中（Local Usable Hit） 路由、异构水位与容量感知调度
交付：cache-aware-router、vLLM/SGLang 调度器（Scheduler） 适配器（adapter） 与分层状态视图</t>
        </is>
      </c>
      <c r="I159" s="11" t="inlineStr">
        <is>
          <t>本地可用命中（Local Usable Hit）提升≥25%；跨节点每请求字节数（bytes/request）降低≥30%；过载不崩溃</t>
        </is>
      </c>
      <c r="J159" s="11" t="inlineStr">
        <is>
          <t>cache-aware-router、vLLM/SGLang 调度器（Scheduler） 适配器（adapter） 与分层状态视图</t>
        </is>
      </c>
      <c r="K159" s="11" t="inlineStr">
        <is>
          <t>框架调度与路由组</t>
        </is>
      </c>
      <c r="L159" s="11" t="inlineStr">
        <is>
          <t>来源2条；依赖：SR23-02-02-01、SR23-02-05-01、SR23-01-01-01</t>
        </is>
      </c>
    </row>
    <row r="160" ht="61.95000076293945" customHeight="1">
      <c r="A160" s="11" t="inlineStr">
        <is>
          <t>SF-02/IR-02-02/SR23-02-02-02/AR23-02-02-02-01</t>
        </is>
      </c>
      <c r="B160" s="11" t="n">
        <v>4</v>
      </c>
      <c r="C160" s="11" t="inlineStr">
        <is>
          <t>AR</t>
        </is>
      </c>
      <c r="D160" s="11" t="inlineStr">
        <is>
          <t>AR23-02-02-02-01</t>
        </is>
      </c>
      <c r="E160" s="11" t="inlineStr">
        <is>
          <t>SR23-02-02-02</t>
        </is>
      </c>
      <c r="F160" s="11" t="inlineStr">
        <is>
          <t>├─ AR23-02-02-02-01 核心实现</t>
        </is>
      </c>
      <c r="G160" s="11" t="inlineStr">
        <is>
          <t>缓存感知（Cache-aware） 路由与异构存储调度插件｜核心实现</t>
        </is>
      </c>
      <c r="H160" s="11" t="inlineStr">
        <is>
          <t>实现“缓存感知（Cache-aware） 路由与异构存储调度插件”的可运行主路径，交付 cache-aware-router、vLLM/SGLang 调度器（Scheduler） 适配器（adapter） 与分层状态视图 的核心代码、构建入口和最小示例。</t>
        </is>
      </c>
      <c r="I160" s="11" t="inlineStr">
        <is>
          <t>代码通过编译、静态检查和单元测试；接口/配置有版本；失败语义和 功能开关（feature flag） 可验证。</t>
        </is>
      </c>
      <c r="J160" s="11" t="inlineStr">
        <is>
          <t>src/runtime/cache_scheduler/core.{h,cc}</t>
        </is>
      </c>
      <c r="K160" s="11" t="inlineStr">
        <is>
          <t>框架调度与路由组</t>
        </is>
      </c>
      <c r="L160" s="11" t="inlineStr">
        <is>
          <t>依赖AR：无；依赖SR：SR23-02-02-01、SR23-02-05-01、SR23-01-01-01</t>
        </is>
      </c>
    </row>
    <row r="161" ht="61.95000076293945" customHeight="1">
      <c r="A161" s="11" t="inlineStr">
        <is>
          <t>SF-02/IR-02-02/SR23-02-02-02/AR23-02-02-02-02</t>
        </is>
      </c>
      <c r="B161" s="11" t="n">
        <v>4</v>
      </c>
      <c r="C161" s="11" t="inlineStr">
        <is>
          <t>AR</t>
        </is>
      </c>
      <c r="D161" s="11" t="inlineStr">
        <is>
          <t>AR23-02-02-02-02</t>
        </is>
      </c>
      <c r="E161" s="11" t="inlineStr">
        <is>
          <t>SR23-02-02-02</t>
        </is>
      </c>
      <c r="F161" s="11" t="inlineStr">
        <is>
          <t>├─ AR23-02-02-02-02 接口契约</t>
        </is>
      </c>
      <c r="G161" s="11" t="inlineStr">
        <is>
          <t>缓存感知（Cache-aware） 路由与异构存储调度插件｜接口契约</t>
        </is>
      </c>
      <c r="H161" s="11" t="inlineStr">
        <is>
          <t>冻结并实现接口/IDL、版本兼容、输入输出、错误码与 消费者（consumer） 示例：PlacementSummary、RouteDecision、SchedulerTierView</t>
        </is>
      </c>
      <c r="I161" s="11" t="inlineStr">
        <is>
          <t>代码通过编译、静态检查和单元测试；接口/配置有版本；失败语义和 功能开关（feature flag） 可验证。</t>
        </is>
      </c>
      <c r="J161" s="11" t="inlineStr">
        <is>
          <t>api/kvcache/v23/cache_scheduler.proto + src/runtime/cache_scheduler/api.{h,cc}</t>
        </is>
      </c>
      <c r="K161" s="11" t="inlineStr">
        <is>
          <t>框架调度与路由组</t>
        </is>
      </c>
      <c r="L161" s="11" t="inlineStr">
        <is>
          <t>依赖AR：AR23-02-02-02-01；依赖SR：SR23-02-02-01、SR23-02-05-01、SR23-01-01-01</t>
        </is>
      </c>
    </row>
    <row r="162" ht="61.95000076293945" customHeight="1">
      <c r="A162" s="11" t="inlineStr">
        <is>
          <t>SF-02/IR-02-02/SR23-02-02-02/AR23-02-02-02-03</t>
        </is>
      </c>
      <c r="B162" s="11" t="n">
        <v>4</v>
      </c>
      <c r="C162" s="11" t="inlineStr">
        <is>
          <t>AR</t>
        </is>
      </c>
      <c r="D162" s="11" t="inlineStr">
        <is>
          <t>AR23-02-02-02-03</t>
        </is>
      </c>
      <c r="E162" s="11" t="inlineStr">
        <is>
          <t>SR23-02-02-02</t>
        </is>
      </c>
      <c r="F162" s="11" t="inlineStr">
        <is>
          <t>├─ AR23-02-02-02-03 状态模型</t>
        </is>
      </c>
      <c r="G162" s="11" t="inlineStr">
        <is>
          <t>缓存感知（Cache-aware） 路由与异构存储调度插件｜状态模型</t>
        </is>
      </c>
      <c r="H162" s="11" t="inlineStr">
        <is>
          <t>实现状态、版本、并发互锁和持久/内存数据模型，覆盖正常转换与非法转换保护。</t>
        </is>
      </c>
      <c r="I162" s="11" t="inlineStr">
        <is>
          <t>代码通过编译、静态检查和单元测试；接口/配置有版本；失败语义和 功能开关（feature flag） 可验证。</t>
        </is>
      </c>
      <c r="J162" s="11" t="inlineStr">
        <is>
          <t>src/runtime/cache_scheduler/state_model.{h,cc}</t>
        </is>
      </c>
      <c r="K162" s="11" t="inlineStr">
        <is>
          <t>框架调度与路由组</t>
        </is>
      </c>
      <c r="L162" s="11" t="inlineStr">
        <is>
          <t>依赖AR：AR23-02-02-02-02；依赖SR：SR23-02-02-01、SR23-02-05-01、SR23-01-01-01</t>
        </is>
      </c>
    </row>
    <row r="163" ht="61.95000076293945" customHeight="1">
      <c r="A163" s="11" t="inlineStr">
        <is>
          <t>SF-02/IR-02-02/SR23-02-02-02/AR23-02-02-02-04</t>
        </is>
      </c>
      <c r="B163" s="11" t="n">
        <v>4</v>
      </c>
      <c r="C163" s="11" t="inlineStr">
        <is>
          <t>AR</t>
        </is>
      </c>
      <c r="D163" s="11" t="inlineStr">
        <is>
          <t>AR23-02-02-02-04</t>
        </is>
      </c>
      <c r="E163" s="11" t="inlineStr">
        <is>
          <t>SR23-02-02-02</t>
        </is>
      </c>
      <c r="F163" s="11" t="inlineStr">
        <is>
          <t>├─ AR23-02-02-02-04 异常回滚</t>
        </is>
      </c>
      <c r="G163" s="11" t="inlineStr">
        <is>
          <t>缓存感知（Cache-aware） 路由与异构存储调度插件｜异常回滚</t>
        </is>
      </c>
      <c r="H163" s="11" t="inlineStr">
        <is>
          <t>实现并验证失败、超时、取消、降级、回滚与关闭路径：目录/水位不可用时回退普通路由；系统过载时平滑拒绝</t>
        </is>
      </c>
      <c r="I163" s="11" t="inlineStr">
        <is>
          <t>代码通过编译、静态检查和单元测试；接口/配置有版本；失败语义和 功能开关（feature flag） 可验证。</t>
        </is>
      </c>
      <c r="J163" s="11" t="inlineStr">
        <is>
          <t>src/runtime/cache_scheduler/fallback.{h,cc} + config/feature_flags/cache_scheduler.yaml</t>
        </is>
      </c>
      <c r="K163" s="11" t="inlineStr">
        <is>
          <t>框架调度与路由组</t>
        </is>
      </c>
      <c r="L163" s="11" t="inlineStr">
        <is>
          <t>依赖AR：AR23-02-02-02-03；依赖SR：SR23-02-02-01、SR23-02-05-01、SR23-01-01-01</t>
        </is>
      </c>
    </row>
    <row r="164" ht="61.95000076293945" customHeight="1">
      <c r="A164" s="11" t="inlineStr">
        <is>
          <t>SF-02/IR-02-02/SR23-02-02-02/AR23-02-02-02-05</t>
        </is>
      </c>
      <c r="B164" s="11" t="n">
        <v>4</v>
      </c>
      <c r="C164" s="11" t="inlineStr">
        <is>
          <t>AR</t>
        </is>
      </c>
      <c r="D164" s="11" t="inlineStr">
        <is>
          <t>AR23-02-02-02-05</t>
        </is>
      </c>
      <c r="E164" s="11" t="inlineStr">
        <is>
          <t>SR23-02-02-02</t>
        </is>
      </c>
      <c r="F164" s="11" t="inlineStr">
        <is>
          <t>├─ AR23-02-02-02-05 独立验收</t>
        </is>
      </c>
      <c r="G164" s="11" t="inlineStr">
        <is>
          <t>缓存感知（Cache-aware） 路由与异构存储调度插件｜独立验收</t>
        </is>
      </c>
      <c r="H164" s="11" t="inlineStr">
        <is>
          <t>建立不依赖全项目的验收环境，执行功能、异常、兼容和性能门禁并生成可签字证据包。</t>
        </is>
      </c>
      <c r="I164" s="11" t="inlineStr">
        <is>
          <t>在“多实例 调度器模拟器（scheduler simulator） + 目录 桩（stub） 即可独立验收”中完成主路径、异常、兼容和回滚；全部证据可一键复现。</t>
        </is>
      </c>
      <c r="J164" s="11" t="inlineStr">
        <is>
          <t>tests/cache_scheduler/ + benchmarks/cache_scheduler/ + evidence/cache_scheduler/manifest.yaml</t>
        </is>
      </c>
      <c r="K164" s="11" t="inlineStr">
        <is>
          <t>测试/验收负责人</t>
        </is>
      </c>
      <c r="L164" s="11" t="inlineStr">
        <is>
          <t>依赖AR：AR23-02-02-02-04；依赖SR：SR23-02-02-01、SR23-02-05-01、SR23-01-01-01</t>
        </is>
      </c>
    </row>
    <row r="165" ht="61.95000076293945" customHeight="1">
      <c r="A165" s="11" t="inlineStr">
        <is>
          <t>SF-02/IR-02-02/SR23-02-02-02/AR23-02-02-02-06</t>
        </is>
      </c>
      <c r="B165" s="11" t="n">
        <v>4</v>
      </c>
      <c r="C165" s="11" t="inlineStr">
        <is>
          <t>AR</t>
        </is>
      </c>
      <c r="D165" s="11" t="inlineStr">
        <is>
          <t>AR23-02-02-02-06</t>
        </is>
      </c>
      <c r="E165" s="11" t="inlineStr">
        <is>
          <t>SR23-02-02-02</t>
        </is>
      </c>
      <c r="F165" s="11" t="inlineStr">
        <is>
          <t>├─ AR23-02-02-02-06 性能观测</t>
        </is>
      </c>
      <c r="G165" s="11" t="inlineStr">
        <is>
          <t>缓存感知（Cache-aware） 路由与异构存储调度插件｜性能观测</t>
        </is>
      </c>
      <c r="H165" s="11" t="inlineStr">
        <is>
          <t>接入统一 遥测数据（telemetry），建立本 SR 专属性能/资源/正确性指标和回归阈值：本地可用命中（Local Usable Hit）提升≥25%；跨节点每请求字节数（bytes/request）降低≥30%；过载不崩溃</t>
        </is>
      </c>
      <c r="I165" s="11" t="inlineStr">
        <is>
          <t>代码通过编译、静态检查和单元测试；接口/配置有版本；失败语义和 功能开关（feature flag） 可验证。</t>
        </is>
      </c>
      <c r="J165" s="11" t="inlineStr">
        <is>
          <t>src/runtime/cache_scheduler/telemetry.{h,cc} + 仪表板（dashboards）/cache_scheduler.json</t>
        </is>
      </c>
      <c r="K165" s="11" t="inlineStr">
        <is>
          <t>性能与可观测负责人</t>
        </is>
      </c>
      <c r="L165" s="11" t="inlineStr">
        <is>
          <t>依赖AR：AR23-02-02-02-05；依赖SR：SR23-02-02-01、SR23-02-05-01、SR23-01-01-01</t>
        </is>
      </c>
    </row>
    <row r="166" ht="61.95000076293945" customHeight="1">
      <c r="A166" s="11" t="inlineStr">
        <is>
          <t>SF-02/IR-02-03</t>
        </is>
      </c>
      <c r="B166" s="11" t="n">
        <v>2</v>
      </c>
      <c r="C166" s="11" t="inlineStr">
        <is>
          <t>IR</t>
        </is>
      </c>
      <c r="D166" s="11" t="inlineStr">
        <is>
          <t>IR-02-03</t>
        </is>
      </c>
      <c r="E166" s="11" t="inlineStr">
        <is>
          <t>SF-02</t>
        </is>
      </c>
      <c r="F166" s="11" t="inlineStr">
        <is>
          <t>├─ IR-02-03 支持vLLM哈希和SGLang RadixTree的低时延前缀匹配</t>
        </is>
      </c>
      <c r="G166" s="11" t="inlineStr">
        <is>
          <t>支持vLLM哈希和SGLang RadixTree的低时延前缀匹配</t>
        </is>
      </c>
      <c r="H166" s="11" t="inlineStr">
        <is>
          <t>系统应对 vLLM token-block hash 和 SGLang RadixTree 最长前缀匹配提供统一的低时延查询能力，支持会话增量哈希、并发读、长前缀匹配和路径压缩，使前缀判断不再受 Python GIL、重复 token/hash 计算或深树遍历限制。输出应是可继续进行语义与消费资格校验的候选 前缀区间（prefix span），而不是仅返回简单 命中/未命中（hit/miss）。</t>
        </is>
      </c>
      <c r="I166" s="11" t="inlineStr">
        <is>
          <t>前缀（Prefix） 查询（lookup） p99&lt;200 μs；100并发吞吐提升≥8x；可用命中率（Usable Hit Rate）提升≥15%；GIL持有时间降低≥90%。</t>
        </is>
      </c>
      <c r="J166" s="11" t="inlineStr">
        <is>
          <t>SGLang RadixTree + vLLM 块（block） hash + C++/Cython RCU + AVX2/NEON + xxHash</t>
        </is>
      </c>
      <c r="K166" s="11" t="inlineStr">
        <is>
          <t>TM1/TM2</t>
        </is>
      </c>
      <c r="L166" s="11" t="inlineStr">
        <is>
          <t>V2.2 IR语义沿用</t>
        </is>
      </c>
    </row>
    <row r="167" ht="61.95000076293945" customHeight="1">
      <c r="A167" s="11" t="inlineStr">
        <is>
          <t>SF-02/IR-02-03/SR23-02-03-01</t>
        </is>
      </c>
      <c r="B167" s="11" t="n">
        <v>3</v>
      </c>
      <c r="C167" s="11" t="inlineStr">
        <is>
          <t>SR</t>
        </is>
      </c>
      <c r="D167" s="11" t="inlineStr">
        <is>
          <t>SR23-02-03-01</t>
        </is>
      </c>
      <c r="E167" s="11" t="inlineStr">
        <is>
          <t>IR-02-03</t>
        </is>
      </c>
      <c r="F167" s="11" t="inlineStr">
        <is>
          <t>├─ SR23-02-03-01 跨框架低时延 前缀匹配引擎（Prefix Match Engine）</t>
        </is>
      </c>
      <c r="G167" s="11" t="inlineStr">
        <is>
          <t>跨框架低时延 前缀匹配引擎（Prefix Match Engine）</t>
        </is>
      </c>
      <c r="H167" s="11" t="inlineStr">
        <is>
          <t>统一 longest-prefix-match、RCU 并发、SIMD/hash 适配器（adapter） 与路径压缩
交付：prefix-match-engine、vLLM hash/SGLang RadixTree 适配器（adapter）、并发基准</t>
        </is>
      </c>
      <c r="I167" s="11" t="inlineStr">
        <is>
          <t>查询（lookup） p99&lt;200μs；100并发吞吐提升≥8x；匹配正确率100%</t>
        </is>
      </c>
      <c r="J167" s="11" t="inlineStr">
        <is>
          <t>prefix-match-engine、vLLM hash/SGLang RadixTree 适配器（adapter）、并发基准</t>
        </is>
      </c>
      <c r="K167" s="11" t="inlineStr">
        <is>
          <t>前缀算法组</t>
        </is>
      </c>
      <c r="L167" s="11" t="inlineStr">
        <is>
          <t>来源3条；依赖：SR23-02-01-01</t>
        </is>
      </c>
    </row>
    <row r="168" ht="61.95000076293945" customHeight="1">
      <c r="A168" s="11" t="inlineStr">
        <is>
          <t>SF-02/IR-02-03/SR23-02-03-01/AR23-02-03-01-01</t>
        </is>
      </c>
      <c r="B168" s="11" t="n">
        <v>4</v>
      </c>
      <c r="C168" s="11" t="inlineStr">
        <is>
          <t>AR</t>
        </is>
      </c>
      <c r="D168" s="11" t="inlineStr">
        <is>
          <t>AR23-02-03-01-01</t>
        </is>
      </c>
      <c r="E168" s="11" t="inlineStr">
        <is>
          <t>SR23-02-03-01</t>
        </is>
      </c>
      <c r="F168" s="11" t="inlineStr">
        <is>
          <t>├─ AR23-02-03-01-01 核心实现</t>
        </is>
      </c>
      <c r="G168" s="11" t="inlineStr">
        <is>
          <t>跨框架低时延 前缀匹配引擎（Prefix Match Engine）｜核心实现</t>
        </is>
      </c>
      <c r="H168" s="11" t="inlineStr">
        <is>
          <t>实现“跨框架低时延 前缀匹配引擎（Prefix Match Engine）”的可运行主路径，交付 prefix-match-engine、vLLM hash/SGLang RadixTree 适配器（adapter）、并发基准 的核心代码、构建入口和最小示例。</t>
        </is>
      </c>
      <c r="I168" s="11" t="inlineStr">
        <is>
          <t>代码通过编译、静态检查和单元测试；接口/配置有版本；失败语义和 功能开关（feature flag） 可验证。</t>
        </is>
      </c>
      <c r="J168" s="11" t="inlineStr">
        <is>
          <t>src/index/prefix_match/core.{h,cc}</t>
        </is>
      </c>
      <c r="K168" s="11" t="inlineStr">
        <is>
          <t>前缀算法组</t>
        </is>
      </c>
      <c r="L168" s="11" t="inlineStr">
        <is>
          <t>依赖AR：无；依赖SR：SR23-02-01-01</t>
        </is>
      </c>
    </row>
    <row r="169" ht="61.95000076293945" customHeight="1">
      <c r="A169" s="11" t="inlineStr">
        <is>
          <t>SF-02/IR-02-03/SR23-02-03-01/AR23-02-03-01-02</t>
        </is>
      </c>
      <c r="B169" s="11" t="n">
        <v>4</v>
      </c>
      <c r="C169" s="11" t="inlineStr">
        <is>
          <t>AR</t>
        </is>
      </c>
      <c r="D169" s="11" t="inlineStr">
        <is>
          <t>AR23-02-03-01-02</t>
        </is>
      </c>
      <c r="E169" s="11" t="inlineStr">
        <is>
          <t>SR23-02-03-01</t>
        </is>
      </c>
      <c r="F169" s="11" t="inlineStr">
        <is>
          <t>├─ AR23-02-03-01-02 接口契约</t>
        </is>
      </c>
      <c r="G169" s="11" t="inlineStr">
        <is>
          <t>跨框架低时延 前缀匹配引擎（Prefix Match Engine）｜接口契约</t>
        </is>
      </c>
      <c r="H169" s="11" t="inlineStr">
        <is>
          <t>冻结并实现接口/IDL、版本兼容、输入输出、错误码与 消费者（consumer） 示例：match(tokens, semanticIdentity)→PrefixMatchResult</t>
        </is>
      </c>
      <c r="I169" s="11" t="inlineStr">
        <is>
          <t>代码通过编译、静态检查和单元测试；接口/配置有版本；失败语义和 功能开关（feature flag） 可验证。</t>
        </is>
      </c>
      <c r="J169" s="11" t="inlineStr">
        <is>
          <t>api/kvcache/v23/prefix_engine.proto + src/index/prefix_match/api.{h,cc}</t>
        </is>
      </c>
      <c r="K169" s="11" t="inlineStr">
        <is>
          <t>前缀算法组</t>
        </is>
      </c>
      <c r="L169" s="11" t="inlineStr">
        <is>
          <t>依赖AR：AR23-02-03-01-01；依赖SR：SR23-02-01-01</t>
        </is>
      </c>
    </row>
    <row r="170" ht="61.95000076293945" customHeight="1">
      <c r="A170" s="11" t="inlineStr">
        <is>
          <t>SF-02/IR-02-03/SR23-02-03-01/AR23-02-03-01-03</t>
        </is>
      </c>
      <c r="B170" s="11" t="n">
        <v>4</v>
      </c>
      <c r="C170" s="11" t="inlineStr">
        <is>
          <t>AR</t>
        </is>
      </c>
      <c r="D170" s="11" t="inlineStr">
        <is>
          <t>AR23-02-03-01-03</t>
        </is>
      </c>
      <c r="E170" s="11" t="inlineStr">
        <is>
          <t>SR23-02-03-01</t>
        </is>
      </c>
      <c r="F170" s="11" t="inlineStr">
        <is>
          <t>├─ AR23-02-03-01-03 状态模型</t>
        </is>
      </c>
      <c r="G170" s="11" t="inlineStr">
        <is>
          <t>跨框架低时延 前缀匹配引擎（Prefix Match Engine）｜状态模型</t>
        </is>
      </c>
      <c r="H170" s="11" t="inlineStr">
        <is>
          <t>实现状态、版本、并发互锁和持久/内存数据模型，覆盖正常转换与非法转换保护。</t>
        </is>
      </c>
      <c r="I170" s="11" t="inlineStr">
        <is>
          <t>代码通过编译、静态检查和单元测试；接口/配置有版本；失败语义和 功能开关（feature flag） 可验证。</t>
        </is>
      </c>
      <c r="J170" s="11" t="inlineStr">
        <is>
          <t>src/index/prefix_match/state_model.{h,cc}</t>
        </is>
      </c>
      <c r="K170" s="11" t="inlineStr">
        <is>
          <t>前缀算法组</t>
        </is>
      </c>
      <c r="L170" s="11" t="inlineStr">
        <is>
          <t>依赖AR：AR23-02-03-01-02；依赖SR：SR23-02-01-01</t>
        </is>
      </c>
    </row>
    <row r="171" ht="61.95000076293945" customHeight="1">
      <c r="A171" s="11" t="inlineStr">
        <is>
          <t>SF-02/IR-02-03/SR23-02-03-01/AR23-02-03-01-04</t>
        </is>
      </c>
      <c r="B171" s="11" t="n">
        <v>4</v>
      </c>
      <c r="C171" s="11" t="inlineStr">
        <is>
          <t>AR</t>
        </is>
      </c>
      <c r="D171" s="11" t="inlineStr">
        <is>
          <t>AR23-02-03-01-04</t>
        </is>
      </c>
      <c r="E171" s="11" t="inlineStr">
        <is>
          <t>SR23-02-03-01</t>
        </is>
      </c>
      <c r="F171" s="11" t="inlineStr">
        <is>
          <t>├─ AR23-02-03-01-04 异常回滚</t>
        </is>
      </c>
      <c r="G171" s="11" t="inlineStr">
        <is>
          <t>跨框架低时延 前缀匹配引擎（Prefix Match Engine）｜异常回滚</t>
        </is>
      </c>
      <c r="H171" s="11" t="inlineStr">
        <is>
          <t>实现并验证失败、超时、取消、降级、回滚与关闭路径：加速实现不可用时使用 参考匹配器（reference matcher）；不得返回未经语义校验的候选</t>
        </is>
      </c>
      <c r="I171" s="11" t="inlineStr">
        <is>
          <t>代码通过编译、静态检查和单元测试；接口/配置有版本；失败语义和 功能开关（feature flag） 可验证。</t>
        </is>
      </c>
      <c r="J171" s="11" t="inlineStr">
        <is>
          <t>src/index/prefix_match/fallback.{h,cc} + config/feature_flags/prefix_engine.yaml</t>
        </is>
      </c>
      <c r="K171" s="11" t="inlineStr">
        <is>
          <t>前缀算法组</t>
        </is>
      </c>
      <c r="L171" s="11" t="inlineStr">
        <is>
          <t>依赖AR：AR23-02-03-01-03；依赖SR：SR23-02-01-01</t>
        </is>
      </c>
    </row>
    <row r="172" ht="61.95000076293945" customHeight="1">
      <c r="A172" s="11" t="inlineStr">
        <is>
          <t>SF-02/IR-02-03/SR23-02-03-01/AR23-02-03-01-05</t>
        </is>
      </c>
      <c r="B172" s="11" t="n">
        <v>4</v>
      </c>
      <c r="C172" s="11" t="inlineStr">
        <is>
          <t>AR</t>
        </is>
      </c>
      <c r="D172" s="11" t="inlineStr">
        <is>
          <t>AR23-02-03-01-05</t>
        </is>
      </c>
      <c r="E172" s="11" t="inlineStr">
        <is>
          <t>SR23-02-03-01</t>
        </is>
      </c>
      <c r="F172" s="11" t="inlineStr">
        <is>
          <t>├─ AR23-02-03-01-05 独立验收</t>
        </is>
      </c>
      <c r="G172" s="11" t="inlineStr">
        <is>
          <t>跨框架低时延 前缀匹配引擎（Prefix Match Engine）｜独立验收</t>
        </is>
      </c>
      <c r="H172" s="11" t="inlineStr">
        <is>
          <t>建立不依赖全项目的验收环境，执行功能、异常、兼容和性能门禁并生成可签字证据包。</t>
        </is>
      </c>
      <c r="I172" s="11" t="inlineStr">
        <is>
          <t>在“固定索引 测试夹具（fixture） + 并发查询即可独立验收”中完成主路径、异常、兼容和回滚；全部证据可一键复现。</t>
        </is>
      </c>
      <c r="J172" s="11" t="inlineStr">
        <is>
          <t>tests/prefix_engine/ + benchmarks/prefix_engine/ + evidence/prefix_engine/manifest.yaml</t>
        </is>
      </c>
      <c r="K172" s="11" t="inlineStr">
        <is>
          <t>测试/验收负责人</t>
        </is>
      </c>
      <c r="L172" s="11" t="inlineStr">
        <is>
          <t>依赖AR：AR23-02-03-01-04；依赖SR：SR23-02-01-01</t>
        </is>
      </c>
    </row>
    <row r="173" ht="61.95000076293945" customHeight="1">
      <c r="A173" s="11" t="inlineStr">
        <is>
          <t>SF-02/IR-02-03/SR23-02-03-01/AR23-02-03-01-06</t>
        </is>
      </c>
      <c r="B173" s="11" t="n">
        <v>4</v>
      </c>
      <c r="C173" s="11" t="inlineStr">
        <is>
          <t>AR</t>
        </is>
      </c>
      <c r="D173" s="11" t="inlineStr">
        <is>
          <t>AR23-02-03-01-06</t>
        </is>
      </c>
      <c r="E173" s="11" t="inlineStr">
        <is>
          <t>SR23-02-03-01</t>
        </is>
      </c>
      <c r="F173" s="11" t="inlineStr">
        <is>
          <t>├─ AR23-02-03-01-06 性能观测</t>
        </is>
      </c>
      <c r="G173" s="11" t="inlineStr">
        <is>
          <t>跨框架低时延 前缀匹配引擎（Prefix Match Engine）｜性能观测</t>
        </is>
      </c>
      <c r="H173" s="11" t="inlineStr">
        <is>
          <t>接入统一 遥测数据（telemetry），建立本 SR 专属性能/资源/正确性指标和回归阈值：查询（lookup） p99&lt;200μs；100并发吞吐提升≥8x；匹配正确率100%</t>
        </is>
      </c>
      <c r="I173" s="11" t="inlineStr">
        <is>
          <t>代码通过编译、静态检查和单元测试；接口/配置有版本；失败语义和 功能开关（feature flag） 可验证。</t>
        </is>
      </c>
      <c r="J173" s="11" t="inlineStr">
        <is>
          <t>src/index/prefix_match/telemetry.{h,cc} + 仪表板（dashboards）/prefix_engine.json</t>
        </is>
      </c>
      <c r="K173" s="11" t="inlineStr">
        <is>
          <t>性能与可观测负责人</t>
        </is>
      </c>
      <c r="L173" s="11" t="inlineStr">
        <is>
          <t>依赖AR：AR23-02-03-01-05；依赖SR：SR23-02-01-01</t>
        </is>
      </c>
    </row>
    <row r="174" ht="61.95000076293945" customHeight="1">
      <c r="A174" s="11" t="inlineStr">
        <is>
          <t>SF-02/IR-02-04</t>
        </is>
      </c>
      <c r="B174" s="11" t="n">
        <v>2</v>
      </c>
      <c r="C174" s="11" t="inlineStr">
        <is>
          <t>IR</t>
        </is>
      </c>
      <c r="D174" s="11" t="inlineStr">
        <is>
          <t>IR-02-04</t>
        </is>
      </c>
      <c r="E174" s="11" t="inlineStr">
        <is>
          <t>SF-02</t>
        </is>
      </c>
      <c r="F174" s="11" t="inlineStr">
        <is>
          <t>├─ IR-02-04 支持本地元数据缓存、负缓存（Negative Cache）及批量查询的命中快判</t>
        </is>
      </c>
      <c r="G174" s="11" t="inlineStr">
        <is>
          <t>支持本地元数据缓存、负缓存（Negative Cache）及批量查询的命中快判</t>
        </is>
      </c>
      <c r="H174" s="11" t="inlineStr">
        <is>
          <t>系统应在推理节点本地维护热前缀元数据、目录镜像、负缓存（Negative Cache） 和快速过滤结构，并提供 批量/范围查询（Batch/Range Lookup），使确定 miss 和高频命中无需每次访问远端目录。所有本地结果必须携带版本或新鲜度证据，在 TTL 过期、收到 invalidation 或一致性不确定时自动绕过本地结果，兼顾 TTFT 快判和命中正确性。</t>
        </is>
      </c>
      <c r="I174" s="11" t="inlineStr">
        <is>
          <t>本地命中查询&lt;10 μs；确定miss p99&lt;5 μs；remote 查询（lookup） QPS降低≥50%；Bloom FPR&lt;0.1%。</t>
        </is>
      </c>
      <c r="J174" s="11" t="inlineStr">
        <is>
          <t>absl::flat_hash_map/Folly F14 + Bloom/Cuckoo Filter + 批量/范围查询（Batch/Range Lookup）</t>
        </is>
      </c>
      <c r="K174" s="11" t="inlineStr">
        <is>
          <t>TM2</t>
        </is>
      </c>
      <c r="L174" s="11" t="inlineStr">
        <is>
          <t>V2.2 IR语义沿用</t>
        </is>
      </c>
    </row>
    <row r="175" ht="61.95000076293945" customHeight="1">
      <c r="A175" s="11" t="inlineStr">
        <is>
          <t>SF-02/IR-02-04/SR23-02-04-01</t>
        </is>
      </c>
      <c r="B175" s="11" t="n">
        <v>3</v>
      </c>
      <c r="C175" s="11" t="inlineStr">
        <is>
          <t>SR</t>
        </is>
      </c>
      <c r="D175" s="11" t="inlineStr">
        <is>
          <t>SR23-02-04-01</t>
        </is>
      </c>
      <c r="E175" s="11" t="inlineStr">
        <is>
          <t>IR-02-04</t>
        </is>
      </c>
      <c r="F175" s="11" t="inlineStr">
        <is>
          <t>├─ SR23-02-04-01 本地元数据缓存与批量快判组件</t>
        </is>
      </c>
      <c r="G175" s="11" t="inlineStr">
        <is>
          <t>本地元数据缓存与批量快判组件</t>
        </is>
      </c>
      <c r="H175" s="11" t="inlineStr">
        <is>
          <t>本地命中/确定 miss、元数据缓存、批量查询、可消费状态快判
交付：local-metadata-cache、负缓存（Negative Cache）、批量/范围查询（Batch/Range Lookup） 和 新鲜度防护（freshness guard）</t>
        </is>
      </c>
      <c r="I175" s="11" t="inlineStr">
        <is>
          <t>本地命中&lt;10μs；确定 miss p99&lt;5μs；远端查询QPS降低≥50%；FPR&lt;0.1%</t>
        </is>
      </c>
      <c r="J175" s="11" t="inlineStr">
        <is>
          <t>local-metadata-cache、负缓存（Negative Cache）、批量/范围查询（Batch/Range Lookup） 和 新鲜度防护（freshness guard）</t>
        </is>
      </c>
      <c r="K175" s="11" t="inlineStr">
        <is>
          <t>本地元数据快路径组</t>
        </is>
      </c>
      <c r="L175" s="11" t="inlineStr">
        <is>
          <t>来源4条；依赖：SR23-02-03-01、SR23-02-05-01</t>
        </is>
      </c>
    </row>
    <row r="176" ht="61.95000076293945" customHeight="1">
      <c r="A176" s="11" t="inlineStr">
        <is>
          <t>SF-02/IR-02-04/SR23-02-04-01/AR23-02-04-01-01</t>
        </is>
      </c>
      <c r="B176" s="11" t="n">
        <v>4</v>
      </c>
      <c r="C176" s="11" t="inlineStr">
        <is>
          <t>AR</t>
        </is>
      </c>
      <c r="D176" s="11" t="inlineStr">
        <is>
          <t>AR23-02-04-01-01</t>
        </is>
      </c>
      <c r="E176" s="11" t="inlineStr">
        <is>
          <t>SR23-02-04-01</t>
        </is>
      </c>
      <c r="F176" s="11" t="inlineStr">
        <is>
          <t>├─ AR23-02-04-01-01 核心实现</t>
        </is>
      </c>
      <c r="G176" s="11" t="inlineStr">
        <is>
          <t>本地元数据缓存与批量快判组件｜核心实现</t>
        </is>
      </c>
      <c r="H176" s="11" t="inlineStr">
        <is>
          <t>实现“本地元数据缓存与批量快判组件”的可运行主路径，交付 local-metadata-cache、负缓存（Negative Cache）、批量/范围查询（Batch/Range Lookup） 和 新鲜度防护（freshness guard） 的核心代码、构建入口和最小示例。</t>
        </is>
      </c>
      <c r="I176" s="11" t="inlineStr">
        <is>
          <t>代码通过编译、静态检查和单元测试；接口/配置有版本；失败语义和 功能开关（feature flag） 可验证。</t>
        </is>
      </c>
      <c r="J176" s="11" t="inlineStr">
        <is>
          <t>src/index/local_metadata/core.{h,cc}</t>
        </is>
      </c>
      <c r="K176" s="11" t="inlineStr">
        <is>
          <t>本地元数据快路径组</t>
        </is>
      </c>
      <c r="L176" s="11" t="inlineStr">
        <is>
          <t>依赖AR：无；依赖SR：SR23-02-03-01、SR23-02-05-01</t>
        </is>
      </c>
    </row>
    <row r="177" ht="61.95000076293945" customHeight="1">
      <c r="A177" s="11" t="inlineStr">
        <is>
          <t>SF-02/IR-02-04/SR23-02-04-01/AR23-02-04-01-02</t>
        </is>
      </c>
      <c r="B177" s="11" t="n">
        <v>4</v>
      </c>
      <c r="C177" s="11" t="inlineStr">
        <is>
          <t>AR</t>
        </is>
      </c>
      <c r="D177" s="11" t="inlineStr">
        <is>
          <t>AR23-02-04-01-02</t>
        </is>
      </c>
      <c r="E177" s="11" t="inlineStr">
        <is>
          <t>SR23-02-04-01</t>
        </is>
      </c>
      <c r="F177" s="11" t="inlineStr">
        <is>
          <t>├─ AR23-02-04-01-02 接口契约</t>
        </is>
      </c>
      <c r="G177" s="11" t="inlineStr">
        <is>
          <t>本地元数据缓存与批量快判组件｜接口契约</t>
        </is>
      </c>
      <c r="H177" s="11" t="inlineStr">
        <is>
          <t>冻结并实现接口/IDL、版本兼容、输入输出、错误码与 消费者（consumer） 示例：查询（lookup）/batchLookup、NegativeResult、FreshnessEvidence</t>
        </is>
      </c>
      <c r="I177" s="11" t="inlineStr">
        <is>
          <t>代码通过编译、静态检查和单元测试；接口/配置有版本；失败语义和 功能开关（feature flag） 可验证。</t>
        </is>
      </c>
      <c r="J177" s="11" t="inlineStr">
        <is>
          <t>api/kvcache/v23/local_metadata.proto + src/index/local_metadata/api.{h,cc}</t>
        </is>
      </c>
      <c r="K177" s="11" t="inlineStr">
        <is>
          <t>本地元数据快路径组</t>
        </is>
      </c>
      <c r="L177" s="11" t="inlineStr">
        <is>
          <t>依赖AR：AR23-02-04-01-01；依赖SR：SR23-02-03-01、SR23-02-05-01</t>
        </is>
      </c>
    </row>
    <row r="178" ht="61.95000076293945" customHeight="1">
      <c r="A178" s="11" t="inlineStr">
        <is>
          <t>SF-02/IR-02-04/SR23-02-04-01/AR23-02-04-01-03</t>
        </is>
      </c>
      <c r="B178" s="11" t="n">
        <v>4</v>
      </c>
      <c r="C178" s="11" t="inlineStr">
        <is>
          <t>AR</t>
        </is>
      </c>
      <c r="D178" s="11" t="inlineStr">
        <is>
          <t>AR23-02-04-01-03</t>
        </is>
      </c>
      <c r="E178" s="11" t="inlineStr">
        <is>
          <t>SR23-02-04-01</t>
        </is>
      </c>
      <c r="F178" s="11" t="inlineStr">
        <is>
          <t>├─ AR23-02-04-01-03 状态模型</t>
        </is>
      </c>
      <c r="G178" s="11" t="inlineStr">
        <is>
          <t>本地元数据缓存与批量快判组件｜状态模型</t>
        </is>
      </c>
      <c r="H178" s="11" t="inlineStr">
        <is>
          <t>实现状态、版本、并发互锁和持久/内存数据模型，覆盖正常转换与非法转换保护。</t>
        </is>
      </c>
      <c r="I178" s="11" t="inlineStr">
        <is>
          <t>代码通过编译、静态检查和单元测试；接口/配置有版本；失败语义和 功能开关（feature flag） 可验证。</t>
        </is>
      </c>
      <c r="J178" s="11" t="inlineStr">
        <is>
          <t>src/index/local_metadata/state_model.{h,cc}</t>
        </is>
      </c>
      <c r="K178" s="11" t="inlineStr">
        <is>
          <t>本地元数据快路径组</t>
        </is>
      </c>
      <c r="L178" s="11" t="inlineStr">
        <is>
          <t>依赖AR：AR23-02-04-01-02；依赖SR：SR23-02-03-01、SR23-02-05-01</t>
        </is>
      </c>
    </row>
    <row r="179" ht="61.95000076293945" customHeight="1">
      <c r="A179" s="11" t="inlineStr">
        <is>
          <t>SF-02/IR-02-04/SR23-02-04-01/AR23-02-04-01-04</t>
        </is>
      </c>
      <c r="B179" s="11" t="n">
        <v>4</v>
      </c>
      <c r="C179" s="11" t="inlineStr">
        <is>
          <t>AR</t>
        </is>
      </c>
      <c r="D179" s="11" t="inlineStr">
        <is>
          <t>AR23-02-04-01-04</t>
        </is>
      </c>
      <c r="E179" s="11" t="inlineStr">
        <is>
          <t>SR23-02-04-01</t>
        </is>
      </c>
      <c r="F179" s="11" t="inlineStr">
        <is>
          <t>├─ AR23-02-04-01-04 异常回滚</t>
        </is>
      </c>
      <c r="G179" s="11" t="inlineStr">
        <is>
          <t>本地元数据缓存与批量快判组件｜异常回滚</t>
        </is>
      </c>
      <c r="H179" s="11" t="inlineStr">
        <is>
          <t>实现并验证失败、超时、取消、降级、回滚与关闭路径：缓存过期或不确定时发起精确查询；禁止将 陈旧（stale） 数据作为 可用命中（usable hit）</t>
        </is>
      </c>
      <c r="I179" s="11" t="inlineStr">
        <is>
          <t>代码通过编译、静态检查和单元测试；接口/配置有版本；失败语义和 功能开关（feature flag） 可验证。</t>
        </is>
      </c>
      <c r="J179" s="11" t="inlineStr">
        <is>
          <t>src/index/local_metadata/fallback.{h,cc} + config/feature_flags/local_metadata.yaml</t>
        </is>
      </c>
      <c r="K179" s="11" t="inlineStr">
        <is>
          <t>本地元数据快路径组</t>
        </is>
      </c>
      <c r="L179" s="11" t="inlineStr">
        <is>
          <t>依赖AR：AR23-02-04-01-03；依赖SR：SR23-02-03-01、SR23-02-05-01</t>
        </is>
      </c>
    </row>
    <row r="180" ht="61.95000076293945" customHeight="1">
      <c r="A180" s="11" t="inlineStr">
        <is>
          <t>SF-02/IR-02-04/SR23-02-04-01/AR23-02-04-01-05</t>
        </is>
      </c>
      <c r="B180" s="11" t="n">
        <v>4</v>
      </c>
      <c r="C180" s="11" t="inlineStr">
        <is>
          <t>AR</t>
        </is>
      </c>
      <c r="D180" s="11" t="inlineStr">
        <is>
          <t>AR23-02-04-01-05</t>
        </is>
      </c>
      <c r="E180" s="11" t="inlineStr">
        <is>
          <t>SR23-02-04-01</t>
        </is>
      </c>
      <c r="F180" s="11" t="inlineStr">
        <is>
          <t>├─ AR23-02-04-01-05 独立验收</t>
        </is>
      </c>
      <c r="G180" s="11" t="inlineStr">
        <is>
          <t>本地元数据缓存与批量快判组件｜独立验收</t>
        </is>
      </c>
      <c r="H180" s="11" t="inlineStr">
        <is>
          <t>建立不依赖全项目的验收环境，执行功能、异常、兼容和性能门禁并生成可签字证据包。</t>
        </is>
      </c>
      <c r="I180" s="11" t="inlineStr">
        <is>
          <t>在“内存数据集 + fake 远端目录（remote directory） 即可独立验收”中完成主路径、异常、兼容和回滚；全部证据可一键复现。</t>
        </is>
      </c>
      <c r="J180" s="11" t="inlineStr">
        <is>
          <t>tests/local_metadata/ + benchmarks/local_metadata/ + evidence/local_metadata/manifest.yaml</t>
        </is>
      </c>
      <c r="K180" s="11" t="inlineStr">
        <is>
          <t>测试/验收负责人</t>
        </is>
      </c>
      <c r="L180" s="11" t="inlineStr">
        <is>
          <t>依赖AR：AR23-02-04-01-04；依赖SR：SR23-02-03-01、SR23-02-05-01</t>
        </is>
      </c>
    </row>
    <row r="181" ht="61.95000076293945" customHeight="1">
      <c r="A181" s="11" t="inlineStr">
        <is>
          <t>SF-02/IR-02-05</t>
        </is>
      </c>
      <c r="B181" s="11" t="n">
        <v>2</v>
      </c>
      <c r="C181" s="11" t="inlineStr">
        <is>
          <t>IR</t>
        </is>
      </c>
      <c r="D181" s="11" t="inlineStr">
        <is>
          <t>IR-02-05</t>
        </is>
      </c>
      <c r="E181" s="11" t="inlineStr">
        <is>
          <t>SF-02</t>
        </is>
      </c>
      <c r="F181" s="11" t="inlineStr">
        <is>
          <t>├─ IR-02-05 支持集群级前缀目录、KV位置索引及副本可用性查询</t>
        </is>
      </c>
      <c r="G181" s="11" t="inlineStr">
        <is>
          <t>支持集群级前缀目录、KV位置索引及副本可用性查询</t>
        </is>
      </c>
      <c r="H181" s="11" t="inlineStr">
        <is>
          <t>系统应提供集群级 前缀目录（PrefixDirectory） 和 KV 元数据服务，统一记录语义身份、对象 ID、存储区段（extent）、放置位置（placement）、副本、布局、版本、就绪状态（ready）、租约（lease）、健康状态和 墓碑标记（tombstone），回答前缀是否存在、是否可安全消费、有哪些副本以及从哪个位置获取最有利。目录应支持分片、副本、镜像、失效传播和故障恢复，避免同步远端查询成为 TTFT 单点瓶颈。</t>
        </is>
      </c>
      <c r="I181" s="11" t="inlineStr">
        <is>
          <t>远端目录（remote directory） RTT降低≥50%；查询（lookup） p99降低≥30%；目录可用性≥99.99%；陈旧命中（stale hit）=0。</t>
        </is>
      </c>
      <c r="J181" s="11" t="inlineStr">
        <is>
          <t>Compressed Radix/Hash Index + Consistent Hash + RocksDB/braft + 目录（Directory） Mirror</t>
        </is>
      </c>
      <c r="K181" s="11" t="inlineStr">
        <is>
          <t>TM2</t>
        </is>
      </c>
      <c r="L181" s="11" t="inlineStr">
        <is>
          <t>V2.2 IR语义沿用</t>
        </is>
      </c>
    </row>
    <row r="182" ht="61.95000076293945" customHeight="1">
      <c r="A182" s="11" t="inlineStr">
        <is>
          <t>SF-02/IR-02-05/SR23-02-05-01</t>
        </is>
      </c>
      <c r="B182" s="11" t="n">
        <v>3</v>
      </c>
      <c r="C182" s="11" t="inlineStr">
        <is>
          <t>SR</t>
        </is>
      </c>
      <c r="D182" s="11" t="inlineStr">
        <is>
          <t>SR23-02-05-01</t>
        </is>
      </c>
      <c r="E182" s="11" t="inlineStr">
        <is>
          <t>IR-02-05</t>
        </is>
      </c>
      <c r="F182" s="11" t="inlineStr">
        <is>
          <t>├─ SR23-02-05-01 集群 前缀目录（PrefixDirectory） 核心与高可用服务</t>
        </is>
      </c>
      <c r="G182" s="11" t="inlineStr">
        <is>
          <t>集群 前缀目录（PrefixDirectory） 核心与高可用服务</t>
        </is>
      </c>
      <c r="H182" s="11" t="inlineStr">
        <is>
          <t>目录 模式（schema）、原子发布、墓碑标记（tombstone）、副本位置、分片、复制与镜像
交付：prefix-directory-service、模式（schema）、分片/复制/镜像、发布（publish）/invalidate API</t>
        </is>
      </c>
      <c r="I182" s="11" t="inlineStr">
        <is>
          <t>可用性≥99.99%；陈旧命中（stale hit）=0；发布可见性一致；故障切换不丢记录</t>
        </is>
      </c>
      <c r="J182" s="11" t="inlineStr">
        <is>
          <t>prefix-directory-service、模式（schema）、分片/复制/镜像、发布（publish）/invalidate API</t>
        </is>
      </c>
      <c r="K182" s="11" t="inlineStr">
        <is>
          <t>分布式目录服务组</t>
        </is>
      </c>
      <c r="L182" s="11" t="inlineStr">
        <is>
          <t>来源9条；依赖：SR23-01-11-01</t>
        </is>
      </c>
    </row>
    <row r="183" ht="61.95000076293945" customHeight="1">
      <c r="A183" s="11" t="inlineStr">
        <is>
          <t>SF-02/IR-02-05/SR23-02-05-01/AR23-02-05-01-01</t>
        </is>
      </c>
      <c r="B183" s="11" t="n">
        <v>4</v>
      </c>
      <c r="C183" s="11" t="inlineStr">
        <is>
          <t>AR</t>
        </is>
      </c>
      <c r="D183" s="11" t="inlineStr">
        <is>
          <t>AR23-02-05-01-01</t>
        </is>
      </c>
      <c r="E183" s="11" t="inlineStr">
        <is>
          <t>SR23-02-05-01</t>
        </is>
      </c>
      <c r="F183" s="11" t="inlineStr">
        <is>
          <t>├─ AR23-02-05-01-01 核心实现</t>
        </is>
      </c>
      <c r="G183" s="11" t="inlineStr">
        <is>
          <t>集群 前缀目录（PrefixDirectory） 核心与高可用服务｜核心实现</t>
        </is>
      </c>
      <c r="H183" s="11" t="inlineStr">
        <is>
          <t>实现“集群 前缀目录（PrefixDirectory） 核心与高可用服务”的可运行主路径，交付 prefix-directory-service、模式（schema）、分片/复制/镜像、发布（publish）/invalidate API 的核心代码、构建入口和最小示例。</t>
        </is>
      </c>
      <c r="I183" s="11" t="inlineStr">
        <is>
          <t>代码通过编译、静态检查和单元测试；接口/配置有版本；失败语义和 功能开关（feature flag） 可验证。</t>
        </is>
      </c>
      <c r="J183" s="11" t="inlineStr">
        <is>
          <t>src/directory/core/core.{h,cc}</t>
        </is>
      </c>
      <c r="K183" s="11" t="inlineStr">
        <is>
          <t>分布式目录服务组</t>
        </is>
      </c>
      <c r="L183" s="11" t="inlineStr">
        <is>
          <t>依赖AR：无；依赖SR：SR23-01-11-01</t>
        </is>
      </c>
    </row>
    <row r="184" ht="61.95000076293945" customHeight="1">
      <c r="A184" s="11" t="inlineStr">
        <is>
          <t>SF-02/IR-02-05/SR23-02-05-01/AR23-02-05-01-02</t>
        </is>
      </c>
      <c r="B184" s="11" t="n">
        <v>4</v>
      </c>
      <c r="C184" s="11" t="inlineStr">
        <is>
          <t>AR</t>
        </is>
      </c>
      <c r="D184" s="11" t="inlineStr">
        <is>
          <t>AR23-02-05-01-02</t>
        </is>
      </c>
      <c r="E184" s="11" t="inlineStr">
        <is>
          <t>SR23-02-05-01</t>
        </is>
      </c>
      <c r="F184" s="11" t="inlineStr">
        <is>
          <t>├─ AR23-02-05-01-02 接口契约</t>
        </is>
      </c>
      <c r="G184" s="11" t="inlineStr">
        <is>
          <t>集群 前缀目录（PrefixDirectory） 核心与高可用服务｜接口契约</t>
        </is>
      </c>
      <c r="H184" s="11" t="inlineStr">
        <is>
          <t>冻结并实现接口/IDL、版本兼容、输入输出、错误码与 消费者（consumer） 示例：publish/invalidate/queryReplica、DirectoryRecord、version/墓碑标记（tombstone）</t>
        </is>
      </c>
      <c r="I184" s="11" t="inlineStr">
        <is>
          <t>代码通过编译、静态检查和单元测试；接口/配置有版本；失败语义和 功能开关（feature flag） 可验证。</t>
        </is>
      </c>
      <c r="J184" s="11" t="inlineStr">
        <is>
          <t>api/kvcache/v23/directory_core.proto + src/directory/core/api.{h,cc}</t>
        </is>
      </c>
      <c r="K184" s="11" t="inlineStr">
        <is>
          <t>分布式目录服务组</t>
        </is>
      </c>
      <c r="L184" s="11" t="inlineStr">
        <is>
          <t>依赖AR：AR23-02-05-01-01；依赖SR：SR23-01-11-01</t>
        </is>
      </c>
    </row>
    <row r="185" ht="61.95000076293945" customHeight="1">
      <c r="A185" s="11" t="inlineStr">
        <is>
          <t>SF-02/IR-02-05/SR23-02-05-01/AR23-02-05-01-03</t>
        </is>
      </c>
      <c r="B185" s="11" t="n">
        <v>4</v>
      </c>
      <c r="C185" s="11" t="inlineStr">
        <is>
          <t>AR</t>
        </is>
      </c>
      <c r="D185" s="11" t="inlineStr">
        <is>
          <t>AR23-02-05-01-03</t>
        </is>
      </c>
      <c r="E185" s="11" t="inlineStr">
        <is>
          <t>SR23-02-05-01</t>
        </is>
      </c>
      <c r="F185" s="11" t="inlineStr">
        <is>
          <t>├─ AR23-02-05-01-03 状态模型</t>
        </is>
      </c>
      <c r="G185" s="11" t="inlineStr">
        <is>
          <t>集群 前缀目录（PrefixDirectory） 核心与高可用服务｜状态模型</t>
        </is>
      </c>
      <c r="H185" s="11" t="inlineStr">
        <is>
          <t>实现状态、版本、并发互锁和持久/内存数据模型，覆盖正常转换与非法转换保护。</t>
        </is>
      </c>
      <c r="I185" s="11" t="inlineStr">
        <is>
          <t>代码通过编译、静态检查和单元测试；接口/配置有版本；失败语义和 功能开关（feature flag） 可验证。</t>
        </is>
      </c>
      <c r="J185" s="11" t="inlineStr">
        <is>
          <t>src/directory/core/state_model.{h,cc}</t>
        </is>
      </c>
      <c r="K185" s="11" t="inlineStr">
        <is>
          <t>分布式目录服务组</t>
        </is>
      </c>
      <c r="L185" s="11" t="inlineStr">
        <is>
          <t>依赖AR：AR23-02-05-01-02；依赖SR：SR23-01-11-01</t>
        </is>
      </c>
    </row>
    <row r="186" ht="61.95000076293945" customHeight="1">
      <c r="A186" s="11" t="inlineStr">
        <is>
          <t>SF-02/IR-02-05/SR23-02-05-01/AR23-02-05-01-04</t>
        </is>
      </c>
      <c r="B186" s="11" t="n">
        <v>4</v>
      </c>
      <c r="C186" s="11" t="inlineStr">
        <is>
          <t>AR</t>
        </is>
      </c>
      <c r="D186" s="11" t="inlineStr">
        <is>
          <t>AR23-02-05-01-04</t>
        </is>
      </c>
      <c r="E186" s="11" t="inlineStr">
        <is>
          <t>SR23-02-05-01</t>
        </is>
      </c>
      <c r="F186" s="11" t="inlineStr">
        <is>
          <t>├─ AR23-02-05-01-04 异常回滚</t>
        </is>
      </c>
      <c r="G186" s="11" t="inlineStr">
        <is>
          <t>集群 前缀目录（PrefixDirectory） 核心与高可用服务｜异常回滚</t>
        </is>
      </c>
      <c r="H186" s="11" t="inlineStr">
        <is>
          <t>实现并验证失败、超时、取消、降级、回滚与关闭路径：主分片故障切副本；镜像过期强制精确查询；未 就绪状态（ready）/墓碑标记（tombstone） 不返回</t>
        </is>
      </c>
      <c r="I186" s="11" t="inlineStr">
        <is>
          <t>代码通过编译、静态检查和单元测试；接口/配置有版本；失败语义和 功能开关（feature flag） 可验证。</t>
        </is>
      </c>
      <c r="J186" s="11" t="inlineStr">
        <is>
          <t>src/directory/core/fallback.{h,cc} + config/feature_flags/directory_core.yaml</t>
        </is>
      </c>
      <c r="K186" s="11" t="inlineStr">
        <is>
          <t>分布式目录服务组</t>
        </is>
      </c>
      <c r="L186" s="11" t="inlineStr">
        <is>
          <t>依赖AR：AR23-02-05-01-03；依赖SR：SR23-01-11-01</t>
        </is>
      </c>
    </row>
    <row r="187" ht="61.95000076293945" customHeight="1">
      <c r="A187" s="11" t="inlineStr">
        <is>
          <t>SF-02/IR-02-05/SR23-02-05-01/AR23-02-05-01-05</t>
        </is>
      </c>
      <c r="B187" s="11" t="n">
        <v>4</v>
      </c>
      <c r="C187" s="11" t="inlineStr">
        <is>
          <t>AR</t>
        </is>
      </c>
      <c r="D187" s="11" t="inlineStr">
        <is>
          <t>AR23-02-05-01-05</t>
        </is>
      </c>
      <c r="E187" s="11" t="inlineStr">
        <is>
          <t>SR23-02-05-01</t>
        </is>
      </c>
      <c r="F187" s="11" t="inlineStr">
        <is>
          <t>├─ AR23-02-05-01-05 独立验收</t>
        </is>
      </c>
      <c r="G187" s="11" t="inlineStr">
        <is>
          <t>集群 前缀目录（PrefixDirectory） 核心与高可用服务｜独立验收</t>
        </is>
      </c>
      <c r="H187" s="11" t="inlineStr">
        <is>
          <t>建立不依赖全项目的验收环境，执行功能、异常、兼容和性能门禁并生成可签字证据包。</t>
        </is>
      </c>
      <c r="I187" s="11" t="inlineStr">
        <is>
          <t>在“3节点目录集群或内存一致性模拟器即可独立验收”中完成主路径、异常、兼容和回滚；全部证据可一键复现。</t>
        </is>
      </c>
      <c r="J187" s="11" t="inlineStr">
        <is>
          <t>tests/directory_core/ + benchmarks/directory_core/ + evidence/directory_core/manifest.yaml</t>
        </is>
      </c>
      <c r="K187" s="11" t="inlineStr">
        <is>
          <t>测试/验收负责人</t>
        </is>
      </c>
      <c r="L187" s="11" t="inlineStr">
        <is>
          <t>依赖AR：AR23-02-05-01-04；依赖SR：SR23-01-11-01</t>
        </is>
      </c>
    </row>
    <row r="188" ht="61.95000076293945" customHeight="1">
      <c r="A188" s="11" t="inlineStr">
        <is>
          <t>SF-02/IR-02-05/SR23-02-05-01/AR23-02-05-01-06</t>
        </is>
      </c>
      <c r="B188" s="11" t="n">
        <v>4</v>
      </c>
      <c r="C188" s="11" t="inlineStr">
        <is>
          <t>AR</t>
        </is>
      </c>
      <c r="D188" s="11" t="inlineStr">
        <is>
          <t>AR23-02-05-01-06</t>
        </is>
      </c>
      <c r="E188" s="11" t="inlineStr">
        <is>
          <t>SR23-02-05-01</t>
        </is>
      </c>
      <c r="F188" s="11" t="inlineStr">
        <is>
          <t>├─ AR23-02-05-01-06 性能观测</t>
        </is>
      </c>
      <c r="G188" s="11" t="inlineStr">
        <is>
          <t>集群 前缀目录（PrefixDirectory） 核心与高可用服务｜性能观测</t>
        </is>
      </c>
      <c r="H188" s="11" t="inlineStr">
        <is>
          <t>接入统一 遥测数据（telemetry），建立本 SR 专属性能/资源/正确性指标和回归阈值：可用性≥99.99%；陈旧命中（stale hit）=0；发布可见性一致；故障切换不丢记录</t>
        </is>
      </c>
      <c r="I188" s="11" t="inlineStr">
        <is>
          <t>代码通过编译、静态检查和单元测试；接口/配置有版本；失败语义和 功能开关（feature flag） 可验证。</t>
        </is>
      </c>
      <c r="J188" s="11" t="inlineStr">
        <is>
          <t>src/directory/core/telemetry.{h,cc} + 仪表板（dashboards）/directory_core.json</t>
        </is>
      </c>
      <c r="K188" s="11" t="inlineStr">
        <is>
          <t>性能与可观测负责人</t>
        </is>
      </c>
      <c r="L188" s="11" t="inlineStr">
        <is>
          <t>依赖AR：AR23-02-05-01-05；依赖SR：SR23-01-11-01</t>
        </is>
      </c>
    </row>
    <row r="189" ht="61.95000076293945" customHeight="1">
      <c r="A189" s="11" t="inlineStr">
        <is>
          <t>SF-02/IR-02-05/SR23-02-05-02</t>
        </is>
      </c>
      <c r="B189" s="11" t="n">
        <v>3</v>
      </c>
      <c r="C189" s="11" t="inlineStr">
        <is>
          <t>SR</t>
        </is>
      </c>
      <c r="D189" s="11" t="inlineStr">
        <is>
          <t>SR23-02-05-02</t>
        </is>
      </c>
      <c r="E189" s="11" t="inlineStr">
        <is>
          <t>IR-02-05</t>
        </is>
      </c>
      <c r="F189" s="11" t="inlineStr">
        <is>
          <t>├─ SR23-02-05-02 前缀目录（PrefixDirectory） 本地快路径与消费资格组件</t>
        </is>
      </c>
      <c r="G189" s="11" t="inlineStr">
        <is>
          <t>前缀目录（PrefixDirectory） 本地快路径与消费资格组件</t>
        </is>
      </c>
      <c r="H189" s="11" t="inlineStr">
        <is>
          <t>本地热索引、紧凑布局、批量查询、陈旧数据防护（stale guard）、hit quality 和消费资格
交付：directory-fastpath、hot 本地（local） index、range/batch 查询（lookup）、ConsumeEligibility</t>
        </is>
      </c>
      <c r="I189" s="11" t="inlineStr">
        <is>
          <t>查询（lookup） p99降低≥30%；陈旧命中（stale hit）=0；可用命中（usable hit） 转化提升≥15%；错误候选=0</t>
        </is>
      </c>
      <c r="J189" s="11" t="inlineStr">
        <is>
          <t>directory-fastpath、hot 本地（local） index、range/batch 查询（lookup）、ConsumeEligibility</t>
        </is>
      </c>
      <c r="K189" s="11" t="inlineStr">
        <is>
          <t>目录快路径与资格判定组</t>
        </is>
      </c>
      <c r="L189" s="11" t="inlineStr">
        <is>
          <t>来源8条；依赖：SR23-02-05-01、SR23-02-04-01、SR23-01-10-01</t>
        </is>
      </c>
    </row>
    <row r="190" ht="61.95000076293945" customHeight="1">
      <c r="A190" s="11" t="inlineStr">
        <is>
          <t>SF-02/IR-02-05/SR23-02-05-02/AR23-02-05-02-01</t>
        </is>
      </c>
      <c r="B190" s="11" t="n">
        <v>4</v>
      </c>
      <c r="C190" s="11" t="inlineStr">
        <is>
          <t>AR</t>
        </is>
      </c>
      <c r="D190" s="11" t="inlineStr">
        <is>
          <t>AR23-02-05-02-01</t>
        </is>
      </c>
      <c r="E190" s="11" t="inlineStr">
        <is>
          <t>SR23-02-05-02</t>
        </is>
      </c>
      <c r="F190" s="11" t="inlineStr">
        <is>
          <t>├─ AR23-02-05-02-01 核心实现</t>
        </is>
      </c>
      <c r="G190" s="11" t="inlineStr">
        <is>
          <t>前缀目录（PrefixDirectory） 本地快路径与消费资格组件｜核心实现</t>
        </is>
      </c>
      <c r="H190" s="11" t="inlineStr">
        <is>
          <t>实现“前缀目录（PrefixDirectory） 本地快路径与消费资格组件”的可运行主路径，交付 directory-fastpath、hot 本地（local） index、range/batch 查询（lookup）、ConsumeEligibility 的核心代码、构建入口和最小示例。</t>
        </is>
      </c>
      <c r="I190" s="11" t="inlineStr">
        <is>
          <t>代码通过编译、静态检查和单元测试；接口/配置有版本；失败语义和 功能开关（feature flag） 可验证。</t>
        </is>
      </c>
      <c r="J190" s="11" t="inlineStr">
        <is>
          <t>src/directory/fastpath/core.{h,cc}</t>
        </is>
      </c>
      <c r="K190" s="11" t="inlineStr">
        <is>
          <t>目录快路径与资格判定组</t>
        </is>
      </c>
      <c r="L190" s="11" t="inlineStr">
        <is>
          <t>依赖AR：无；依赖SR：SR23-02-05-01、SR23-02-04-01、SR23-01-10-01</t>
        </is>
      </c>
    </row>
    <row r="191" ht="61.95000076293945" customHeight="1">
      <c r="A191" s="11" t="inlineStr">
        <is>
          <t>SF-02/IR-02-05/SR23-02-05-02/AR23-02-05-02-02</t>
        </is>
      </c>
      <c r="B191" s="11" t="n">
        <v>4</v>
      </c>
      <c r="C191" s="11" t="inlineStr">
        <is>
          <t>AR</t>
        </is>
      </c>
      <c r="D191" s="11" t="inlineStr">
        <is>
          <t>AR23-02-05-02-02</t>
        </is>
      </c>
      <c r="E191" s="11" t="inlineStr">
        <is>
          <t>SR23-02-05-02</t>
        </is>
      </c>
      <c r="F191" s="11" t="inlineStr">
        <is>
          <t>├─ AR23-02-05-02-02 接口契约</t>
        </is>
      </c>
      <c r="G191" s="11" t="inlineStr">
        <is>
          <t>前缀目录（PrefixDirectory） 本地快路径与消费资格组件｜接口契约</t>
        </is>
      </c>
      <c r="H191" s="11" t="inlineStr">
        <is>
          <t>冻结并实现接口/IDL、版本兼容、输入输出、错误码与 消费者（consumer） 示例：lookupFast、ConsumeEligibilityResult、HitQuality、陈旧（stale） 原因（reason）</t>
        </is>
      </c>
      <c r="I191" s="11" t="inlineStr">
        <is>
          <t>代码通过编译、静态检查和单元测试；接口/配置有版本；失败语义和 功能开关（feature flag） 可验证。</t>
        </is>
      </c>
      <c r="J191" s="11" t="inlineStr">
        <is>
          <t>api/kvcache/v23/directory_fastpath.proto + src/directory/fastpath/api.{h,cc}</t>
        </is>
      </c>
      <c r="K191" s="11" t="inlineStr">
        <is>
          <t>目录快路径与资格判定组</t>
        </is>
      </c>
      <c r="L191" s="11" t="inlineStr">
        <is>
          <t>依赖AR：AR23-02-05-02-01；依赖SR：SR23-02-05-01、SR23-02-04-01、SR23-01-10-01</t>
        </is>
      </c>
    </row>
    <row r="192" ht="61.95000076293945" customHeight="1">
      <c r="A192" s="11" t="inlineStr">
        <is>
          <t>SF-02/IR-02-05/SR23-02-05-02/AR23-02-05-02-03</t>
        </is>
      </c>
      <c r="B192" s="11" t="n">
        <v>4</v>
      </c>
      <c r="C192" s="11" t="inlineStr">
        <is>
          <t>AR</t>
        </is>
      </c>
      <c r="D192" s="11" t="inlineStr">
        <is>
          <t>AR23-02-05-02-03</t>
        </is>
      </c>
      <c r="E192" s="11" t="inlineStr">
        <is>
          <t>SR23-02-05-02</t>
        </is>
      </c>
      <c r="F192" s="11" t="inlineStr">
        <is>
          <t>├─ AR23-02-05-02-03 状态模型</t>
        </is>
      </c>
      <c r="G192" s="11" t="inlineStr">
        <is>
          <t>前缀目录（PrefixDirectory） 本地快路径与消费资格组件｜状态模型</t>
        </is>
      </c>
      <c r="H192" s="11" t="inlineStr">
        <is>
          <t>实现状态、版本、并发互锁和持久/内存数据模型，覆盖正常转换与非法转换保护。</t>
        </is>
      </c>
      <c r="I192" s="11" t="inlineStr">
        <is>
          <t>代码通过编译、静态检查和单元测试；接口/配置有版本；失败语义和 功能开关（feature flag） 可验证。</t>
        </is>
      </c>
      <c r="J192" s="11" t="inlineStr">
        <is>
          <t>src/directory/fastpath/state_model.{h,cc}</t>
        </is>
      </c>
      <c r="K192" s="11" t="inlineStr">
        <is>
          <t>目录快路径与资格判定组</t>
        </is>
      </c>
      <c r="L192" s="11" t="inlineStr">
        <is>
          <t>依赖AR：AR23-02-05-02-02；依赖SR：SR23-02-05-01、SR23-02-04-01、SR23-01-10-01</t>
        </is>
      </c>
    </row>
    <row r="193" ht="61.95000076293945" customHeight="1">
      <c r="A193" s="11" t="inlineStr">
        <is>
          <t>SF-02/IR-02-05/SR23-02-05-02/AR23-02-05-02-04</t>
        </is>
      </c>
      <c r="B193" s="11" t="n">
        <v>4</v>
      </c>
      <c r="C193" s="11" t="inlineStr">
        <is>
          <t>AR</t>
        </is>
      </c>
      <c r="D193" s="11" t="inlineStr">
        <is>
          <t>AR23-02-05-02-04</t>
        </is>
      </c>
      <c r="E193" s="11" t="inlineStr">
        <is>
          <t>SR23-02-05-02</t>
        </is>
      </c>
      <c r="F193" s="11" t="inlineStr">
        <is>
          <t>├─ AR23-02-05-02-04 异常回滚</t>
        </is>
      </c>
      <c r="G193" s="11" t="inlineStr">
        <is>
          <t>前缀目录（PrefixDirectory） 本地快路径与消费资格组件｜异常回滚</t>
        </is>
      </c>
      <c r="H193" s="11" t="inlineStr">
        <is>
          <t>实现并验证失败、超时、取消、降级、回滚与关闭路径：本地证据不足时精确查询 DIRECTORY_CORE；负收益候选标记 abandoned</t>
        </is>
      </c>
      <c r="I193" s="11" t="inlineStr">
        <is>
          <t>代码通过编译、静态检查和单元测试；接口/配置有版本；失败语义和 功能开关（feature flag） 可验证。</t>
        </is>
      </c>
      <c r="J193" s="11" t="inlineStr">
        <is>
          <t>src/directory/fastpath/fallback.{h,cc} + config/feature_flags/directory_fastpath.yaml</t>
        </is>
      </c>
      <c r="K193" s="11" t="inlineStr">
        <is>
          <t>目录快路径与资格判定组</t>
        </is>
      </c>
      <c r="L193" s="11" t="inlineStr">
        <is>
          <t>依赖AR：AR23-02-05-02-03；依赖SR：SR23-02-05-01、SR23-02-04-01、SR23-01-10-01</t>
        </is>
      </c>
    </row>
    <row r="194" ht="61.95000076293945" customHeight="1">
      <c r="A194" s="11" t="inlineStr">
        <is>
          <t>SF-02/IR-02-05/SR23-02-05-02/AR23-02-05-02-05</t>
        </is>
      </c>
      <c r="B194" s="11" t="n">
        <v>4</v>
      </c>
      <c r="C194" s="11" t="inlineStr">
        <is>
          <t>AR</t>
        </is>
      </c>
      <c r="D194" s="11" t="inlineStr">
        <is>
          <t>AR23-02-05-02-05</t>
        </is>
      </c>
      <c r="E194" s="11" t="inlineStr">
        <is>
          <t>SR23-02-05-02</t>
        </is>
      </c>
      <c r="F194" s="11" t="inlineStr">
        <is>
          <t>├─ AR23-02-05-02-05 独立验收</t>
        </is>
      </c>
      <c r="G194" s="11" t="inlineStr">
        <is>
          <t>前缀目录（PrefixDirectory） 本地快路径与消费资格组件｜独立验收</t>
        </is>
      </c>
      <c r="H194" s="11" t="inlineStr">
        <is>
          <t>建立不依赖全项目的验收环境，执行功能、异常、兼容和性能门禁并生成可签字证据包。</t>
        </is>
      </c>
      <c r="I194" s="11" t="inlineStr">
        <is>
          <t>在“录制目录快照 + 故障（fault） 测试夹具（fixture） 即可独立验收”中完成主路径、异常、兼容和回滚；全部证据可一键复现。</t>
        </is>
      </c>
      <c r="J194" s="11" t="inlineStr">
        <is>
          <t>tests/directory_fastpath/ + benchmarks/directory_fastpath/ + evidence/directory_fastpath/manifest.yaml</t>
        </is>
      </c>
      <c r="K194" s="11" t="inlineStr">
        <is>
          <t>测试/验收负责人</t>
        </is>
      </c>
      <c r="L194" s="11" t="inlineStr">
        <is>
          <t>依赖AR：AR23-02-05-02-04；依赖SR：SR23-02-05-01、SR23-02-04-01、SR23-01-10-01</t>
        </is>
      </c>
    </row>
    <row r="195" ht="61.95000076293945" customHeight="1">
      <c r="A195" s="11" t="inlineStr">
        <is>
          <t>SF-02/IR-02-05/SR23-02-05-02/AR23-02-05-02-06</t>
        </is>
      </c>
      <c r="B195" s="11" t="n">
        <v>4</v>
      </c>
      <c r="C195" s="11" t="inlineStr">
        <is>
          <t>AR</t>
        </is>
      </c>
      <c r="D195" s="11" t="inlineStr">
        <is>
          <t>AR23-02-05-02-06</t>
        </is>
      </c>
      <c r="E195" s="11" t="inlineStr">
        <is>
          <t>SR23-02-05-02</t>
        </is>
      </c>
      <c r="F195" s="11" t="inlineStr">
        <is>
          <t>├─ AR23-02-05-02-06 性能观测</t>
        </is>
      </c>
      <c r="G195" s="11" t="inlineStr">
        <is>
          <t>前缀目录（PrefixDirectory） 本地快路径与消费资格组件｜性能观测</t>
        </is>
      </c>
      <c r="H195" s="11" t="inlineStr">
        <is>
          <t>接入统一 遥测数据（telemetry），建立本 SR 专属性能/资源/正确性指标和回归阈值：查询（lookup） p99降低≥30%；陈旧命中（stale hit）=0；可用命中（usable hit） 转化提升≥15%；错误候选=0</t>
        </is>
      </c>
      <c r="I195" s="11" t="inlineStr">
        <is>
          <t>代码通过编译、静态检查和单元测试；接口/配置有版本；失败语义和 功能开关（feature flag） 可验证。</t>
        </is>
      </c>
      <c r="J195" s="11" t="inlineStr">
        <is>
          <t>src/directory/fastpath/telemetry.{h,cc} + 仪表板（dashboards）/directory_fastpath.json</t>
        </is>
      </c>
      <c r="K195" s="11" t="inlineStr">
        <is>
          <t>性能与可观测负责人</t>
        </is>
      </c>
      <c r="L195" s="11" t="inlineStr">
        <is>
          <t>依赖AR：AR23-02-05-02-05；依赖SR：SR23-02-05-01、SR23-02-04-01、SR23-01-10-01</t>
        </is>
      </c>
    </row>
    <row r="196" ht="61.95000076293945" customHeight="1">
      <c r="A196" s="11" t="inlineStr">
        <is>
          <t>SF-02/IR-02-06</t>
        </is>
      </c>
      <c r="B196" s="11" t="n">
        <v>2</v>
      </c>
      <c r="C196" s="11" t="inlineStr">
        <is>
          <t>IR</t>
        </is>
      </c>
      <c r="D196" s="11" t="inlineStr">
        <is>
          <t>IR-02-06</t>
        </is>
      </c>
      <c r="E196" s="11" t="inlineStr">
        <is>
          <t>SF-02</t>
        </is>
      </c>
      <c r="F196" s="11" t="inlineStr">
        <is>
          <t>├─ IR-02-06 支持KV卸载加载、分层回源及计算—传输流水并行</t>
        </is>
      </c>
      <c r="G196" s="11" t="inlineStr">
        <is>
          <t>支持KV卸载加载、分层回源及计算—传输流水并行</t>
        </is>
      </c>
      <c r="H196" s="11" t="inlineStr">
        <is>
          <t>系统应把 KV swap、offload、加载（load）、SSD/远端回源和 Layer/Page 级加载从同步等待改造成可批量、可取消、可与 Prefill/解码阶段（Decode） 重叠的异步流水；当部分层或页面就绪时，框架能够在满足依赖的前提下提前开始计算，而无需等待整个 KV 对象完成加载，从而隐藏数据传输时延并减少 NPU 空闲。</t>
        </is>
      </c>
      <c r="I196" s="11" t="inlineStr">
        <is>
          <t>计算/传输重叠≥60%；换入（swap-in） TTFT降低≥25%；批量传输时延降低≥50%；额外内存≤15%。</t>
        </is>
      </c>
      <c r="J196" s="11" t="inlineStr">
        <is>
          <t>vLLM KV连接器（KVConnector） + SGLang HiCache + CUDA/NPU Stream/Event + 异步流水线（async pipeline）</t>
        </is>
      </c>
      <c r="K196" s="11" t="inlineStr">
        <is>
          <t>TM1/TM4</t>
        </is>
      </c>
      <c r="L196" s="11" t="inlineStr">
        <is>
          <t>V2.2 IR语义沿用</t>
        </is>
      </c>
    </row>
    <row r="197" ht="61.95000076293945" customHeight="1">
      <c r="A197" s="11" t="inlineStr">
        <is>
          <t>SF-02/IR-02-06/SR23-02-06-01</t>
        </is>
      </c>
      <c r="B197" s="11" t="n">
        <v>3</v>
      </c>
      <c r="C197" s="11" t="inlineStr">
        <is>
          <t>SR</t>
        </is>
      </c>
      <c r="D197" s="11" t="inlineStr">
        <is>
          <t>SR23-02-06-01</t>
        </is>
      </c>
      <c r="E197" s="11" t="inlineStr">
        <is>
          <t>IR-02-06</t>
        </is>
      </c>
      <c r="F197" s="11" t="inlineStr">
        <is>
          <t>├─ SR23-02-06-01 KV 卸载/加载、分层回源与流式 流水线（Pipeline）</t>
        </is>
      </c>
      <c r="G197" s="11" t="inlineStr">
        <is>
          <t>KV 卸载/加载、分层回源与流式 流水线（Pipeline）</t>
        </is>
      </c>
      <c r="H197" s="11" t="inlineStr">
        <is>
          <t>卸载、加载、SSD回源、page/layer 流水、批量 swap 与计算重叠
交付：kv-load-pipeline、vLLM/SGLang 适配器（adapter）、swap/bulk/streaming 加载（load） 控制器</t>
        </is>
      </c>
      <c r="I197" s="11" t="inlineStr">
        <is>
          <t>计算/传输重叠≥60%；换入（swap-in） TTFT降低≥25%；批量时延降低≥50%；额外内存≤15%</t>
        </is>
      </c>
      <c r="J197" s="11" t="inlineStr">
        <is>
          <t>kv-load-pipeline、vLLM/SGLang 适配器（adapter）、swap/bulk/streaming 加载（load） 控制器</t>
        </is>
      </c>
      <c r="K197" s="11" t="inlineStr">
        <is>
          <t>加载流水线与框架适配组</t>
        </is>
      </c>
      <c r="L197" s="11" t="inlineStr">
        <is>
          <t>来源4条；依赖：SR23-02-01-01、SR23-01-04-01、SR23-01-08-01</t>
        </is>
      </c>
    </row>
    <row r="198" ht="61.95000076293945" customHeight="1">
      <c r="A198" s="11" t="inlineStr">
        <is>
          <t>SF-02/IR-02-06/SR23-02-06-01/AR23-02-06-01-01</t>
        </is>
      </c>
      <c r="B198" s="11" t="n">
        <v>4</v>
      </c>
      <c r="C198" s="11" t="inlineStr">
        <is>
          <t>AR</t>
        </is>
      </c>
      <c r="D198" s="11" t="inlineStr">
        <is>
          <t>AR23-02-06-01-01</t>
        </is>
      </c>
      <c r="E198" s="11" t="inlineStr">
        <is>
          <t>SR23-02-06-01</t>
        </is>
      </c>
      <c r="F198" s="11" t="inlineStr">
        <is>
          <t>├─ AR23-02-06-01-01 核心实现</t>
        </is>
      </c>
      <c r="G198" s="11" t="inlineStr">
        <is>
          <t>KV 卸载/加载、分层回源与流式 流水线（Pipeline）｜核心实现</t>
        </is>
      </c>
      <c r="H198" s="11" t="inlineStr">
        <is>
          <t>实现“KV 卸载/加载、分层回源与流式 流水线（Pipeline）”的可运行主路径，交付 kv-load-pipeline、vLLM/SGLang 适配器（adapter）、swap/bulk/streaming 加载（load） 控制器 的核心代码、构建入口和最小示例。</t>
        </is>
      </c>
      <c r="I198" s="11" t="inlineStr">
        <is>
          <t>代码通过编译、静态检查和单元测试；接口/配置有版本；失败语义和 功能开关（feature flag） 可验证。</t>
        </is>
      </c>
      <c r="J198" s="11" t="inlineStr">
        <is>
          <t>src/runtime/load_pipeline/core.{h,cc}</t>
        </is>
      </c>
      <c r="K198" s="11" t="inlineStr">
        <is>
          <t>加载流水线与框架适配组</t>
        </is>
      </c>
      <c r="L198" s="11" t="inlineStr">
        <is>
          <t>依赖AR：无；依赖SR：SR23-02-01-01、SR23-01-04-01、SR23-01-08-01</t>
        </is>
      </c>
    </row>
    <row r="199" ht="61.95000076293945" customHeight="1">
      <c r="A199" s="11" t="inlineStr">
        <is>
          <t>SF-02/IR-02-06/SR23-02-06-01/AR23-02-06-01-02</t>
        </is>
      </c>
      <c r="B199" s="11" t="n">
        <v>4</v>
      </c>
      <c r="C199" s="11" t="inlineStr">
        <is>
          <t>AR</t>
        </is>
      </c>
      <c r="D199" s="11" t="inlineStr">
        <is>
          <t>AR23-02-06-01-02</t>
        </is>
      </c>
      <c r="E199" s="11" t="inlineStr">
        <is>
          <t>SR23-02-06-01</t>
        </is>
      </c>
      <c r="F199" s="11" t="inlineStr">
        <is>
          <t>├─ AR23-02-06-01-02 接口契约</t>
        </is>
      </c>
      <c r="G199" s="11" t="inlineStr">
        <is>
          <t>KV 卸载/加载、分层回源与流式 流水线（Pipeline）｜接口契约</t>
        </is>
      </c>
      <c r="H199" s="11" t="inlineStr">
        <is>
          <t>冻结并实现接口/IDL、版本兼容、输入输出、错误码与 消费者（consumer） 示例：LoadPlan、LayerReady、cancel/回退（fallback）、framework 适配器（adapter）</t>
        </is>
      </c>
      <c r="I199" s="11" t="inlineStr">
        <is>
          <t>代码通过编译、静态检查和单元测试；接口/配置有版本；失败语义和 功能开关（feature flag） 可验证。</t>
        </is>
      </c>
      <c r="J199" s="11" t="inlineStr">
        <is>
          <t>api/kvcache/v23/load_pipeline.proto + src/runtime/load_pipeline/api.{h,cc}</t>
        </is>
      </c>
      <c r="K199" s="11" t="inlineStr">
        <is>
          <t>加载流水线与框架适配组</t>
        </is>
      </c>
      <c r="L199" s="11" t="inlineStr">
        <is>
          <t>依赖AR：AR23-02-06-01-01；依赖SR：SR23-02-01-01、SR23-01-04-01、SR23-01-08-01</t>
        </is>
      </c>
    </row>
    <row r="200" ht="61.95000076293945" customHeight="1">
      <c r="A200" s="11" t="inlineStr">
        <is>
          <t>SF-02/IR-02-06/SR23-02-06-01/AR23-02-06-01-03</t>
        </is>
      </c>
      <c r="B200" s="11" t="n">
        <v>4</v>
      </c>
      <c r="C200" s="11" t="inlineStr">
        <is>
          <t>AR</t>
        </is>
      </c>
      <c r="D200" s="11" t="inlineStr">
        <is>
          <t>AR23-02-06-01-03</t>
        </is>
      </c>
      <c r="E200" s="11" t="inlineStr">
        <is>
          <t>SR23-02-06-01</t>
        </is>
      </c>
      <c r="F200" s="11" t="inlineStr">
        <is>
          <t>├─ AR23-02-06-01-03 状态模型</t>
        </is>
      </c>
      <c r="G200" s="11" t="inlineStr">
        <is>
          <t>KV 卸载/加载、分层回源与流式 流水线（Pipeline）｜状态模型</t>
        </is>
      </c>
      <c r="H200" s="11" t="inlineStr">
        <is>
          <t>实现状态、版本、并发互锁和持久/内存数据模型，覆盖正常转换与非法转换保护。</t>
        </is>
      </c>
      <c r="I200" s="11" t="inlineStr">
        <is>
          <t>代码通过编译、静态检查和单元测试；接口/配置有版本；失败语义和 功能开关（feature flag） 可验证。</t>
        </is>
      </c>
      <c r="J200" s="11" t="inlineStr">
        <is>
          <t>src/runtime/load_pipeline/state_model.{h,cc}</t>
        </is>
      </c>
      <c r="K200" s="11" t="inlineStr">
        <is>
          <t>加载流水线与框架适配组</t>
        </is>
      </c>
      <c r="L200" s="11" t="inlineStr">
        <is>
          <t>依赖AR：AR23-02-06-01-02；依赖SR：SR23-02-01-01、SR23-01-04-01、SR23-01-08-01</t>
        </is>
      </c>
    </row>
    <row r="201" ht="61.95000076293945" customHeight="1">
      <c r="A201" s="11" t="inlineStr">
        <is>
          <t>SF-02/IR-02-06/SR23-02-06-01/AR23-02-06-01-04</t>
        </is>
      </c>
      <c r="B201" s="11" t="n">
        <v>4</v>
      </c>
      <c r="C201" s="11" t="inlineStr">
        <is>
          <t>AR</t>
        </is>
      </c>
      <c r="D201" s="11" t="inlineStr">
        <is>
          <t>AR23-02-06-01-04</t>
        </is>
      </c>
      <c r="E201" s="11" t="inlineStr">
        <is>
          <t>SR23-02-06-01</t>
        </is>
      </c>
      <c r="F201" s="11" t="inlineStr">
        <is>
          <t>├─ AR23-02-06-01-04 异常回滚</t>
        </is>
      </c>
      <c r="G201" s="11" t="inlineStr">
        <is>
          <t>KV 卸载/加载、分层回源与流式 流水线（Pipeline）｜异常回滚</t>
        </is>
      </c>
      <c r="H201" s="11" t="inlineStr">
        <is>
          <t>实现并验证失败、超时、取消、降级、回滚与关闭路径：超时/路径失败时 partial/重算（recompute）；额外内存超预算时退回整段加载</t>
        </is>
      </c>
      <c r="I201" s="11" t="inlineStr">
        <is>
          <t>代码通过编译、静态检查和单元测试；接口/配置有版本；失败语义和 功能开关（feature flag） 可验证。</t>
        </is>
      </c>
      <c r="J201" s="11" t="inlineStr">
        <is>
          <t>src/runtime/load_pipeline/fallback.{h,cc} + config/feature_flags/load_pipeline.yaml</t>
        </is>
      </c>
      <c r="K201" s="11" t="inlineStr">
        <is>
          <t>加载流水线与框架适配组</t>
        </is>
      </c>
      <c r="L201" s="11" t="inlineStr">
        <is>
          <t>依赖AR：AR23-02-06-01-03；依赖SR：SR23-02-01-01、SR23-01-04-01、SR23-01-08-01</t>
        </is>
      </c>
    </row>
    <row r="202" ht="61.95000076293945" customHeight="1">
      <c r="A202" s="11" t="inlineStr">
        <is>
          <t>SF-02/IR-02-06/SR23-02-06-01/AR23-02-06-01-05</t>
        </is>
      </c>
      <c r="B202" s="11" t="n">
        <v>4</v>
      </c>
      <c r="C202" s="11" t="inlineStr">
        <is>
          <t>AR</t>
        </is>
      </c>
      <c r="D202" s="11" t="inlineStr">
        <is>
          <t>AR23-02-06-01-05</t>
        </is>
      </c>
      <c r="E202" s="11" t="inlineStr">
        <is>
          <t>SR23-02-06-01</t>
        </is>
      </c>
      <c r="F202" s="11" t="inlineStr">
        <is>
          <t>├─ AR23-02-06-01-05 独立验收</t>
        </is>
      </c>
      <c r="G202" s="11" t="inlineStr">
        <is>
          <t>KV 卸载/加载、分层回源与流式 流水线（Pipeline）｜独立验收</t>
        </is>
      </c>
      <c r="H202" s="11" t="inlineStr">
        <is>
          <t>建立不依赖全项目的验收环境，执行功能、异常、兼容和性能门禁并生成可签字证据包。</t>
        </is>
      </c>
      <c r="I202" s="11" t="inlineStr">
        <is>
          <t>在“框架 测试支架（harness） + MockAsyncDAG 即可独立验收”中完成主路径、异常、兼容和回滚；全部证据可一键复现。</t>
        </is>
      </c>
      <c r="J202" s="11" t="inlineStr">
        <is>
          <t>tests/load_pipeline/ + benchmarks/load_pipeline/ + evidence/load_pipeline/manifest.yaml</t>
        </is>
      </c>
      <c r="K202" s="11" t="inlineStr">
        <is>
          <t>测试/验收负责人</t>
        </is>
      </c>
      <c r="L202" s="11" t="inlineStr">
        <is>
          <t>依赖AR：AR23-02-06-01-04；依赖SR：SR23-02-01-01、SR23-01-04-01、SR23-01-08-01</t>
        </is>
      </c>
    </row>
    <row r="203" ht="61.95000076293945" customHeight="1">
      <c r="A203" s="11" t="inlineStr">
        <is>
          <t>SF-02/IR-02-06/SR23-02-06-01/AR23-02-06-01-06</t>
        </is>
      </c>
      <c r="B203" s="11" t="n">
        <v>4</v>
      </c>
      <c r="C203" s="11" t="inlineStr">
        <is>
          <t>AR</t>
        </is>
      </c>
      <c r="D203" s="11" t="inlineStr">
        <is>
          <t>AR23-02-06-01-06</t>
        </is>
      </c>
      <c r="E203" s="11" t="inlineStr">
        <is>
          <t>SR23-02-06-01</t>
        </is>
      </c>
      <c r="F203" s="11" t="inlineStr">
        <is>
          <t>├─ AR23-02-06-01-06 性能观测</t>
        </is>
      </c>
      <c r="G203" s="11" t="inlineStr">
        <is>
          <t>KV 卸载/加载、分层回源与流式 流水线（Pipeline）｜性能观测</t>
        </is>
      </c>
      <c r="H203" s="11" t="inlineStr">
        <is>
          <t>接入统一 遥测数据（telemetry），建立本 SR 专属性能/资源/正确性指标和回归阈值：计算/传输重叠≥60%；换入（swap-in） TTFT降低≥25%；批量时延降低≥50%；额外内存≤15%</t>
        </is>
      </c>
      <c r="I203" s="11" t="inlineStr">
        <is>
          <t>代码通过编译、静态检查和单元测试；接口/配置有版本；失败语义和 功能开关（feature flag） 可验证。</t>
        </is>
      </c>
      <c r="J203" s="11" t="inlineStr">
        <is>
          <t>src/runtime/load_pipeline/telemetry.{h,cc} + 仪表板（dashboards）/load_pipeline.json</t>
        </is>
      </c>
      <c r="K203" s="11" t="inlineStr">
        <is>
          <t>性能与可观测负责人</t>
        </is>
      </c>
      <c r="L203" s="11" t="inlineStr">
        <is>
          <t>依赖AR：AR23-02-06-01-05；依赖SR：SR23-02-01-01、SR23-01-04-01、SR23-01-08-01</t>
        </is>
      </c>
    </row>
    <row r="204" ht="61.95000076293945" customHeight="1">
      <c r="A204" s="11" t="inlineStr">
        <is>
          <t>SF-02/IR-02-07</t>
        </is>
      </c>
      <c r="B204" s="11" t="n">
        <v>2</v>
      </c>
      <c r="C204" s="11" t="inlineStr">
        <is>
          <t>IR</t>
        </is>
      </c>
      <c r="D204" s="11" t="inlineStr">
        <is>
          <t>IR-02-07</t>
        </is>
      </c>
      <c r="E204" s="11" t="inlineStr">
        <is>
          <t>SF-02</t>
        </is>
      </c>
      <c r="F204" s="11" t="inlineStr">
        <is>
          <t>├─ IR-02-07 基于请求趋势和复用概率的KV投机预取及效果反馈</t>
        </is>
      </c>
      <c r="G204" s="11" t="inlineStr">
        <is>
          <t>基于请求趋势和复用概率的KV投机预取及效果反馈</t>
        </is>
      </c>
      <c r="H204" s="11" t="inlineStr">
        <is>
          <t>系统应依据调度 lookahead、同前缀请求聚集、session 连续性、历史复用概率、可用 HBM 块（block） 和路径时延，在请求真正需要 KV 之前生成有界预取计划；同时记录命中、等待节省、误预取、取消和内存占用，自动调整预取窗口和预算，使预取带来可证明的 TTFT 收益而不是额外占用与带宽浪费。</t>
        </is>
      </c>
      <c r="I204" s="11" t="inlineStr">
        <is>
          <t>预取命中率≥70%；命中时等待时延降低≥60%；误预取率&lt;20%；额外HBM≤10%。</t>
        </is>
      </c>
      <c r="J204" s="11" t="inlineStr">
        <is>
          <t>PrefetchEngine + EMA/Markov Reuse Predictor + 准入（admission） 反馈（feedback）</t>
        </is>
      </c>
      <c r="K204" s="11" t="inlineStr">
        <is>
          <t>TM1/TM4</t>
        </is>
      </c>
      <c r="L204" s="11" t="inlineStr">
        <is>
          <t>V2.2 IR语义沿用</t>
        </is>
      </c>
    </row>
    <row r="205" ht="61.95000076293945" customHeight="1">
      <c r="A205" s="11" t="inlineStr">
        <is>
          <t>SF-02/IR-02-07/SR23-02-07-01</t>
        </is>
      </c>
      <c r="B205" s="11" t="n">
        <v>3</v>
      </c>
      <c r="C205" s="11" t="inlineStr">
        <is>
          <t>SR</t>
        </is>
      </c>
      <c r="D205" s="11" t="inlineStr">
        <is>
          <t>SR23-02-07-01</t>
        </is>
      </c>
      <c r="E205" s="11" t="inlineStr">
        <is>
          <t>IR-02-07</t>
        </is>
      </c>
      <c r="F205" s="11" t="inlineStr">
        <is>
          <t>├─ SR23-02-07-01 投机预取与效果反馈组件</t>
        </is>
      </c>
      <c r="G205" s="11" t="inlineStr">
        <is>
          <t>投机预取与效果反馈组件</t>
        </is>
      </c>
      <c r="H205" s="11" t="inlineStr">
        <is>
          <t>趋势/概率预测、预取准入、截止时限（deadline） 约束、收益反馈与误预取抑制
交付：prefetch-engine、复用预测器接口、准入（admission） 反馈（feedback） 和收益看板</t>
        </is>
      </c>
      <c r="I205" s="11" t="inlineStr">
        <is>
          <t>预取命中率≥70%；误预取率&lt;20%；额外HBM≤10%；命中等待降低≥60%</t>
        </is>
      </c>
      <c r="J205" s="11" t="inlineStr">
        <is>
          <t>prefetch-engine、复用预测器接口、准入（admission） 反馈（feedback） 和收益看板</t>
        </is>
      </c>
      <c r="K205" s="11" t="inlineStr">
        <is>
          <t>预取策略组</t>
        </is>
      </c>
      <c r="L205" s="11" t="inlineStr">
        <is>
          <t>来源1条；依赖：SR23-02-06-01、SR23-01-03-01</t>
        </is>
      </c>
    </row>
    <row r="206" ht="61.95000076293945" customHeight="1">
      <c r="A206" s="11" t="inlineStr">
        <is>
          <t>SF-02/IR-02-07/SR23-02-07-01/AR23-02-07-01-01</t>
        </is>
      </c>
      <c r="B206" s="11" t="n">
        <v>4</v>
      </c>
      <c r="C206" s="11" t="inlineStr">
        <is>
          <t>AR</t>
        </is>
      </c>
      <c r="D206" s="11" t="inlineStr">
        <is>
          <t>AR23-02-07-01-01</t>
        </is>
      </c>
      <c r="E206" s="11" t="inlineStr">
        <is>
          <t>SR23-02-07-01</t>
        </is>
      </c>
      <c r="F206" s="11" t="inlineStr">
        <is>
          <t>├─ AR23-02-07-01-01 核心实现</t>
        </is>
      </c>
      <c r="G206" s="11" t="inlineStr">
        <is>
          <t>投机预取与效果反馈组件｜核心实现</t>
        </is>
      </c>
      <c r="H206" s="11" t="inlineStr">
        <is>
          <t>实现“投机预取与效果反馈组件”的可运行主路径，交付 prefetch-engine、复用预测器接口、准入（admission） 反馈（feedback） 和收益看板 的核心代码、构建入口和最小示例。</t>
        </is>
      </c>
      <c r="I206" s="11" t="inlineStr">
        <is>
          <t>代码通过编译、静态检查和单元测试；接口/配置有版本；失败语义和 功能开关（feature flag） 可验证。</t>
        </is>
      </c>
      <c r="J206" s="11" t="inlineStr">
        <is>
          <t>src/policy/prefetch/core.{h,cc}</t>
        </is>
      </c>
      <c r="K206" s="11" t="inlineStr">
        <is>
          <t>预取策略组</t>
        </is>
      </c>
      <c r="L206" s="11" t="inlineStr">
        <is>
          <t>依赖AR：无；依赖SR：SR23-02-06-01、SR23-01-03-01</t>
        </is>
      </c>
    </row>
    <row r="207" ht="61.95000076293945" customHeight="1">
      <c r="A207" s="11" t="inlineStr">
        <is>
          <t>SF-02/IR-02-07/SR23-02-07-01/AR23-02-07-01-02</t>
        </is>
      </c>
      <c r="B207" s="11" t="n">
        <v>4</v>
      </c>
      <c r="C207" s="11" t="inlineStr">
        <is>
          <t>AR</t>
        </is>
      </c>
      <c r="D207" s="11" t="inlineStr">
        <is>
          <t>AR23-02-07-01-02</t>
        </is>
      </c>
      <c r="E207" s="11" t="inlineStr">
        <is>
          <t>SR23-02-07-01</t>
        </is>
      </c>
      <c r="F207" s="11" t="inlineStr">
        <is>
          <t>├─ AR23-02-07-01-02 接口契约</t>
        </is>
      </c>
      <c r="G207" s="11" t="inlineStr">
        <is>
          <t>投机预取与效果反馈组件｜接口契约</t>
        </is>
      </c>
      <c r="H207" s="11" t="inlineStr">
        <is>
          <t>冻结并实现接口/IDL、版本兼容、输入输出、错误码与 消费者（consumer） 示例：PrefetchCandidate、PrefetchDecision、OutcomeFeedback</t>
        </is>
      </c>
      <c r="I207" s="11" t="inlineStr">
        <is>
          <t>代码通过编译、静态检查和单元测试；接口/配置有版本；失败语义和 功能开关（feature flag） 可验证。</t>
        </is>
      </c>
      <c r="J207" s="11" t="inlineStr">
        <is>
          <t>api/kvcache/v23/prefetch_engine.proto + src/policy/prefetch/api.{h,cc}</t>
        </is>
      </c>
      <c r="K207" s="11" t="inlineStr">
        <is>
          <t>预取策略组</t>
        </is>
      </c>
      <c r="L207" s="11" t="inlineStr">
        <is>
          <t>依赖AR：AR23-02-07-01-01；依赖SR：SR23-02-06-01、SR23-01-03-01</t>
        </is>
      </c>
    </row>
    <row r="208" ht="61.95000076293945" customHeight="1">
      <c r="A208" s="11" t="inlineStr">
        <is>
          <t>SF-02/IR-02-07/SR23-02-07-01/AR23-02-07-01-03</t>
        </is>
      </c>
      <c r="B208" s="11" t="n">
        <v>4</v>
      </c>
      <c r="C208" s="11" t="inlineStr">
        <is>
          <t>AR</t>
        </is>
      </c>
      <c r="D208" s="11" t="inlineStr">
        <is>
          <t>AR23-02-07-01-03</t>
        </is>
      </c>
      <c r="E208" s="11" t="inlineStr">
        <is>
          <t>SR23-02-07-01</t>
        </is>
      </c>
      <c r="F208" s="11" t="inlineStr">
        <is>
          <t>├─ AR23-02-07-01-03 状态模型</t>
        </is>
      </c>
      <c r="G208" s="11" t="inlineStr">
        <is>
          <t>投机预取与效果反馈组件｜状态模型</t>
        </is>
      </c>
      <c r="H208" s="11" t="inlineStr">
        <is>
          <t>实现状态、版本、并发互锁和持久/内存数据模型，覆盖正常转换与非法转换保护。</t>
        </is>
      </c>
      <c r="I208" s="11" t="inlineStr">
        <is>
          <t>代码通过编译、静态检查和单元测试；接口/配置有版本；失败语义和 功能开关（feature flag） 可验证。</t>
        </is>
      </c>
      <c r="J208" s="11" t="inlineStr">
        <is>
          <t>src/policy/prefetch/state_model.{h,cc}</t>
        </is>
      </c>
      <c r="K208" s="11" t="inlineStr">
        <is>
          <t>预取策略组</t>
        </is>
      </c>
      <c r="L208" s="11" t="inlineStr">
        <is>
          <t>依赖AR：AR23-02-07-01-02；依赖SR：SR23-02-06-01、SR23-01-03-01</t>
        </is>
      </c>
    </row>
    <row r="209" ht="61.95000076293945" customHeight="1">
      <c r="A209" s="11" t="inlineStr">
        <is>
          <t>SF-02/IR-02-07/SR23-02-07-01/AR23-02-07-01-04</t>
        </is>
      </c>
      <c r="B209" s="11" t="n">
        <v>4</v>
      </c>
      <c r="C209" s="11" t="inlineStr">
        <is>
          <t>AR</t>
        </is>
      </c>
      <c r="D209" s="11" t="inlineStr">
        <is>
          <t>AR23-02-07-01-04</t>
        </is>
      </c>
      <c r="E209" s="11" t="inlineStr">
        <is>
          <t>SR23-02-07-01</t>
        </is>
      </c>
      <c r="F209" s="11" t="inlineStr">
        <is>
          <t>├─ AR23-02-07-01-04 异常回滚</t>
        </is>
      </c>
      <c r="G209" s="11" t="inlineStr">
        <is>
          <t>投机预取与效果反馈组件｜异常回滚</t>
        </is>
      </c>
      <c r="H209" s="11" t="inlineStr">
        <is>
          <t>实现并验证失败、超时、取消、降级、回滚与关闭路径：收益不稳定时只对白名单启用；高水位/前台拥塞立即暂停</t>
        </is>
      </c>
      <c r="I209" s="11" t="inlineStr">
        <is>
          <t>代码通过编译、静态检查和单元测试；接口/配置有版本；失败语义和 功能开关（feature flag） 可验证。</t>
        </is>
      </c>
      <c r="J209" s="11" t="inlineStr">
        <is>
          <t>src/policy/prefetch/fallback.{h,cc} + config/feature_flags/prefetch_engine.yaml</t>
        </is>
      </c>
      <c r="K209" s="11" t="inlineStr">
        <is>
          <t>预取策略组</t>
        </is>
      </c>
      <c r="L209" s="11" t="inlineStr">
        <is>
          <t>依赖AR：AR23-02-07-01-03；依赖SR：SR23-02-06-01、SR23-01-03-01</t>
        </is>
      </c>
    </row>
    <row r="210" ht="61.95000076293945" customHeight="1">
      <c r="A210" s="11" t="inlineStr">
        <is>
          <t>SF-02/IR-02-07/SR23-02-07-01/AR23-02-07-01-05</t>
        </is>
      </c>
      <c r="B210" s="11" t="n">
        <v>4</v>
      </c>
      <c r="C210" s="11" t="inlineStr">
        <is>
          <t>AR</t>
        </is>
      </c>
      <c r="D210" s="11" t="inlineStr">
        <is>
          <t>AR23-02-07-01-05</t>
        </is>
      </c>
      <c r="E210" s="11" t="inlineStr">
        <is>
          <t>SR23-02-07-01</t>
        </is>
      </c>
      <c r="F210" s="11" t="inlineStr">
        <is>
          <t>├─ AR23-02-07-01-05 独立验收</t>
        </is>
      </c>
      <c r="G210" s="11" t="inlineStr">
        <is>
          <t>投机预取与效果反馈组件｜独立验收</t>
        </is>
      </c>
      <c r="H210" s="11" t="inlineStr">
        <is>
          <t>建立不依赖全项目的验收环境，执行功能、异常、兼容和性能门禁并生成可签字证据包。</t>
        </is>
      </c>
      <c r="I210" s="11" t="inlineStr">
        <is>
          <t>在“离线 追踪（trace） 回放（replay） + MockLoadPipeline 即可独立验收”中完成主路径、异常、兼容和回滚；全部证据可一键复现。</t>
        </is>
      </c>
      <c r="J210" s="11" t="inlineStr">
        <is>
          <t>tests/prefetch_engine/ + benchmarks/prefetch_engine/ + evidence/prefetch_engine/manifest.yaml</t>
        </is>
      </c>
      <c r="K210" s="11" t="inlineStr">
        <is>
          <t>测试/验收负责人</t>
        </is>
      </c>
      <c r="L210" s="11" t="inlineStr">
        <is>
          <t>依赖AR：AR23-02-07-01-04；依赖SR：SR23-02-06-01、SR23-01-03-01</t>
        </is>
      </c>
    </row>
    <row r="211" ht="61.95000076293945" customHeight="1">
      <c r="A211" s="11" t="inlineStr">
        <is>
          <t>SF-02/IR-02-07/SR23-02-07-01/AR23-02-07-01-06</t>
        </is>
      </c>
      <c r="B211" s="11" t="n">
        <v>4</v>
      </c>
      <c r="C211" s="11" t="inlineStr">
        <is>
          <t>AR</t>
        </is>
      </c>
      <c r="D211" s="11" t="inlineStr">
        <is>
          <t>AR23-02-07-01-06</t>
        </is>
      </c>
      <c r="E211" s="11" t="inlineStr">
        <is>
          <t>SR23-02-07-01</t>
        </is>
      </c>
      <c r="F211" s="11" t="inlineStr">
        <is>
          <t>├─ AR23-02-07-01-06 性能观测</t>
        </is>
      </c>
      <c r="G211" s="11" t="inlineStr">
        <is>
          <t>投机预取与效果反馈组件｜性能观测</t>
        </is>
      </c>
      <c r="H211" s="11" t="inlineStr">
        <is>
          <t>接入统一 遥测数据（telemetry），建立本 SR 专属性能/资源/正确性指标和回归阈值：预取命中率≥70%；误预取率&lt;20%；额外HBM≤10%；命中等待降低≥60%</t>
        </is>
      </c>
      <c r="I211" s="11" t="inlineStr">
        <is>
          <t>代码通过编译、静态检查和单元测试；接口/配置有版本；失败语义和 功能开关（feature flag） 可验证。</t>
        </is>
      </c>
      <c r="J211" s="11" t="inlineStr">
        <is>
          <t>src/policy/prefetch/telemetry.{h,cc} + 仪表板（dashboards）/prefetch_engine.json</t>
        </is>
      </c>
      <c r="K211" s="11" t="inlineStr">
        <is>
          <t>性能与可观测负责人</t>
        </is>
      </c>
      <c r="L211" s="11" t="inlineStr">
        <is>
          <t>依赖AR：AR23-02-07-01-05；依赖SR：SR23-02-06-01、SR23-01-03-01</t>
        </is>
      </c>
    </row>
    <row r="212" ht="61.95000076293945" customHeight="1">
      <c r="A212" s="11" t="inlineStr">
        <is>
          <t>SF-02/IR-02-08</t>
        </is>
      </c>
      <c r="B212" s="11" t="n">
        <v>2</v>
      </c>
      <c r="C212" s="11" t="inlineStr">
        <is>
          <t>IR</t>
        </is>
      </c>
      <c r="D212" s="11" t="inlineStr">
        <is>
          <t>IR-02-08</t>
        </is>
      </c>
      <c r="E212" s="11" t="inlineStr">
        <is>
          <t>SF-02</t>
        </is>
      </c>
      <c r="F212" s="11" t="inlineStr">
        <is>
          <t>├─ IR-02-08 支持模型级KV容量估算、水位准入及全生命周期状态管理</t>
        </is>
      </c>
      <c r="G212" s="11" t="inlineStr">
        <is>
          <t>支持模型级KV容量估算、水位准入及全生命周期状态管理</t>
        </is>
      </c>
      <c r="H212" s="11" t="inlineStr">
        <is>
          <t>系统应根据模型层数、KV head、head_dim、dtype、并行切分、块（block）/page 大小、上下文长度和并发量计算每请求及全池 KV 容量需求，并结合各 存储层级（tier） 水位执行准入、预留和回收。每个 KV 对象从创建、写入、发布、附加、迁移、淘汰到释放都必须有明确状态和合法转换，防止 OOM、过量预留和悬空引用。</t>
        </is>
      </c>
      <c r="I212" s="11" t="inlineStr">
        <is>
          <t>估算误差&lt;5%；OOM/抢占（preemption）降低≥50%；碎片率&lt;5%；节点变化只失效一致性哈希对应比例。</t>
        </is>
      </c>
      <c r="J212" s="11" t="inlineStr">
        <is>
          <t>KV块规格（KVBlockSpec） + 模型配置画像（ModelProfile） + 水位准入（WatermarkAdmission） + KV对象状态机（KVObjectStateMachine）</t>
        </is>
      </c>
      <c r="K212" s="11" t="inlineStr">
        <is>
          <t>TM1/TM3</t>
        </is>
      </c>
      <c r="L212" s="11" t="inlineStr">
        <is>
          <t>V2.2 IR语义沿用</t>
        </is>
      </c>
    </row>
    <row r="213" ht="61.95000076293945" customHeight="1">
      <c r="A213" s="11" t="inlineStr">
        <is>
          <t>SF-02/IR-02-08/SR23-02-08-01</t>
        </is>
      </c>
      <c r="B213" s="11" t="n">
        <v>3</v>
      </c>
      <c r="C213" s="11" t="inlineStr">
        <is>
          <t>SR</t>
        </is>
      </c>
      <c r="D213" s="11" t="inlineStr">
        <is>
          <t>SR23-02-08-01</t>
        </is>
      </c>
      <c r="E213" s="11" t="inlineStr">
        <is>
          <t>IR-02-08</t>
        </is>
      </c>
      <c r="F213" s="11" t="inlineStr">
        <is>
          <t>├─ SR23-02-08-01 模型 KV 容量画像、水位与生命周期配置组件</t>
        </is>
      </c>
      <c r="G213" s="11" t="inlineStr">
        <is>
          <t>模型 KV 容量画像、水位与生命周期配置组件</t>
        </is>
      </c>
      <c r="H213" s="11" t="inlineStr">
        <is>
          <t>模型容量估算、水位预算、生命周期事件、defrag-aware 准入（admission）
交付：capacity-profiler、模型配置画像（ModelProfile）/KV块规格（KVBlockSpec）、水位（watermark） 配置和生命周期事件 SDK</t>
        </is>
      </c>
      <c r="I213" s="11" t="inlineStr">
        <is>
          <t>容量估算误差&lt;5%；配置校验100%；OOM/抢占（preemption）降低≥50%；错误预算=0</t>
        </is>
      </c>
      <c r="J213" s="11" t="inlineStr">
        <is>
          <t>capacity-profiler、模型配置画像（ModelProfile）/KV块规格（KVBlockSpec）、水位（watermark） 配置和生命周期事件 SDK</t>
        </is>
      </c>
      <c r="K213" s="11" t="inlineStr">
        <is>
          <t>容量画像与生命周期配置组</t>
        </is>
      </c>
      <c r="L213" s="11" t="inlineStr">
        <is>
          <t>来源3条；依赖：SR23-01-01-01</t>
        </is>
      </c>
    </row>
    <row r="214" ht="61.95000076293945" customHeight="1">
      <c r="A214" s="11" t="inlineStr">
        <is>
          <t>SF-02/IR-02-08/SR23-02-08-01/AR23-02-08-01-01</t>
        </is>
      </c>
      <c r="B214" s="11" t="n">
        <v>4</v>
      </c>
      <c r="C214" s="11" t="inlineStr">
        <is>
          <t>AR</t>
        </is>
      </c>
      <c r="D214" s="11" t="inlineStr">
        <is>
          <t>AR23-02-08-01-01</t>
        </is>
      </c>
      <c r="E214" s="11" t="inlineStr">
        <is>
          <t>SR23-02-08-01</t>
        </is>
      </c>
      <c r="F214" s="11" t="inlineStr">
        <is>
          <t>├─ AR23-02-08-01-01 核心实现</t>
        </is>
      </c>
      <c r="G214" s="11" t="inlineStr">
        <is>
          <t>模型 KV 容量画像、水位与生命周期配置组件｜核心实现</t>
        </is>
      </c>
      <c r="H214" s="11" t="inlineStr">
        <is>
          <t>实现“模型 KV 容量画像、水位与生命周期配置组件”的可运行主路径，交付 capacity-profiler、模型配置画像（ModelProfile）/KV块规格（KVBlockSpec）、水位（watermark） 配置和生命周期事件 SDK 的核心代码、构建入口和最小示例。</t>
        </is>
      </c>
      <c r="I214" s="11" t="inlineStr">
        <is>
          <t>代码通过编译、静态检查和单元测试；接口/配置有版本；失败语义和 功能开关（feature flag） 可验证。</t>
        </is>
      </c>
      <c r="J214" s="11" t="inlineStr">
        <is>
          <t>src/capacity/profile/core.{h,cc}</t>
        </is>
      </c>
      <c r="K214" s="11" t="inlineStr">
        <is>
          <t>容量画像与生命周期配置组</t>
        </is>
      </c>
      <c r="L214" s="11" t="inlineStr">
        <is>
          <t>依赖AR：无；依赖SR：SR23-01-01-01</t>
        </is>
      </c>
    </row>
    <row r="215" ht="61.95000076293945" customHeight="1">
      <c r="A215" s="11" t="inlineStr">
        <is>
          <t>SF-02/IR-02-08/SR23-02-08-01/AR23-02-08-01-02</t>
        </is>
      </c>
      <c r="B215" s="11" t="n">
        <v>4</v>
      </c>
      <c r="C215" s="11" t="inlineStr">
        <is>
          <t>AR</t>
        </is>
      </c>
      <c r="D215" s="11" t="inlineStr">
        <is>
          <t>AR23-02-08-01-02</t>
        </is>
      </c>
      <c r="E215" s="11" t="inlineStr">
        <is>
          <t>SR23-02-08-01</t>
        </is>
      </c>
      <c r="F215" s="11" t="inlineStr">
        <is>
          <t>├─ AR23-02-08-01-02 接口契约</t>
        </is>
      </c>
      <c r="G215" s="11" t="inlineStr">
        <is>
          <t>模型 KV 容量画像、水位与生命周期配置组件｜接口契约</t>
        </is>
      </c>
      <c r="H215" s="11" t="inlineStr">
        <is>
          <t>冻结并实现接口/IDL、版本兼容、输入输出、错误码与 消费者（consumer） 示例：模型配置画像（ModelProfile）、KV块规格（KVBlockSpec）、CapacityBudget、LifecycleEvent</t>
        </is>
      </c>
      <c r="I215" s="11" t="inlineStr">
        <is>
          <t>代码通过编译、静态检查和单元测试；接口/配置有版本；失败语义和 功能开关（feature flag） 可验证。</t>
        </is>
      </c>
      <c r="J215" s="11" t="inlineStr">
        <is>
          <t>api/kvcache/v23/capacity_profile.proto + src/capacity/profile/api.{h,cc}</t>
        </is>
      </c>
      <c r="K215" s="11" t="inlineStr">
        <is>
          <t>容量画像与生命周期配置组</t>
        </is>
      </c>
      <c r="L215" s="11" t="inlineStr">
        <is>
          <t>依赖AR：AR23-02-08-01-01；依赖SR：SR23-01-01-01</t>
        </is>
      </c>
    </row>
    <row r="216" ht="61.95000076293945" customHeight="1">
      <c r="A216" s="11" t="inlineStr">
        <is>
          <t>SF-02/IR-02-08/SR23-02-08-01/AR23-02-08-01-03</t>
        </is>
      </c>
      <c r="B216" s="11" t="n">
        <v>4</v>
      </c>
      <c r="C216" s="11" t="inlineStr">
        <is>
          <t>AR</t>
        </is>
      </c>
      <c r="D216" s="11" t="inlineStr">
        <is>
          <t>AR23-02-08-01-03</t>
        </is>
      </c>
      <c r="E216" s="11" t="inlineStr">
        <is>
          <t>SR23-02-08-01</t>
        </is>
      </c>
      <c r="F216" s="11" t="inlineStr">
        <is>
          <t>├─ AR23-02-08-01-03 状态模型</t>
        </is>
      </c>
      <c r="G216" s="11" t="inlineStr">
        <is>
          <t>模型 KV 容量画像、水位与生命周期配置组件｜状态模型</t>
        </is>
      </c>
      <c r="H216" s="11" t="inlineStr">
        <is>
          <t>实现状态、版本、并发互锁和持久/内存数据模型，覆盖正常转换与非法转换保护。</t>
        </is>
      </c>
      <c r="I216" s="11" t="inlineStr">
        <is>
          <t>代码通过编译、静态检查和单元测试；接口/配置有版本；失败语义和 功能开关（feature flag） 可验证。</t>
        </is>
      </c>
      <c r="J216" s="11" t="inlineStr">
        <is>
          <t>src/capacity/profile/state_model.{h,cc}</t>
        </is>
      </c>
      <c r="K216" s="11" t="inlineStr">
        <is>
          <t>容量画像与生命周期配置组</t>
        </is>
      </c>
      <c r="L216" s="11" t="inlineStr">
        <is>
          <t>依赖AR：AR23-02-08-01-02；依赖SR：SR23-01-01-01</t>
        </is>
      </c>
    </row>
    <row r="217" ht="61.95000076293945" customHeight="1">
      <c r="A217" s="11" t="inlineStr">
        <is>
          <t>SF-02/IR-02-08/SR23-02-08-01/AR23-02-08-01-04</t>
        </is>
      </c>
      <c r="B217" s="11" t="n">
        <v>4</v>
      </c>
      <c r="C217" s="11" t="inlineStr">
        <is>
          <t>AR</t>
        </is>
      </c>
      <c r="D217" s="11" t="inlineStr">
        <is>
          <t>AR23-02-08-01-04</t>
        </is>
      </c>
      <c r="E217" s="11" t="inlineStr">
        <is>
          <t>SR23-02-08-01</t>
        </is>
      </c>
      <c r="F217" s="11" t="inlineStr">
        <is>
          <t>├─ AR23-02-08-01-04 异常回滚</t>
        </is>
      </c>
      <c r="G217" s="11" t="inlineStr">
        <is>
          <t>模型 KV 容量画像、水位与生命周期配置组件｜异常回滚</t>
        </is>
      </c>
      <c r="H217" s="11" t="inlineStr">
        <is>
          <t>实现并验证失败、超时、取消、降级、回滚与关闭路径：画像缺失时使用保守上界；估算误差超阈值时禁止自动扩容</t>
        </is>
      </c>
      <c r="I217" s="11" t="inlineStr">
        <is>
          <t>代码通过编译、静态检查和单元测试；接口/配置有版本；失败语义和 功能开关（feature flag） 可验证。</t>
        </is>
      </c>
      <c r="J217" s="11" t="inlineStr">
        <is>
          <t>src/capacity/profile/fallback.{h,cc} + config/feature_flags/capacity_profile.yaml</t>
        </is>
      </c>
      <c r="K217" s="11" t="inlineStr">
        <is>
          <t>容量画像与生命周期配置组</t>
        </is>
      </c>
      <c r="L217" s="11" t="inlineStr">
        <is>
          <t>依赖AR：AR23-02-08-01-03；依赖SR：SR23-01-01-01</t>
        </is>
      </c>
    </row>
    <row r="218" ht="61.95000076293945" customHeight="1">
      <c r="A218" s="11" t="inlineStr">
        <is>
          <t>SF-02/IR-02-08/SR23-02-08-01/AR23-02-08-01-05</t>
        </is>
      </c>
      <c r="B218" s="11" t="n">
        <v>4</v>
      </c>
      <c r="C218" s="11" t="inlineStr">
        <is>
          <t>AR</t>
        </is>
      </c>
      <c r="D218" s="11" t="inlineStr">
        <is>
          <t>AR23-02-08-01-05</t>
        </is>
      </c>
      <c r="E218" s="11" t="inlineStr">
        <is>
          <t>SR23-02-08-01</t>
        </is>
      </c>
      <c r="F218" s="11" t="inlineStr">
        <is>
          <t>├─ AR23-02-08-01-05 独立验收</t>
        </is>
      </c>
      <c r="G218" s="11" t="inlineStr">
        <is>
          <t>模型 KV 容量画像、水位与生命周期配置组件｜独立验收</t>
        </is>
      </c>
      <c r="H218" s="11" t="inlineStr">
        <is>
          <t>建立不依赖全项目的验收环境，执行功能、异常、兼容和性能门禁并生成可签字证据包。</t>
        </is>
      </c>
      <c r="I218" s="11" t="inlineStr">
        <is>
          <t>在“模型配置与 合成分配（synthetic allocation） 即可独立验收”中完成主路径、异常、兼容和回滚；全部证据可一键复现。</t>
        </is>
      </c>
      <c r="J218" s="11" t="inlineStr">
        <is>
          <t>tests/capacity_profile/ + benchmarks/capacity_profile/ + evidence/capacity_profile/manifest.yaml</t>
        </is>
      </c>
      <c r="K218" s="11" t="inlineStr">
        <is>
          <t>测试/验收负责人</t>
        </is>
      </c>
      <c r="L218" s="11" t="inlineStr">
        <is>
          <t>依赖AR：AR23-02-08-01-04；依赖SR：SR23-01-01-01</t>
        </is>
      </c>
    </row>
    <row r="219" ht="61.95000076293945" customHeight="1">
      <c r="A219" s="11" t="inlineStr">
        <is>
          <t>SF-02/IR-02-09</t>
        </is>
      </c>
      <c r="B219" s="11" t="n">
        <v>2</v>
      </c>
      <c r="C219" s="11" t="inlineStr">
        <is>
          <t>IR</t>
        </is>
      </c>
      <c r="D219" s="11" t="inlineStr">
        <is>
          <t>IR-02-09</t>
        </is>
      </c>
      <c r="E219" s="11" t="inlineStr">
        <is>
          <t>SF-02</t>
        </is>
      </c>
      <c r="F219" s="11" t="inlineStr">
        <is>
          <t>├─ IR-02-09 面向解码阶段（Decode）活跃KV、热前缀和冷KV的分层驻留与淘汰</t>
        </is>
      </c>
      <c r="G219" s="11" t="inlineStr">
        <is>
          <t>面向解码阶段（Decode）活跃KV、热前缀和冷KV的分层驻留与淘汰</t>
        </is>
      </c>
      <c r="H219" s="11" t="inlineStr">
        <is>
          <t>系统应区分正在参与 解码阶段（Decode） 的活跃 KV、近期可能复用的热前缀和可低成本回源的冷 KV，根据复用价值、重算代价、对象大小、访问模式和介质成本决定保留 HBM、驻留 DDR/C2C、直接 视图（view）、回填 HBM、下沉 SSD 或淘汰。策略必须优先保护 解码阶段（Decode） 活跃数据，在扩大有效容量的同时控制 TPOT 干扰。</t>
        </is>
      </c>
      <c r="I219" s="11" t="inlineStr">
        <is>
          <t>HBM有效容量提升≥20%；TPOT p99回退&lt;3%；prefill FLOPs/request降低≥15%；每GB 节省的令牌（saved tokens）提升≥25%。</t>
        </is>
      </c>
      <c r="J219" s="11" t="inlineStr">
        <is>
          <t>DECODE_ACTIVE/WARM_PREFIX Classifier + 视图与复制对比（View-vs-Copy） Planner + CAVE/TinyLFU</t>
        </is>
      </c>
      <c r="K219" s="11" t="inlineStr">
        <is>
          <t>TM1/TM3</t>
        </is>
      </c>
      <c r="L219" s="11" t="inlineStr">
        <is>
          <t>V2.2 IR语义沿用</t>
        </is>
      </c>
    </row>
    <row r="220" ht="61.95000076293945" customHeight="1">
      <c r="A220" s="11" t="inlineStr">
        <is>
          <t>SF-02/IR-02-09/SR23-02-09-01</t>
        </is>
      </c>
      <c r="B220" s="11" t="n">
        <v>3</v>
      </c>
      <c r="C220" s="11" t="inlineStr">
        <is>
          <t>SR</t>
        </is>
      </c>
      <c r="D220" s="11" t="inlineStr">
        <is>
          <t>SR23-02-09-01</t>
        </is>
      </c>
      <c r="E220" s="11" t="inlineStr">
        <is>
          <t>IR-02-09</t>
        </is>
      </c>
      <c r="F220" s="11" t="inlineStr">
        <is>
          <t>├─ SR23-02-09-01 活跃/热/冷 KV 分层驻留与部分复用策略</t>
        </is>
      </c>
      <c r="G220" s="11" t="inlineStr">
        <is>
          <t>活跃/热/冷 KV 分层驻留与部分复用策略</t>
        </is>
      </c>
      <c r="H220" s="11" t="inlineStr">
        <is>
          <t>解码阶段（Decode） 活跃状态（active） 保护、热前缀驻留、部分前缀复用、近端 视图（view）/回填选择
交付：residency-policy、Active/Warm/Cold classifier、部分复用边界（partial boundary） 与 视图与复制对比（View-vs-Copy） 规划器（planner）</t>
        </is>
      </c>
      <c r="I220" s="11" t="inlineStr">
        <is>
          <t>HBM有效容量提升≥20%；TPOT p99回退&lt;3%；每GB 节省的令牌（saved tokens）提升≥25%</t>
        </is>
      </c>
      <c r="J220" s="11" t="inlineStr">
        <is>
          <t>residency-policy、Active/Warm/Cold classifier、部分复用边界（partial boundary） 与 视图与复制对比（View-vs-Copy） 规划器（planner）</t>
        </is>
      </c>
      <c r="K220" s="11" t="inlineStr">
        <is>
          <t>驻留与局部复用策略组</t>
        </is>
      </c>
      <c r="L220" s="11" t="inlineStr">
        <is>
          <t>来源3条；依赖：SR23-02-08-01、SR23-01-01-02、SR23-01-01-03</t>
        </is>
      </c>
    </row>
    <row r="221" ht="61.95000076293945" customHeight="1">
      <c r="A221" s="11" t="inlineStr">
        <is>
          <t>SF-02/IR-02-09/SR23-02-09-01/AR23-02-09-01-01</t>
        </is>
      </c>
      <c r="B221" s="11" t="n">
        <v>4</v>
      </c>
      <c r="C221" s="11" t="inlineStr">
        <is>
          <t>AR</t>
        </is>
      </c>
      <c r="D221" s="11" t="inlineStr">
        <is>
          <t>AR23-02-09-01-01</t>
        </is>
      </c>
      <c r="E221" s="11" t="inlineStr">
        <is>
          <t>SR23-02-09-01</t>
        </is>
      </c>
      <c r="F221" s="11" t="inlineStr">
        <is>
          <t>├─ AR23-02-09-01-01 核心实现</t>
        </is>
      </c>
      <c r="G221" s="11" t="inlineStr">
        <is>
          <t>活跃/热/冷 KV 分层驻留与部分复用策略｜核心实现</t>
        </is>
      </c>
      <c r="H221" s="11" t="inlineStr">
        <is>
          <t>实现“活跃/热/冷 KV 分层驻留与部分复用策略”的可运行主路径，交付 residency-policy、Active/Warm/Cold classifier、部分复用边界（partial boundary） 与 视图与复制对比（View-vs-Copy） 规划器（planner） 的核心代码、构建入口和最小示例。</t>
        </is>
      </c>
      <c r="I221" s="11" t="inlineStr">
        <is>
          <t>代码通过编译、静态检查和单元测试；接口/配置有版本；失败语义和 功能开关（feature flag） 可验证。</t>
        </is>
      </c>
      <c r="J221" s="11" t="inlineStr">
        <is>
          <t>src/policy/residency/core.{h,cc}</t>
        </is>
      </c>
      <c r="K221" s="11" t="inlineStr">
        <is>
          <t>驻留与局部复用策略组</t>
        </is>
      </c>
      <c r="L221" s="11" t="inlineStr">
        <is>
          <t>依赖AR：无；依赖SR：SR23-02-08-01、SR23-01-01-02、SR23-01-01-03</t>
        </is>
      </c>
    </row>
    <row r="222" ht="61.95000076293945" customHeight="1">
      <c r="A222" s="11" t="inlineStr">
        <is>
          <t>SF-02/IR-02-09/SR23-02-09-01/AR23-02-09-01-02</t>
        </is>
      </c>
      <c r="B222" s="11" t="n">
        <v>4</v>
      </c>
      <c r="C222" s="11" t="inlineStr">
        <is>
          <t>AR</t>
        </is>
      </c>
      <c r="D222" s="11" t="inlineStr">
        <is>
          <t>AR23-02-09-01-02</t>
        </is>
      </c>
      <c r="E222" s="11" t="inlineStr">
        <is>
          <t>SR23-02-09-01</t>
        </is>
      </c>
      <c r="F222" s="11" t="inlineStr">
        <is>
          <t>├─ AR23-02-09-01-02 接口契约</t>
        </is>
      </c>
      <c r="G222" s="11" t="inlineStr">
        <is>
          <t>活跃/热/冷 KV 分层驻留与部分复用策略｜接口契约</t>
        </is>
      </c>
      <c r="H222" s="11" t="inlineStr">
        <is>
          <t>冻结并实现接口/IDL、版本兼容、输入输出、错误码与 消费者（consumer） 示例：ResidencyClass、PartialReusePlan、ViewCopyDecision</t>
        </is>
      </c>
      <c r="I222" s="11" t="inlineStr">
        <is>
          <t>代码通过编译、静态检查和单元测试；接口/配置有版本；失败语义和 功能开关（feature flag） 可验证。</t>
        </is>
      </c>
      <c r="J222" s="11" t="inlineStr">
        <is>
          <t>api/kvcache/v23/residency_policy.proto + src/policy/residency/api.{h,cc}</t>
        </is>
      </c>
      <c r="K222" s="11" t="inlineStr">
        <is>
          <t>驻留与局部复用策略组</t>
        </is>
      </c>
      <c r="L222" s="11" t="inlineStr">
        <is>
          <t>依赖AR：AR23-02-09-01-01；依赖SR：SR23-02-08-01、SR23-01-01-02、SR23-01-01-03</t>
        </is>
      </c>
    </row>
    <row r="223" ht="61.95000076293945" customHeight="1">
      <c r="A223" s="11" t="inlineStr">
        <is>
          <t>SF-02/IR-02-09/SR23-02-09-01/AR23-02-09-01-03</t>
        </is>
      </c>
      <c r="B223" s="11" t="n">
        <v>4</v>
      </c>
      <c r="C223" s="11" t="inlineStr">
        <is>
          <t>AR</t>
        </is>
      </c>
      <c r="D223" s="11" t="inlineStr">
        <is>
          <t>AR23-02-09-01-03</t>
        </is>
      </c>
      <c r="E223" s="11" t="inlineStr">
        <is>
          <t>SR23-02-09-01</t>
        </is>
      </c>
      <c r="F223" s="11" t="inlineStr">
        <is>
          <t>├─ AR23-02-09-01-03 状态模型</t>
        </is>
      </c>
      <c r="G223" s="11" t="inlineStr">
        <is>
          <t>活跃/热/冷 KV 分层驻留与部分复用策略｜状态模型</t>
        </is>
      </c>
      <c r="H223" s="11" t="inlineStr">
        <is>
          <t>实现状态、版本、并发互锁和持久/内存数据模型，覆盖正常转换与非法转换保护。</t>
        </is>
      </c>
      <c r="I223" s="11" t="inlineStr">
        <is>
          <t>代码通过编译、静态检查和单元测试；接口/配置有版本；失败语义和 功能开关（feature flag） 可验证。</t>
        </is>
      </c>
      <c r="J223" s="11" t="inlineStr">
        <is>
          <t>src/policy/residency/state_model.{h,cc}</t>
        </is>
      </c>
      <c r="K223" s="11" t="inlineStr">
        <is>
          <t>驻留与局部复用策略组</t>
        </is>
      </c>
      <c r="L223" s="11" t="inlineStr">
        <is>
          <t>依赖AR：AR23-02-09-01-02；依赖SR：SR23-02-08-01、SR23-01-01-02、SR23-01-01-03</t>
        </is>
      </c>
    </row>
    <row r="224" ht="61.95000076293945" customHeight="1">
      <c r="A224" s="11" t="inlineStr">
        <is>
          <t>SF-02/IR-02-09/SR23-02-09-01/AR23-02-09-01-04</t>
        </is>
      </c>
      <c r="B224" s="11" t="n">
        <v>4</v>
      </c>
      <c r="C224" s="11" t="inlineStr">
        <is>
          <t>AR</t>
        </is>
      </c>
      <c r="D224" s="11" t="inlineStr">
        <is>
          <t>AR23-02-09-01-04</t>
        </is>
      </c>
      <c r="E224" s="11" t="inlineStr">
        <is>
          <t>SR23-02-09-01</t>
        </is>
      </c>
      <c r="F224" s="11" t="inlineStr">
        <is>
          <t>├─ AR23-02-09-01-04 异常回滚</t>
        </is>
      </c>
      <c r="G224" s="11" t="inlineStr">
        <is>
          <t>活跃/热/冷 KV 分层驻留与部分复用策略｜异常回滚</t>
        </is>
      </c>
      <c r="H224" s="11" t="inlineStr">
        <is>
          <t>实现并验证失败、超时、取消、降级、回滚与关闭路径：分类不可信时保护 活跃状态（active） KV 并使用保守 复制到 HBM（copy-to-HBM）；负收益则重算</t>
        </is>
      </c>
      <c r="I224" s="11" t="inlineStr">
        <is>
          <t>代码通过编译、静态检查和单元测试；接口/配置有版本；失败语义和 功能开关（feature flag） 可验证。</t>
        </is>
      </c>
      <c r="J224" s="11" t="inlineStr">
        <is>
          <t>src/policy/residency/fallback.{h,cc} + config/feature_flags/residency_policy.yaml</t>
        </is>
      </c>
      <c r="K224" s="11" t="inlineStr">
        <is>
          <t>驻留与局部复用策略组</t>
        </is>
      </c>
      <c r="L224" s="11" t="inlineStr">
        <is>
          <t>依赖AR：AR23-02-09-01-03；依赖SR：SR23-02-08-01、SR23-01-01-02、SR23-01-01-03</t>
        </is>
      </c>
    </row>
    <row r="225" ht="61.95000076293945" customHeight="1">
      <c r="A225" s="11" t="inlineStr">
        <is>
          <t>SF-02/IR-02-09/SR23-02-09-01/AR23-02-09-01-05</t>
        </is>
      </c>
      <c r="B225" s="11" t="n">
        <v>4</v>
      </c>
      <c r="C225" s="11" t="inlineStr">
        <is>
          <t>AR</t>
        </is>
      </c>
      <c r="D225" s="11" t="inlineStr">
        <is>
          <t>AR23-02-09-01-05</t>
        </is>
      </c>
      <c r="E225" s="11" t="inlineStr">
        <is>
          <t>SR23-02-09-01</t>
        </is>
      </c>
      <c r="F225" s="11" t="inlineStr">
        <is>
          <t>├─ AR23-02-09-01-05 独立验收</t>
        </is>
      </c>
      <c r="G225" s="11" t="inlineStr">
        <is>
          <t>活跃/热/冷 KV 分层驻留与部分复用策略｜独立验收</t>
        </is>
      </c>
      <c r="H225" s="11" t="inlineStr">
        <is>
          <t>建立不依赖全项目的验收环境，执行功能、异常、兼容和性能门禁并生成可签字证据包。</t>
        </is>
      </c>
      <c r="I225" s="11" t="inlineStr">
        <is>
          <t>在“追踪（trace） 回放（replay） + MockTier/加载（Load） 即可独立验收”中完成主路径、异常、兼容和回滚；全部证据可一键复现。</t>
        </is>
      </c>
      <c r="J225" s="11" t="inlineStr">
        <is>
          <t>tests/residency_policy/ + benchmarks/residency_policy/ + evidence/residency_policy/manifest.yaml</t>
        </is>
      </c>
      <c r="K225" s="11" t="inlineStr">
        <is>
          <t>测试/验收负责人</t>
        </is>
      </c>
      <c r="L225" s="11" t="inlineStr">
        <is>
          <t>依赖AR：AR23-02-09-01-04；依赖SR：SR23-02-08-01、SR23-01-01-02、SR23-01-01-03</t>
        </is>
      </c>
    </row>
    <row r="226" ht="61.95000076293945" customHeight="1">
      <c r="A226" s="11" t="inlineStr">
        <is>
          <t>SF-02/IR-02-09/SR23-02-09-01/AR23-02-09-01-06</t>
        </is>
      </c>
      <c r="B226" s="11" t="n">
        <v>4</v>
      </c>
      <c r="C226" s="11" t="inlineStr">
        <is>
          <t>AR</t>
        </is>
      </c>
      <c r="D226" s="11" t="inlineStr">
        <is>
          <t>AR23-02-09-01-06</t>
        </is>
      </c>
      <c r="E226" s="11" t="inlineStr">
        <is>
          <t>SR23-02-09-01</t>
        </is>
      </c>
      <c r="F226" s="11" t="inlineStr">
        <is>
          <t>├─ AR23-02-09-01-06 性能观测</t>
        </is>
      </c>
      <c r="G226" s="11" t="inlineStr">
        <is>
          <t>活跃/热/冷 KV 分层驻留与部分复用策略｜性能观测</t>
        </is>
      </c>
      <c r="H226" s="11" t="inlineStr">
        <is>
          <t>接入统一 遥测数据（telemetry），建立本 SR 专属性能/资源/正确性指标和回归阈值：HBM有效容量提升≥20%；TPOT p99回退&lt;3%；每GB 节省的令牌（saved tokens）提升≥25%</t>
        </is>
      </c>
      <c r="I226" s="11" t="inlineStr">
        <is>
          <t>代码通过编译、静态检查和单元测试；接口/配置有版本；失败语义和 功能开关（feature flag） 可验证。</t>
        </is>
      </c>
      <c r="J226" s="11" t="inlineStr">
        <is>
          <t>src/policy/residency/telemetry.{h,cc} + 仪表板（dashboards）/residency_policy.json</t>
        </is>
      </c>
      <c r="K226" s="11" t="inlineStr">
        <is>
          <t>性能与可观测负责人</t>
        </is>
      </c>
      <c r="L226" s="11" t="inlineStr">
        <is>
          <t>依赖AR：AR23-02-09-01-05；依赖SR：SR23-02-08-01、SR23-01-01-02、SR23-01-01-03</t>
        </is>
      </c>
    </row>
    <row r="227" ht="61.95000076293945" customHeight="1">
      <c r="A227" s="11" t="inlineStr">
        <is>
          <t>SF-02/IR-02-10</t>
        </is>
      </c>
      <c r="B227" s="11" t="n">
        <v>2</v>
      </c>
      <c r="C227" s="11" t="inlineStr">
        <is>
          <t>IR</t>
        </is>
      </c>
      <c r="D227" s="11" t="inlineStr">
        <is>
          <t>IR-02-10</t>
        </is>
      </c>
      <c r="E227" s="11" t="inlineStr">
        <is>
          <t>SF-02</t>
        </is>
      </c>
      <c r="F227" s="11" t="inlineStr">
        <is>
          <t>├─ IR-02-10 支持张量/流水并行多卡KV一致消费及指标治理</t>
        </is>
      </c>
      <c r="G227" s="11" t="inlineStr">
        <is>
          <t>支持张量/流水并行多卡KV一致消费及指标治理</t>
        </is>
      </c>
      <c r="H227" s="11" t="inlineStr">
        <is>
          <t>系统应在 tensor parallel、流水线（pipeline） parallel 等多卡推理场景中，让各 并行秩（rank） 对命中长度、对象版本、就绪状态（ready）、附加（attach） 和错误状态形成一致结论；只有全部必需 并行秩（rank） 均可消费时才进入共享 KV 路径，否则按组执行统一回退。同时输出 raw/usable/abandoned hit、并行秩等待（rank wait） 和收益指标，支持多卡正确性验证与调度优化。</t>
        </is>
      </c>
      <c r="I227" s="11" t="inlineStr">
        <is>
          <t>正确性故障（correctness fault）=0；并行秩等待（rank wait） p99&lt;100 μs；指标字段覆盖率=100%；观测开销&lt;1%。</t>
        </is>
      </c>
      <c r="J227" s="11" t="inlineStr">
        <is>
          <t>HCCL/NCCL/torch.distributed 并行秩（Rank） Consensus + KV Observability SDK</t>
        </is>
      </c>
      <c r="K227" s="11" t="inlineStr">
        <is>
          <t>TM1/TM5/TM6</t>
        </is>
      </c>
      <c r="L227" s="11" t="inlineStr">
        <is>
          <t>V2.2 IR语义沿用</t>
        </is>
      </c>
    </row>
    <row r="228" ht="61.95000076293945" customHeight="1">
      <c r="A228" s="11" t="inlineStr">
        <is>
          <t>SF-02/IR-02-10/SR23-02-10-01</t>
        </is>
      </c>
      <c r="B228" s="11" t="n">
        <v>3</v>
      </c>
      <c r="C228" s="11" t="inlineStr">
        <is>
          <t>SR</t>
        </is>
      </c>
      <c r="D228" s="11" t="inlineStr">
        <is>
          <t>SR23-02-10-01</t>
        </is>
      </c>
      <c r="E228" s="11" t="inlineStr">
        <is>
          <t>IR-02-10</t>
        </is>
      </c>
      <c r="F228" s="11" t="inlineStr">
        <is>
          <t>├─ SR23-02-10-01 多 并行秩（Rank） KV 一致消费与专家控制组件</t>
        </is>
      </c>
      <c r="G228" s="11" t="inlineStr">
        <is>
          <t>多 并行秩（Rank） KV 一致消费与专家控制组件</t>
        </is>
      </c>
      <c r="H228" s="11" t="inlineStr">
        <is>
          <t>多卡意图编排、一致消费、并行秩等待（rank wait）/失败、受控专家覆盖
交付：multi-rank-coordinator、意图（Intent） API、并行秩（rank） consensus、ExpertOverride 与指标字段</t>
        </is>
      </c>
      <c r="I228" s="11" t="inlineStr">
        <is>
          <t>正确性故障（correctness fault）=0；并行秩等待（rank wait） p99&lt;100μs；字段覆盖100%；回退一致</t>
        </is>
      </c>
      <c r="J228" s="11" t="inlineStr">
        <is>
          <t>multi-rank-coordinator、意图（Intent） API、并行秩（rank） consensus、ExpertOverride 与指标字段</t>
        </is>
      </c>
      <c r="K228" s="11" t="inlineStr">
        <is>
          <t>多卡协同组</t>
        </is>
      </c>
      <c r="L228" s="11" t="inlineStr">
        <is>
          <t>来源3条；依赖：SR23-02-01-01、SR23-01-10-01、SR23-01-11-01</t>
        </is>
      </c>
    </row>
    <row r="229" ht="61.95000076293945" customHeight="1">
      <c r="A229" s="11" t="inlineStr">
        <is>
          <t>SF-02/IR-02-10/SR23-02-10-01/AR23-02-10-01-01</t>
        </is>
      </c>
      <c r="B229" s="11" t="n">
        <v>4</v>
      </c>
      <c r="C229" s="11" t="inlineStr">
        <is>
          <t>AR</t>
        </is>
      </c>
      <c r="D229" s="11" t="inlineStr">
        <is>
          <t>AR23-02-10-01-01</t>
        </is>
      </c>
      <c r="E229" s="11" t="inlineStr">
        <is>
          <t>SR23-02-10-01</t>
        </is>
      </c>
      <c r="F229" s="11" t="inlineStr">
        <is>
          <t>├─ AR23-02-10-01-01 核心实现</t>
        </is>
      </c>
      <c r="G229" s="11" t="inlineStr">
        <is>
          <t>多 并行秩（Rank） KV 一致消费与专家控制组件｜核心实现</t>
        </is>
      </c>
      <c r="H229" s="11" t="inlineStr">
        <is>
          <t>实现“多 并行秩（Rank） KV 一致消费与专家控制组件”的可运行主路径，交付 multi-rank-coordinator、意图（Intent） API、并行秩（rank） consensus、ExpertOverride 与指标字段 的核心代码、构建入口和最小示例。</t>
        </is>
      </c>
      <c r="I229" s="11" t="inlineStr">
        <is>
          <t>代码通过编译、静态检查和单元测试；接口/配置有版本；失败语义和 功能开关（feature flag） 可验证。</t>
        </is>
      </c>
      <c r="J229" s="11" t="inlineStr">
        <is>
          <t>src/runtime/multirank/core.{h,cc}</t>
        </is>
      </c>
      <c r="K229" s="11" t="inlineStr">
        <is>
          <t>多卡协同组</t>
        </is>
      </c>
      <c r="L229" s="11" t="inlineStr">
        <is>
          <t>依赖AR：无；依赖SR：SR23-02-01-01、SR23-01-10-01、SR23-01-11-01</t>
        </is>
      </c>
    </row>
    <row r="230" ht="61.95000076293945" customHeight="1">
      <c r="A230" s="11" t="inlineStr">
        <is>
          <t>SF-02/IR-02-10/SR23-02-10-01/AR23-02-10-01-02</t>
        </is>
      </c>
      <c r="B230" s="11" t="n">
        <v>4</v>
      </c>
      <c r="C230" s="11" t="inlineStr">
        <is>
          <t>AR</t>
        </is>
      </c>
      <c r="D230" s="11" t="inlineStr">
        <is>
          <t>AR23-02-10-01-02</t>
        </is>
      </c>
      <c r="E230" s="11" t="inlineStr">
        <is>
          <t>SR23-02-10-01</t>
        </is>
      </c>
      <c r="F230" s="11" t="inlineStr">
        <is>
          <t>├─ AR23-02-10-01-02 接口契约</t>
        </is>
      </c>
      <c r="G230" s="11" t="inlineStr">
        <is>
          <t>多 并行秩（Rank） KV 一致消费与专家控制组件｜接口契约</t>
        </is>
      </c>
      <c r="H230" s="11" t="inlineStr">
        <is>
          <t>冻结并实现接口/IDL、版本兼容、输入输出、错误码与 消费者（consumer） 示例：RankConsensus、PerRankResult、IntentOverride、semantic 指标（metrics）</t>
        </is>
      </c>
      <c r="I230" s="11" t="inlineStr">
        <is>
          <t>代码通过编译、静态检查和单元测试；接口/配置有版本；失败语义和 功能开关（feature flag） 可验证。</t>
        </is>
      </c>
      <c r="J230" s="11" t="inlineStr">
        <is>
          <t>api/kvcache/v23/multirank_coord.proto + src/runtime/multirank/api.{h,cc}</t>
        </is>
      </c>
      <c r="K230" s="11" t="inlineStr">
        <is>
          <t>多卡协同组</t>
        </is>
      </c>
      <c r="L230" s="11" t="inlineStr">
        <is>
          <t>依赖AR：AR23-02-10-01-01；依赖SR：SR23-02-01-01、SR23-01-10-01、SR23-01-11-01</t>
        </is>
      </c>
    </row>
    <row r="231" ht="61.95000076293945" customHeight="1">
      <c r="A231" s="11" t="inlineStr">
        <is>
          <t>SF-02/IR-02-10/SR23-02-10-01/AR23-02-10-01-03</t>
        </is>
      </c>
      <c r="B231" s="11" t="n">
        <v>4</v>
      </c>
      <c r="C231" s="11" t="inlineStr">
        <is>
          <t>AR</t>
        </is>
      </c>
      <c r="D231" s="11" t="inlineStr">
        <is>
          <t>AR23-02-10-01-03</t>
        </is>
      </c>
      <c r="E231" s="11" t="inlineStr">
        <is>
          <t>SR23-02-10-01</t>
        </is>
      </c>
      <c r="F231" s="11" t="inlineStr">
        <is>
          <t>├─ AR23-02-10-01-03 状态模型</t>
        </is>
      </c>
      <c r="G231" s="11" t="inlineStr">
        <is>
          <t>多 并行秩（Rank） KV 一致消费与专家控制组件｜状态模型</t>
        </is>
      </c>
      <c r="H231" s="11" t="inlineStr">
        <is>
          <t>实现状态、版本、并发互锁和持久/内存数据模型，覆盖正常转换与非法转换保护。</t>
        </is>
      </c>
      <c r="I231" s="11" t="inlineStr">
        <is>
          <t>代码通过编译、静态检查和单元测试；接口/配置有版本；失败语义和 功能开关（feature flag） 可验证。</t>
        </is>
      </c>
      <c r="J231" s="11" t="inlineStr">
        <is>
          <t>src/runtime/multirank/state_model.{h,cc}</t>
        </is>
      </c>
      <c r="K231" s="11" t="inlineStr">
        <is>
          <t>多卡协同组</t>
        </is>
      </c>
      <c r="L231" s="11" t="inlineStr">
        <is>
          <t>依赖AR：AR23-02-10-01-02；依赖SR：SR23-02-01-01、SR23-01-10-01、SR23-01-11-01</t>
        </is>
      </c>
    </row>
    <row r="232" ht="61.95000076293945" customHeight="1">
      <c r="A232" s="11" t="inlineStr">
        <is>
          <t>SF-02/IR-02-10/SR23-02-10-01/AR23-02-10-01-04</t>
        </is>
      </c>
      <c r="B232" s="11" t="n">
        <v>4</v>
      </c>
      <c r="C232" s="11" t="inlineStr">
        <is>
          <t>AR</t>
        </is>
      </c>
      <c r="D232" s="11" t="inlineStr">
        <is>
          <t>AR23-02-10-01-04</t>
        </is>
      </c>
      <c r="E232" s="11" t="inlineStr">
        <is>
          <t>SR23-02-10-01</t>
        </is>
      </c>
      <c r="F232" s="11" t="inlineStr">
        <is>
          <t>├─ AR23-02-10-01-04 异常回滚</t>
        </is>
      </c>
      <c r="G232" s="11" t="inlineStr">
        <is>
          <t>多 并行秩（Rank） KV 一致消费与专家控制组件｜异常回滚</t>
        </is>
      </c>
      <c r="H232" s="11" t="inlineStr">
        <is>
          <t>实现并验证失败、超时、取消、降级、回滚与关闭路径：任一关键 并行秩（rank） 不一致时统一回退；expert override 必须审计且可关闭</t>
        </is>
      </c>
      <c r="I232" s="11" t="inlineStr">
        <is>
          <t>代码通过编译、静态检查和单元测试；接口/配置有版本；失败语义和 功能开关（feature flag） 可验证。</t>
        </is>
      </c>
      <c r="J232" s="11" t="inlineStr">
        <is>
          <t>src/runtime/multirank/fallback.{h,cc} + config/feature_flags/multirank_coord.yaml</t>
        </is>
      </c>
      <c r="K232" s="11" t="inlineStr">
        <is>
          <t>多卡协同组</t>
        </is>
      </c>
      <c r="L232" s="11" t="inlineStr">
        <is>
          <t>依赖AR：AR23-02-10-01-03；依赖SR：SR23-02-01-01、SR23-01-10-01、SR23-01-11-01</t>
        </is>
      </c>
    </row>
    <row r="233" ht="61.95000076293945" customHeight="1">
      <c r="A233" s="11" t="inlineStr">
        <is>
          <t>SF-02/IR-02-10/SR23-02-10-01/AR23-02-10-01-05</t>
        </is>
      </c>
      <c r="B233" s="11" t="n">
        <v>4</v>
      </c>
      <c r="C233" s="11" t="inlineStr">
        <is>
          <t>AR</t>
        </is>
      </c>
      <c r="D233" s="11" t="inlineStr">
        <is>
          <t>AR23-02-10-01-05</t>
        </is>
      </c>
      <c r="E233" s="11" t="inlineStr">
        <is>
          <t>SR23-02-10-01</t>
        </is>
      </c>
      <c r="F233" s="11" t="inlineStr">
        <is>
          <t>├─ AR23-02-10-01-05 独立验收</t>
        </is>
      </c>
      <c r="G233" s="11" t="inlineStr">
        <is>
          <t>多 并行秩（Rank） KV 一致消费与专家控制组件｜独立验收</t>
        </is>
      </c>
      <c r="H233" s="11" t="inlineStr">
        <is>
          <t>建立不依赖全项目的验收环境，执行功能、异常、兼容和性能门禁并生成可签字证据包。</t>
        </is>
      </c>
      <c r="I233" s="11" t="inlineStr">
        <is>
          <t>在“1/2/4 并行秩（rank） 模拟器（simulator） 即可独立验收”中完成主路径、异常、兼容和回滚；全部证据可一键复现。</t>
        </is>
      </c>
      <c r="J233" s="11" t="inlineStr">
        <is>
          <t>tests/multirank_coord/ + benchmarks/multirank_coord/ + evidence/multirank_coord/manifest.yaml</t>
        </is>
      </c>
      <c r="K233" s="11" t="inlineStr">
        <is>
          <t>测试/验收负责人</t>
        </is>
      </c>
      <c r="L233" s="11" t="inlineStr">
        <is>
          <t>依赖AR：AR23-02-10-01-04；依赖SR：SR23-02-01-01、SR23-01-10-01、SR23-01-11-01</t>
        </is>
      </c>
    </row>
    <row r="234" ht="61.95000076293945" customHeight="1">
      <c r="A234" s="11" t="inlineStr">
        <is>
          <t>SF-02/IR-02-11</t>
        </is>
      </c>
      <c r="B234" s="11" t="n">
        <v>2</v>
      </c>
      <c r="C234" s="11" t="inlineStr">
        <is>
          <t>IR</t>
        </is>
      </c>
      <c r="D234" s="11" t="inlineStr">
        <is>
          <t>IR-02-11</t>
        </is>
      </c>
      <c r="E234" s="11" t="inlineStr">
        <is>
          <t>SF-02</t>
        </is>
      </c>
      <c r="F234" s="11" t="inlineStr">
        <is>
          <t>├─ IR-02-11 支持请求—计划—对象—路径的全链路观测及故障定位</t>
        </is>
      </c>
      <c r="G234" s="11" t="inlineStr">
        <is>
          <t>支持请求—计划—对象—路径的全链路观测及故障定位</t>
        </is>
      </c>
      <c r="H234" s="11" t="inlineStr">
        <is>
          <t>系统应使用统一标识把一次请求从 prefix 查询（lookup）、查询计划（QueryPlan） 决策、对象/副本选择、路径执行、状态迁移、回退（fallback） 到最终 TTFT/TPOT 结果串联起来，提供按请求、对象、存储层级（tier）、路径和原因查询的 指标（metrics）、追踪（trace）、检视（inspect） 与告警。其目标是证明命中是否产生真实收益、解释为何变慢或降级，并把故障定位时间缩短到分钟级。</t>
        </is>
      </c>
      <c r="I234" s="11" t="inlineStr">
        <is>
          <t>cost预测误差&lt;20%；常态探针开销&lt;1%；回退（fallback） 原因（reason）覆盖率=100%；MTTR降至分钟级。</t>
        </is>
      </c>
      <c r="J234" s="11" t="inlineStr">
        <is>
          <t>OpenTelemetry + Prometheus/Grafana + eBPF/perf + KV检视工具（KVInspect） API</t>
        </is>
      </c>
      <c r="K234" s="11" t="inlineStr">
        <is>
          <t>TM6</t>
        </is>
      </c>
      <c r="L234" s="11" t="inlineStr">
        <is>
          <t>V2.2 IR语义沿用</t>
        </is>
      </c>
    </row>
    <row r="235" ht="61.95000076293945" customHeight="1">
      <c r="A235" s="11" t="inlineStr">
        <is>
          <t>SF-02/IR-02-11/SR23-02-11-01</t>
        </is>
      </c>
      <c r="B235" s="11" t="n">
        <v>3</v>
      </c>
      <c r="C235" s="11" t="inlineStr">
        <is>
          <t>SR</t>
        </is>
      </c>
      <c r="D235" s="11" t="inlineStr">
        <is>
          <t>SR23-02-11-01</t>
        </is>
      </c>
      <c r="E235" s="11" t="inlineStr">
        <is>
          <t>IR-02-11</t>
        </is>
      </c>
      <c r="F235" s="11" t="inlineStr">
        <is>
          <t>├─ SR23-02-11-01 KV 全路径 遥测数据（Telemetry） 与语义指标 SDK</t>
        </is>
      </c>
      <c r="G235" s="11" t="inlineStr">
        <is>
          <t>KV 全路径 遥测数据（Telemetry） 与语义指标 SDK</t>
        </is>
      </c>
      <c r="H235" s="11" t="inlineStr">
        <is>
          <t>request/plan/object/path 关联、raw/usable/abandoned hit、主机访问（Host touch）、NPU 停顿（stall）
交付：telemetry-sdk、统一字段字典、低开销 计数器/追踪（counters/traces） 和硬件 counter 适配器（adapter）</t>
        </is>
      </c>
      <c r="I235" s="11" t="inlineStr">
        <is>
          <t>字段覆盖率100%；常态探针开销&lt;1%；核心指标丢失率&lt;0.1%</t>
        </is>
      </c>
      <c r="J235" s="11" t="inlineStr">
        <is>
          <t>telemetry-sdk、统一字段字典、低开销 计数器/追踪（counters/traces） 和硬件 counter 适配器（adapter）</t>
        </is>
      </c>
      <c r="K235" s="11" t="inlineStr">
        <is>
          <t>可观测 SDK 组</t>
        </is>
      </c>
      <c r="L235" s="11" t="inlineStr">
        <is>
          <t>来源3条；依赖：无外部前置</t>
        </is>
      </c>
    </row>
    <row r="236" ht="61.95000076293945" customHeight="1">
      <c r="A236" s="11" t="inlineStr">
        <is>
          <t>SF-02/IR-02-11/SR23-02-11-01/AR23-02-11-01-01</t>
        </is>
      </c>
      <c r="B236" s="11" t="n">
        <v>4</v>
      </c>
      <c r="C236" s="11" t="inlineStr">
        <is>
          <t>AR</t>
        </is>
      </c>
      <c r="D236" s="11" t="inlineStr">
        <is>
          <t>AR23-02-11-01-01</t>
        </is>
      </c>
      <c r="E236" s="11" t="inlineStr">
        <is>
          <t>SR23-02-11-01</t>
        </is>
      </c>
      <c r="F236" s="11" t="inlineStr">
        <is>
          <t>├─ AR23-02-11-01-01 核心实现</t>
        </is>
      </c>
      <c r="G236" s="11" t="inlineStr">
        <is>
          <t>KV 全路径 遥测数据（Telemetry） 与语义指标 SDK｜核心实现</t>
        </is>
      </c>
      <c r="H236" s="11" t="inlineStr">
        <is>
          <t>实现“KV 全路径 遥测数据（Telemetry） 与语义指标 SDK”的可运行主路径，交付 telemetry-sdk、统一字段字典、低开销 计数器/追踪（counters/traces） 和硬件 counter 适配器（adapter） 的核心代码、构建入口和最小示例。</t>
        </is>
      </c>
      <c r="I236" s="11" t="inlineStr">
        <is>
          <t>代码通过编译、静态检查和单元测试；接口/配置有版本；失败语义和 功能开关（feature flag） 可验证。</t>
        </is>
      </c>
      <c r="J236" s="11" t="inlineStr">
        <is>
          <t>src/observability/sdk/core.{h,cc}</t>
        </is>
      </c>
      <c r="K236" s="11" t="inlineStr">
        <is>
          <t>可观测 SDK 组</t>
        </is>
      </c>
      <c r="L236" s="11" t="inlineStr">
        <is>
          <t>依赖AR：无；依赖SR：无</t>
        </is>
      </c>
    </row>
    <row r="237" ht="61.95000076293945" customHeight="1">
      <c r="A237" s="11" t="inlineStr">
        <is>
          <t>SF-02/IR-02-11/SR23-02-11-01/AR23-02-11-01-02</t>
        </is>
      </c>
      <c r="B237" s="11" t="n">
        <v>4</v>
      </c>
      <c r="C237" s="11" t="inlineStr">
        <is>
          <t>AR</t>
        </is>
      </c>
      <c r="D237" s="11" t="inlineStr">
        <is>
          <t>AR23-02-11-01-02</t>
        </is>
      </c>
      <c r="E237" s="11" t="inlineStr">
        <is>
          <t>SR23-02-11-01</t>
        </is>
      </c>
      <c r="F237" s="11" t="inlineStr">
        <is>
          <t>├─ AR23-02-11-01-02 接口契约</t>
        </is>
      </c>
      <c r="G237" s="11" t="inlineStr">
        <is>
          <t>KV 全路径 遥测数据（Telemetry） 与语义指标 SDK｜接口契约</t>
        </is>
      </c>
      <c r="H237" s="11" t="inlineStr">
        <is>
          <t>冻结并实现接口/IDL、版本兼容、输入输出、错误码与 消费者（consumer） 示例：TelemetryEvent、MetricDictionary、sampling/cardinality policy</t>
        </is>
      </c>
      <c r="I237" s="11" t="inlineStr">
        <is>
          <t>代码通过编译、静态检查和单元测试；接口/配置有版本；失败语义和 功能开关（feature flag） 可验证。</t>
        </is>
      </c>
      <c r="J237" s="11" t="inlineStr">
        <is>
          <t>api/kvcache/v23/telemetry_sdk.proto + src/observability/sdk/api.{h,cc}</t>
        </is>
      </c>
      <c r="K237" s="11" t="inlineStr">
        <is>
          <t>可观测 SDK 组</t>
        </is>
      </c>
      <c r="L237" s="11" t="inlineStr">
        <is>
          <t>依赖AR：AR23-02-11-01-01；依赖SR：无</t>
        </is>
      </c>
    </row>
    <row r="238" ht="61.95000076293945" customHeight="1">
      <c r="A238" s="11" t="inlineStr">
        <is>
          <t>SF-02/IR-02-11/SR23-02-11-01/AR23-02-11-01-03</t>
        </is>
      </c>
      <c r="B238" s="11" t="n">
        <v>4</v>
      </c>
      <c r="C238" s="11" t="inlineStr">
        <is>
          <t>AR</t>
        </is>
      </c>
      <c r="D238" s="11" t="inlineStr">
        <is>
          <t>AR23-02-11-01-03</t>
        </is>
      </c>
      <c r="E238" s="11" t="inlineStr">
        <is>
          <t>SR23-02-11-01</t>
        </is>
      </c>
      <c r="F238" s="11" t="inlineStr">
        <is>
          <t>├─ AR23-02-11-01-03 状态模型</t>
        </is>
      </c>
      <c r="G238" s="11" t="inlineStr">
        <is>
          <t>KV 全路径 遥测数据（Telemetry） 与语义指标 SDK｜状态模型</t>
        </is>
      </c>
      <c r="H238" s="11" t="inlineStr">
        <is>
          <t>实现状态、版本、并发互锁和持久/内存数据模型，覆盖正常转换与非法转换保护。</t>
        </is>
      </c>
      <c r="I238" s="11" t="inlineStr">
        <is>
          <t>代码通过编译、静态检查和单元测试；接口/配置有版本；失败语义和 功能开关（feature flag） 可验证。</t>
        </is>
      </c>
      <c r="J238" s="11" t="inlineStr">
        <is>
          <t>src/observability/sdk/state_model.{h,cc}</t>
        </is>
      </c>
      <c r="K238" s="11" t="inlineStr">
        <is>
          <t>可观测 SDK 组</t>
        </is>
      </c>
      <c r="L238" s="11" t="inlineStr">
        <is>
          <t>依赖AR：AR23-02-11-01-02；依赖SR：无</t>
        </is>
      </c>
    </row>
    <row r="239" ht="61.95000076293945" customHeight="1">
      <c r="A239" s="11" t="inlineStr">
        <is>
          <t>SF-02/IR-02-11/SR23-02-11-01/AR23-02-11-01-04</t>
        </is>
      </c>
      <c r="B239" s="11" t="n">
        <v>4</v>
      </c>
      <c r="C239" s="11" t="inlineStr">
        <is>
          <t>AR</t>
        </is>
      </c>
      <c r="D239" s="11" t="inlineStr">
        <is>
          <t>AR23-02-11-01-04</t>
        </is>
      </c>
      <c r="E239" s="11" t="inlineStr">
        <is>
          <t>SR23-02-11-01</t>
        </is>
      </c>
      <c r="F239" s="11" t="inlineStr">
        <is>
          <t>├─ AR23-02-11-01-04 异常回滚</t>
        </is>
      </c>
      <c r="G239" s="11" t="inlineStr">
        <is>
          <t>KV 全路径 遥测数据（Telemetry） 与语义指标 SDK｜异常回滚</t>
        </is>
      </c>
      <c r="H239" s="11" t="inlineStr">
        <is>
          <t>实现并验证失败、超时、取消、降级、回滚与关闭路径：采集失败不得阻塞数据面；高基数标签限额；必要时降采样</t>
        </is>
      </c>
      <c r="I239" s="11" t="inlineStr">
        <is>
          <t>代码通过编译、静态检查和单元测试；接口/配置有版本；失败语义和 功能开关（feature flag） 可验证。</t>
        </is>
      </c>
      <c r="J239" s="11" t="inlineStr">
        <is>
          <t>src/observability/sdk/fallback.{h,cc} + config/feature_flags/telemetry_sdk.yaml</t>
        </is>
      </c>
      <c r="K239" s="11" t="inlineStr">
        <is>
          <t>可观测 SDK 组</t>
        </is>
      </c>
      <c r="L239" s="11" t="inlineStr">
        <is>
          <t>依赖AR：AR23-02-11-01-03；依赖SR：无</t>
        </is>
      </c>
    </row>
    <row r="240" ht="61.95000076293945" customHeight="1">
      <c r="A240" s="11" t="inlineStr">
        <is>
          <t>SF-02/IR-02-11/SR23-02-11-01/AR23-02-11-01-05</t>
        </is>
      </c>
      <c r="B240" s="11" t="n">
        <v>4</v>
      </c>
      <c r="C240" s="11" t="inlineStr">
        <is>
          <t>AR</t>
        </is>
      </c>
      <c r="D240" s="11" t="inlineStr">
        <is>
          <t>AR23-02-11-01-05</t>
        </is>
      </c>
      <c r="E240" s="11" t="inlineStr">
        <is>
          <t>SR23-02-11-01</t>
        </is>
      </c>
      <c r="F240" s="11" t="inlineStr">
        <is>
          <t>├─ AR23-02-11-01-05 独立验收</t>
        </is>
      </c>
      <c r="G240" s="11" t="inlineStr">
        <is>
          <t>KV 全路径 遥测数据（Telemetry） 与语义指标 SDK｜独立验收</t>
        </is>
      </c>
      <c r="H240" s="11" t="inlineStr">
        <is>
          <t>建立不依赖全项目的验收环境，执行功能、异常、兼容和性能门禁并生成可签字证据包。</t>
        </is>
      </c>
      <c r="I240" s="11" t="inlineStr">
        <is>
          <t>在“单进程 合成数据发射器（synthetic emitter） 即可独立验收”中完成主路径、异常、兼容和回滚；全部证据可一键复现。</t>
        </is>
      </c>
      <c r="J240" s="11" t="inlineStr">
        <is>
          <t>tests/telemetry_sdk/ + benchmarks/telemetry_sdk/ + evidence/telemetry_sdk/manifest.yaml</t>
        </is>
      </c>
      <c r="K240" s="11" t="inlineStr">
        <is>
          <t>测试/验收负责人</t>
        </is>
      </c>
      <c r="L240" s="11" t="inlineStr">
        <is>
          <t>依赖AR：AR23-02-11-01-04；依赖SR：无</t>
        </is>
      </c>
    </row>
    <row r="241" ht="61.95000076293945" customHeight="1">
      <c r="A241" s="11" t="inlineStr">
        <is>
          <t>SF-02/IR-02-11/SR23-02-11-01/AR23-02-11-01-06</t>
        </is>
      </c>
      <c r="B241" s="11" t="n">
        <v>4</v>
      </c>
      <c r="C241" s="11" t="inlineStr">
        <is>
          <t>AR</t>
        </is>
      </c>
      <c r="D241" s="11" t="inlineStr">
        <is>
          <t>AR23-02-11-01-06</t>
        </is>
      </c>
      <c r="E241" s="11" t="inlineStr">
        <is>
          <t>SR23-02-11-01</t>
        </is>
      </c>
      <c r="F241" s="11" t="inlineStr">
        <is>
          <t>├─ AR23-02-11-01-06 性能观测</t>
        </is>
      </c>
      <c r="G241" s="11" t="inlineStr">
        <is>
          <t>KV 全路径 遥测数据（Telemetry） 与语义指标 SDK｜性能观测</t>
        </is>
      </c>
      <c r="H241" s="11" t="inlineStr">
        <is>
          <t>接入统一 遥测数据（telemetry），建立本 SR 专属性能/资源/正确性指标和回归阈值：字段覆盖率100%；常态探针开销&lt;1%；核心指标丢失率&lt;0.1%</t>
        </is>
      </c>
      <c r="I241" s="11" t="inlineStr">
        <is>
          <t>代码通过编译、静态检查和单元测试；接口/配置有版本；失败语义和 功能开关（feature flag） 可验证。</t>
        </is>
      </c>
      <c r="J241" s="11" t="inlineStr">
        <is>
          <t>src/observability/sdk/telemetry.{h,cc} + 仪表板（dashboards）/telemetry_sdk.json</t>
        </is>
      </c>
      <c r="K241" s="11" t="inlineStr">
        <is>
          <t>性能与可观测负责人</t>
        </is>
      </c>
      <c r="L241" s="11" t="inlineStr">
        <is>
          <t>依赖AR：AR23-02-11-01-05；依赖SR：无</t>
        </is>
      </c>
    </row>
    <row r="242" ht="61.95000076293945" customHeight="1">
      <c r="A242" s="11" t="inlineStr">
        <is>
          <t>SF-02/IR-02-11/SR23-02-11-02</t>
        </is>
      </c>
      <c r="B242" s="11" t="n">
        <v>3</v>
      </c>
      <c r="C242" s="11" t="inlineStr">
        <is>
          <t>SR</t>
        </is>
      </c>
      <c r="D242" s="11" t="inlineStr">
        <is>
          <t>SR23-02-11-02</t>
        </is>
      </c>
      <c r="E242" s="11" t="inlineStr">
        <is>
          <t>IR-02-11</t>
        </is>
      </c>
      <c r="F242" s="11" t="inlineStr">
        <is>
          <t>├─ SR23-02-11-02 链路追踪、回退（Fallback） 分析与 KV检视工具（KVInspect） 工具</t>
        </is>
      </c>
      <c r="G242" s="11" t="inlineStr">
        <is>
          <t>链路追踪、回退（Fallback） 分析与 KV检视工具（KVInspect） 工具</t>
        </is>
      </c>
      <c r="H242" s="11" t="inlineStr">
        <is>
          <t>路径 追踪（trace）、回退（fallback） 原因（reason）、KV 状态时间线、检视（inspect） API 与 MTTR 工作流
交付：trace-inspect 服务/CLI、回退（fallback）/state timeline、告警与排障手册</t>
        </is>
      </c>
      <c r="I242" s="11" t="inlineStr">
        <is>
          <t>回退（fallback） 原因（reason）覆盖100%；关键路径可对账；故障定位降至分钟级</t>
        </is>
      </c>
      <c r="J242" s="11" t="inlineStr">
        <is>
          <t>trace-inspect 服务/CLI、回退（fallback）/state timeline、告警与排障手册</t>
        </is>
      </c>
      <c r="K242" s="11" t="inlineStr">
        <is>
          <t>故障分析与运维工具组</t>
        </is>
      </c>
      <c r="L242" s="11" t="inlineStr">
        <is>
          <t>来源4条；依赖：SR23-02-11-01</t>
        </is>
      </c>
    </row>
    <row r="243" ht="61.95000076293945" customHeight="1">
      <c r="A243" s="11" t="inlineStr">
        <is>
          <t>SF-02/IR-02-11/SR23-02-11-02/AR23-02-11-02-01</t>
        </is>
      </c>
      <c r="B243" s="11" t="n">
        <v>4</v>
      </c>
      <c r="C243" s="11" t="inlineStr">
        <is>
          <t>AR</t>
        </is>
      </c>
      <c r="D243" s="11" t="inlineStr">
        <is>
          <t>AR23-02-11-02-01</t>
        </is>
      </c>
      <c r="E243" s="11" t="inlineStr">
        <is>
          <t>SR23-02-11-02</t>
        </is>
      </c>
      <c r="F243" s="11" t="inlineStr">
        <is>
          <t>├─ AR23-02-11-02-01 核心实现</t>
        </is>
      </c>
      <c r="G243" s="11" t="inlineStr">
        <is>
          <t>链路追踪、回退（Fallback） 分析与 KV检视工具（KVInspect） 工具｜核心实现</t>
        </is>
      </c>
      <c r="H243" s="11" t="inlineStr">
        <is>
          <t>实现“链路追踪、回退（Fallback） 分析与 KV检视工具（KVInspect） 工具”的可运行主路径，交付 trace-inspect 服务/CLI、回退（fallback）/state timeline、告警与排障手册 的核心代码、构建入口和最小示例。</t>
        </is>
      </c>
      <c r="I243" s="11" t="inlineStr">
        <is>
          <t>代码通过编译、静态检查和单元测试；接口/配置有版本；失败语义和 功能开关（feature flag） 可验证。</t>
        </is>
      </c>
      <c r="J243" s="11" t="inlineStr">
        <is>
          <t>src/observability/inspect/core.{h,cc}</t>
        </is>
      </c>
      <c r="K243" s="11" t="inlineStr">
        <is>
          <t>故障分析与运维工具组</t>
        </is>
      </c>
      <c r="L243" s="11" t="inlineStr">
        <is>
          <t>依赖AR：无；依赖SR：SR23-02-11-01</t>
        </is>
      </c>
    </row>
    <row r="244" ht="61.95000076293945" customHeight="1">
      <c r="A244" s="11" t="inlineStr">
        <is>
          <t>SF-02/IR-02-11/SR23-02-11-02/AR23-02-11-02-02</t>
        </is>
      </c>
      <c r="B244" s="11" t="n">
        <v>4</v>
      </c>
      <c r="C244" s="11" t="inlineStr">
        <is>
          <t>AR</t>
        </is>
      </c>
      <c r="D244" s="11" t="inlineStr">
        <is>
          <t>AR23-02-11-02-02</t>
        </is>
      </c>
      <c r="E244" s="11" t="inlineStr">
        <is>
          <t>SR23-02-11-02</t>
        </is>
      </c>
      <c r="F244" s="11" t="inlineStr">
        <is>
          <t>├─ AR23-02-11-02-02 接口契约</t>
        </is>
      </c>
      <c r="G244" s="11" t="inlineStr">
        <is>
          <t>链路追踪、回退（Fallback） 分析与 KV检视工具（KVInspect） 工具｜接口契约</t>
        </is>
      </c>
      <c r="H244" s="11" t="inlineStr">
        <is>
          <t>冻结并实现接口/IDL、版本兼容、输入输出、错误码与 消费者（consumer） 示例：TraceQuery、KVInspectResponse、FallbackTimeline、alert 模式（schema）</t>
        </is>
      </c>
      <c r="I244" s="11" t="inlineStr">
        <is>
          <t>代码通过编译、静态检查和单元测试；接口/配置有版本；失败语义和 功能开关（feature flag） 可验证。</t>
        </is>
      </c>
      <c r="J244" s="11" t="inlineStr">
        <is>
          <t>api/kvcache/v23/trace_inspect.proto + src/observability/inspect/api.{h,cc}</t>
        </is>
      </c>
      <c r="K244" s="11" t="inlineStr">
        <is>
          <t>故障分析与运维工具组</t>
        </is>
      </c>
      <c r="L244" s="11" t="inlineStr">
        <is>
          <t>依赖AR：AR23-02-11-02-01；依赖SR：SR23-02-11-01</t>
        </is>
      </c>
    </row>
    <row r="245" ht="61.95000076293945" customHeight="1">
      <c r="A245" s="11" t="inlineStr">
        <is>
          <t>SF-02/IR-02-11/SR23-02-11-02/AR23-02-11-02-03</t>
        </is>
      </c>
      <c r="B245" s="11" t="n">
        <v>4</v>
      </c>
      <c r="C245" s="11" t="inlineStr">
        <is>
          <t>AR</t>
        </is>
      </c>
      <c r="D245" s="11" t="inlineStr">
        <is>
          <t>AR23-02-11-02-03</t>
        </is>
      </c>
      <c r="E245" s="11" t="inlineStr">
        <is>
          <t>SR23-02-11-02</t>
        </is>
      </c>
      <c r="F245" s="11" t="inlineStr">
        <is>
          <t>├─ AR23-02-11-02-03 异常回滚</t>
        </is>
      </c>
      <c r="G245" s="11" t="inlineStr">
        <is>
          <t>链路追踪、回退（Fallback） 分析与 KV检视工具（KVInspect） 工具｜异常回滚</t>
        </is>
      </c>
      <c r="H245" s="11" t="inlineStr">
        <is>
          <t>实现并验证失败、超时、取消、降级、回滚与关闭路径：部分事件缺失时标记证据不足；不得生成确定性错误结论</t>
        </is>
      </c>
      <c r="I245" s="11" t="inlineStr">
        <is>
          <t>代码通过编译、静态检查和单元测试；接口/配置有版本；失败语义和 功能开关（feature flag） 可验证。</t>
        </is>
      </c>
      <c r="J245" s="11" t="inlineStr">
        <is>
          <t>src/observability/inspect/fallback.{h,cc} + config/feature_flags/trace_inspect.yaml</t>
        </is>
      </c>
      <c r="K245" s="11" t="inlineStr">
        <is>
          <t>故障分析与运维工具组</t>
        </is>
      </c>
      <c r="L245" s="11" t="inlineStr">
        <is>
          <t>依赖AR：AR23-02-11-02-02；依赖SR：SR23-02-11-01</t>
        </is>
      </c>
    </row>
    <row r="246" ht="61.95000076293945" customHeight="1">
      <c r="A246" s="11" t="inlineStr">
        <is>
          <t>SF-02/IR-02-11/SR23-02-11-02/AR23-02-11-02-04</t>
        </is>
      </c>
      <c r="B246" s="11" t="n">
        <v>4</v>
      </c>
      <c r="C246" s="11" t="inlineStr">
        <is>
          <t>AR</t>
        </is>
      </c>
      <c r="D246" s="11" t="inlineStr">
        <is>
          <t>AR23-02-11-02-04</t>
        </is>
      </c>
      <c r="E246" s="11" t="inlineStr">
        <is>
          <t>SR23-02-11-02</t>
        </is>
      </c>
      <c r="F246" s="11" t="inlineStr">
        <is>
          <t>├─ AR23-02-11-02-04 独立验收</t>
        </is>
      </c>
      <c r="G246" s="11" t="inlineStr">
        <is>
          <t>链路追踪、回退（Fallback） 分析与 KV检视工具（KVInspect） 工具｜独立验收</t>
        </is>
      </c>
      <c r="H246" s="11" t="inlineStr">
        <is>
          <t>建立不依赖全项目的验收环境，执行功能、异常、兼容和性能门禁并生成可签字证据包。</t>
        </is>
      </c>
      <c r="I246" s="11" t="inlineStr">
        <is>
          <t>在“录制 遥测数据（telemetry） 测试夹具（fixture） 即可独立验收”中完成主路径、异常、兼容和回滚；全部证据可一键复现。</t>
        </is>
      </c>
      <c r="J246" s="11" t="inlineStr">
        <is>
          <t>tests/trace_inspect/ + benchmarks/trace_inspect/ + evidence/trace_inspect/manifest.yaml</t>
        </is>
      </c>
      <c r="K246" s="11" t="inlineStr">
        <is>
          <t>测试/验收负责人</t>
        </is>
      </c>
      <c r="L246" s="11" t="inlineStr">
        <is>
          <t>依赖AR：AR23-02-11-02-03；依赖SR：SR23-02-11-01</t>
        </is>
      </c>
    </row>
    <row r="247" ht="61.95000076293945" customHeight="1">
      <c r="A247" s="11" t="inlineStr">
        <is>
          <t>SF-02/IR-02-12</t>
        </is>
      </c>
      <c r="B247" s="11" t="n">
        <v>2</v>
      </c>
      <c r="C247" s="11" t="inlineStr">
        <is>
          <t>IR</t>
        </is>
      </c>
      <c r="D247" s="11" t="inlineStr">
        <is>
          <t>IR-02-12</t>
        </is>
      </c>
      <c r="E247" s="11" t="inlineStr">
        <is>
          <t>SF-02</t>
        </is>
      </c>
      <c r="F247" s="11" t="inlineStr">
        <is>
          <t>├─ IR-02-12 支持跨平台构建、自动化测试、性能基线及灰度发布的工程交付体系</t>
        </is>
      </c>
      <c r="G247" s="11" t="inlineStr">
        <is>
          <t>支持跨平台构建、自动化测试、性能基线及灰度发布的工程交付体系</t>
        </is>
      </c>
      <c r="H247" s="11" t="inlineStr">
        <is>
          <t>系统应提供覆盖 CPU/NPU、vLLM/SGLang 和不同传输后端的标准构建、静态检查、单元/集成/性能/故障注入/长稳测试、制品发布、灰度放量和自动回滚流程；每次变更必须能够与冻结 基线（baseline） 做可复现对比，并以覆盖率、性能退化、泄漏、错误率和 SLO 门槛自动决定是否允许合并或发布。</t>
        </is>
      </c>
      <c r="I247" s="11" t="inlineStr">
        <is>
          <t>核心覆盖率&gt;85%；MR反馈&lt;15min；72h长稳零泄漏；故障回退（fallback）&lt;500ms且0错误；回滚&lt;1min。</t>
        </is>
      </c>
      <c r="J247" s="11" t="inlineStr">
        <is>
          <t>CMake/ccache + clang-tidy + ASAN/TSAN/LSAN + Chaos Mesh + GitLab CI + Benchmark</t>
        </is>
      </c>
      <c r="K247" s="11" t="inlineStr">
        <is>
          <t>TM6</t>
        </is>
      </c>
      <c r="L247" s="11" t="inlineStr">
        <is>
          <t>V2.2 IR语义沿用</t>
        </is>
      </c>
    </row>
    <row r="248" ht="61.95000076293945" customHeight="1">
      <c r="A248" s="11" t="inlineStr">
        <is>
          <t>SF-02/IR-02-12/SR23-02-12-01</t>
        </is>
      </c>
      <c r="B248" s="11" t="n">
        <v>3</v>
      </c>
      <c r="C248" s="11" t="inlineStr">
        <is>
          <t>SR</t>
        </is>
      </c>
      <c r="D248" s="11" t="inlineStr">
        <is>
          <t>SR23-02-12-01</t>
        </is>
      </c>
      <c r="E248" s="11" t="inlineStr">
        <is>
          <t>IR-02-12</t>
        </is>
      </c>
      <c r="F248" s="11" t="inlineStr">
        <is>
          <t>├─ SR23-02-12-01 KVCache 性能监控与告警交付包</t>
        </is>
      </c>
      <c r="G248" s="11" t="inlineStr">
        <is>
          <t>KVCache 性能监控与告警交付包</t>
        </is>
      </c>
      <c r="H248" s="11" t="inlineStr">
        <is>
          <t>TTFT/TPOT/hit/path/tier/Host touch 大盘、告警和巡检
交付：Prometheus rules、Grafana 仪表板（dashboards）、分级告警与巡检手册</t>
        </is>
      </c>
      <c r="I248" s="11" t="inlineStr">
        <is>
          <t>刷新&lt;5s；主业务损耗&lt;1%；告警规则准确率100%</t>
        </is>
      </c>
      <c r="J248" s="11" t="inlineStr">
        <is>
          <t>Prometheus rules、Grafana 仪表板（dashboards）、分级告警与巡检手册</t>
        </is>
      </c>
      <c r="K248" s="11" t="inlineStr">
        <is>
          <t>监控与 SRE 工具组</t>
        </is>
      </c>
      <c r="L248" s="11" t="inlineStr">
        <is>
          <t>来源1条；依赖：SR23-02-11-01、SR23-02-11-02</t>
        </is>
      </c>
    </row>
    <row r="249" ht="61.95000076293945" customHeight="1">
      <c r="A249" s="11" t="inlineStr">
        <is>
          <t>SF-02/IR-02-12/SR23-02-12-01/AR23-02-12-01-01</t>
        </is>
      </c>
      <c r="B249" s="11" t="n">
        <v>4</v>
      </c>
      <c r="C249" s="11" t="inlineStr">
        <is>
          <t>AR</t>
        </is>
      </c>
      <c r="D249" s="11" t="inlineStr">
        <is>
          <t>AR23-02-12-01-01</t>
        </is>
      </c>
      <c r="E249" s="11" t="inlineStr">
        <is>
          <t>SR23-02-12-01</t>
        </is>
      </c>
      <c r="F249" s="11" t="inlineStr">
        <is>
          <t>├─ AR23-02-12-01-01 工具实现</t>
        </is>
      </c>
      <c r="G249" s="11" t="inlineStr">
        <is>
          <t>KVCache 性能监控与告警交付包｜工具实现</t>
        </is>
      </c>
      <c r="H249" s="11" t="inlineStr">
        <is>
          <t>实现“KVCache 性能监控与告警交付包”的命令、服务或流水线主入口，产出可重复运行的工具包。</t>
        </is>
      </c>
      <c r="I249" s="11" t="inlineStr">
        <is>
          <t>代码通过编译、静态检查和单元测试；接口/配置有版本；失败语义和 功能开关（feature flag） 可验证。</t>
        </is>
      </c>
      <c r="J249" s="11" t="inlineStr">
        <is>
          <t>tools/monitoring/main + tools/monitoring/lib</t>
        </is>
      </c>
      <c r="K249" s="11" t="inlineStr">
        <is>
          <t>监控与 SRE 工具组</t>
        </is>
      </c>
      <c r="L249" s="11" t="inlineStr">
        <is>
          <t>依赖AR：无；依赖SR：SR23-02-11-01、SR23-02-11-02</t>
        </is>
      </c>
    </row>
    <row r="250" ht="61.95000076293945" customHeight="1">
      <c r="A250" s="11" t="inlineStr">
        <is>
          <t>SF-02/IR-02-12/SR23-02-12-01/AR23-02-12-01-02</t>
        </is>
      </c>
      <c r="B250" s="11" t="n">
        <v>4</v>
      </c>
      <c r="C250" s="11" t="inlineStr">
        <is>
          <t>AR</t>
        </is>
      </c>
      <c r="D250" s="11" t="inlineStr">
        <is>
          <t>AR23-02-12-01-02</t>
        </is>
      </c>
      <c r="E250" s="11" t="inlineStr">
        <is>
          <t>SR23-02-12-01</t>
        </is>
      </c>
      <c r="F250" s="11" t="inlineStr">
        <is>
          <t>├─ AR23-02-12-01-02 配置集成</t>
        </is>
      </c>
      <c r="G250" s="11" t="inlineStr">
        <is>
          <t>KVCache 性能监控与告警交付包｜配置集成</t>
        </is>
      </c>
      <c r="H250" s="11" t="inlineStr">
        <is>
          <t>交付版本化配置、部署/调用入口、默认值、样例及与上游工具链的集成。</t>
        </is>
      </c>
      <c r="I250" s="11" t="inlineStr">
        <is>
          <t>代码通过编译、静态检查和单元测试；接口/配置有版本；失败语义和 功能开关（feature flag） 可验证。</t>
        </is>
      </c>
      <c r="J250" s="11" t="inlineStr">
        <is>
          <t>config/monitoring_tool/ + deploy/monitoring_tool/</t>
        </is>
      </c>
      <c r="K250" s="11" t="inlineStr">
        <is>
          <t>监控与 SRE 工具组</t>
        </is>
      </c>
      <c r="L250" s="11" t="inlineStr">
        <is>
          <t>依赖AR：AR23-02-12-01-01；依赖SR：SR23-02-11-01、SR23-02-11-02</t>
        </is>
      </c>
    </row>
    <row r="251" ht="61.95000076293945" customHeight="1">
      <c r="A251" s="11" t="inlineStr">
        <is>
          <t>SF-02/IR-02-12/SR23-02-12-01/AR23-02-12-01-03</t>
        </is>
      </c>
      <c r="B251" s="11" t="n">
        <v>4</v>
      </c>
      <c r="C251" s="11" t="inlineStr">
        <is>
          <t>AR</t>
        </is>
      </c>
      <c r="D251" s="11" t="inlineStr">
        <is>
          <t>AR23-02-12-01-03</t>
        </is>
      </c>
      <c r="E251" s="11" t="inlineStr">
        <is>
          <t>SR23-02-12-01</t>
        </is>
      </c>
      <c r="F251" s="11" t="inlineStr">
        <is>
          <t>├─ AR23-02-12-01-03 异常回滚</t>
        </is>
      </c>
      <c r="G251" s="11" t="inlineStr">
        <is>
          <t>KVCache 性能监控与告警交付包｜异常回滚</t>
        </is>
      </c>
      <c r="H251" s="11" t="inlineStr">
        <is>
          <t>实现并验证失败、超时、取消、降级、回滚与关闭路径：指标缺失时标记不可判定；大盘故障不阻塞数据面</t>
        </is>
      </c>
      <c r="I251" s="11" t="inlineStr">
        <is>
          <t>代码通过编译、静态检查和单元测试；接口/配置有版本；失败语义和 功能开关（feature flag） 可验证。</t>
        </is>
      </c>
      <c r="J251" s="11" t="inlineStr">
        <is>
          <t>tools/monitoring/fallback.{h,cc} + config/feature_flags/monitoring_tool.yaml</t>
        </is>
      </c>
      <c r="K251" s="11" t="inlineStr">
        <is>
          <t>监控与 SRE 工具组</t>
        </is>
      </c>
      <c r="L251" s="11" t="inlineStr">
        <is>
          <t>依赖AR：AR23-02-12-01-02；依赖SR：SR23-02-11-01、SR23-02-11-02</t>
        </is>
      </c>
    </row>
    <row r="252" ht="61.95000076293945" customHeight="1">
      <c r="A252" s="11" t="inlineStr">
        <is>
          <t>SF-02/IR-02-12/SR23-02-12-01/AR23-02-12-01-04</t>
        </is>
      </c>
      <c r="B252" s="11" t="n">
        <v>4</v>
      </c>
      <c r="C252" s="11" t="inlineStr">
        <is>
          <t>AR</t>
        </is>
      </c>
      <c r="D252" s="11" t="inlineStr">
        <is>
          <t>AR23-02-12-01-04</t>
        </is>
      </c>
      <c r="E252" s="11" t="inlineStr">
        <is>
          <t>SR23-02-12-01</t>
        </is>
      </c>
      <c r="F252" s="11" t="inlineStr">
        <is>
          <t>├─ AR23-02-12-01-04 独立验收</t>
        </is>
      </c>
      <c r="G252" s="11" t="inlineStr">
        <is>
          <t>KVCache 性能监控与告警交付包｜独立验收</t>
        </is>
      </c>
      <c r="H252" s="11" t="inlineStr">
        <is>
          <t>建立不依赖全项目的验收环境，执行功能、异常、兼容和性能门禁并生成可签字证据包。</t>
        </is>
      </c>
      <c r="I252" s="11" t="inlineStr">
        <is>
          <t>在“录制 指标（metrics） 测试夹具（fixture） + 本地 Grafana 即可独立验收”中完成主路径、异常、兼容和回滚；全部证据可一键复现。</t>
        </is>
      </c>
      <c r="J252" s="11" t="inlineStr">
        <is>
          <t>tests/monitoring_tool/ + benchmarks/monitoring_tool/ + evidence/monitoring_tool/manifest.yaml</t>
        </is>
      </c>
      <c r="K252" s="11" t="inlineStr">
        <is>
          <t>测试/验收负责人</t>
        </is>
      </c>
      <c r="L252" s="11" t="inlineStr">
        <is>
          <t>依赖AR：AR23-02-12-01-03；依赖SR：SR23-02-11-01、SR23-02-11-02</t>
        </is>
      </c>
    </row>
    <row r="253" ht="61.95000076293945" customHeight="1">
      <c r="A253" s="11" t="inlineStr">
        <is>
          <t>SF-02/IR-02-12/SR23-02-12-02</t>
        </is>
      </c>
      <c r="B253" s="11" t="n">
        <v>3</v>
      </c>
      <c r="C253" s="11" t="inlineStr">
        <is>
          <t>SR</t>
        </is>
      </c>
      <c r="D253" s="11" t="inlineStr">
        <is>
          <t>SR23-02-12-02</t>
        </is>
      </c>
      <c r="E253" s="11" t="inlineStr">
        <is>
          <t>IR-02-12</t>
        </is>
      </c>
      <c r="F253" s="11" t="inlineStr">
        <is>
          <t>├─ SR23-02-12-02 核心组件单元/API 测试与硬件 Mock 框架</t>
        </is>
      </c>
      <c r="G253" s="11" t="inlineStr">
        <is>
          <t>核心组件单元/API 测试与硬件 Mock 框架</t>
        </is>
      </c>
      <c r="H253" s="11" t="inlineStr">
        <is>
          <t>单元/API/状态机 Mock、软仿分配器、覆盖率门禁
交付：gtest/gmock 测试框架、硬件 Mock、符合性（conformance） 流水线（pipeline） 与覆盖率报告</t>
        </is>
      </c>
      <c r="I253" s="11" t="inlineStr">
        <is>
          <t>核心覆盖率&gt;85%；核心接口自动化通过率100%</t>
        </is>
      </c>
      <c r="J253" s="11" t="inlineStr">
        <is>
          <t>gtest/gmock 测试框架、硬件 Mock、符合性（conformance） 流水线（pipeline） 与覆盖率报告</t>
        </is>
      </c>
      <c r="K253" s="11" t="inlineStr">
        <is>
          <t>自动化测试平台组</t>
        </is>
      </c>
      <c r="L253" s="11" t="inlineStr">
        <is>
          <t>来源1条；依赖：SR23-02-01-01、SR23-02-11-01</t>
        </is>
      </c>
    </row>
    <row r="254" ht="61.95000076293945" customHeight="1">
      <c r="A254" s="11" t="inlineStr">
        <is>
          <t>SF-02/IR-02-12/SR23-02-12-02/AR23-02-12-02-01</t>
        </is>
      </c>
      <c r="B254" s="11" t="n">
        <v>4</v>
      </c>
      <c r="C254" s="11" t="inlineStr">
        <is>
          <t>AR</t>
        </is>
      </c>
      <c r="D254" s="11" t="inlineStr">
        <is>
          <t>AR23-02-12-02-01</t>
        </is>
      </c>
      <c r="E254" s="11" t="inlineStr">
        <is>
          <t>SR23-02-12-02</t>
        </is>
      </c>
      <c r="F254" s="11" t="inlineStr">
        <is>
          <t>├─ AR23-02-12-02-01 工具实现</t>
        </is>
      </c>
      <c r="G254" s="11" t="inlineStr">
        <is>
          <t>核心组件单元/API 测试与硬件 Mock 框架｜工具实现</t>
        </is>
      </c>
      <c r="H254" s="11" t="inlineStr">
        <is>
          <t>实现“核心组件单元/API 测试与硬件 Mock 框架”的命令、服务或流水线主入口，产出可重复运行的工具包。</t>
        </is>
      </c>
      <c r="I254" s="11" t="inlineStr">
        <is>
          <t>代码通过编译、静态检查和单元测试；接口/配置有版本；失败语义和 功能开关（feature flag） 可验证。</t>
        </is>
      </c>
      <c r="J254" s="11" t="inlineStr">
        <is>
          <t>tests/framework/main + tests/framework/lib</t>
        </is>
      </c>
      <c r="K254" s="11" t="inlineStr">
        <is>
          <t>自动化测试平台组</t>
        </is>
      </c>
      <c r="L254" s="11" t="inlineStr">
        <is>
          <t>依赖AR：无；依赖SR：SR23-02-01-01、SR23-02-11-01</t>
        </is>
      </c>
    </row>
    <row r="255" ht="61.95000076293945" customHeight="1">
      <c r="A255" s="11" t="inlineStr">
        <is>
          <t>SF-02/IR-02-12/SR23-02-12-02/AR23-02-12-02-02</t>
        </is>
      </c>
      <c r="B255" s="11" t="n">
        <v>4</v>
      </c>
      <c r="C255" s="11" t="inlineStr">
        <is>
          <t>AR</t>
        </is>
      </c>
      <c r="D255" s="11" t="inlineStr">
        <is>
          <t>AR23-02-12-02-02</t>
        </is>
      </c>
      <c r="E255" s="11" t="inlineStr">
        <is>
          <t>SR23-02-12-02</t>
        </is>
      </c>
      <c r="F255" s="11" t="inlineStr">
        <is>
          <t>├─ AR23-02-12-02-02 配置集成</t>
        </is>
      </c>
      <c r="G255" s="11" t="inlineStr">
        <is>
          <t>核心组件单元/API 测试与硬件 Mock 框架｜配置集成</t>
        </is>
      </c>
      <c r="H255" s="11" t="inlineStr">
        <is>
          <t>交付版本化配置、部署/调用入口、默认值、样例及与上游工具链的集成。</t>
        </is>
      </c>
      <c r="I255" s="11" t="inlineStr">
        <is>
          <t>代码通过编译、静态检查和单元测试；接口/配置有版本；失败语义和 功能开关（feature flag） 可验证。</t>
        </is>
      </c>
      <c r="J255" s="11" t="inlineStr">
        <is>
          <t>config/unit_test_tool/ + deploy/unit_test_tool/</t>
        </is>
      </c>
      <c r="K255" s="11" t="inlineStr">
        <is>
          <t>自动化测试平台组</t>
        </is>
      </c>
      <c r="L255" s="11" t="inlineStr">
        <is>
          <t>依赖AR：AR23-02-12-02-01；依赖SR：SR23-02-01-01、SR23-02-11-01</t>
        </is>
      </c>
    </row>
    <row r="256" ht="61.95000076293945" customHeight="1">
      <c r="A256" s="11" t="inlineStr">
        <is>
          <t>SF-02/IR-02-12/SR23-02-12-02/AR23-02-12-02-03</t>
        </is>
      </c>
      <c r="B256" s="11" t="n">
        <v>4</v>
      </c>
      <c r="C256" s="11" t="inlineStr">
        <is>
          <t>AR</t>
        </is>
      </c>
      <c r="D256" s="11" t="inlineStr">
        <is>
          <t>AR23-02-12-02-03</t>
        </is>
      </c>
      <c r="E256" s="11" t="inlineStr">
        <is>
          <t>SR23-02-12-02</t>
        </is>
      </c>
      <c r="F256" s="11" t="inlineStr">
        <is>
          <t>├─ AR23-02-12-02-03 独立验收</t>
        </is>
      </c>
      <c r="G256" s="11" t="inlineStr">
        <is>
          <t>核心组件单元/API 测试与硬件 Mock 框架｜独立验收</t>
        </is>
      </c>
      <c r="H256" s="11" t="inlineStr">
        <is>
          <t>建立不依赖全项目的验收环境，执行功能、异常、兼容和性能门禁并生成可签字证据包。</t>
        </is>
      </c>
      <c r="I256" s="11" t="inlineStr">
        <is>
          <t>在“开发机/CI runner 即可独立验收”中完成主路径、异常、兼容和回滚；全部证据可一键复现。</t>
        </is>
      </c>
      <c r="J256" s="11" t="inlineStr">
        <is>
          <t>tests/unit_test_tool/ + benchmarks/unit_test_tool/ + evidence/unit_test_tool/manifest.yaml</t>
        </is>
      </c>
      <c r="K256" s="11" t="inlineStr">
        <is>
          <t>测试/验收负责人</t>
        </is>
      </c>
      <c r="L256" s="11" t="inlineStr">
        <is>
          <t>依赖AR：AR23-02-12-02-02；依赖SR：SR23-02-01-01、SR23-02-11-01</t>
        </is>
      </c>
    </row>
    <row r="257" ht="61.95000076293945" customHeight="1">
      <c r="A257" s="11" t="inlineStr">
        <is>
          <t>SF-02/IR-02-12/SR23-02-12-03</t>
        </is>
      </c>
      <c r="B257" s="11" t="n">
        <v>3</v>
      </c>
      <c r="C257" s="11" t="inlineStr">
        <is>
          <t>SR</t>
        </is>
      </c>
      <c r="D257" s="11" t="inlineStr">
        <is>
          <t>SR23-02-12-03</t>
        </is>
      </c>
      <c r="E257" s="11" t="inlineStr">
        <is>
          <t>IR-02-12</t>
        </is>
      </c>
      <c r="F257" s="11" t="inlineStr">
        <is>
          <t>├─ SR23-02-12-03 异构介质 E2E、长稳与混沌测试平台</t>
        </is>
      </c>
      <c r="G257" s="11" t="inlineStr">
        <is>
          <t>异构介质 E2E、长稳与混沌测试平台</t>
        </is>
      </c>
      <c r="H257" s="11" t="inlineStr">
        <is>
          <t>HBM/DDR/SSD/RDMA 连通、跨介质调度、故障回退、长稳泄漏
交付：E2E 编排、故障注入场景、72h soak suite 与恢复报告模板</t>
        </is>
      </c>
      <c r="I257" s="11" t="inlineStr">
        <is>
          <t>72h零泄漏；故障回退（fallback）&lt;500ms且0错误；介质连通性一键通过</t>
        </is>
      </c>
      <c r="J257" s="11" t="inlineStr">
        <is>
          <t>E2E 编排、故障注入场景、72h soak suite 与恢复报告模板</t>
        </is>
      </c>
      <c r="K257" s="11" t="inlineStr">
        <is>
          <t>系统集成与混沌测试组</t>
        </is>
      </c>
      <c r="L257" s="11" t="inlineStr">
        <is>
          <t>来源1条；依赖：SR23-02-12-02、SR23-01-09-01</t>
        </is>
      </c>
    </row>
    <row r="258" ht="61.95000076293945" customHeight="1">
      <c r="A258" s="11" t="inlineStr">
        <is>
          <t>SF-02/IR-02-12/SR23-02-12-03/AR23-02-12-03-01</t>
        </is>
      </c>
      <c r="B258" s="11" t="n">
        <v>4</v>
      </c>
      <c r="C258" s="11" t="inlineStr">
        <is>
          <t>AR</t>
        </is>
      </c>
      <c r="D258" s="11" t="inlineStr">
        <is>
          <t>AR23-02-12-03-01</t>
        </is>
      </c>
      <c r="E258" s="11" t="inlineStr">
        <is>
          <t>SR23-02-12-03</t>
        </is>
      </c>
      <c r="F258" s="11" t="inlineStr">
        <is>
          <t>├─ AR23-02-12-03-01 工具实现</t>
        </is>
      </c>
      <c r="G258" s="11" t="inlineStr">
        <is>
          <t>异构介质 E2E、长稳与混沌测试平台｜工具实现</t>
        </is>
      </c>
      <c r="H258" s="11" t="inlineStr">
        <is>
          <t>实现“异构介质 E2E、长稳与混沌测试平台”的命令、服务或流水线主入口，产出可重复运行的工具包。</t>
        </is>
      </c>
      <c r="I258" s="11" t="inlineStr">
        <is>
          <t>代码通过编译、静态检查和单元测试；接口/配置有版本；失败语义和 功能开关（feature flag） 可验证。</t>
        </is>
      </c>
      <c r="J258" s="11" t="inlineStr">
        <is>
          <t>tests/e2e/main + tests/e2e/lib</t>
        </is>
      </c>
      <c r="K258" s="11" t="inlineStr">
        <is>
          <t>系统集成与混沌测试组</t>
        </is>
      </c>
      <c r="L258" s="11" t="inlineStr">
        <is>
          <t>依赖AR：无；依赖SR：SR23-02-12-02、SR23-01-09-01</t>
        </is>
      </c>
    </row>
    <row r="259" ht="61.95000076293945" customHeight="1">
      <c r="A259" s="11" t="inlineStr">
        <is>
          <t>SF-02/IR-02-12/SR23-02-12-03/AR23-02-12-03-02</t>
        </is>
      </c>
      <c r="B259" s="11" t="n">
        <v>4</v>
      </c>
      <c r="C259" s="11" t="inlineStr">
        <is>
          <t>AR</t>
        </is>
      </c>
      <c r="D259" s="11" t="inlineStr">
        <is>
          <t>AR23-02-12-03-02</t>
        </is>
      </c>
      <c r="E259" s="11" t="inlineStr">
        <is>
          <t>SR23-02-12-03</t>
        </is>
      </c>
      <c r="F259" s="11" t="inlineStr">
        <is>
          <t>├─ AR23-02-12-03-02 配置集成</t>
        </is>
      </c>
      <c r="G259" s="11" t="inlineStr">
        <is>
          <t>异构介质 E2E、长稳与混沌测试平台｜配置集成</t>
        </is>
      </c>
      <c r="H259" s="11" t="inlineStr">
        <is>
          <t>交付版本化配置、部署/调用入口、默认值、样例及与上游工具链的集成。</t>
        </is>
      </c>
      <c r="I259" s="11" t="inlineStr">
        <is>
          <t>代码通过编译、静态检查和单元测试；接口/配置有版本；失败语义和 功能开关（feature flag） 可验证。</t>
        </is>
      </c>
      <c r="J259" s="11" t="inlineStr">
        <is>
          <t>config/e2e_chaos_tool/ + deploy/e2e_chaos_tool/</t>
        </is>
      </c>
      <c r="K259" s="11" t="inlineStr">
        <is>
          <t>系统集成与混沌测试组</t>
        </is>
      </c>
      <c r="L259" s="11" t="inlineStr">
        <is>
          <t>依赖AR：AR23-02-12-03-01；依赖SR：SR23-02-12-02、SR23-01-09-01</t>
        </is>
      </c>
    </row>
    <row r="260" ht="61.95000076293945" customHeight="1">
      <c r="A260" s="11" t="inlineStr">
        <is>
          <t>SF-02/IR-02-12/SR23-02-12-03/AR23-02-12-03-03</t>
        </is>
      </c>
      <c r="B260" s="11" t="n">
        <v>4</v>
      </c>
      <c r="C260" s="11" t="inlineStr">
        <is>
          <t>AR</t>
        </is>
      </c>
      <c r="D260" s="11" t="inlineStr">
        <is>
          <t>AR23-02-12-03-03</t>
        </is>
      </c>
      <c r="E260" s="11" t="inlineStr">
        <is>
          <t>SR23-02-12-03</t>
        </is>
      </c>
      <c r="F260" s="11" t="inlineStr">
        <is>
          <t>├─ AR23-02-12-03-03 异常回滚</t>
        </is>
      </c>
      <c r="G260" s="11" t="inlineStr">
        <is>
          <t>异构介质 E2E、长稳与混沌测试平台｜异常回滚</t>
        </is>
      </c>
      <c r="H260" s="11" t="inlineStr">
        <is>
          <t>实现并验证失败、超时、取消、降级、回滚与关闭路径：真实硬件不足时使用受控模拟；未覆盖路径明确标记 Not Tested</t>
        </is>
      </c>
      <c r="I260" s="11" t="inlineStr">
        <is>
          <t>代码通过编译、静态检查和单元测试；接口/配置有版本；失败语义和 功能开关（feature flag） 可验证。</t>
        </is>
      </c>
      <c r="J260" s="11" t="inlineStr">
        <is>
          <t>tests/e2e/fallback.{h,cc} + config/feature_flags/e2e_chaos_tool.yaml</t>
        </is>
      </c>
      <c r="K260" s="11" t="inlineStr">
        <is>
          <t>系统集成与混沌测试组</t>
        </is>
      </c>
      <c r="L260" s="11" t="inlineStr">
        <is>
          <t>依赖AR：AR23-02-12-03-02；依赖SR：SR23-02-12-02、SR23-01-09-01</t>
        </is>
      </c>
    </row>
    <row r="261" ht="61.95000076293945" customHeight="1">
      <c r="A261" s="11" t="inlineStr">
        <is>
          <t>SF-02/IR-02-12/SR23-02-12-03/AR23-02-12-03-04</t>
        </is>
      </c>
      <c r="B261" s="11" t="n">
        <v>4</v>
      </c>
      <c r="C261" s="11" t="inlineStr">
        <is>
          <t>AR</t>
        </is>
      </c>
      <c r="D261" s="11" t="inlineStr">
        <is>
          <t>AR23-02-12-03-04</t>
        </is>
      </c>
      <c r="E261" s="11" t="inlineStr">
        <is>
          <t>SR23-02-12-03</t>
        </is>
      </c>
      <c r="F261" s="11" t="inlineStr">
        <is>
          <t>├─ AR23-02-12-03-04 独立验收</t>
        </is>
      </c>
      <c r="G261" s="11" t="inlineStr">
        <is>
          <t>异构介质 E2E、长稳与混沌测试平台｜独立验收</t>
        </is>
      </c>
      <c r="H261" s="11" t="inlineStr">
        <is>
          <t>建立不依赖全项目的验收环境，执行功能、异常、兼容和性能门禁并生成可签字证据包。</t>
        </is>
      </c>
      <c r="I261" s="11" t="inlineStr">
        <is>
          <t>在“最小两节点异构测试环境或等价模拟器”中完成主路径、异常、兼容和回滚；全部证据可一键复现。</t>
        </is>
      </c>
      <c r="J261" s="11" t="inlineStr">
        <is>
          <t>tests/e2e_chaos_tool/ + benchmarks/e2e_chaos_tool/ + evidence/e2e_chaos_tool/manifest.yaml</t>
        </is>
      </c>
      <c r="K261" s="11" t="inlineStr">
        <is>
          <t>测试/验收负责人</t>
        </is>
      </c>
      <c r="L261" s="11" t="inlineStr">
        <is>
          <t>依赖AR：AR23-02-12-03-03；依赖SR：SR23-02-12-02、SR23-01-09-01</t>
        </is>
      </c>
    </row>
    <row r="262" ht="61.95000076293945" customHeight="1">
      <c r="A262" s="11" t="inlineStr">
        <is>
          <t>SF-02/IR-02-12/SR23-02-12-04</t>
        </is>
      </c>
      <c r="B262" s="11" t="n">
        <v>3</v>
      </c>
      <c r="C262" s="11" t="inlineStr">
        <is>
          <t>SR</t>
        </is>
      </c>
      <c r="D262" s="11" t="inlineStr">
        <is>
          <t>SR23-02-12-04</t>
        </is>
      </c>
      <c r="E262" s="11" t="inlineStr">
        <is>
          <t>IR-02-12</t>
        </is>
      </c>
      <c r="F262" s="11" t="inlineStr">
        <is>
          <t>├─ SR23-02-12-04 跨平台构建、制品与灰度发布流水线</t>
        </is>
      </c>
      <c r="G262" s="11" t="inlineStr">
        <is>
          <t>跨平台构建、制品与灰度发布流水线</t>
        </is>
      </c>
      <c r="H262" s="11" t="inlineStr">
        <is>
          <t>构建、静态检查、测试触发、打包、灰度、自动回滚
交付：CI/CD 流水线（pipeline）、跨平台矩阵、制品库、canary/rollback 自动化</t>
        </is>
      </c>
      <c r="I262" s="11" t="inlineStr">
        <is>
          <t>MR反馈&lt;15min；规范/基础错误拦截100%；自动回滚&lt;1min</t>
        </is>
      </c>
      <c r="J262" s="11" t="inlineStr">
        <is>
          <t>CI/CD 流水线（pipeline）、跨平台矩阵、制品库、canary/rollback 自动化</t>
        </is>
      </c>
      <c r="K262" s="11" t="inlineStr">
        <is>
          <t>构建与发布工程组</t>
        </is>
      </c>
      <c r="L262" s="11" t="inlineStr">
        <is>
          <t>来源1条；依赖：SR23-02-12-02、SR23-02-12-03</t>
        </is>
      </c>
    </row>
    <row r="263" ht="61.95000076293945" customHeight="1">
      <c r="A263" s="11" t="inlineStr">
        <is>
          <t>SF-02/IR-02-12/SR23-02-12-04/AR23-02-12-04-01</t>
        </is>
      </c>
      <c r="B263" s="11" t="n">
        <v>4</v>
      </c>
      <c r="C263" s="11" t="inlineStr">
        <is>
          <t>AR</t>
        </is>
      </c>
      <c r="D263" s="11" t="inlineStr">
        <is>
          <t>AR23-02-12-04-01</t>
        </is>
      </c>
      <c r="E263" s="11" t="inlineStr">
        <is>
          <t>SR23-02-12-04</t>
        </is>
      </c>
      <c r="F263" s="11" t="inlineStr">
        <is>
          <t>├─ AR23-02-12-04-01 工具实现</t>
        </is>
      </c>
      <c r="G263" s="11" t="inlineStr">
        <is>
          <t>跨平台构建、制品与灰度发布流水线｜工具实现</t>
        </is>
      </c>
      <c r="H263" s="11" t="inlineStr">
        <is>
          <t>实现“跨平台构建、制品与灰度发布流水线”的命令、服务或流水线主入口，产出可重复运行的工具包。</t>
        </is>
      </c>
      <c r="I263" s="11" t="inlineStr">
        <is>
          <t>代码通过编译、静态检查和单元测试；接口/配置有版本；失败语义和 功能开关（feature flag） 可验证。</t>
        </is>
      </c>
      <c r="J263" s="11" t="inlineStr">
        <is>
          <t>ci/main + ci/lib</t>
        </is>
      </c>
      <c r="K263" s="11" t="inlineStr">
        <is>
          <t>构建与发布工程组</t>
        </is>
      </c>
      <c r="L263" s="11" t="inlineStr">
        <is>
          <t>依赖AR：无；依赖SR：SR23-02-12-02、SR23-02-12-03</t>
        </is>
      </c>
    </row>
    <row r="264" ht="61.95000076293945" customHeight="1">
      <c r="A264" s="11" t="inlineStr">
        <is>
          <t>SF-02/IR-02-12/SR23-02-12-04/AR23-02-12-04-02</t>
        </is>
      </c>
      <c r="B264" s="11" t="n">
        <v>4</v>
      </c>
      <c r="C264" s="11" t="inlineStr">
        <is>
          <t>AR</t>
        </is>
      </c>
      <c r="D264" s="11" t="inlineStr">
        <is>
          <t>AR23-02-12-04-02</t>
        </is>
      </c>
      <c r="E264" s="11" t="inlineStr">
        <is>
          <t>SR23-02-12-04</t>
        </is>
      </c>
      <c r="F264" s="11" t="inlineStr">
        <is>
          <t>├─ AR23-02-12-04-02 配置集成</t>
        </is>
      </c>
      <c r="G264" s="11" t="inlineStr">
        <is>
          <t>跨平台构建、制品与灰度发布流水线｜配置集成</t>
        </is>
      </c>
      <c r="H264" s="11" t="inlineStr">
        <is>
          <t>交付版本化配置、部署/调用入口、默认值、样例及与上游工具链的集成。</t>
        </is>
      </c>
      <c r="I264" s="11" t="inlineStr">
        <is>
          <t>代码通过编译、静态检查和单元测试；接口/配置有版本；失败语义和 功能开关（feature flag） 可验证。</t>
        </is>
      </c>
      <c r="J264" s="11" t="inlineStr">
        <is>
          <t>config/cicd_tool/ + deploy/cicd_tool/</t>
        </is>
      </c>
      <c r="K264" s="11" t="inlineStr">
        <is>
          <t>构建与发布工程组</t>
        </is>
      </c>
      <c r="L264" s="11" t="inlineStr">
        <is>
          <t>依赖AR：AR23-02-12-04-01；依赖SR：SR23-02-12-02、SR23-02-12-03</t>
        </is>
      </c>
    </row>
    <row r="265" ht="61.95000076293945" customHeight="1">
      <c r="A265" s="11" t="inlineStr">
        <is>
          <t>SF-02/IR-02-12/SR23-02-12-04/AR23-02-12-04-03</t>
        </is>
      </c>
      <c r="B265" s="11" t="n">
        <v>4</v>
      </c>
      <c r="C265" s="11" t="inlineStr">
        <is>
          <t>AR</t>
        </is>
      </c>
      <c r="D265" s="11" t="inlineStr">
        <is>
          <t>AR23-02-12-04-03</t>
        </is>
      </c>
      <c r="E265" s="11" t="inlineStr">
        <is>
          <t>SR23-02-12-04</t>
        </is>
      </c>
      <c r="F265" s="11" t="inlineStr">
        <is>
          <t>├─ AR23-02-12-04-03 异常回滚</t>
        </is>
      </c>
      <c r="G265" s="11" t="inlineStr">
        <is>
          <t>跨平台构建、制品与灰度发布流水线｜异常回滚</t>
        </is>
      </c>
      <c r="H265" s="11" t="inlineStr">
        <is>
          <t>实现并验证失败、超时、取消、降级、回滚与关闭路径：任一质量门禁失败阻断；线上异常自动停止并回滚上一制品</t>
        </is>
      </c>
      <c r="I265" s="11" t="inlineStr">
        <is>
          <t>代码通过编译、静态检查和单元测试；接口/配置有版本；失败语义和 功能开关（feature flag） 可验证。</t>
        </is>
      </c>
      <c r="J265" s="11" t="inlineStr">
        <is>
          <t>ci/回退（fallback）.{h,cc} + config/feature_flags/cicd_tool.yaml</t>
        </is>
      </c>
      <c r="K265" s="11" t="inlineStr">
        <is>
          <t>构建与发布工程组</t>
        </is>
      </c>
      <c r="L265" s="11" t="inlineStr">
        <is>
          <t>依赖AR：AR23-02-12-04-02；依赖SR：SR23-02-12-02、SR23-02-12-03</t>
        </is>
      </c>
    </row>
    <row r="266" ht="61.95000076293945" customHeight="1">
      <c r="A266" s="11" t="inlineStr">
        <is>
          <t>SF-02/IR-02-12/SR23-02-12-04/AR23-02-12-04-04</t>
        </is>
      </c>
      <c r="B266" s="11" t="n">
        <v>4</v>
      </c>
      <c r="C266" s="11" t="inlineStr">
        <is>
          <t>AR</t>
        </is>
      </c>
      <c r="D266" s="11" t="inlineStr">
        <is>
          <t>AR23-02-12-04-04</t>
        </is>
      </c>
      <c r="E266" s="11" t="inlineStr">
        <is>
          <t>SR23-02-12-04</t>
        </is>
      </c>
      <c r="F266" s="11" t="inlineStr">
        <is>
          <t>├─ AR23-02-12-04-04 独立验收</t>
        </is>
      </c>
      <c r="G266" s="11" t="inlineStr">
        <is>
          <t>跨平台构建、制品与灰度发布流水线｜独立验收</t>
        </is>
      </c>
      <c r="H266" s="11" t="inlineStr">
        <is>
          <t>建立不依赖全项目的验收环境，执行功能、异常、兼容和性能门禁并生成可签字证据包。</t>
        </is>
      </c>
      <c r="I266" s="11" t="inlineStr">
        <is>
          <t>在“CI runner + 测试 namespace 即可独立验收”中完成主路径、异常、兼容和回滚；全部证据可一键复现。</t>
        </is>
      </c>
      <c r="J266" s="11" t="inlineStr">
        <is>
          <t>tests/cicd_tool/ + benchmarks/cicd_tool/ + evidence/cicd_tool/manifest.yaml</t>
        </is>
      </c>
      <c r="K266" s="11" t="inlineStr">
        <is>
          <t>测试/验收负责人</t>
        </is>
      </c>
      <c r="L266" s="11" t="inlineStr">
        <is>
          <t>依赖AR：AR23-02-12-04-03；依赖SR：SR23-02-12-02、SR23-02-12-03</t>
        </is>
      </c>
    </row>
    <row r="267" ht="61.95000076293945" customHeight="1">
      <c r="A267" s="11" t="inlineStr">
        <is>
          <t>SF-02/IR-02-12/SR23-02-12-05</t>
        </is>
      </c>
      <c r="B267" s="11" t="n">
        <v>3</v>
      </c>
      <c r="C267" s="11" t="inlineStr">
        <is>
          <t>SR</t>
        </is>
      </c>
      <c r="D267" s="11" t="inlineStr">
        <is>
          <t>SR23-02-12-05</t>
        </is>
      </c>
      <c r="E267" s="11" t="inlineStr">
        <is>
          <t>IR-02-12</t>
        </is>
      </c>
      <c r="F267" s="11" t="inlineStr">
        <is>
          <t>├─ SR23-02-12-05 KVCache 工作负载回放与性能基准平台</t>
        </is>
      </c>
      <c r="G267" s="11" t="inlineStr">
        <is>
          <t>KVCache 工作负载回放与性能基准平台</t>
        </is>
      </c>
      <c r="H267" s="11" t="inlineStr">
        <is>
          <t>真实/合成分布回放、10W+QPS 压测、TTFT/TPOT/资源对账
交付：工作负载（workload） generator、追踪（trace） 回放（replay）、基准测试（benchmark） 报告和版本基线库</t>
        </is>
      </c>
      <c r="I267" s="11" t="inlineStr">
        <is>
          <t>可模拟10W+QPS；重复实验CV&lt;5%；报告包含吞吐/TTFT/TPOT/资源曲线</t>
        </is>
      </c>
      <c r="J267" s="11" t="inlineStr">
        <is>
          <t>工作负载（workload） generator、追踪（trace） 回放（replay）、基准测试（benchmark） 报告和版本基线库</t>
        </is>
      </c>
      <c r="K267" s="11" t="inlineStr">
        <is>
          <t>性能与容量基准组</t>
        </is>
      </c>
      <c r="L267" s="11" t="inlineStr">
        <is>
          <t>来源1条；依赖：SR23-02-11-01</t>
        </is>
      </c>
    </row>
    <row r="268" ht="61.95000076293945" customHeight="1">
      <c r="A268" s="11" t="inlineStr">
        <is>
          <t>SF-02/IR-02-12/SR23-02-12-05/AR23-02-12-05-01</t>
        </is>
      </c>
      <c r="B268" s="11" t="n">
        <v>4</v>
      </c>
      <c r="C268" s="11" t="inlineStr">
        <is>
          <t>AR</t>
        </is>
      </c>
      <c r="D268" s="11" t="inlineStr">
        <is>
          <t>AR23-02-12-05-01</t>
        </is>
      </c>
      <c r="E268" s="11" t="inlineStr">
        <is>
          <t>SR23-02-12-05</t>
        </is>
      </c>
      <c r="F268" s="11" t="inlineStr">
        <is>
          <t>├─ AR23-02-12-05-01 工具实现</t>
        </is>
      </c>
      <c r="G268" s="11" t="inlineStr">
        <is>
          <t>KVCache 工作负载回放与性能基准平台｜工具实现</t>
        </is>
      </c>
      <c r="H268" s="11" t="inlineStr">
        <is>
          <t>实现“KVCache 工作负载回放与性能基准平台”的命令、服务或流水线主入口，产出可重复运行的工具包。</t>
        </is>
      </c>
      <c r="I268" s="11" t="inlineStr">
        <is>
          <t>代码通过编译、静态检查和单元测试；接口/配置有版本；失败语义和 功能开关（feature flag） 可验证。</t>
        </is>
      </c>
      <c r="J268" s="11" t="inlineStr">
        <is>
          <t>benchmarks/platform/main + benchmarks/platform/lib</t>
        </is>
      </c>
      <c r="K268" s="11" t="inlineStr">
        <is>
          <t>性能与容量基准组</t>
        </is>
      </c>
      <c r="L268" s="11" t="inlineStr">
        <is>
          <t>依赖AR：无；依赖SR：SR23-02-11-01</t>
        </is>
      </c>
    </row>
    <row r="269" ht="61.95000076293945" customHeight="1">
      <c r="A269" s="11" t="inlineStr">
        <is>
          <t>SF-02/IR-02-12/SR23-02-12-05/AR23-02-12-05-02</t>
        </is>
      </c>
      <c r="B269" s="11" t="n">
        <v>4</v>
      </c>
      <c r="C269" s="11" t="inlineStr">
        <is>
          <t>AR</t>
        </is>
      </c>
      <c r="D269" s="11" t="inlineStr">
        <is>
          <t>AR23-02-12-05-02</t>
        </is>
      </c>
      <c r="E269" s="11" t="inlineStr">
        <is>
          <t>SR23-02-12-05</t>
        </is>
      </c>
      <c r="F269" s="11" t="inlineStr">
        <is>
          <t>├─ AR23-02-12-05-02 配置集成</t>
        </is>
      </c>
      <c r="G269" s="11" t="inlineStr">
        <is>
          <t>KVCache 工作负载回放与性能基准平台｜配置集成</t>
        </is>
      </c>
      <c r="H269" s="11" t="inlineStr">
        <is>
          <t>交付版本化配置、部署/调用入口、默认值、样例及与上游工具链的集成。</t>
        </is>
      </c>
      <c r="I269" s="11" t="inlineStr">
        <is>
          <t>代码通过编译、静态检查和单元测试；接口/配置有版本；失败语义和 功能开关（feature flag） 可验证。</t>
        </is>
      </c>
      <c r="J269" s="11" t="inlineStr">
        <is>
          <t>config/perf_tool/ + deploy/perf_tool/</t>
        </is>
      </c>
      <c r="K269" s="11" t="inlineStr">
        <is>
          <t>性能与容量基准组</t>
        </is>
      </c>
      <c r="L269" s="11" t="inlineStr">
        <is>
          <t>依赖AR：AR23-02-12-05-01；依赖SR：SR23-02-11-01</t>
        </is>
      </c>
    </row>
    <row r="270" ht="61.95000076293945" customHeight="1">
      <c r="A270" s="11" t="inlineStr">
        <is>
          <t>SF-02/IR-02-12/SR23-02-12-05/AR23-02-12-05-03</t>
        </is>
      </c>
      <c r="B270" s="11" t="n">
        <v>4</v>
      </c>
      <c r="C270" s="11" t="inlineStr">
        <is>
          <t>AR</t>
        </is>
      </c>
      <c r="D270" s="11" t="inlineStr">
        <is>
          <t>AR23-02-12-05-03</t>
        </is>
      </c>
      <c r="E270" s="11" t="inlineStr">
        <is>
          <t>SR23-02-12-05</t>
        </is>
      </c>
      <c r="F270" s="11" t="inlineStr">
        <is>
          <t>├─ AR23-02-12-05-03 异常回滚</t>
        </is>
      </c>
      <c r="G270" s="11" t="inlineStr">
        <is>
          <t>KVCache 工作负载回放与性能基准平台｜异常回滚</t>
        </is>
      </c>
      <c r="H270" s="11" t="inlineStr">
        <is>
          <t>实现并验证失败、超时、取消、降级、回滚与关闭路径：真实 追踪（trace） 不可用时使用固定 ShareGPT+Zipf 双轨；禁止把合成热点外推为生产承诺</t>
        </is>
      </c>
      <c r="I270" s="11" t="inlineStr">
        <is>
          <t>代码通过编译、静态检查和单元测试；接口/配置有版本；失败语义和 功能开关（feature flag） 可验证。</t>
        </is>
      </c>
      <c r="J270" s="11" t="inlineStr">
        <is>
          <t>benchmarks/platform/fallback.{h,cc} + config/feature_flags/perf_tool.yaml</t>
        </is>
      </c>
      <c r="K270" s="11" t="inlineStr">
        <is>
          <t>性能与容量基准组</t>
        </is>
      </c>
      <c r="L270" s="11" t="inlineStr">
        <is>
          <t>依赖AR：AR23-02-12-05-02；依赖SR：SR23-02-11-01</t>
        </is>
      </c>
    </row>
    <row r="271" ht="61.95000076293945" customHeight="1">
      <c r="A271" s="11" t="inlineStr">
        <is>
          <t>SF-02/IR-02-12/SR23-02-12-05/AR23-02-12-05-04</t>
        </is>
      </c>
      <c r="B271" s="11" t="n">
        <v>4</v>
      </c>
      <c r="C271" s="11" t="inlineStr">
        <is>
          <t>AR</t>
        </is>
      </c>
      <c r="D271" s="11" t="inlineStr">
        <is>
          <t>AR23-02-12-05-04</t>
        </is>
      </c>
      <c r="E271" s="11" t="inlineStr">
        <is>
          <t>SR23-02-12-05</t>
        </is>
      </c>
      <c r="F271" s="11" t="inlineStr">
        <is>
          <t>├─ AR23-02-12-05-04 独立验收</t>
        </is>
      </c>
      <c r="G271" s="11" t="inlineStr">
        <is>
          <t>KVCache 工作负载回放与性能基准平台｜独立验收</t>
        </is>
      </c>
      <c r="H271" s="11" t="inlineStr">
        <is>
          <t>建立不依赖全项目的验收环境，执行功能、异常、兼容和性能门禁并生成可签字证据包。</t>
        </is>
      </c>
      <c r="I271" s="11" t="inlineStr">
        <is>
          <t>在“单机可做功能验收；异构测试集群用于规模门禁”中完成主路径、异常、兼容和回滚；全部证据可一键复现。</t>
        </is>
      </c>
      <c r="J271" s="11" t="inlineStr">
        <is>
          <t>tests/perf_tool/ + benchmarks/perf_tool/ + evidence/perf_tool/manifest.yaml</t>
        </is>
      </c>
      <c r="K271" s="11" t="inlineStr">
        <is>
          <t>测试/验收负责人</t>
        </is>
      </c>
      <c r="L271" s="11" t="inlineStr">
        <is>
          <t>依赖AR：AR23-02-12-05-03；依赖SR：SR23-02-11-01</t>
        </is>
      </c>
    </row>
  </sheetData>
  <mergeCells count="2">
    <mergeCell ref="A2:L2"/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3.80000019073486"/>
  <cols>
    <col width="28" customWidth="1" min="1" max="1"/>
    <col width="50" customWidth="1" min="2" max="2"/>
    <col width="54" customWidth="1" min="3" max="3"/>
    <col width="46" customWidth="1" min="4" max="4"/>
    <col width="22" customWidth="1" min="5" max="5"/>
  </cols>
  <sheetData>
    <row r="1" ht="28.04999923706055" customHeight="1">
      <c r="A1" s="26" t="inlineStr">
        <is>
          <t>V2.3.1 SR 独立交付重构说明</t>
        </is>
      </c>
    </row>
    <row r="2" ht="42" customHeight="1">
      <c r="A2" s="17" t="inlineStr">
        <is>
          <t>本页记录最新上会评审定义如何传递到 SR 聚合、AR 工作分解、依赖、验收和质量门禁。</t>
        </is>
      </c>
    </row>
    <row r="3">
      <c r="A3" s="15" t="n"/>
      <c r="B3" s="15" t="n"/>
      <c r="C3" s="15" t="n"/>
      <c r="D3" s="15" t="n"/>
      <c r="E3" s="15" t="n"/>
    </row>
    <row r="4" ht="34.04999923706055" customHeight="1">
      <c r="A4" s="10" t="inlineStr">
        <is>
          <t>审查问题</t>
        </is>
      </c>
      <c r="B4" s="10" t="inlineStr">
        <is>
          <t>V2.2 表现</t>
        </is>
      </c>
      <c r="C4" s="10" t="inlineStr">
        <is>
          <t>V2.3.1 刷新</t>
        </is>
      </c>
      <c r="D4" s="10" t="inlineStr">
        <is>
          <t>工程收益</t>
        </is>
      </c>
      <c r="E4" s="10" t="inlineStr">
        <is>
          <t>结果</t>
        </is>
      </c>
    </row>
    <row r="5" ht="72" customHeight="1">
      <c r="A5" s="11" t="inlineStr">
        <is>
          <t>SR定义不满足独立交付</t>
        </is>
      </c>
      <c r="B5" s="11" t="inlineStr">
        <is>
          <t>每条来源需求形成1条SR，SR等同详细设计章节/来源行容器</t>
        </is>
      </c>
      <c r="C5" s="11" t="inlineStr">
        <is>
          <t>以组件、服务、插件、SDK或工具等功能闭包重建38条SR</t>
        </is>
      </c>
      <c r="D5" s="11" t="inlineStr">
        <is>
          <t>可以独立构建、发布、验收和先行交付</t>
        </is>
      </c>
      <c r="E5" s="11" t="inlineStr">
        <is>
          <t>38 SR</t>
        </is>
      </c>
    </row>
    <row r="6" ht="72" customHeight="1">
      <c r="A6" s="11" t="inlineStr">
        <is>
          <t>SR边界继承父IR</t>
        </is>
      </c>
      <c r="B6" s="11" t="inlineStr">
        <is>
          <t>149条SR仅有24组输入/输出/失败语义</t>
        </is>
      </c>
      <c r="C6" s="11" t="inlineStr">
        <is>
          <t>每条SR单独定义消费者、范围、接口、主流程、回滚和验收环境</t>
        </is>
      </c>
      <c r="D6" s="11" t="inlineStr">
        <is>
          <t>消除父IR模板化复制</t>
        </is>
      </c>
      <c r="E6" s="11" t="inlineStr">
        <is>
          <t>SR门禁</t>
        </is>
      </c>
    </row>
    <row r="7" ht="72" customHeight="1">
      <c r="A7" s="11" t="inlineStr">
        <is>
          <t>依赖不可执行</t>
        </is>
      </c>
      <c r="B7" s="11" t="inlineStr">
        <is>
          <t>上下游依赖仅5种层级模板</t>
        </is>
      </c>
      <c r="C7" s="11" t="inlineStr">
        <is>
          <t>新增SR依赖矩阵、具体SR ID、最小兼容基线和桩件</t>
        </is>
      </c>
      <c r="D7" s="11" t="inlineStr">
        <is>
          <t>可判断先行交付和集成顺序</t>
        </is>
      </c>
      <c r="E7" s="11" t="inlineStr">
        <is>
          <t>38条依赖记录</t>
        </is>
      </c>
    </row>
    <row r="8" ht="72" customHeight="1">
      <c r="A8" s="11" t="inlineStr">
        <is>
          <t>KPI与功能错配</t>
        </is>
      </c>
      <c r="B8" s="11" t="inlineStr">
        <is>
          <t>相同前缀（Prefix）/节点失效指标跨多个不相关SR复用</t>
        </is>
      </c>
      <c r="C8" s="11" t="inlineStr">
        <is>
          <t>每条SR定义直接相关的接口、正确性、性能和回滚KPI</t>
        </is>
      </c>
      <c r="D8" s="11" t="inlineStr">
        <is>
          <t>独立验收可签字</t>
        </is>
      </c>
      <c r="E8" s="11" t="inlineStr">
        <is>
          <t>38条KPI</t>
        </is>
      </c>
    </row>
    <row r="9" ht="72" customHeight="1">
      <c r="A9" s="11" t="inlineStr">
        <is>
          <t>AR固定三条</t>
        </is>
      </c>
      <c r="B9" s="11" t="inlineStr">
        <is>
          <t>每SR固定核心/契约/验证3个AR</t>
        </is>
      </c>
      <c r="C9" s="11" t="inlineStr">
        <is>
          <t>按复杂度拆为3～6个AR，共203个</t>
        </is>
      </c>
      <c r="D9" s="11" t="inlineStr">
        <is>
          <t>反映真实工作量和状态/异常/性能任务</t>
        </is>
      </c>
      <c r="E9" s="11" t="inlineStr">
        <is>
          <t>203 AR</t>
        </is>
      </c>
    </row>
    <row r="10" ht="72" customHeight="1">
      <c r="A10" s="11" t="inlineStr">
        <is>
          <t>AR依赖无效</t>
        </is>
      </c>
      <c r="B10" s="11" t="inlineStr">
        <is>
          <t>依赖SR字段重复父SR，未形成工作依赖</t>
        </is>
      </c>
      <c r="C10" s="11" t="inlineStr">
        <is>
          <t>增加依赖AR链及跨SR集成依赖</t>
        </is>
      </c>
      <c r="D10" s="11" t="inlineStr">
        <is>
          <t>支持排期和并行开发</t>
        </is>
      </c>
      <c r="E10" s="11" t="inlineStr">
        <is>
          <t>依赖可审计</t>
        </is>
      </c>
    </row>
    <row r="11" ht="72" customHeight="1">
      <c r="A11" s="11" t="inlineStr">
        <is>
          <t>来源追溯方式</t>
        </is>
      </c>
      <c r="B11" s="11" t="inlineStr">
        <is>
          <t>149来源=149SR</t>
        </is>
      </c>
      <c r="C11" s="11" t="inlineStr">
        <is>
          <t>149来源多对一映射38SR；来源作为功能、约束或验收输入</t>
        </is>
      </c>
      <c r="D11" s="11" t="inlineStr">
        <is>
          <t>保留全量需求且避免碎片化</t>
        </is>
      </c>
      <c r="E11" s="11" t="inlineStr">
        <is>
          <t>149条全覆盖</t>
        </is>
      </c>
    </row>
    <row r="12" ht="72" customHeight="1">
      <c r="A12" s="11" t="inlineStr">
        <is>
          <t>ID兼容风险</t>
        </is>
      </c>
      <c r="B12" s="11" t="inlineStr">
        <is>
          <t>旧SR ID承载单条来源语义</t>
        </is>
      </c>
      <c r="C12" s="11" t="inlineStr">
        <is>
          <t>新SR使用SR23前缀，避免静默复用旧ID；追溯表保留旧SR ID</t>
        </is>
      </c>
      <c r="D12" s="11" t="inlineStr">
        <is>
          <t>跨版本引用不会误解</t>
        </is>
      </c>
      <c r="E12" s="11" t="inlineStr">
        <is>
          <t>ID重基线</t>
        </is>
      </c>
    </row>
    <row r="13" ht="72" customHeight="1">
      <c r="A13" s="11" t="inlineStr">
        <is>
          <t>独立交付判定</t>
        </is>
      </c>
      <c r="B13" s="11" t="inlineStr">
        <is>
          <t>无交付物、桩件、独立环境和回滚的公式门禁</t>
        </is>
      </c>
      <c r="C13" s="11" t="inlineStr">
        <is>
          <t>质量门禁增加SR交付物/消费者/接口/回滚/环境/KPI/基线/AR覆盖检查</t>
        </is>
      </c>
      <c r="D13" s="11" t="inlineStr">
        <is>
          <t>从结构自洽升级为语义可交付</t>
        </is>
      </c>
      <c r="E13" s="11" t="inlineStr">
        <is>
          <t>全部PASS后冻结</t>
        </is>
      </c>
    </row>
    <row r="14" ht="58" customHeight="1">
      <c r="A14" s="29" t="inlineStr">
        <is>
          <t>专属英文术语理解门槛</t>
        </is>
      </c>
      <c r="B14" s="29" t="inlineStr">
        <is>
          <t>部分项目功能名词单独使用英文，评审时需依赖上下文理解</t>
        </is>
      </c>
      <c r="C14" s="29" t="inlineStr">
        <is>
          <t>统一改为中文（英文）；HBM、DDR 等通用缩写及代码/接口标识保持原样</t>
        </is>
      </c>
      <c r="D14" s="29" t="inlineStr">
        <is>
          <t>提高论文式表述的严谨性，同时保留工程追溯能力</t>
        </is>
      </c>
      <c r="E14" s="29" t="inlineStr">
        <is>
          <t>术语已刷新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3.80000019073486"/>
  <cols>
    <col width="30" customWidth="1" min="1" max="1"/>
    <col width="12" customWidth="1" min="2" max="2"/>
    <col width="14" customWidth="1" min="3" max="3"/>
    <col width="12" customWidth="1" min="4" max="4"/>
    <col width="52" customWidth="1" min="5" max="5"/>
    <col width="36" customWidth="1" min="6" max="6"/>
  </cols>
  <sheetData>
    <row r="1" ht="28.04999923706055" customHeight="1">
      <c r="A1" s="26" t="inlineStr">
        <is>
          <t>需求树质量与 SR 独立交付门禁</t>
        </is>
      </c>
    </row>
    <row r="2" ht="42" customHeight="1">
      <c r="A2" s="17" t="inlineStr">
        <is>
          <t>本版门禁不仅检查数量和父子关系，还检查 SR 是否具有交付物、消费者、契约、回滚、独立环境、专属 KPI、桩件和真实 AR 覆盖。</t>
        </is>
      </c>
    </row>
    <row r="3">
      <c r="A3" s="15" t="n"/>
      <c r="B3" s="15" t="n"/>
      <c r="C3" s="15" t="n"/>
      <c r="D3" s="15" t="n"/>
      <c r="E3" s="15" t="n"/>
      <c r="F3" s="15" t="n"/>
    </row>
    <row r="4" ht="34.04999923706055" customHeight="1">
      <c r="A4" s="14" t="inlineStr">
        <is>
          <t>检查项</t>
        </is>
      </c>
      <c r="B4" s="14" t="inlineStr">
        <is>
          <t>期望值</t>
        </is>
      </c>
      <c r="C4" s="14" t="inlineStr">
        <is>
          <t>公式结果</t>
        </is>
      </c>
      <c r="D4" s="14" t="inlineStr">
        <is>
          <t>状态</t>
        </is>
      </c>
      <c r="E4" s="14" t="inlineStr">
        <is>
          <t>说明</t>
        </is>
      </c>
      <c r="F4" s="14" t="inlineStr">
        <is>
          <t>修复动作</t>
        </is>
      </c>
    </row>
    <row r="5" ht="54" customHeight="1">
      <c r="A5" s="11" t="inlineStr">
        <is>
          <t>V2.2来源需求数</t>
        </is>
      </c>
      <c r="B5" s="11" t="n">
        <v>149</v>
      </c>
      <c r="C5" s="11">
        <f>COUNTA('追溯与覆盖'!$A$5:$A$153)</f>
        <v/>
      </c>
      <c r="D5" s="11">
        <f>IF(C5=B5,"PASS","FAIL")</f>
        <v/>
      </c>
      <c r="E5" s="11" t="inlineStr">
        <is>
          <t>144条正式SRS+5条工程建议</t>
        </is>
      </c>
      <c r="F5" s="11" t="inlineStr">
        <is>
          <t>回查追溯与覆盖</t>
        </is>
      </c>
    </row>
    <row r="6" ht="54" customHeight="1">
      <c r="A6" s="11" t="inlineStr">
        <is>
          <t>来源未映射数</t>
        </is>
      </c>
      <c r="B6" s="11" t="n">
        <v>0</v>
      </c>
      <c r="C6" s="11">
        <f>COUNTBLANK('追溯与覆盖'!$J$5:$J$153)</f>
        <v/>
      </c>
      <c r="D6" s="11">
        <f>IF(C6=B6,"PASS","FAIL")</f>
        <v/>
      </c>
      <c r="E6" s="11" t="inlineStr">
        <is>
          <t>每条来源必须映射1个V2.3.1 SR</t>
        </is>
      </c>
      <c r="F6" s="11" t="inlineStr">
        <is>
          <t>补齐SR映射</t>
        </is>
      </c>
    </row>
    <row r="7" ht="54" customHeight="1">
      <c r="A7" s="11" t="inlineStr">
        <is>
          <t>来源唯一性异常数</t>
        </is>
      </c>
      <c r="B7" s="11" t="n">
        <v>0</v>
      </c>
      <c r="C7" s="11">
        <f>COUNTIF('追溯与覆盖'!$N$5:$N$153,"&lt;&gt;PASS")</f>
        <v/>
      </c>
      <c r="D7" s="11">
        <f>IF(C7=B7,"PASS","FAIL")</f>
        <v/>
      </c>
      <c r="E7" s="11" t="inlineStr">
        <is>
          <t>来源ID必须唯一</t>
        </is>
      </c>
      <c r="F7" s="11" t="inlineStr">
        <is>
          <t>修复重复来源</t>
        </is>
      </c>
    </row>
    <row r="8" ht="54" customHeight="1">
      <c r="A8" s="11" t="inlineStr">
        <is>
          <t>IR节点数</t>
        </is>
      </c>
      <c r="B8" s="11" t="n">
        <v>24</v>
      </c>
      <c r="C8" s="11">
        <f>COUNTA('SF-IR骨架'!$A$5:$A$28)</f>
        <v/>
      </c>
      <c r="D8" s="11">
        <f>IF(C8=B8,"PASS","FAIL")</f>
        <v/>
      </c>
      <c r="E8" s="11" t="inlineStr">
        <is>
          <t>沿用V2.2 IR语义</t>
        </is>
      </c>
      <c r="F8" s="11" t="inlineStr">
        <is>
          <t>修复IR骨架</t>
        </is>
      </c>
    </row>
    <row r="9" ht="54" customHeight="1">
      <c r="A9" s="11" t="inlineStr">
        <is>
          <t>SR功能闭包数</t>
        </is>
      </c>
      <c r="B9" s="11" t="n">
        <v>38</v>
      </c>
      <c r="C9" s="11">
        <f>COUNTA('SR系统设计'!$A$5:$A$42)</f>
        <v/>
      </c>
      <c r="D9" s="11">
        <f>IF(C9=B9,"PASS","FAIL")</f>
        <v/>
      </c>
      <c r="E9" s="11" t="inlineStr">
        <is>
          <t>按独立交付边界重构</t>
        </is>
      </c>
      <c r="F9" s="11" t="inlineStr">
        <is>
          <t>回查SR系统设计</t>
        </is>
      </c>
    </row>
    <row r="10" ht="54" customHeight="1">
      <c r="A10" s="11" t="inlineStr">
        <is>
          <t>SR门禁异常数</t>
        </is>
      </c>
      <c r="B10" s="11" t="n">
        <v>0</v>
      </c>
      <c r="C10" s="11">
        <f>COUNTIF('SR系统设计'!$X$5:$X$42,"&lt;&gt;PASS")</f>
        <v/>
      </c>
      <c r="D10" s="11">
        <f>IF(C10=B10,"PASS","FAIL")</f>
        <v/>
      </c>
      <c r="E10" s="11" t="inlineStr">
        <is>
          <t>交付物/消费者/接口/回滚/环境/KPI/桩件/来源/AR均完整</t>
        </is>
      </c>
      <c r="F10" s="11" t="inlineStr">
        <is>
          <t>补齐独立交付字段</t>
        </is>
      </c>
    </row>
    <row r="11" ht="54" customHeight="1">
      <c r="A11" s="11" t="inlineStr">
        <is>
          <t>无来源SR数</t>
        </is>
      </c>
      <c r="B11" s="11" t="n">
        <v>0</v>
      </c>
      <c r="C11" s="11">
        <f>COUNTIF('SR系统设计'!$U$5:$U$42,0)</f>
        <v/>
      </c>
      <c r="D11" s="11">
        <f>IF(C11=B11,"PASS","FAIL")</f>
        <v/>
      </c>
      <c r="E11" s="11" t="inlineStr">
        <is>
          <t>每个SR至少承接1条来源需求</t>
        </is>
      </c>
      <c r="F11" s="11" t="inlineStr">
        <is>
          <t>修复来源聚合</t>
        </is>
      </c>
    </row>
    <row r="12" ht="54" customHeight="1">
      <c r="A12" s="11" t="inlineStr">
        <is>
          <t>阻断独立交付SR数</t>
        </is>
      </c>
      <c r="B12" s="11" t="n">
        <v>0</v>
      </c>
      <c r="C12" s="11">
        <f>COUNTIF('SR系统设计'!$Q$5:$Q$42,"是")</f>
        <v/>
      </c>
      <c r="D12" s="11">
        <f>IF(C12=B12,"PASS","FAIL")</f>
        <v/>
      </c>
      <c r="E12" s="11" t="inlineStr">
        <is>
          <t>真实依赖可由最小基线/桩件替代</t>
        </is>
      </c>
      <c r="F12" s="11" t="inlineStr">
        <is>
          <t>补齐桩件或缩小SR边界</t>
        </is>
      </c>
    </row>
    <row r="13" ht="54" customHeight="1">
      <c r="A13" s="11" t="inlineStr">
        <is>
          <t>AR工作包数</t>
        </is>
      </c>
      <c r="B13" s="11" t="n">
        <v>203</v>
      </c>
      <c r="C13" s="11">
        <f>COUNTA('AR开发认领'!$A$5:$A$207)</f>
        <v/>
      </c>
      <c r="D13" s="11">
        <f>IF(C13=B13,"PASS","FAIL")</f>
        <v/>
      </c>
      <c r="E13" s="11" t="inlineStr">
        <is>
          <t>按SR复杂度拆分3～6个</t>
        </is>
      </c>
      <c r="F13" s="11" t="inlineStr">
        <is>
          <t>回查AR开发认领</t>
        </is>
      </c>
    </row>
    <row r="14" ht="54" customHeight="1">
      <c r="A14" s="11" t="inlineStr">
        <is>
          <t>AR父节点异常数</t>
        </is>
      </c>
      <c r="B14" s="11" t="n">
        <v>0</v>
      </c>
      <c r="C14" s="11">
        <f>COUNTIF('AR开发认领'!$T$5:$T$207,"&lt;&gt;PASS")</f>
        <v/>
      </c>
      <c r="D14" s="11">
        <f>IF(C14=B14,"PASS","FAIL")</f>
        <v/>
      </c>
      <c r="E14" s="11" t="inlineStr">
        <is>
          <t>每个AR必须有唯一父SR</t>
        </is>
      </c>
      <c r="F14" s="11" t="inlineStr">
        <is>
          <t>修复AR父节点</t>
        </is>
      </c>
    </row>
    <row r="15" ht="54" customHeight="1">
      <c r="A15" s="11" t="inlineStr">
        <is>
          <t>AR ID重复数</t>
        </is>
      </c>
      <c r="B15" s="11" t="n">
        <v>0</v>
      </c>
      <c r="C15" s="11">
        <f>COUNTIF('AR开发认领'!$S$5:$S$207,"&lt;&gt;PASS")</f>
        <v/>
      </c>
      <c r="D15" s="11">
        <f>IF(C15=B15,"PASS","FAIL")</f>
        <v/>
      </c>
      <c r="E15" s="11" t="inlineStr">
        <is>
          <t>AR ID必须唯一</t>
        </is>
      </c>
      <c r="F15" s="11" t="inlineStr">
        <is>
          <t>修复派生ID</t>
        </is>
      </c>
    </row>
    <row r="16" ht="54" customHeight="1">
      <c r="A16" s="11" t="inlineStr">
        <is>
          <t>SR依赖门禁异常数</t>
        </is>
      </c>
      <c r="B16" s="11" t="n">
        <v>0</v>
      </c>
      <c r="C16" s="11">
        <f>COUNTIF('SR依赖矩阵'!$I$5:$I$42,"&lt;&gt;PASS")</f>
        <v/>
      </c>
      <c r="D16" s="11">
        <f>IF(C16=B16,"PASS","FAIL")</f>
        <v/>
      </c>
      <c r="E16" s="11" t="inlineStr">
        <is>
          <t>每条SR必须有基线、独立交付和回滚边界</t>
        </is>
      </c>
      <c r="F16" s="11" t="inlineStr">
        <is>
          <t>补齐依赖矩阵</t>
        </is>
      </c>
    </row>
  </sheetData>
  <mergeCells count="2">
    <mergeCell ref="A2:F2"/>
    <mergeCell ref="A1:F1"/>
  </mergeCells>
  <conditionalFormatting sqref="D5:D16">
    <cfRule type="containsText" priority="1" operator="containsText" dxfId="25" text="PASS"/>
    <cfRule type="containsText" priority="2" operator="containsText" dxfId="24" text="FAIL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selection activeCell="A1" sqref="A1"/>
    </sheetView>
  </sheetViews>
  <sheetFormatPr baseColWidth="8" defaultRowHeight="13.80000019073486"/>
  <cols>
    <col width="28" customWidth="1" min="1" max="1"/>
    <col width="32" customWidth="1" min="2" max="2"/>
    <col width="100" customWidth="1" min="3" max="3"/>
  </cols>
  <sheetData>
    <row r="1" ht="28.04999923706055" customHeight="1">
      <c r="A1" s="26" t="inlineStr">
        <is>
          <t>术语、编码与使用说明</t>
        </is>
      </c>
    </row>
    <row r="2" ht="42" customHeight="1">
      <c r="A2" s="17" t="inlineStr">
        <is>
          <t>V2.3.1 重点冻结 SR 的独立交付定义、来源映射、项目贡献定位和质量门禁；其余技术术语沿用 SRS V2.2。</t>
        </is>
      </c>
    </row>
    <row r="3">
      <c r="A3" s="15" t="n"/>
      <c r="B3" s="15" t="n"/>
      <c r="C3" s="15" t="n"/>
    </row>
    <row r="4" ht="34.04999923706055" customHeight="1">
      <c r="A4" s="10" t="inlineStr">
        <is>
          <t>术语/主题</t>
        </is>
      </c>
      <c r="B4" s="10" t="inlineStr">
        <is>
          <t>英文/定位</t>
        </is>
      </c>
      <c r="C4" s="10" t="inlineStr">
        <is>
          <t>V2.3.1 定义与规则</t>
        </is>
      </c>
    </row>
    <row r="5" ht="58.04999923706055" customHeight="1">
      <c r="A5" s="11" t="inlineStr">
        <is>
          <t>SF</t>
        </is>
      </c>
      <c r="B5" s="11" t="inlineStr">
        <is>
          <t>System Feature</t>
        </is>
      </c>
      <c r="C5" s="11" t="inlineStr">
        <is>
          <t>全系统对外提供的整体技术能力；本版保持2条。</t>
        </is>
      </c>
    </row>
    <row r="6" ht="58.04999923706055" customHeight="1">
      <c r="A6" s="11" t="inlineStr">
        <is>
          <t>IR</t>
        </is>
      </c>
      <c r="B6" s="11" t="inlineStr">
        <is>
          <t>Initial Requirement / 归一化技术锚点</t>
        </is>
      </c>
      <c r="C6" s="11" t="inlineStr">
        <is>
          <t>来自用户/上游的初始需求经架构归一化后的技术锚点；保持组件、机制、输入输出、失败语义和KPI，不下沉到代码任务。</t>
        </is>
      </c>
    </row>
    <row r="7" ht="58.04999923706055" customHeight="1">
      <c r="A7" s="11" t="inlineStr">
        <is>
          <t>SR</t>
        </is>
      </c>
      <c r="B7" s="11" t="inlineStr">
        <is>
          <t>System Requirement / 独立交付功能实体</t>
        </is>
      </c>
      <c r="C7" s="11" t="inlineStr">
        <is>
          <t>可作为组件、服务、SDK、插件、工具或功能纵切独立构建、发布和验收；必须有消费者、边界、契约、主流程、回滚、专属 KPI、最小桩件和项目贡献定位。</t>
        </is>
      </c>
    </row>
    <row r="8" ht="58.04999923706055" customHeight="1">
      <c r="A8" s="11" t="inlineStr">
        <is>
          <t>AR</t>
        </is>
      </c>
      <c r="B8" s="11" t="inlineStr">
        <is>
          <t>Allocated Requirement / 工作包</t>
        </is>
      </c>
      <c r="C8" s="11" t="inlineStr">
        <is>
          <t>实现SR所需的可认领工作包；按复杂度拆为3～6个，不再固定数量。</t>
        </is>
      </c>
    </row>
    <row r="9" ht="58.04999923706055" customHeight="1">
      <c r="A9" s="11" t="inlineStr">
        <is>
          <t>来源需求</t>
        </is>
      </c>
      <c r="B9" s="11" t="inlineStr">
        <is>
          <t>SRS/工程建议</t>
        </is>
      </c>
      <c r="C9" s="11" t="inlineStr">
        <is>
          <t>保留144条正式SRS和5条工程建议；作为SR的功能、约束、风险或验收输入，不自动等于SR。</t>
        </is>
      </c>
    </row>
    <row r="10" ht="58.04999923706055" customHeight="1">
      <c r="A10" s="11" t="inlineStr">
        <is>
          <t>独立交付</t>
        </is>
      </c>
      <c r="B10" s="11" t="inlineStr">
        <is>
          <t>Independent Delivery</t>
        </is>
      </c>
      <c r="C10" s="11" t="inlineStr">
        <is>
          <t>不等于没有依赖，也不要求独立进程；要求真实依赖可由版本化契约、Mock/Stub或兼容基线替代，能够单独验收和回滚。</t>
        </is>
      </c>
    </row>
    <row r="11" ht="58.04999923706055" customHeight="1">
      <c r="A11" s="11" t="inlineStr">
        <is>
          <t>SR门禁</t>
        </is>
      </c>
      <c r="B11" s="11" t="inlineStr">
        <is>
          <t>Delivery Closure Gate</t>
        </is>
      </c>
      <c r="C11" s="11" t="inlineStr">
        <is>
          <t>交付物、消费者、接口、失败/回滚、独立环境、专属 KPI、最小基线、来源和 AR 覆盖完整时 PASS；项目贡献列用于进一步区分模块功能闭包、模块性能优化或两者协同。</t>
        </is>
      </c>
    </row>
    <row r="12" ht="58.04999923706055" customHeight="1">
      <c r="A12" s="11" t="inlineStr">
        <is>
          <t>依赖性质</t>
        </is>
      </c>
      <c r="B12" s="11" t="inlineStr">
        <is>
          <t>Integration Dependency</t>
        </is>
      </c>
      <c r="C12" s="11" t="inlineStr">
        <is>
          <t>SR依赖为集成关系；SR依赖矩阵必须给出最小可替代基线，且“阻断独立交付”应为否。</t>
        </is>
      </c>
    </row>
    <row r="13" ht="58.04999923706055" customHeight="1">
      <c r="A13" s="11" t="inlineStr">
        <is>
          <t>SR23 ID</t>
        </is>
      </c>
      <c r="B13" s="11" t="inlineStr">
        <is>
          <t>V2.3.1 re-baseline</t>
        </is>
      </c>
      <c r="C13" s="11" t="inlineStr">
        <is>
          <t>新SR使用SR23前缀，避免与V2.2逐来源SR发生语义冲突；旧SR ID保留在追溯表。</t>
        </is>
      </c>
    </row>
    <row r="14" ht="58.04999923706055" customHeight="1">
      <c r="A14" s="11" t="inlineStr">
        <is>
          <t>AR23 ID</t>
        </is>
      </c>
      <c r="B14" s="11" t="inlineStr">
        <is>
          <t>V2.3.1 work package</t>
        </is>
      </c>
      <c r="C14" s="11" t="inlineStr">
        <is>
          <t>AR按父SR和真实任务序号派生；依赖AR表达同一功能包内部实施次序。</t>
        </is>
      </c>
    </row>
    <row r="15" ht="58.04999923706055" customHeight="1">
      <c r="A15" s="11" t="inlineStr">
        <is>
          <t>评审顺序</t>
        </is>
      </c>
      <c r="B15" s="11" t="inlineStr">
        <is>
          <t>Usage</t>
        </is>
      </c>
      <c r="C15" s="11" t="inlineStr">
        <is>
          <t>建议按总览→SF-IR骨架→SR系统设计→SR依赖矩阵→AR开发认领→追溯/KPI→质量门禁审查。</t>
        </is>
      </c>
    </row>
    <row r="16" ht="58.04999923706055" customHeight="1">
      <c r="A16" s="11" t="inlineStr">
        <is>
          <t>冻结规则</t>
        </is>
      </c>
      <c r="B16" s="11" t="inlineStr">
        <is>
          <t>Baseline</t>
        </is>
      </c>
      <c r="C16" s="11" t="inlineStr">
        <is>
          <t>只有质量门禁全部PASS，且SR Owner确认可独立交付物与验收环境后，才可冻结为正式分解基线。</t>
        </is>
      </c>
    </row>
    <row r="17" ht="58" customHeight="1">
      <c r="A17" s="29" t="inlineStr">
        <is>
          <t>项目专属英文术语书写</t>
        </is>
      </c>
      <c r="B17" s="29" t="inlineStr">
        <is>
          <t>中文（English）</t>
        </is>
      </c>
      <c r="C17" s="29" t="inlineStr">
        <is>
          <t>与本项目功能或SRS密切相关的专属名词采用“中文（英文）”；通用缩写、产品名、ID、代码对象、接口名和文件路径保持工程原文。</t>
        </is>
      </c>
    </row>
    <row r="18">
      <c r="A18" t="inlineStr">
        <is>
          <t>--- 核心技术术语与机制直白功能释义 ---</t>
        </is>
      </c>
      <c r="B18" t="inlineStr">
        <is>
          <t>Core Technical Glossary</t>
        </is>
      </c>
      <c r="C18" t="inlineStr">
        <is>
          <t>本项目 20 项核心技术专有名词直白释义，供一线研发与评审人员直接查阅</t>
        </is>
      </c>
    </row>
    <row r="19">
      <c r="A19" t="inlineStr">
        <is>
          <t>Saved-Prefill</t>
        </is>
      </c>
      <c r="B19" t="inlineStr">
        <is>
          <t>首字生成预计算节省 (Saved-Prefill)</t>
        </is>
      </c>
      <c r="C19" t="inlineStr">
        <is>
          <t>利用已缓存的 KV Cache 避免重复计算 Prompt，从而显著降低首 Token 延迟 (TTFT)。</t>
        </is>
      </c>
    </row>
    <row r="20">
      <c r="A20" t="inlineStr">
        <is>
          <t>UBMEM</t>
        </is>
      </c>
      <c r="B20" t="inlineStr">
        <is>
          <t>统一总线内存直通共享协议 (UBMEM)</t>
        </is>
      </c>
      <c r="C20" t="inlineStr">
        <is>
          <t>支持跨节点与异构设备间直接共享内存地址空间的底层通信协议，支持零拷贝直通访问。</t>
        </is>
      </c>
    </row>
    <row r="21">
      <c r="A21" t="inlineStr">
        <is>
          <t>URMA</t>
        </is>
      </c>
      <c r="B21" t="inlineStr">
        <is>
          <t>通用远程直接内存访问 (URMA)</t>
        </is>
      </c>
      <c r="C21" t="inlineStr">
        <is>
          <t>用户态的高性能 RDMA 驱动接口与通信协议，负责硬件队列管理、批量提交、数据搬运与完成通知。</t>
        </is>
      </c>
    </row>
    <row r="22">
      <c r="A22" t="inlineStr">
        <is>
          <t>Direct-View</t>
        </is>
      </c>
      <c r="B22" t="inlineStr">
        <is>
          <t>远端直读 (Direct-View)</t>
        </is>
      </c>
      <c r="C22" t="inlineStr">
        <is>
          <t>直接通过高速总线跨节点读取远端显存中的 KV 数据，不产生本地显存拷贝（适用于只读元数据/快照）。</t>
        </is>
      </c>
    </row>
    <row r="23">
      <c r="A23" t="inlineStr">
        <is>
          <t>Copy-to-HBM</t>
        </is>
      </c>
      <c r="B23" t="inlineStr">
        <is>
          <t>拷贝到本地显存 (Copy-to-HBM)</t>
        </is>
      </c>
      <c r="C23" t="inlineStr">
        <is>
          <t>通过 DMA 将远端 KV 数据完整搬运至本地高带宽显存 HBM 中（Decode 阶段高频随机访问的默认主路径）。</t>
        </is>
      </c>
    </row>
    <row r="24">
      <c r="A24" t="inlineStr">
        <is>
          <t>ViewGuard</t>
        </is>
      </c>
      <c r="B24" t="inlineStr">
        <is>
          <t>视图租约安全守卫机制 (ViewGuard)</t>
        </is>
      </c>
      <c r="C24" t="inlineStr">
        <is>
          <t>负责管理远端直读的生命周期与租约有效性，并在远端崩溃或超时时安全捕获 SIGBUS 异常并回滚至本地重算。</t>
        </is>
      </c>
    </row>
    <row r="25">
      <c r="A25" t="inlineStr">
        <is>
          <t>QueryPlan</t>
        </is>
      </c>
      <c r="B25" t="inlineStr">
        <is>
          <t>查询与放置计划决策引擎 (QueryPlan)</t>
        </is>
      </c>
      <c r="C25" t="inlineStr">
        <is>
          <t>在微秒级时间内根据链路状态、算力与上下文长度选择最优数据加载或重算路径，杜绝负收益加载。</t>
        </is>
      </c>
    </row>
    <row r="26">
      <c r="A26" t="inlineStr">
        <is>
          <t>CostEvaluator</t>
        </is>
      </c>
      <c r="B26" t="inlineStr">
        <is>
          <t>成本预估模型 (CostEvaluator)</t>
        </is>
      </c>
      <c r="C26" t="inlineStr">
        <is>
          <t>在决策前量化预估各加载路径时延与本地重算开销的数学模型，确保正收益才加载。</t>
        </is>
      </c>
    </row>
    <row r="27">
      <c r="A27" t="inlineStr">
        <is>
          <t>Tiering / TierBlockAllocator</t>
        </is>
      </c>
      <c r="B27" t="inlineStr">
        <is>
          <t>分层存储技术与分层块分配器 (Tiering)</t>
        </is>
      </c>
      <c r="C27" t="inlineStr">
        <is>
          <t>将冷 KV Cache 异步沉淀到 NVMe SSD 大容量介质中，管理 4KB 对齐的磁盘物理扇区 LBA。</t>
        </is>
      </c>
    </row>
    <row r="28">
      <c r="A28" t="inlineStr">
        <is>
          <t>Payload Bypass DDR</t>
        </is>
      </c>
      <c r="B28" t="inlineStr">
        <is>
          <t>绕过主机内存 (Payload Bypass DDR)</t>
        </is>
      </c>
      <c r="C28" t="inlineStr">
        <is>
          <t>数据直接在 NVMe SSD 与 NPU HBM 之间流转，严格绕过主机内存 Host DDR，消除 CPU 内存拷贝与总线争用。</t>
        </is>
      </c>
    </row>
    <row r="29">
      <c r="A29" t="inlineStr">
        <is>
          <t>ConsumeEligibility</t>
        </is>
      </c>
      <c r="B29" t="inlineStr">
        <is>
          <t>消费资格校验引擎 (ConsumeEligibility)</t>
        </is>
      </c>
      <c r="C29" t="inlineStr">
        <is>
          <t>对命中 KV 的模型架构、Tokenizer 词表哈希、Prompt 模板哈希、LoRA 适配器、Ready 就绪位与租约有效性等 6 维语义进行微秒级合法性检查，杜绝错误消费。</t>
        </is>
      </c>
    </row>
    <row r="30">
      <c r="A30" t="inlineStr">
        <is>
          <t>RankConsensus</t>
        </is>
      </c>
      <c r="B30" t="inlineStr">
        <is>
          <t>张量并行多卡状态同步机制 (RankConsensus)</t>
        </is>
      </c>
      <c r="C30" t="inlineStr">
        <is>
          <t>在 TP=8 多卡并行时，通过共享内存同步各卡命中状态与一致性动作，确保多卡协同，杜绝集合通信死锁。</t>
        </is>
      </c>
    </row>
    <row r="31">
      <c r="A31" t="inlineStr">
        <is>
          <t>SemanticQoS</t>
        </is>
      </c>
      <c r="B31" t="inlineStr">
        <is>
          <t>前后台服务质量保障策略 (SemanticQoS)</t>
        </is>
      </c>
      <c r="C31" t="inlineStr">
        <is>
          <t>通过网络 RoCE 优先级队列映射与应用层微秒级自适应退避，确保后台数据换出与拉取不干扰前台在线推理的 TPOT 尾部延迟。</t>
        </is>
      </c>
    </row>
    <row r="32">
      <c r="A32" t="inlineStr">
        <is>
          <t>Staging Fanout</t>
        </is>
      </c>
      <c r="B32" t="inlineStr">
        <is>
          <t>软件分层中继转发 (Staging Fanout)</t>
        </is>
      </c>
      <c r="C32" t="inlineStr">
        <is>
          <t>利用集群计算节点建立树状中继转发拓扑，分层接力广播热点前缀数据，避免根节点网络拥塞。</t>
        </is>
      </c>
    </row>
    <row r="33">
      <c r="A33" t="inlineStr">
        <is>
          <t>RCU</t>
        </is>
      </c>
      <c r="B33" t="inlineStr">
        <is>
          <t>读-拷贝-更新 (RCU, Read-Copy-Update)</t>
        </is>
      </c>
      <c r="C33" t="inlineStr">
        <is>
          <t>一种无锁读与宽限期延迟释放机制，在后台显存碎片整理与页迁移时保证前台读请求零停顿。</t>
        </is>
      </c>
    </row>
    <row r="34">
      <c r="A34" t="inlineStr">
        <is>
          <t>ExtentManifest</t>
        </is>
      </c>
      <c r="B34" t="inlineStr">
        <is>
          <t>连续数据块区间清单描述符 (ExtentManifest)</t>
        </is>
      </c>
      <c r="C34" t="inlineStr">
        <is>
          <t>用 64B POD 结构体描述连续物理 Block，记录 KV 对象被拆分的数据片段物理分布，避免跨框架传递时的序列化开销。</t>
        </is>
      </c>
    </row>
    <row r="35">
      <c r="A35" t="inlineStr">
        <is>
          <t>DescriptorCompiler</t>
        </is>
      </c>
      <c r="B35" t="inlineStr">
        <is>
          <t>描述符编译器 (DescriptorCompiler)</t>
        </is>
      </c>
      <c r="C35" t="inlineStr">
        <is>
          <t>将跨框架离散物理 Block 贪心合并为硬件 Scatter-Gather 描述符，大幅降低 CPU 提交开销。</t>
        </is>
      </c>
    </row>
    <row r="36">
      <c r="A36" t="inlineStr">
        <is>
          <t>Raw Direct</t>
        </is>
      </c>
      <c r="B36" t="inlineStr">
        <is>
          <t>原始直达路径 (Raw Direct)</t>
        </is>
      </c>
      <c r="C36" t="inlineStr">
        <is>
          <t>不依赖 DPU 协处理器与专用硬件压缩，仅依靠底层网卡/SSD DMA 直达的最小基础数据通路。</t>
        </is>
      </c>
    </row>
    <row r="37">
      <c r="A37" t="inlineStr">
        <is>
          <t>CapabilityMatrix</t>
        </is>
      </c>
      <c r="B37" t="inlineStr">
        <is>
          <t>硬件能力矩阵 (CapabilityMatrix)</t>
        </is>
      </c>
      <c r="C37" t="inlineStr">
        <is>
          <t>在运行时自动探测各通信链路的带宽、时延等物理参数表，供调度算法决策读取。</t>
        </is>
      </c>
    </row>
    <row r="38">
      <c r="A38" t="inlineStr">
        <is>
          <t>TTFT &amp; TPOT</t>
        </is>
      </c>
      <c r="B38" t="inlineStr">
        <is>
          <t>首 Token 与单 Token 延迟指标</t>
        </is>
      </c>
      <c r="C38" t="inlineStr">
        <is>
          <t>TTFT (Time To First Token，首字生成延迟)；TPOT (Time Per Output Token，单字生成延迟)。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2026-08-18T11:48:47Z</dcterms:created>
  <dcterms:modified xmlns:dcterms="http://purl.org/dc/terms/" xmlns:xsi="http://www.w3.org/2001/XMLSchema-instance" xsi:type="dcterms:W3CDTF">2026-08-19T09:33:27Z</dcterms:modified>
</cp:coreProperties>
</file>