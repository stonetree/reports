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审视结论" sheetId="1" state="visible" r:id="rId1"/>
    <sheet xmlns:r="http://schemas.openxmlformats.org/officeDocument/2006/relationships" name="精简验证总表" sheetId="2" state="visible" r:id="rId2"/>
    <sheet xmlns:r="http://schemas.openxmlformats.org/officeDocument/2006/relationships" name="验证设计" sheetId="3" state="visible" r:id="rId3"/>
    <sheet xmlns:r="http://schemas.openxmlformats.org/officeDocument/2006/relationships" name="IR追溯矩阵" sheetId="4" state="visible" r:id="rId4"/>
    <sheet xmlns:r="http://schemas.openxmlformats.org/officeDocument/2006/relationships" name="V1.3项审计" sheetId="5" state="visible" r:id="rId5"/>
    <sheet xmlns:r="http://schemas.openxmlformats.org/officeDocument/2006/relationships" name="立项证据包" sheetId="6" state="visible" r:id="rId6"/>
    <sheet xmlns:r="http://schemas.openxmlformats.org/officeDocument/2006/relationships" name="实施波次" sheetId="7" state="visible" r:id="rId7"/>
    <sheet xmlns:r="http://schemas.openxmlformats.org/officeDocument/2006/relationships" name="筛选规则" sheetId="8" state="visible" r:id="rId8"/>
    <sheet xmlns:r="http://schemas.openxmlformats.org/officeDocument/2006/relationships" name="质量门禁" sheetId="9" state="visible" r:id="rId9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Microsoft YaHei"/>
      <b val="1"/>
      <color rgb="FFFFFFFF"/>
      <sz val="16"/>
    </font>
    <font>
      <name val="Microsoft YaHei"/>
      <color rgb="FF2F5597"/>
      <sz val="10"/>
    </font>
    <font>
      <name val="Microsoft YaHei"/>
      <b val="1"/>
      <color rgb="FFFFFFFF"/>
      <sz val="10"/>
    </font>
    <font>
      <name val="Microsoft YaHei"/>
      <b val="1"/>
      <color rgb="FF17365D"/>
      <sz val="22"/>
    </font>
    <font>
      <name val="Microsoft YaHei"/>
      <b val="1"/>
      <color rgb="FFFFFFFF"/>
      <sz val="11"/>
    </font>
    <font>
      <name val="Microsoft YaHei"/>
      <color rgb="FF1F1F1F"/>
      <sz val="9"/>
    </font>
    <font>
      <name val="Microsoft YaHei"/>
      <b val="1"/>
      <color rgb="FF17365D"/>
      <sz val="11"/>
    </font>
    <font>
      <name val="Microsoft YaHei"/>
      <b val="1"/>
      <color rgb="FF17365D"/>
      <sz val="10"/>
    </font>
    <font>
      <name val="Microsoft YaHei"/>
      <b val="1"/>
      <color rgb="FFFFFFFF"/>
      <sz val="10"/>
    </font>
    <font>
      <name val="Microsoft YaHei"/>
      <sz val="9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EF4F9"/>
      </patternFill>
    </fill>
    <fill>
      <patternFill patternType="solid">
        <fgColor rgb="FF2F559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6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3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0" borderId="2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3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8" fillId="3" borderId="3" applyAlignment="1" pivotButton="0" quotePrefix="0" xfId="0">
      <alignment vertical="top" wrapText="1"/>
    </xf>
    <xf numFmtId="0" fontId="8" fillId="3" borderId="2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/>
  </cellStyles>
  <dxfs count="15"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7365D"/>
      </font>
      <fill>
        <patternFill>
          <bgColor rgb="FFE4DFEC"/>
        </patternFill>
      </fill>
    </dxf>
    <dxf>
      <font>
        <b val="1"/>
        <color rgb="FF17365D"/>
      </font>
      <fill>
        <patternFill>
          <bgColor rgb="FFE4DFE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7365D"/>
      </font>
      <fill>
        <patternFill>
          <bgColor rgb="FFEEF4F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LeanValidationTable" displayName="LeanValidationTable" ref="A4:O15" headerRowCount="1" totalsRowCount="0" totalsRowShown="0">
  <tableColumns count="15">
    <tableColumn id="1" name="序号"/>
    <tableColumn id="2" name="验证ID"/>
    <tableColumn id="3" name="验证主题"/>
    <tableColumn id="4" name="类型"/>
    <tableColumn id="5" name="关键级别"/>
    <tableColumn id="6" name="主关联IR"/>
    <tableColumn id="7" name="次关联IR"/>
    <tableColumn id="8" name="背景诉求与竞争力关联（必要性与合理性）"/>
    <tableColumn id="9" name="为何决定IR成败及竞争力增量"/>
    <tableColumn id="10" name="主要验证思路与验证方法"/>
    <tableColumn id="11" name="证伪意图"/>
    <tableColumn id="12" name="正式项目延续路径"/>
    <tableColumn id="13" name="原V1.3来源"/>
    <tableColumn id="14" name="周期"/>
    <tableColumn id="15" name="当前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lidationDesignV16" displayName="ValidationDesignV16" ref="A4:R15" headerRowCount="1" totalsRowCount="0" totalsRowShown="0">
  <tableColumns count="18">
    <tableColumn id="1" name="验证ID"/>
    <tableColumn id="2" name="核心假设与背景诉求（竞争力关联）"/>
    <tableColumn id="3" name="最小原型范围 / 测试验证范围"/>
    <tableColumn id="4" name="主要验证思路与验证方法"/>
    <tableColumn id="5" name="实验矩阵"/>
    <tableColumn id="6" name="对照基线"/>
    <tableColumn id="7" name="关键指标"/>
    <tableColumn id="8" name="Go门槛"/>
    <tableColumn id="9" name="Conditional门槛"/>
    <tableColumn id="10" name="No-Go门槛"/>
    <tableColumn id="11" name="明确不做"/>
    <tableColumn id="12" name="必须交付证据（交付成果）"/>
    <tableColumn id="13" name="原型延续资产"/>
    <tableColumn id="14" name="证伪标记"/>
    <tableColumn id="15" name="周期"/>
    <tableColumn id="16" name="关键IR"/>
    <tableColumn id="17" name="关键SRS/SR锚点"/>
    <tableColumn id="18" name="结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rTraceTableV15" displayName="IrTraceTableV15" ref="A4:J28" headerRowCount="1" totalsRowCount="0" totalsRowShown="0">
  <autoFilter ref="A4:J28"/>
  <tableColumns count="10">
    <tableColumn id="1" name="IR ID"/>
    <tableColumn id="2" name="SF"/>
    <tableColumn id="3" name="IR功能化描述"/>
    <tableColumn id="4" name="关键级别"/>
    <tableColumn id="5" name="关键性判断"/>
    <tableColumn id="6" name="关联验证ID"/>
    <tableColumn id="7" name="覆盖方式"/>
    <tableColumn id="8" name="IR KPI锚点"/>
    <tableColumn id="9" name="是否需单独设项"/>
    <tableColumn id="10" name="审视结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13AuditTable" displayName="V13AuditTable" ref="A4:H29" headerRowCount="1" totalsRowCount="0" totalsRowShown="0">
  <autoFilter ref="A4:H29"/>
  <tableColumns count="8">
    <tableColumn id="1" name="原ID"/>
    <tableColumn id="2" name="原验证主题"/>
    <tableColumn id="3" name="审计动作"/>
    <tableColumn id="4" name="归并到V1.5"/>
    <tableColumn id="5" name="关联IR"/>
    <tableColumn id="6" name="审计理由"/>
    <tableColumn id="7" name="是否仍占立项前名额"/>
    <tableColumn id="8" name="处理结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idencePackTable" displayName="EvidencePackTable" ref="A4:M12" headerRowCount="1" totalsRowCount="0" totalsRowShown="0">
  <autoFilter ref="A4:M12"/>
  <tableColumns count="13">
    <tableColumn id="1" name="验证ID"/>
    <tableColumn id="2" name="要证明的关键问题"/>
    <tableColumn id="3" name="依赖的关键IR"/>
    <tableColumn id="4" name="原型资产"/>
    <tableColumn id="5" name="必须提交的原始证据"/>
    <tableColumn id="6" name="结果摘要"/>
    <tableColumn id="7" name="指标结果"/>
    <tableColumn id="8" name="结论"/>
    <tableColumn id="9" name="对架构的影响"/>
    <tableColumn id="10" name="对范围/里程碑的影响"/>
    <tableColumn id="11" name="对人员技能/数量的影响"/>
    <tableColumn id="12" name="证据位置/Commit"/>
    <tableColumn id="13" name="评审签字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  <col width="28" customWidth="1" min="3" max="3"/>
    <col width="28" customWidth="1" min="4" max="4"/>
  </cols>
  <sheetData>
    <row r="1" ht="30" customHeight="1">
      <c r="A1" s="3" t="inlineStr">
        <is>
          <t>关键技术原型验证清单 V1.6｜SRS V2.2、需求树 V2.3.1 与 V3.2 竞争力分析对齐完善版</t>
        </is>
      </c>
      <c r="B1" s="3" t="n"/>
      <c r="C1" s="3" t="n"/>
      <c r="D1" s="3" t="n"/>
    </row>
    <row r="2" ht="36" customHeight="1">
      <c r="A2" s="6" t="inlineStr">
        <is>
          <t>规范基线：SRS V2.2；分解基线：全量需求树 V2.3.1（38 SR / 203 AR）；竞争力基线：V3.2 立项论证。8 个 PVT 与 3 个 CVT 均按公平开源基线、关键消融和 E0–E3 验证阶段 (E0~E3)审阅，不预填不存在的实验结果。</t>
        </is>
      </c>
      <c r="B2" s="6" t="n"/>
      <c r="C2" s="6" t="n"/>
      <c r="D2" s="6" t="n"/>
    </row>
    <row r="3"/>
    <row r="4">
      <c r="A4" s="11" t="inlineStr">
        <is>
          <t>V1.3原验证主题</t>
        </is>
      </c>
      <c r="B4" s="11" t="inlineStr">
        <is>
          <t>V1.6立项前必做</t>
        </is>
      </c>
      <c r="C4" s="11" t="inlineStr">
        <is>
          <t>V1.6条件/证伪</t>
        </is>
      </c>
      <c r="D4" s="11" t="inlineStr">
        <is>
          <t>移出立项前范围</t>
        </is>
      </c>
    </row>
    <row r="5" ht="42" customHeight="1">
      <c r="A5" s="15">
        <f>COUNTA('V1.3项审计'!$A$5:$A$29)</f>
        <v/>
      </c>
      <c r="B5" s="15">
        <f>COUNTIF('精简验证总表'!$D$5:$D$15,"立项前必做")</f>
        <v/>
      </c>
      <c r="C5" s="15">
        <f>COUNTIF('精简验证总表'!$D$5:$D$15,"条件/证伪")</f>
        <v/>
      </c>
      <c r="D5" s="15">
        <f>COUNTIF('V1.3项审计'!$C$5:$C$29,"移出")</f>
        <v/>
      </c>
    </row>
    <row r="6"/>
    <row r="7"/>
    <row r="8">
      <c r="A8" s="16" t="inlineStr">
        <is>
          <t>核心判断</t>
        </is>
      </c>
      <c r="B8" s="16" t="n"/>
      <c r="C8" s="16" t="n"/>
      <c r="D8" s="16" t="n"/>
    </row>
    <row r="9" ht="46" customHeight="1">
      <c r="A9" s="30" t="inlineStr">
        <is>
          <t>1</t>
        </is>
      </c>
      <c r="B9" s="22" t="inlineStr">
        <is>
          <t>V1.6 的 8 个立项前必做原型包 + 3 个条件/证伪项结构合理：每包回答一个会改变架构、范围、采购或人力的关键问题，4～5 周共享环境具有可执行性。</t>
        </is>
      </c>
      <c r="C9" s="22" t="n"/>
      <c r="D9" s="22" t="n"/>
    </row>
    <row r="10" ht="46" customHeight="1">
      <c r="A10" s="31" t="inlineStr">
        <is>
          <t>2</t>
        </is>
      </c>
      <c r="B10" s="23" t="inlineStr">
        <is>
          <t>已按 V2.3.1 的 38 条独立交付 SR 重做原型锚点：不再使用 SR-xx 旧编号或“对应 IR 下 SR”的模糊表述，全部显式引用 SR23 ID。</t>
        </is>
      </c>
      <c r="C10" s="23" t="n"/>
      <c r="D10" s="23" t="n"/>
    </row>
    <row r="11" ht="46" customHeight="1">
      <c r="A11" s="31" t="inlineStr">
        <is>
          <t>3</t>
        </is>
      </c>
      <c r="B11" s="23" t="inlineStr">
        <is>
          <t>竞争力口径统一为第一方推理状态系统：兼容并复用 Mooncake/LMCache 等数据平面，在同硬件、同模型、同 SLO、同调优预算下证明相对最佳可行开源组合的增量。</t>
        </is>
      </c>
      <c r="C11" s="23" t="n"/>
      <c r="D11" s="23" t="n"/>
    </row>
    <row r="12" ht="46" customHeight="1">
      <c r="A12" s="31" t="inlineStr">
        <is>
          <t>4</t>
        </is>
      </c>
      <c r="B12" s="23" t="inlineStr">
        <is>
          <t>方法补强为 E0 立项充分性、E1 能力路径、E2 决策优越性、E3 系统净收益；PVT-04/PVT-07 增加关闭状态智能与移除微架构信息消融，所有物理路径要求计划/实际对账。</t>
        </is>
      </c>
      <c r="C12" s="23" t="n"/>
      <c r="D12" s="23" t="n"/>
    </row>
    <row r="13" ht="46" customHeight="1">
      <c r="A13" s="31" t="inlineStr">
        <is>
          <t>5</t>
        </is>
      </c>
      <c r="B13" s="23" t="inlineStr">
        <is>
          <t>所有 Go/Conditional 原型必须沉淀为正式 Provider、协议、探针、回放器、标准正确结果用例或端到端最小闭环验证 (Vertical Slice)；No-Go/Not Supported 保留证据、功能开关和可回退资产，禁止一次性 Demo。</t>
        </is>
      </c>
      <c r="C13" s="23" t="n"/>
      <c r="D13" s="23" t="n"/>
    </row>
    <row r="14"/>
    <row r="15">
      <c r="A15" s="16" t="inlineStr">
        <is>
          <t>立项管理口径</t>
        </is>
      </c>
      <c r="B15" s="16" t="n"/>
      <c r="C15" s="16" t="n"/>
      <c r="D15" s="16" t="n"/>
    </row>
    <row r="16" ht="42" customHeight="1">
      <c r="A16" s="36" t="inlineStr">
        <is>
          <t>数量上限</t>
        </is>
      </c>
      <c r="B16" s="22" t="inlineStr">
        <is>
          <t>默认仅 8 个必做包；3 个条件项不进入人力基线，只有触发门满足且结论会改变设计/采购时单独申请。</t>
        </is>
      </c>
      <c r="C16" s="22" t="n"/>
      <c r="D16" s="22" t="n"/>
    </row>
    <row r="17" ht="42" customHeight="1">
      <c r="A17" s="37" t="inlineStr">
        <is>
          <t>结论格式</t>
        </is>
      </c>
      <c r="B17" s="23" t="inlineStr">
        <is>
          <t>每项必须输出验证阶段 (E0~E3)、Go / Conditional / No-Go / Not Supported、适用边界、默认回退及对 IR/SR23、架构和竞争力主张的影响。</t>
        </is>
      </c>
      <c r="C17" s="23" t="n"/>
      <c r="D17" s="23" t="n"/>
    </row>
    <row r="18" ht="42" customHeight="1">
      <c r="A18" s="37" t="inlineStr">
        <is>
          <t>证据要求</t>
        </is>
      </c>
      <c r="B18" s="23" t="inlineStr">
        <is>
          <t>必须保留冻结配置、软硬件版本、原始数据、分位数/置信区间、资源计数、实际路径凭证（ActualPathReceipt）、Host CPU 零数据拷贝凭证（Host Payload Touch Bytes 严格为 0）、异常结果、最佳开源基线和关键消融的一键复现入口。</t>
        </is>
      </c>
      <c r="C18" s="23" t="n"/>
      <c r="D18" s="23" t="n"/>
    </row>
    <row r="19" ht="42" customHeight="1">
      <c r="A19" s="37" t="inlineStr">
        <is>
          <t>延续性</t>
        </is>
      </c>
      <c r="B19" s="23" t="inlineStr">
        <is>
          <t>Go/Conditional 核心代码、接口和测试必须迁入正式模块；E3 以前只表述为潜在竞争力，E4/E5 的客户价值与持续壁垒由后续客户验证和跨代认证关闭。</t>
        </is>
      </c>
      <c r="C19" s="23" t="n"/>
      <c r="D19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14" customWidth="1" min="4" max="4"/>
    <col width="10" customWidth="1" min="5" max="5"/>
    <col width="34" customWidth="1" min="6" max="6"/>
    <col width="36" customWidth="1" min="7" max="7"/>
    <col width="45" customWidth="1" min="8" max="8"/>
    <col width="35" customWidth="1" min="9" max="9"/>
    <col width="50" customWidth="1" min="10" max="10"/>
    <col width="50" customWidth="1" min="11" max="11"/>
    <col width="32" customWidth="1" min="12" max="12"/>
    <col width="16" customWidth="1" min="13" max="13"/>
    <col width="12" customWidth="1" min="14" max="14"/>
  </cols>
  <sheetData>
    <row r="1" ht="30" customHeight="1">
      <c r="A1" s="39" t="inlineStr">
        <is>
          <t>V1.6 关键技术原型验证总表（V2.3.1 需求树与四个核心验证阶段 (E0~E3) 对齐版）</t>
        </is>
      </c>
    </row>
    <row r="2" ht="36" customHeight="1">
      <c r="A2" s="41" t="inlineStr">
        <is>
          <t>8 项立项前必做 + 3 项条件/证伪；显式对齐 SR23 编号、公平开源基线、关键消融、实际路径凭证和 E0–E3 验证阶段 (E0~E3)。所有结论仍待实测，不把目标门槛写成既有成绩。</t>
        </is>
      </c>
    </row>
    <row r="3"/>
    <row r="4" ht="40" customHeight="1">
      <c r="A4" s="49" t="inlineStr">
        <is>
          <t>序号</t>
        </is>
      </c>
      <c r="B4" s="49" t="inlineStr">
        <is>
          <t>验证ID</t>
        </is>
      </c>
      <c r="C4" s="49" t="inlineStr">
        <is>
          <t>验证主题</t>
        </is>
      </c>
      <c r="D4" s="49" t="inlineStr">
        <is>
          <t>类型</t>
        </is>
      </c>
      <c r="E4" s="49" t="inlineStr">
        <is>
          <t>关键级别</t>
        </is>
      </c>
      <c r="F4" s="49" t="inlineStr">
        <is>
          <t>主关联IR</t>
        </is>
      </c>
      <c r="G4" s="49" t="inlineStr">
        <is>
          <t>次关联IR</t>
        </is>
      </c>
      <c r="H4" s="49" t="inlineStr">
        <is>
          <t>背景诉求与竞争力关联（必要性与合理性）</t>
        </is>
      </c>
      <c r="I4" s="49" t="inlineStr">
        <is>
          <t>为何决定IR成败及竞争力增量</t>
        </is>
      </c>
      <c r="J4" s="50" t="inlineStr">
        <is>
          <t>主要验证思路与验证方法</t>
        </is>
      </c>
      <c r="K4" s="49" t="inlineStr">
        <is>
          <t>证伪意图</t>
        </is>
      </c>
      <c r="L4" s="49" t="inlineStr">
        <is>
          <t>正式项目延续路径</t>
        </is>
      </c>
      <c r="M4" s="49" t="inlineStr">
        <is>
          <t>原V1.3来源</t>
        </is>
      </c>
      <c r="N4" s="49" t="inlineStr">
        <is>
          <t>周期</t>
        </is>
      </c>
      <c r="O4" s="49" t="inlineStr">
        <is>
          <t>当前状态</t>
        </is>
      </c>
    </row>
    <row r="5" ht="21.60000038146973" customHeight="1">
      <c r="A5" s="51" t="n">
        <v>1</v>
      </c>
      <c r="B5" s="51" t="inlineStr">
        <is>
          <t>PVT-00</t>
        </is>
      </c>
      <c r="C5" s="52" t="inlineStr">
        <is>
          <t>统一业务基线、收益上限与全链路观测底座</t>
        </is>
      </c>
      <c r="D5" s="51" t="inlineStr">
        <is>
          <t>立项前必做</t>
        </is>
      </c>
      <c r="E5" s="51" t="inlineStr">
        <is>
          <t>K0</t>
        </is>
      </c>
      <c r="F5" s="51" t="inlineStr">
        <is>
          <t>IR-02-11、IR-02-12</t>
        </is>
      </c>
      <c r="G5" s="51" t="inlineStr">
        <is>
          <t>IR-02-03</t>
        </is>
      </c>
      <c r="H5" s="52" t="inlineStr">
        <is>
          <t>【背景与必要性】立项前必须探明目标业务流量中是否存在可复用的前缀及其理论 Saved-Prefill 收益上限。若自然复用率低或重算开销低于传输/控制开销，统一存储池形态将无商业与技术价值。
【与项目竞争力关联】直接支撑竞争力#2（AI Infra 终极品质与 TCO 对账）与竞争力#5（公平开源对比基线）。建立统一 Trace/时钟/Telemetry 对账底座，证明“正价值复用”而非盲目 Pursue Hit Rate，为项目提供量化上行空间与退出护栏。
【四个核心验证阶段 (E0~E3) 验证目标】E0 立项充分性；当前仅验证潜在优势，未达 E3 不宣称优于最佳开源替代。</t>
        </is>
      </c>
      <c r="I5" s="52" t="inlineStr">
        <is>
          <t>若自然复用上限不足或 TTFT/TPOT/Host CPU 零数据拷贝对账/NPU stall 无法统一观测对账，则任何传输带宽、目录命中或容量扩展都不能证明项目竞争力价值。
【决策约束】结论必须能改变首发范围、默认路径、功能开关、采购或人力，不能只证明局部指标。</t>
        </is>
      </c>
      <c r="J5" s="52" t="inlineStr">
        <is>
          <t>【验证思路】采取“离线轨迹回放 + 线上旁路影子（Shadow）观测”相结合的方法。先通过 Trace 回放建立 Saved-Prefill 理论收益曲线；再在 vLLM/SGLang 中植入轻量旁路探针，实时测算控制/传输/Attach 开销与 Saved-Prefill 的比值。
【验证方法】1) 离线解析 Trace 提取 Reuse Distance 与前缀 overlap；2) 运行无存储池的算力重算基线（Baseline A）与开箱开源基线（Baseline B）；3) 注入网络/存储传输延时模型，计算 Net Saved-Prefill FLOPs &amp; Time；4) 进行 3 次以上重复实验校验 CV。
【方法审阅补强】冻结同模型、同硬件、同 SLO 与统计窗口；真实 Trace 与公开/合成轨迹双轨报告，合成热点不得外推为生产结论；至少重复 3 次并给出变异系数与置信区间。</t>
        </is>
      </c>
      <c r="K5" s="51" t="inlineStr">
        <is>
          <t>否（收益前提确认）</t>
        </is>
      </c>
      <c r="L5" s="52" t="inlineStr">
        <is>
          <t>直接演进为 IR-02-11 的 telemetry/trace 与 IR-02-12 的 perf/CI 基线，不做一次性脚本。</t>
        </is>
      </c>
      <c r="M5" s="51" t="inlineStr">
        <is>
          <t>MFS-0、BVG-01</t>
        </is>
      </c>
      <c r="N5" s="51" t="inlineStr">
        <is>
          <t>4~6人日</t>
        </is>
      </c>
      <c r="O5" s="51" t="inlineStr">
        <is>
          <t>待启动</t>
        </is>
      </c>
    </row>
    <row r="6" ht="32.40000152587891" customHeight="1">
      <c r="A6" s="51" t="n">
        <v>2</v>
      </c>
      <c r="B6" s="51" t="inlineStr">
        <is>
          <t>PVT-01</t>
        </is>
      </c>
      <c r="C6" s="52" t="inlineStr">
        <is>
          <t>HBM/DDR/SSD/远端介质数据路径与完整性能力矩阵</t>
        </is>
      </c>
      <c r="D6" s="51" t="inlineStr">
        <is>
          <t>立项前必做</t>
        </is>
      </c>
      <c r="E6" s="51" t="inlineStr">
        <is>
          <t>K0</t>
        </is>
      </c>
      <c r="F6" s="51" t="inlineStr">
        <is>
          <t>IR-01-06、IR-01-08、IR-01-09、IR-01-12</t>
        </is>
      </c>
      <c r="G6" s="51" t="inlineStr">
        <is>
          <t>IR-01-07、IR-02-11</t>
        </is>
      </c>
      <c r="H6" s="52" t="inlineStr">
        <is>
          <t>【背景与必要性】存储池的数据平面必须建立在真实可达、零/极低 Host Payload 参与的高性能硬件通路上。若硬件介质间数据传输依赖 CPU/DDR 显式拷贝中转，或者 completion/fence/ready 不闭环，会导致性能惨跌和数据损坏。
【与项目竞争力关联】直接支撑竞争力#3（第一方软硬件协同与 Zero-Host-Touch 直达路径）。验证 UBMEM/URMA, RDMA, C2C, NVMe/SSD 等底层硬件原语能否真正编译为 zero Host payload touch 的 KVCache 极速传输，建立硬件能力矩阵 (Capability Matrix)。
【四个核心验证阶段 (E0~E3) 验证目标】E1 能力路径；当前仅验证潜在优势，未达 E3 不宣称优于最佳开源替代。</t>
        </is>
      </c>
      <c r="I6" s="52" t="inlineStr">
        <is>
          <t>这是统一异构池数据平面的硬门槛；若介质不可达、隐式经过 CPU/DDR 中转、fence/ready 不闭环或错误 KV 可被消费，核心产品形态和性能叙事直接不成立。
【决策约束】结论必须能改变首发范围、默认路径、功能开关、采购或人力，不能只证明局部指标。</t>
        </is>
      </c>
      <c r="J6" s="52" t="inlineStr">
        <is>
          <t>【验证思路】采用“微基准探针（Microbench Probe）+ 硬件底层计数器 Hook + 错误注入”三位一体的方法。绕过上层框架逻辑，直接对 GPU/NPU HBM、DDR、NVMe SSD 及 RDMA/URMA 网卡注册 Memory Pool，测试原生硬件 Direct 传输带宽与 CPU cycles 开销。
【验证方法】1) 编写零拷贝 Capability Probe 测量 P50/P99 延时与有效带宽；2) Hook 操作系统/PCIe/NIC 计数器核验 Host Payload Touch 是否为 0；3) 构造 completion-&gt;fence-&gt;integrity evidence 异步确认链；4) 注入断网/半写模拟，验证 Ready 语义屏障与错误 KV 阻断。
【方法审阅补强】除 CPU memcpy、staged 与框架原生路径外，若目标硬件已有 Mooncake/LMCache Provider，纳入同等调优对照；强制输出计划路径与实际路径凭证（实际路径凭证（ActualPathReceipt））及 主机有效载荷触碰（Host Payload Touch）。</t>
        </is>
      </c>
      <c r="K6" s="51" t="inlineStr">
        <is>
          <t>否（底座能力确认）</t>
        </is>
      </c>
      <c r="L6" s="52" t="inlineStr">
        <is>
          <t>探针、注册池、句柄和microbench进入正式 Backend Provider 与CI硬件回归。</t>
        </is>
      </c>
      <c r="M6" s="51" t="inlineStr">
        <is>
          <t>MFS-D1、MFS-D2、KTP-03、KTP-04</t>
        </is>
      </c>
      <c r="N6" s="51" t="inlineStr">
        <is>
          <t>10~14人日</t>
        </is>
      </c>
      <c r="O6" s="51" t="inlineStr">
        <is>
          <t>待启动</t>
        </is>
      </c>
    </row>
    <row r="7" ht="32.40000152587891" customHeight="1">
      <c r="A7" s="51" t="n">
        <v>3</v>
      </c>
      <c r="B7" s="51" t="inlineStr">
        <is>
          <t>PVT-02</t>
        </is>
      </c>
      <c r="C7" s="52" t="inlineStr">
        <is>
          <t>vLLM/SGLang布局—Extent/Descriptor—异步传输流水</t>
        </is>
      </c>
      <c r="D7" s="51" t="inlineStr">
        <is>
          <t>立项前必做</t>
        </is>
      </c>
      <c r="E7" s="51" t="inlineStr">
        <is>
          <t>K0</t>
        </is>
      </c>
      <c r="F7" s="51" t="inlineStr">
        <is>
          <t>IR-01-02、IR-01-04</t>
        </is>
      </c>
      <c r="G7" s="51" t="inlineStr">
        <is>
          <t>IR-01-06、IR-01-08、IR-02-06</t>
        </is>
      </c>
      <c r="H7" s="52" t="inlineStr">
        <is>
          <t>【背景与必要性】vLLM (PagedAttention block) 与 SGLang (RadixTree page/span) 的 KV 内存布局不一致。如果每次传输都需要逐块 CPU 编译提交或做格式转换，CPU 提交瓶颈与小 IO 放大将吞噬所有硬件带宽收益。
【与项目竞争力关联】支撑竞争力#1（面向布局编译的 Descriptor 引擎）与竞争力#4（统一 QueryPlan 异步执行）。证明将不同框架逻辑布局编译为批量 Hardware Descriptors + 异步 DAG，可实现 Prefill/Decode 算力与 KV 传输的高效重叠。
【四个核心验证阶段 (E0~E3) 验证目标】E1 能力路径；当前仅验证潜在优势，未达 E3 不宣称优于最佳开源替代。</t>
        </is>
      </c>
      <c r="I7" s="52" t="inlineStr">
        <is>
          <t>若需要逐块拷贝、重复后端适配或整对象同步等待，即使底层带宽达标，CPU submit、小 I/O 放大和串行等待仍会吞噬 TTFT 收益。
【决策约束】结论必须能改变首发范围、默认路径、功能开关、采购或人力，不能只证明局部指标。</t>
        </is>
      </c>
      <c r="J7" s="52" t="inlineStr">
        <is>
          <t>【验证思路】采用“逻辑 Extent 映射 -&gt; Descriptor 批量编译 -&gt; 异步 Stream/DAG 调度”的切片验证方法。构建零拷贝 Descriptor Compiler，将上层 Paged Block 映射表一次性编译为硬件 DMA/RDMA 批量描述符链表。
【验证方法】1) 构造典型 vLLM 与 SGLang 内存布局 Manifest；2) 运行 Descriptor 编译器计算 submit CPU cycles 与 Descriptor 数量缩减比；3) 接入 PVT-01 RDMA/SSD 后端，测量 Layer/Block 级异步流水重叠率；4) 模拟 Prefill/Decode 算力 Stream 与传输 Stream 的 Concurrent 调度。
【方法审阅补强】对照逐块拷贝、单描述符和最佳可用开源传输实现；固定布局、对象大小、队列深度与后端，拆分编译、提交、执行和等待时间，防止用大包吞吐掩盖小 I/O 放大。</t>
        </is>
      </c>
      <c r="K7" s="51" t="inlineStr">
        <is>
          <t>否（关键执行链确认）</t>
        </is>
      </c>
      <c r="L7" s="52" t="inlineStr">
        <is>
          <t>原型代码直接进入 Transfer Manager 的 Descriptor/Async DAG 子模块。</t>
        </is>
      </c>
      <c r="M7" s="51" t="inlineStr">
        <is>
          <t>MFS-L、KTP-09</t>
        </is>
      </c>
      <c r="N7" s="51" t="inlineStr">
        <is>
          <t>10~12人日</t>
        </is>
      </c>
      <c r="O7" s="51" t="inlineStr">
        <is>
          <t>待启动</t>
        </is>
      </c>
    </row>
    <row r="8" ht="32.40000152587891" customHeight="1">
      <c r="A8" s="51" t="n">
        <v>4</v>
      </c>
      <c r="B8" s="51" t="inlineStr">
        <is>
          <t>PVT-03</t>
        </is>
      </c>
      <c r="C8" s="52" t="inlineStr">
        <is>
          <t>UBMEM元数据、block_table与KV direct-view安全边界</t>
        </is>
      </c>
      <c r="D8" s="51" t="inlineStr">
        <is>
          <t>立项前必做</t>
        </is>
      </c>
      <c r="E8" s="51" t="inlineStr">
        <is>
          <t>K0</t>
        </is>
      </c>
      <c r="F8" s="51" t="inlineStr">
        <is>
          <t>IR-01-07、IR-02-04、IR-02-05</t>
        </is>
      </c>
      <c r="G8" s="51" t="inlineStr">
        <is>
          <t>IR-01-10、IR-01-12、IR-02-09、IR-02-10</t>
        </is>
      </c>
      <c r="H8" s="52" t="inlineStr">
        <is>
          <t>【背景与必要性】业界常误以为共享内存/UBMEM 语义可无脑用于所有 Active KV 的 Direct View（直接跨节点/跨进程远端读取）。然而 Decode 阶段重读 KV 会产生大量随机小访问，远端 Direct View 会导致严重 Page Fault、TLB Miss 和 Remote Stall。
【与项目竞争力关联】支撑竞争力#1（语义先于位置与 View-vs-Copy 成本模型）及证伪验证。通过实测划清 Metadata/Snapshot 适合 Direct View 而 Decode Active KV 必须 Copy-to-HBM 的安全边界，防止盲目追求“零拷贝”反而损害 TPOT。
【四个核心验证阶段 (E0~E3) 验证目标】E1/E2 路径与决策边界；当前仅验证潜在优势，未达 E3 不宣称优于最佳开源替代。</t>
        </is>
      </c>
      <c r="I8" s="52" t="inlineStr">
        <is>
          <t>UBMEM/URMA 是核心技术基础，但 PrefixDirectory、block_table 与 attention 重读 KV 的访问模式完全不同；错误地统一成 direct-view 会造成 page fault、TLB miss、remote stall 和 stale view。
【决策约束】结论必须能改变首发范围、默认路径、功能开关、采购或人力，不能只证明局部指标。</t>
        </is>
      </c>
      <c r="J8" s="52" t="inlineStr">
        <is>
          <t>【验证思路】采取“场景解耦对比（A/B Testing）+ 微观 Hardware Counter 监测 + View Guard 保护”的验证思路。将访问模式分为“只读元数据/快照”与“Decode 活跃 KV”两类，对比 Direct-View 与 Copy-to-HBM 的性能损耗。
【验证方法】1) 使用 UBMEM/URMA 建立共享内存映射与 Direct View 句柄；2) 模拟 Attention 算子直接 View 远端 KV，抓取 CPU/NPU TLB Miss、Page Fault 及 Remote Stall 计数；3) 验证 Read-Only Lease 与 Revoke 机制；4) 计算 Cost Crossover 临界点。
【方法审阅补强】按对象类型×访问模式做 直接访问（Direct View） 与 复制到 HBM（Copy-to-HBM） 配对 A/B；固定 page size、Rank 和重读次数，报告远端 stall/TLB/page fault，并以 View Guard 故障用例证明安全边界。</t>
        </is>
      </c>
      <c r="K8" s="51" t="inlineStr">
        <is>
          <t>是（证伪“decode-active KV 默认 direct-view”）</t>
        </is>
      </c>
      <c r="L8" s="52" t="inlineStr">
        <is>
          <t>DirectViewGuard、对象分类与counter探针进入正式 View/Copy cost model。</t>
        </is>
      </c>
      <c r="M8" s="51" t="inlineStr">
        <is>
          <t>MFS-M、KTP-01、KTP-02、KTP-10</t>
        </is>
      </c>
      <c r="N8" s="51" t="inlineStr">
        <is>
          <t>10~14人日</t>
        </is>
      </c>
      <c r="O8" s="51" t="inlineStr">
        <is>
          <t>待启动</t>
        </is>
      </c>
    </row>
    <row r="9" ht="21.60000038146973" customHeight="1">
      <c r="A9" s="51" t="n">
        <v>5</v>
      </c>
      <c r="B9" s="51" t="inlineStr">
        <is>
          <t>PVT-04</t>
        </is>
      </c>
      <c r="C9" s="52" t="inlineStr">
        <is>
          <t>QueryPlan的load-vs-recompute、PlacementResolver与动态路径选择</t>
        </is>
      </c>
      <c r="D9" s="51" t="inlineStr">
        <is>
          <t>立项前必做</t>
        </is>
      </c>
      <c r="E9" s="51" t="inlineStr">
        <is>
          <t>K0</t>
        </is>
      </c>
      <c r="F9" s="51" t="inlineStr">
        <is>
          <t>IR-01-03、IR-01-05</t>
        </is>
      </c>
      <c r="G9" s="51" t="inlineStr">
        <is>
          <t>IR-01-09、IR-02-02、IR-02-11</t>
        </is>
      </c>
      <c r="H9" s="52" t="inlineStr">
        <is>
          <t>【背景与必要性】物理命中并不等于物理收益（Load 远端 KV 节点受拥塞/并发影响可能比本地算力 Prefill 重算更慢）。缺乏微秒级感知决策的存储池极易引发“负收益命中”和尾延迟恶化。
【与项目竞争力关联】核心支撑竞争力#4（统一 QueryPlan 动态决策引擎）与竞争力#1（价值先于容量）。在微秒级内量化比较 Load, View, Move 与 Recompute 的实时 Cost，实现“正价值才加载，负收益即重算”。
【四个核心验证阶段 (E0~E3) 验证目标】E2 决策优越性；当前仅验证潜在优势，未达 E3 不宣称优于最佳开源替代。</t>
        </is>
      </c>
      <c r="I9" s="52" t="inlineStr">
        <is>
          <t>物理命中不等于收益；若 cost model、路径选择或准入错误，远端 load 会比重算更慢并造成 abandoned hit、TTFT尾延迟和跨节点流量放大。
【决策约束】结论必须能改变首发范围、默认路径、功能开关、采购或人力，不能只证明局部指标。</t>
        </is>
      </c>
      <c r="J9" s="52" t="inlineStr">
        <is>
          <t>【验证思路】采用“离线 Oracle 轨迹对比 + 在线 Shadow QueryPlan 算法评估 + 拥塞/故障扰动”的验证方法。用低开销 EWMA 与 Hardware Telemetry 构建微秒级 Cost Evaluator，与事后最优解 (Oracle) 计算决策后悔率 (Decision Regret)。
【验证方法】1) 收集真实硬件传输与 NPU 重算算力包络；2) 运行 QueryPlanFastPath 原型，在 &lt; 5us 内输出 Placement &amp; Action Plan；3) 注入链路拥塞与节点高负载，测试 Fallback 到重算/次优路径的决策响应；4) 统计 Cost 预测误差与错误 Load 比例。
【方法审阅补强】同时比较静态优先级、最近副本、总是加载、总是重算和离线 Oracle；增加“关闭状态智能”和“移除非公开微架构信息”两组消融，报告 决策后悔（Decision Regret） 与错误 Load。</t>
        </is>
      </c>
      <c r="K9" s="51" t="inlineStr">
        <is>
          <t>否（决策能力确认）</t>
        </is>
      </c>
      <c r="L9" s="52" t="inlineStr">
        <is>
          <t>原型直接演进为 PolicyEngine/PlacementResolver，并复用路径telemetry。</t>
        </is>
      </c>
      <c r="M9" s="51" t="inlineStr">
        <is>
          <t>MFS-B、BVG-03、BVG-06、KTP-08、KTP-12</t>
        </is>
      </c>
      <c r="N9" s="51" t="inlineStr">
        <is>
          <t>8~10人日</t>
        </is>
      </c>
      <c r="O9" s="51" t="inlineStr">
        <is>
          <t>待启动</t>
        </is>
      </c>
    </row>
    <row r="10" ht="32.40000152587891" customHeight="1">
      <c r="A10" s="51" t="n">
        <v>6</v>
      </c>
      <c r="B10" s="51" t="inlineStr">
        <is>
          <t>PVT-05</t>
        </is>
      </c>
      <c r="C10" s="52" t="inlineStr">
        <is>
          <t>统一池分层容量、DDR角色与KV生命周期策略</t>
        </is>
      </c>
      <c r="D10" s="51" t="inlineStr">
        <is>
          <t>立项前必做</t>
        </is>
      </c>
      <c r="E10" s="51" t="inlineStr">
        <is>
          <t>K0</t>
        </is>
      </c>
      <c r="F10" s="51" t="inlineStr">
        <is>
          <t>IR-01-01、IR-02-08、IR-02-09</t>
        </is>
      </c>
      <c r="G10" s="51" t="inlineStr">
        <is>
          <t>IR-02-02</t>
        </is>
      </c>
      <c r="H10" s="52" t="inlineStr">
        <is>
          <t>【背景与必要性】HBM 昂贵且容量有限，必须利用 NVMe SSD 扩展可寻址容量。但可寻址容量不等于可服务能力；若分层搬运造成 HBM 碎片、Preemption 抖动或 DDR 缓存无效命中，将严重损害 QPS 与成本效益。
【与项目竞争力关联】核心支撑竞争力#1（分层容量与 DDR 条件角色）与竞争力#2（可服务容量与 NPU 吞吐提升）。验证“HBM↔SSD 直通为容量主路径，DDR 仅承担正收益条件角色”，确保每一 GB 扩展容量都转化为实际业务 QPS。
【四个核心验证阶段 (E0~E3) 验证目标】E2/E3 决策与系统净收益；当前仅验证潜在优势，未达 E3 不宣称优于最佳开源替代。</t>
        </is>
      </c>
      <c r="I10" s="52" t="inlineStr">
        <is>
          <t>可寻址字节增加不等于服务容量增加；若碎片、preemption、迁移抖动或DDR成本抵消收益，统一池最核心的容量价值无法成立。
【决策约束】结论必须能改变首发范围、默认路径、功能开关、采购或人力，不能只证明局部指标。</t>
        </is>
      </c>
      <c r="J10" s="52" t="inlineStr">
        <is>
          <t>【验证思路】采取“离线策略回放器（Replayer）+ 真实受控物理介质压测”相结合的验证思路。对比 HBM↔SSD 直达、HBM→DDR→SSD 三级传递、DDR Warm/Prefetch 等不同架构模式下的吞吐与延迟。
【验证方法】1) 运行 Trace 驱动的容量策略回放器，对比 LRU, LFU, Cost-aware 淘汰算法；2) 在真实 HBM+DDR+SSD 硬件节点配置受控内存/存储水位；3) 测量 HBM 有效容量提升、OOM/Preemption 降低率与 SSD 读写 IOPS/写放大；4) 评估 DDR 引入后的净收益 (Cost-Benefit Ratio)。
【方法审阅补强】比较简单双水位、LRU/LFU 与成本策略；除容量和命中外同步报告 TPOT、SSD IOPS/写放大、功耗和单位 SLO 合格事务成本，防止成本转移。</t>
        </is>
      </c>
      <c r="K10" s="51" t="inlineStr">
        <is>
          <t>否（容量价值确认）</t>
        </is>
      </c>
      <c r="L10" s="52" t="inlineStr">
        <is>
          <t>回放器与策略接口进入TierManager；实验结论冻结硬件容量和人力投入边界。</t>
        </is>
      </c>
      <c r="M10" s="51" t="inlineStr">
        <is>
          <t>MFS-R、BVG-04、BVG-08、KTP-06、KTP-07、KTP-17</t>
        </is>
      </c>
      <c r="N10" s="51" t="inlineStr">
        <is>
          <t>10~14人日</t>
        </is>
      </c>
      <c r="O10" s="51" t="inlineStr">
        <is>
          <t>待启动</t>
        </is>
      </c>
    </row>
    <row r="11" ht="32.40000152587891" customHeight="1">
      <c r="A11" s="51" t="n">
        <v>7</v>
      </c>
      <c r="B11" s="51" t="inlineStr">
        <is>
          <t>PVT-06</t>
        </is>
      </c>
      <c r="C11" s="52" t="inlineStr">
        <is>
          <t>Raw Hit→Usable Hit→Attach/Partial Reuse的正确性闭环</t>
        </is>
      </c>
      <c r="D11" s="51" t="inlineStr">
        <is>
          <t>立项前必做</t>
        </is>
      </c>
      <c r="E11" s="51" t="inlineStr">
        <is>
          <t>K0</t>
        </is>
      </c>
      <c r="F11" s="51" t="inlineStr">
        <is>
          <t>IR-01-10、IR-01-11、IR-02-01、IR-02-05</t>
        </is>
      </c>
      <c r="G11" s="51" t="inlineStr">
        <is>
          <t>IR-01-12、IR-02-03、IR-02-04、IR-02-09、IR-02-10</t>
        </is>
      </c>
      <c r="H11" s="52" t="inlineStr">
        <is>
          <t>【背景与必要性】物理 Raw Hit 绝不等于可安全消费的 Usable Hit。若 KV 存在版本冲突、Layout 不匹配、Rank 未对齐、未 Ready 或 Lease 过期，强行消费将导致输出胡言乱语、死锁甚至跨租户数据泄露事故。
【与项目竞争力关联】核心支撑竞争力#1（语义先于位置与 Ready/Eligibility 屏障）与竞争力#2（0 错误消费正确性安全底线）。构建完整的 ConsumeEligibility 与 Rank Consensus 校验机制，确保“0 错误消费、0 过期消费”。
【四个核心验证阶段 (E0~E3) 验证目标】E1 可消费正确性；当前仅验证潜在优势，未达 E3 不宣称优于最佳开源替代。</t>
        </is>
      </c>
      <c r="I11" s="52" t="inlineStr">
        <is>
          <t>项目价值取决于 usable hit，而不是 raw hit；任何错误或过期 KV 被 attach 都会形成正确性事故，多 rank 不一致还会造成死锁或隐蔽错误。
【决策约束】结论必须能改变首发范围、默认路径、功能开关、采购或人力，不能只证明局部指标。</t>
        </is>
      </c>
      <c r="J11" s="52" t="inlineStr">
        <is>
          <t>【验证思路】采用“语义契约断言校验 + 故障/冲突全量注入 + 张量并行 (TP=8) 多卡状态同步 (RankConsensus)”的硬核正确性验证思路。设计 Reason-Code 判定引擎，对每一个 Candidate KV 进行 6 维 Eligibility 检查。
【验证方法】1) 构造全套正确的 Golden Cases 与带冲突的 Fault Injection Cases；2) 运行 ConsumeEligibility &amp; AttachHandle 校验模块；3) 验证多 Rank 间 RankConsensus 屏障与 Wait 时延；4) 统计 Raw Hit 到 Usable Hit 的转化漏斗与 Duplicate Pull 合并效率。
【方法审阅补强】使用 Golden/Fault 全矩阵覆盖版本、布局、Ready、Lease、Rank 和跨租户；与原生/最佳开源连接器的兼容与回退行为对照，任何错误消费均直接 No-Go。</t>
        </is>
      </c>
      <c r="K11" s="51" t="inlineStr">
        <is>
          <t>否（可消费性确认）</t>
        </is>
      </c>
      <c r="L11" s="52" t="inlineStr">
        <is>
          <t>协议、判定器、golden cases与fault tests进入Connector/Directory正式模块。</t>
        </is>
      </c>
      <c r="M11" s="51" t="inlineStr">
        <is>
          <t>BVG-02、BVG-07</t>
        </is>
      </c>
      <c r="N11" s="51" t="inlineStr">
        <is>
          <t>10~12人日</t>
        </is>
      </c>
      <c r="O11" s="51" t="inlineStr">
        <is>
          <t>待启动</t>
        </is>
      </c>
    </row>
    <row r="12" ht="21.60000038146973" customHeight="1">
      <c r="A12" s="51" t="n">
        <v>8</v>
      </c>
      <c r="B12" s="51" t="inlineStr">
        <is>
          <t>PVT-07</t>
        </is>
      </c>
      <c r="C12" s="52" t="inlineStr">
        <is>
          <t>前后台QoS、计算—传输重叠与全链路端到端最小闭环验证</t>
        </is>
      </c>
      <c r="D12" s="51" t="inlineStr">
        <is>
          <t>立项前必做</t>
        </is>
      </c>
      <c r="E12" s="51" t="inlineStr">
        <is>
          <t>K0</t>
        </is>
      </c>
      <c r="F12" s="51" t="inlineStr">
        <is>
          <t>IR-01-04、IR-01-11、IR-02-06</t>
        </is>
      </c>
      <c r="G12" s="51" t="inlineStr">
        <is>
          <t>IR-01-12、IR-02-02、IR-02-07、IR-02-11</t>
        </is>
      </c>
      <c r="H12" s="52" t="inlineStr">
        <is>
          <t>【背景与必要性】单项传输带宽或局部算法达标，不代表在线系统成功。在真实在线推理中，前台 Decode 算力/带宽与后台 SSD 回源、预取、迁移混压，极易引发 IO 争用与 TPOT 尾部严重抖动。
【与项目竞争力关联】终极支撑竞争力#2（端到端净收益与端到端最小闭环验证 (Vertical Slice)验收）与竞争力#4（前后台 Semantic QoS 隔离）。作为立项前最后一个“纵向切片”总门禁，在真实混压下验证 TTFT/TPOT/QPS 整体净收益。
【四个核心验证阶段 (E0~E3) 验证目标】E3 系统净收益；当前仅验证潜在优势，未达 E3 不宣称优于最佳开源替代。</t>
        </is>
      </c>
      <c r="I12" s="52" t="inlineStr">
        <is>
          <t>单项带宽或算法达标不代表在线业务成功；共享 RNIC、DMA、内存带宽和 copy stream 的干扰可能把容量与命中收益全部抵消。
【决策约束】结论必须能改变首发范围、默认路径、功能开关、采购或人力，不能只证明局部指标。</t>
        </is>
      </c>
      <c r="J12" s="52" t="inlineStr">
        <is>
          <t>【验证思路】采用“真实前后台混压（Co-location Stress）+ 端到端纵向切片（Vertical Slice）+ 前后台服务质量保障策略 (SemanticQoS)判定”的闭环验证思路。串联 Prefix Lookup -&gt; QueryPlan -&gt; Descriptor -&gt; Load/Attach/Recompute 全流程。
【验证方法】1) 建立包含前台 Decode 推理与后台 SSD 回源/Prefetch 的混压环境；2) 运行 Semantic QoS 调度策略，设定前后台优先级与限速包络；3) 抓取端到端 TTFT P50/P99、TPOT P50/P99/Tail Spike、QPS 及 NPU Busy/Stall；4) 执行 Fallback 演练。
【方法审阅补强】在同硬件、同模型、同 SLO、同调优预算下比较原生框架、最佳可行开源组合、本项目关闭状态智能、本项目移除微架构信息及完整方案；以实际路径、合格业务事务和全生命周期成本给出净收益。</t>
        </is>
      </c>
      <c r="K12" s="51" t="inlineStr">
        <is>
          <t>否（项目价值总门禁）</t>
        </is>
      </c>
      <c r="L12" s="52" t="inlineStr">
        <is>
          <t>端到端最小闭环验证 (Vertical Slice) 成为首个系统串联与回归场景；QoS分类、指标和fallback接口直接进入正式系统。</t>
        </is>
      </c>
      <c r="M12" s="51" t="inlineStr">
        <is>
          <t>MFS-B、BVG-03、BVG-05、KTP-11</t>
        </is>
      </c>
      <c r="N12" s="51" t="inlineStr">
        <is>
          <t>12~15人日</t>
        </is>
      </c>
      <c r="O12" s="51" t="inlineStr">
        <is>
          <t>待启动</t>
        </is>
      </c>
    </row>
    <row r="13" ht="21.60000038146973" customHeight="1">
      <c r="A13" s="51" t="n">
        <v>9</v>
      </c>
      <c r="B13" s="51" t="inlineStr">
        <is>
          <t>CVT-01</t>
        </is>
      </c>
      <c r="C13" s="52" t="inlineStr">
        <is>
          <t>多消费者一次加载与1→N多播/fanout边界</t>
        </is>
      </c>
      <c r="D13" s="51" t="inlineStr">
        <is>
          <t>条件/证伪</t>
        </is>
      </c>
      <c r="E13" s="51" t="inlineStr">
        <is>
          <t>K1</t>
        </is>
      </c>
      <c r="F13" s="51" t="inlineStr">
        <is>
          <t>IR-01-04、IR-01-10</t>
        </is>
      </c>
      <c r="G13" s="51" t="inlineStr">
        <is>
          <t>—</t>
        </is>
      </c>
      <c r="H13" s="52" t="inlineStr">
        <is>
          <t>【背景与必要性】业界常推崇硬件多播 (Multicast) 用于热点前缀分发。但硬件多播配置复杂且依赖网络支持，必须验证节点级 Staging / 软件 Fanout 是否已足够满足要求，证伪硬件多播的“硬依赖”假象。
【与项目竞争力关联】支撑竞争力#5（开放生态与简洁架构）及条件证伪。明确 1→N 共享的 Crossover 点，避免在立项早期过度投入复杂硬件多播。
【四个核心验证阶段 (E0~E3) 验证目标】条件证伪门；当前仅验证潜在优势，未达 E3 不宣称优于最佳开源替代。</t>
        </is>
      </c>
      <c r="I13" s="52" t="inlineStr">
        <is>
          <t>只在真实 fanout 高且重复远端字节成为瓶颈时影响 IR；否则不应提前占用主线人力。
【决策约束】结论必须能改变首发范围、默认路径、功能开关、采购或人力，不能只证明局部指标。</t>
        </is>
      </c>
      <c r="J13" s="52" t="inlineStr">
        <is>
          <t>【验证思路】采取“Fanout 规模阶梯对比 + 传输放大系数测量 + 硬件多播必要性证伪”的验证思路。
【验证方法】1) 构造不同 Fanout 比例的并发拉取请求；2) 测量源端 egress 带宽与各 Consumer 端完成时间 P99；3) 评估软件 Staging 与硬件多播的收益差距；4) 判定 Fanout Crossover 临界点。
【方法审阅补强】仅在 Fanout 分布和重复远端字节达到触发门后执行；比较 N 次独立拉取、软件 Staging 和硬件多播，硬件能力无稳定增量即关闭。</t>
        </is>
      </c>
      <c r="K13" s="51" t="inlineStr">
        <is>
          <t>是（证伪“硬件多播是关键IR前置条件”）</t>
        </is>
      </c>
      <c r="L13" s="52" t="inlineStr">
        <is>
          <t>仅Go后进入Async DAG的可选Multicast Provider。</t>
        </is>
      </c>
      <c r="M13" s="51" t="inlineStr">
        <is>
          <t>KTP-14</t>
        </is>
      </c>
      <c r="N13" s="51" t="inlineStr">
        <is>
          <t>6~8人日（触发后）</t>
        </is>
      </c>
      <c r="O13" s="51" t="inlineStr">
        <is>
          <t>待启动</t>
        </is>
      </c>
    </row>
    <row r="14" ht="32.40000152587891" customHeight="1">
      <c r="A14" s="51" t="n">
        <v>10</v>
      </c>
      <c r="B14" s="51" t="inlineStr">
        <is>
          <t>CVT-02</t>
        </is>
      </c>
      <c r="C14" s="52" t="inlineStr">
        <is>
          <t>atomic remap/page migration相对软件RCU的必要性</t>
        </is>
      </c>
      <c r="D14" s="51" t="inlineStr">
        <is>
          <t>条件/证伪</t>
        </is>
      </c>
      <c r="E14" s="51" t="inlineStr">
        <is>
          <t>K1</t>
        </is>
      </c>
      <c r="F14" s="51" t="inlineStr">
        <is>
          <t>IR-01-01、IR-01-11、IR-01-12</t>
        </is>
      </c>
      <c r="G14" s="51" t="inlineStr">
        <is>
          <t>—</t>
        </is>
      </c>
      <c r="H14" s="52" t="inlineStr">
        <is>
          <t>【背景与必要性】内存页迁移/压缩时，业界探索硬件 Atomic Remap 原语。需验证软件 RCU (Read-Copy-Update) + Copy-on-Migrate 是否已能满足 Pause 与抖动要求，优先证伪硬件原语的“必需性”。
【与项目竞争力关联】支撑竞争力#3（第一方软硬件协同的理性边界）。防范盲目依赖未成熟硬件原语导致架构套牢。
【四个核心验证阶段 (E0~E3) 验证目标】条件证伪门；当前仅验证潜在优势，未达 E3 不宣称优于最佳开源替代。</t>
        </is>
      </c>
      <c r="I14" s="52" t="inlineStr">
        <is>
          <t>该能力仅在迁移/压紧 pause 成为已证实瓶颈时决定 IR 实现；否则属于 P2/P3 平台优化。
【决策约束】结论必须能改变首发范围、默认路径、功能开关、采购或人力，不能只证明局部指标。</t>
        </is>
      </c>
      <c r="J14" s="52" t="inlineStr">
        <is>
          <t>【验证思路】采用“读写并发压测 + Pause 抖动抓取 + 失败回滚演练”的验证思路。
【验证方法】1) 在 Reader 持续读取 KV 时触发 Extent 迁移/整理；2) 测量 Reader 的 Pause 时间 P99 与 TPOT Jitter；3) 注入 Remap 中途中断，验证崩溃回滚；4) 评估 RCU 与硬件 Remap 的增量收益。
【方法审阅补强】以软件 RCU + Copy-on-Migrate 为默认基线，覆盖并发读、故障中断、回滚和 TLB shootdown；硬件 Remap 只接受可重复的增量收益。</t>
        </is>
      </c>
      <c r="K14" s="51" t="inlineStr">
        <is>
          <t>是（优先证伪硬件原语必要性）</t>
        </is>
      </c>
      <c r="L14" s="52" t="inlineStr">
        <is>
          <t>仅Go后把硬件remap作为feature-flag后端；RCU原型直接保留。</t>
        </is>
      </c>
      <c r="M14" s="51" t="inlineStr">
        <is>
          <t>KTP-15</t>
        </is>
      </c>
      <c r="N14" s="51" t="inlineStr">
        <is>
          <t>8~12人日（触发后）</t>
        </is>
      </c>
      <c r="O14" s="51" t="inlineStr">
        <is>
          <t>待启动</t>
        </is>
      </c>
    </row>
    <row r="15" ht="21.60000038146973" customHeight="1">
      <c r="A15" s="51" t="n">
        <v>11</v>
      </c>
      <c r="B15" s="51" t="inlineStr">
        <is>
          <t>CVT-03</t>
        </is>
      </c>
      <c r="C15" s="52" t="inlineStr">
        <is>
          <t>DPU/CQ/硬件codec卸载的可用性与净收益</t>
        </is>
      </c>
      <c r="D15" s="51" t="inlineStr">
        <is>
          <t>条件/证伪</t>
        </is>
      </c>
      <c r="E15" s="51" t="inlineStr">
        <is>
          <t>K1</t>
        </is>
      </c>
      <c r="F15" s="51" t="inlineStr">
        <is>
          <t>IR-01-08、IR-01-09</t>
        </is>
      </c>
      <c r="G15" s="51" t="inlineStr">
        <is>
          <t>IR-01-12</t>
        </is>
      </c>
      <c r="H15" s="52" t="inlineStr">
        <is>
          <t>【背景与必要性】评估 DPU 卸载、硬件 CQ 路由与硬件 Codec 压缩的真实价值。需明确项目在无 DPU/Codec 时必须按 Raw/Direct 路径完全成立，且严禁使用 Host CPU 软件压缩/全量 CPU CRC 填补缺口。
【与项目竞争力关联】支撑竞争力#3（第一方责任与防伪解耦）及能力降级验证。确保主路径纯粹高效，任何卸载只能是“纯增量”而非“硬依附”。
【四个核心验证阶段 (E0~E3) 验证目标】条件证伪门；当前仅验证潜在优势，未达 E3 不宣称优于最佳开源替代。</t>
        </is>
      </c>
      <c r="I15" s="52" t="inlineStr">
        <is>
          <t>DPU与硬件 codec 是可选加速而非统一池成立前提；只有平台真实提供且 Host CPU/CQ/存储带宽成为瓶颈时才需要验证。
【决策约束】结论必须能改变首发范围、默认路径、功能开关、采购或人力，不能只证明局部指标。</t>
        </is>
      </c>
      <c r="J15" s="52" t="inlineStr">
        <is>
          <t>【验证思路】采取“Raw Direct 基线对比 + DPU/Codec 硬件卸载 A/B 测试 + CPU 软解压对比防误区”的验证思路。
【验证方法】1) 以 PVT-01 Raw Direct 路径为绝对 Baseline；2) 接入 DPU/硬件 Codec，测量 Host CPU 卸载比例与 CQ 提交延时；3) 故意关闭 DPU/Codec，测试无缝 Fallback 到 Raw Direct 路径；4) 评估 CPU 软件 Codec 对 CPU 的吞噬副作用。
【方法审阅补强】以无 DPU/Codec 的 原始直达（Raw Direct） 为必须成立基线；DPU/Codec 只验证纯增量并执行关闭/故障旁路，禁止以 CPU 软件编解码伪造收益。</t>
        </is>
      </c>
      <c r="K15" s="51" t="inlineStr">
        <is>
          <t>是（证伪“DPU/codec是项目必需依赖”）</t>
        </is>
      </c>
      <c r="L15" s="52" t="inlineStr">
        <is>
          <t>仅Go后作为Backend Provider可选插件；主路径保持无DPU可运行。</t>
        </is>
      </c>
      <c r="M15" s="51" t="inlineStr">
        <is>
          <t>KTP-13、KTP-16</t>
        </is>
      </c>
      <c r="N15" s="51" t="inlineStr">
        <is>
          <t>5~8人日（触发后）</t>
        </is>
      </c>
      <c r="O15" s="51" t="inlineStr">
        <is>
          <t>待启动</t>
        </is>
      </c>
    </row>
  </sheetData>
  <mergeCells count="2">
    <mergeCell ref="A2:N2"/>
    <mergeCell ref="A1:N1"/>
  </mergeCells>
  <conditionalFormatting sqref="D5:D15">
    <cfRule type="containsText" priority="1" operator="containsText" dxfId="0" text="立项前必做"/>
    <cfRule type="containsText" priority="2" operator="containsText" dxfId="1" text="条件/证伪"/>
  </conditionalFormatting>
  <conditionalFormatting sqref="J5:J15">
    <cfRule type="containsText" priority="3" operator="containsText" dxfId="2" text="是"/>
  </conditionalFormatting>
  <dataValidations count="1">
    <dataValidation sqref="N5:N15" showDropDown="0" showInputMessage="0" showErrorMessage="0" allowBlank="0" type="list">
      <formula1>"待启动,进行中,已完成,受阻,不启动"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50" customWidth="1" min="4" max="4"/>
    <col width="38" customWidth="1" min="5" max="5"/>
    <col width="48" customWidth="1" min="6" max="6"/>
    <col width="52" customWidth="1" min="7" max="7"/>
    <col width="35" customWidth="1" min="8" max="8"/>
    <col width="30" customWidth="1" min="9" max="9"/>
    <col width="35" customWidth="1" min="10" max="10"/>
    <col width="48" customWidth="1" min="11" max="11"/>
    <col width="48" customWidth="1" min="12" max="12"/>
    <col width="32" customWidth="1" min="13" max="13"/>
    <col width="18" customWidth="1" min="14" max="14"/>
    <col width="36" customWidth="1" min="15" max="15"/>
    <col width="48" customWidth="1" min="16" max="16"/>
    <col width="15" customWidth="1" min="17" max="17"/>
  </cols>
  <sheetData>
    <row r="1" ht="30" customHeight="1">
      <c r="A1" s="39" t="inlineStr">
        <is>
          <t>关键技术最小原型验证设计（V1.6 / V2.3.1 / 四个核心验证阶段 (E0~E3) 对齐版）</t>
        </is>
      </c>
    </row>
    <row r="2" ht="36" customHeight="1">
      <c r="A2" s="41" t="inlineStr">
        <is>
          <t>每项只实现足以证实或证伪核心假设的最小切片；统一采用公平基线、关键消融、实际路径与 Host CPU 零数据拷贝对账 证据。PVT 关闭 E0–E3，E4/E5 留给后续客户价值与跨代壁垒验证。</t>
        </is>
      </c>
    </row>
    <row r="3"/>
    <row r="4" ht="40" customHeight="1">
      <c r="A4" s="49" t="inlineStr">
        <is>
          <t>验证ID</t>
        </is>
      </c>
      <c r="B4" s="49" t="inlineStr">
        <is>
          <t>核心假设与背景诉求（竞争力关联）</t>
        </is>
      </c>
      <c r="C4" s="49" t="inlineStr">
        <is>
          <t>最小原型范围 / 测试验证范围</t>
        </is>
      </c>
      <c r="D4" s="50" t="inlineStr">
        <is>
          <t>主要验证思路与验证方法</t>
        </is>
      </c>
      <c r="E4" s="49" t="inlineStr">
        <is>
          <t>实验矩阵</t>
        </is>
      </c>
      <c r="F4" s="49" t="inlineStr">
        <is>
          <t>对照基线</t>
        </is>
      </c>
      <c r="G4" s="49" t="inlineStr">
        <is>
          <t>关键指标</t>
        </is>
      </c>
      <c r="H4" s="49" t="inlineStr">
        <is>
          <t>Go门槛</t>
        </is>
      </c>
      <c r="I4" s="49" t="inlineStr">
        <is>
          <t>Conditional门槛</t>
        </is>
      </c>
      <c r="J4" s="49" t="inlineStr">
        <is>
          <t>No-Go门槛</t>
        </is>
      </c>
      <c r="K4" s="49" t="inlineStr">
        <is>
          <t>明确不做</t>
        </is>
      </c>
      <c r="L4" s="49" t="inlineStr">
        <is>
          <t>必须交付证据（交付成果）</t>
        </is>
      </c>
      <c r="M4" s="49" t="inlineStr">
        <is>
          <t>原型延续资产</t>
        </is>
      </c>
      <c r="N4" s="49" t="inlineStr">
        <is>
          <t>证伪标记</t>
        </is>
      </c>
      <c r="O4" s="49" t="inlineStr">
        <is>
          <t>周期</t>
        </is>
      </c>
      <c r="P4" s="49" t="inlineStr">
        <is>
          <t>关键IR</t>
        </is>
      </c>
      <c r="Q4" s="49" t="inlineStr">
        <is>
          <t>关键SRS/SR锚点</t>
        </is>
      </c>
      <c r="R4" s="49" t="inlineStr">
        <is>
          <t>结论</t>
        </is>
      </c>
    </row>
    <row r="5" ht="54" customHeight="1">
      <c r="A5" s="51" t="inlineStr">
        <is>
          <t>PVT-00</t>
        </is>
      </c>
      <c r="B5" s="52" t="inlineStr">
        <is>
          <t>【背景与必要性】立项前必须探明目标业务流量中是否存在可复用的前缀及其理论 Saved-Prefill 收益上限。若自然复用率低或重算开销低于传输/控制开销，统一存储池形态将无商业与技术价值。
【与项目竞争力关联】直接支撑竞争力#2（AI Infra 终极品质与 TCO 对账）与竞争力#5（公平开源对比基线）。建立统一 Trace/时钟/Telemetry 对账底座，证明“正价值复用”而非盲目 Pursue Hit Rate，为项目提供量化上行空间与退出护栏。
【对应验证阶段 (E0~E3)】E0 立项充分性。</t>
        </is>
      </c>
      <c r="C5" s="52" t="inlineStr">
        <is>
          <t>抽取 1~3 天代表性业务脱敏 Trace（拿不到时使用 ShareGPT + Zipf 长上下文合成轨迹双轨替代）。冻结模型 (Qwen/Llama/DeepSeek 架构)、tokenizer、chat template、layout、并发 (1~128)、拓扑与到达分布；上下文涵盖 4K/32K/128K/256K+；为 vLLM/SGLang 建立统一时间戳、raw/usable/abandoned hit、Host Payload touch、NPU busy/stall 与 fallback 数据采集。</t>
        </is>
      </c>
      <c r="D5" s="52" t="inlineStr">
        <is>
          <t>【验证思路】采取“离线轨迹回放 + 线上旁路影子（Shadow）观测”相结合的方法。先通过 Trace 回放建立 Saved-Prefill 理论收益曲线；再在 vLLM/SGLang 中植入轻量旁路探针，实时测算控制/传输/Attach 开销与 Saved-Prefill 的比值。
【验证方法】1) 离线解析 Trace 提取 Reuse Distance 与前缀 overlap；2) 运行无存储池的算力重算基线（Baseline A）与开箱开源基线（Baseline B）；3) 注入网络/存储传输延时模型，计算 Net Saved-Prefill FLOPs &amp; Time；4) 进行 3 次以上重复实验校验 CV。
【方法审阅补强】冻结同模型、同硬件、同 SLO 与统计窗口；真实 Trace 与公开/合成轨迹双轨报告，合成热点不得外推为生产结论；至少重复 3 次并给出变异系数与置信区间。</t>
        </is>
      </c>
      <c r="E5" s="52" t="inlineStr">
        <is>
          <t>2 个框架；1 个主模型；4 档上下文（4K/32K/128K/256K+）；3 档并发；同一 case 重复≥3次。</t>
        </is>
      </c>
      <c r="F5" s="52" t="inlineStr">
        <is>
          <t>重算/原生框架；vLLM/SGLang 原生 prefix cache/offload 开关；若可用，最佳可行开源组合；所有后续 PVT 共用冻结基线。</t>
        </is>
      </c>
      <c r="G5" s="52" t="inlineStr">
        <is>
          <t>可复用请求/token占比、prefix P50/P95、reuse distance、容量—命中曲线、理论 saved-prefill、TTFT分解、TPOT、NPU busy/stall、Host CPU 零数据拷贝对账、指标丢失率、重复实验CV。</t>
        </is>
      </c>
      <c r="H5" s="52" t="inlineStr">
        <is>
          <t>至少一个明确业务分层的 P95 Saved-Prefill 预算 ≥ 控制+传输+Attach 预算的 2 倍；核心指标丢失率 &lt; 0.1%，重复实验 CV &lt; 5%。</t>
        </is>
      </c>
      <c r="I5" s="52" t="inlineStr">
        <is>
          <t>收益仅集中于特定模板/租户（如 Code/Agent 多轮会话），项目限定场景立项并冻结白名单。</t>
        </is>
      </c>
      <c r="J5" s="52" t="inlineStr">
        <is>
          <t>自然复用率 &lt; 10% 或 Saved-Prefill 收益完全被控制/传输开销抵消，无法对账复现，直接触发 No-Go 止损。</t>
        </is>
      </c>
      <c r="K5" s="52" t="inlineStr">
        <is>
          <t>不实现生产目录、完整调度器、HA、在线学习；不把合成热点直接外推为生产承诺。</t>
        </is>
      </c>
      <c r="L5" s="52" t="inlineStr">
        <is>
          <t>版本化 workload pack、baseline 报告、trace schema、指标字典、原始数据与一键复现实验脚本。
竞争力证据最小集：冻结基线、重复实验、实际路径/Host CPU 零数据拷贝凭证（Host Payload Touch Bytes 严格为 0）、异常结果、适用边界及 E0 立项充分性 评审记录。</t>
        </is>
      </c>
      <c r="M5" s="52" t="inlineStr">
        <is>
          <t>直接演进为 IR-02-11 的 telemetry/trace 与 IR-02-12 的 perf/CI 基线，不做一次性脚本。</t>
        </is>
      </c>
      <c r="N5" s="51" t="inlineStr">
        <is>
          <t>否（收益前提确认）</t>
        </is>
      </c>
      <c r="O5" s="51" t="inlineStr">
        <is>
          <t>4~6人日</t>
        </is>
      </c>
      <c r="P5" s="51" t="inlineStr">
        <is>
          <t>IR-02-11、IR-02-12</t>
        </is>
      </c>
      <c r="Q5" s="52" t="inlineStr">
        <is>
          <t>SRS：L3-OB-PerPathTelemetry-047、L1-OB-SemanticMetrics-016、SE-MONITOR-001、SE-PERF-001；SR23：SR23-02-11-01、SR23-02-11-02、SR23-02-12-01、SR23-02-12-05</t>
        </is>
      </c>
      <c r="R5" s="51" t="inlineStr">
        <is>
          <t>待判定</t>
        </is>
      </c>
    </row>
    <row r="6" ht="43.20000076293945" customHeight="1">
      <c r="A6" s="51" t="inlineStr">
        <is>
          <t>PVT-01</t>
        </is>
      </c>
      <c r="B6" s="52" t="inlineStr">
        <is>
          <t>【背景与必要性】存储池的数据平面必须建立在真实可达、零/极低 Host Payload 参与的高性能硬件通路上。若硬件介质间数据传输依赖 CPU/DDR 显式拷贝中转，或者 completion/fence/ready 不闭环，会导致性能惨跌和数据损坏。
【与项目竞争力关联】直接支撑竞争力#3（第一方软硬件协同与 Zero-Host-Touch 直达路径）。验证 UBMEM/URMA, RDMA, C2C, NVMe/SSD 等底层硬件原语能否真正编译为 zero Host payload touch 的 KVCache 极速传输，建立硬件能力矩阵 (Capability Matrix)。
【对应验证阶段 (E0~E3)】E1 能力路径。</t>
        </is>
      </c>
      <c r="C6" s="52" t="inlineStr">
        <is>
          <t>覆盖 HBM↔DDR、跨节点 HBM/DDR (RDMA/URMA)、HBM↔SSD 直达/低 Host 参与容量路径。单次传输 64KB~1GB；Queue Depth 1/8/32/128；内存对齐与非对齐；正常/网络拥塞/存储高 IOPS 负载；注入超时、半写、ECC/RAS 错误与句柄失效。</t>
        </is>
      </c>
      <c r="D6" s="52" t="inlineStr">
        <is>
          <t>【验证思路】采用“微基准探针（Microbench Probe）+ 硬件底层计数器 Hook + 错误注入”三位一体的方法。绕过上层框架逻辑，直接对 GPU/NPU HBM、DDR、NVMe SSD 及 RDMA/URMA 网卡注册 Memory Pool，测试原生硬件 Direct 传输带宽与 CPU cycles 开销。
【验证方法】1) 编写零拷贝 Capability Probe 测量 P50/P99 延时与有效带宽；2) Hook 操作系统/PCIe/NIC 计数器核验 Host Payload Touch 是否为 0；3) 构造 completion-&gt;fence-&gt;integrity evidence 异步确认链；4) 注入断网/半写模拟，验证 Ready 语义屏障与错误 KV 阻断。
【方法审阅补强】除 CPU memcpy、staged 与框架原生路径外，若目标硬件已有 Mooncake/LMCache Provider，纳入同等调优对照；强制输出计划路径与实际路径凭证（实际路径凭证（ActualPathReceipt））及 主机有效载荷触碰（Host Payload Touch）。</t>
        </is>
      </c>
      <c r="E6" s="52" t="inlineStr">
        <is>
          <t>64KB~1GB；QD 1/8/32/128；对齐/非对齐；本地/跨节点；正常/拥塞/故障；至少 1 条 SSD 容量路径。</t>
        </is>
      </c>
      <c r="F6" s="52" t="inlineStr">
        <is>
          <t>CPU memcpy、TCP/staged、框架原生 swap/offload、同硬件空载峰值；若可用，Mooncake/LMCache 目标硬件 Provider 同等调优路径。</t>
        </is>
      </c>
      <c r="G6" s="52" t="inlineStr">
        <is>
          <t>P50/P95/P99、effective BW/峰值比、CPU cycles/GB、Host payload bytes、CQ/fence耗时、ready延迟、retry/fallback、错误KV消费数。</t>
        </is>
      </c>
      <c r="H6" s="52" t="inlineStr">
        <is>
          <t>至少一条热路径 (RDMA/URMA 有效带宽 ≥ 线速 80%) 和一条 HBM↔SSD 直达或低 Host 参与容量路径 (顺序带宽 ≥ 设备峰值 80%) 正确闭环；主路径 Host Payload Touch = 0，CPU 压缩/解压与全量 CPU CRC 调用 = 0，错误/半写 KV 消费 = 0。</t>
        </is>
      </c>
      <c r="I6" s="52" t="inlineStr">
        <is>
          <t>仅 Staged (经过 CPU/DDR) 路径可用，但 CPU 额外开销 &lt; 10% 且支持显速限流，作为非默认回退路径。</t>
        </is>
      </c>
      <c r="J6" s="52" t="inlineStr">
        <is>
          <t>无可用 HBM↔SSD 直达/低 Host 路径、Host 参与不可观测、completion/fence 异步确认失效或错误 KV 渗入推理。</t>
        </is>
      </c>
      <c r="K6" s="52" t="inlineStr">
        <is>
          <t>不做完整 tier manager、生产HA、CPU codec/全量CPU CRC、全平台适配。</t>
        </is>
      </c>
      <c r="L6" s="52" t="inlineStr">
        <is>
          <t>版本化 capability matrix、路径性能曲线、Host CPU 零数据拷贝对账 对账、故障注入报告、Go/禁用/回退路径表。
竞争力证据最小集：冻结基线、重复实验、实际路径/Host CPU 零数据拷贝凭证（Host Payload Touch Bytes 严格为 0）、异常结果、适用边界及 E1 能力路径 评审记录。</t>
        </is>
      </c>
      <c r="M6" s="52" t="inlineStr">
        <is>
          <t>探针、注册池、句柄和microbench进入正式 Backend Provider 与CI硬件回归。</t>
        </is>
      </c>
      <c r="N6" s="51" t="inlineStr">
        <is>
          <t>否（底座能力确认）</t>
        </is>
      </c>
      <c r="O6" s="51" t="inlineStr">
        <is>
          <t>10~14人日</t>
        </is>
      </c>
      <c r="P6" s="51" t="inlineStr">
        <is>
          <t>IR-01-06、IR-01-08、IR-01-09、IR-01-12</t>
        </is>
      </c>
      <c r="Q6" s="52" t="inlineStr">
        <is>
          <t>SRS：L4-MC-HIER-STORE-001、L3-MS-Tiering-038、L4-HW-HostPayloadTouchBudget-076、L4-FT-PathIntegrityPolicy-077；SR23：SR23-01-06-01、SR23-01-07-01、SR23-01-08-01、SR23-01-09-01、SR23-01-12-01</t>
        </is>
      </c>
      <c r="R6" s="51" t="inlineStr">
        <is>
          <t>待判定</t>
        </is>
      </c>
    </row>
    <row r="7" ht="43.20000076293945" customHeight="1">
      <c r="A7" s="51" t="inlineStr">
        <is>
          <t>PVT-02</t>
        </is>
      </c>
      <c r="B7" s="52" t="inlineStr">
        <is>
          <t>【背景与必要性】vLLM (PagedAttention block) 与 SGLang (RadixTree page/span) 的 KV 内存布局不一致。如果每次传输都需要逐块 CPU 编译提交或做格式转换，CPU 提交瓶颈与小 IO 放大将吞噬所有硬件带宽收益。
【与项目竞争力关联】支撑竞争力#1（面向布局编译的 Descriptor 引擎）与竞争力#4（统一 QueryPlan 异步执行）。证明将不同框架逻辑布局编译为批量 Hardware Descriptors + 异步 DAG，可实现 Prefill/Decode 算力与 KV 传输的高效重叠。
【对应验证阶段 (E0~E3)】E1 能力路径。</t>
        </is>
      </c>
      <c r="C7" s="52" t="inlineStr">
        <is>
          <t>vLLM Paged block (16/32 tokens) 与 SGLang page/radix span；数据块 256KB~64MB；Scatter-Gather 段数 1~1024；QD 1~64；覆盖整段复用、部分前缀复用、流水中途 Cancel 与 Timeout 异常。</t>
        </is>
      </c>
      <c r="D7" s="52" t="inlineStr">
        <is>
          <t>【验证思路】采用“逻辑 Extent 映射 -&gt; Descriptor 批量编译 -&gt; 异步 Stream/DAG 调度”的切片验证方法。构建零拷贝 Descriptor Compiler，将上层 Paged Block 映射表一次性编译为硬件 DMA/RDMA 批量描述符链表。
【验证方法】1) 构造典型 vLLM 与 SGLang 内存布局 Manifest；2) 运行 Descriptor 编译器计算 submit CPU cycles 与 Descriptor 数量缩减比；3) 接入 PVT-01 RDMA/SSD 后端，测量 Layer/Block 级异步流水重叠率；4) 模拟 Prefill/Decode 算力 Stream 与传输 Stream 的 Concurrent 调度。
【方法审阅补强】对照逐块拷贝、单描述符和最佳可用开源传输实现；固定布局、对象大小、队列深度与后端，拆分编译、提交、执行和等待时间，防止用大包吞吐掩盖小 I/O 放大。</t>
        </is>
      </c>
      <c r="E7" s="52" t="inlineStr">
        <is>
          <t>vLLM paged block + SGLang page/radix；4档对象大小；SG数量1~1024；QD 1~64；整段/部分前缀；取消/超时。</t>
        </is>
      </c>
      <c r="F7" s="52" t="inlineStr">
        <is>
          <t>逐 block/page copy、单请求单 descriptor、整对象完成后计算；最佳可用开源批量传输实现。</t>
        </is>
      </c>
      <c r="G7" s="52" t="inlineStr">
        <is>
          <t>descriptor数、I/O放大、submit CPU、effective BW、布局错误、batch latency、计算—传输重叠率、额外内存、取消释放时延。</t>
        </is>
      </c>
      <c r="H7" s="52" t="inlineStr">
        <is>
          <t>Descriptor 数量下降 ≥ 50%，effective BW 提升 ≥ 30%，CPU submit 时间下降 ≥ 40%，布局协商错误 = 0，计算—传输重叠率 ≥ 60%，额外内存 ≤ 15%。</t>
        </is>
      </c>
      <c r="I7" s="52" t="inlineStr">
        <is>
          <t>仅单一框架/布局达标时限定首发范围；不兼容路径使用显式 transform 或降级重算。</t>
        </is>
      </c>
      <c r="J7" s="52" t="inlineStr">
        <is>
          <t>描述符编译开销过大抵消传输收益、布局协商错误不可防止，或流水调度导致 TPOT/内存严重退化。</t>
        </is>
      </c>
      <c r="K7" s="52" t="inlineStr">
        <is>
          <t>不做通用格式转换器、全模型layout、生产级调度器或所有后端。</t>
        </is>
      </c>
      <c r="L7" s="52" t="inlineStr">
        <is>
          <t>可复用 descriptor compiler、两后端 adapter、DAG执行器薄片、golden layout cases 与性能报告。
竞争力证据最小集：冻结基线、重复实验、实际路径/Host CPU 零数据拷贝凭证（Host Payload Touch Bytes 严格为 0）、异常结果、适用边界及 E1 能力路径 评审记录。</t>
        </is>
      </c>
      <c r="M7" s="52" t="inlineStr">
        <is>
          <t>原型代码直接进入 Transfer Manager 的 Descriptor/Async DAG 子模块。</t>
        </is>
      </c>
      <c r="N7" s="51" t="inlineStr">
        <is>
          <t>否（关键执行链确认）</t>
        </is>
      </c>
      <c r="O7" s="51" t="inlineStr">
        <is>
          <t>10~12人日</t>
        </is>
      </c>
      <c r="P7" s="51" t="inlineStr">
        <is>
          <t>IR-01-02、IR-01-04</t>
        </is>
      </c>
      <c r="Q7" s="52" t="inlineStr">
        <is>
          <t>SRS：L3-SE-DescriptorFromManifest-079、L3-MC-LayoutTransformPlan-078、L2-OL-BulkDescriptor-025、L2-OL-LayoutNegotiation-024；SR23：SR23-01-02-01、SR23-01-04-01、SR23-02-06-01</t>
        </is>
      </c>
      <c r="R7" s="51" t="inlineStr">
        <is>
          <t>待判定</t>
        </is>
      </c>
    </row>
    <row r="8" ht="32.40000152587891" customHeight="1">
      <c r="A8" s="51" t="inlineStr">
        <is>
          <t>PVT-03</t>
        </is>
      </c>
      <c r="B8" s="52" t="inlineStr">
        <is>
          <t>【背景与必要性】业界常误以为共享内存/UBMEM 语义可无脑用于所有 Active KV 的 Direct View（直接跨节点/跨进程远端读取）。然而 Decode 阶段重读 KV 会产生大量随机小访问，远端 Direct View 会导致严重 Page Fault、TLB Miss 和 Remote Stall。
【与项目竞争力关联】支撑竞争力#1（语义先于位置与 View-vs-Copy 成本模型）及证伪验证。通过实测划清 Metadata/Snapshot 适合 Direct View 而 Decode Active KV 必须 Copy-to-HBM 的安全边界，防止盲目追求“零拷贝”反而损害 TPOT。
【对应验证阶段 (E0~E3)】E1/E2 路径与决策边界。</t>
        </is>
      </c>
      <c r="C8" s="52" t="inlineStr">
        <is>
          <t>元数据 (64B~64KB) 与 KV span (256KB~64MB)；单次读取 vs 连续重读；1/2/4 NPU ranks；包含 First-touch, Page size (4KB/64KB/2MB), 映射失效 (Revoke) 与并发冲突场景。</t>
        </is>
      </c>
      <c r="D8" s="52" t="inlineStr">
        <is>
          <t>【验证思路】采取“场景解耦对比（A/B Testing）+ 微观 Hardware Counter 监测 + View Guard 保护”的验证思路。将访问模式分为“只读元数据/快照”与“Decode 活跃 KV”两类，对比 Direct-View 与 Copy-to-HBM 的性能损耗。
【验证方法】1) 使用 UBMEM/URMA 建立共享内存映射与 Direct View 句柄；2) 模拟 Attention 算子直接 View 远端 KV，抓取 CPU/NPU TLB Miss、Page Fault 及 Remote Stall 计数；3) 验证 Read-Only Lease 与 Revoke 机制；4) 计算 Cost Crossover 临界点。
【方法审阅补强】按对象类型×访问模式做 直接访问（Direct View） 与 复制到 HBM（Copy-to-HBM） 配对 A/B；固定 page size、Rank 和重读次数，报告远端 stall/TLB/page fault，并以 View Guard 故障用例证明安全边界。</t>
        </is>
      </c>
      <c r="E8" s="52" t="inlineStr">
        <is>
          <t>metadata 64B~64KB；KV span 256KB~64MB；一次读/多次重读；1/2/4 rank；first-touch、page size、并发、映射失效。</t>
        </is>
      </c>
      <c r="F8" s="52" t="inlineStr">
        <is>
          <t>本地 hash/radix mirror、RPC 精确查询、block_table 本地执行内存、KV 显式 复制到 HBM（Copy-to-HBM）。</t>
        </is>
      </c>
      <c r="G8" s="52" t="inlineStr">
        <is>
          <t>lookup/attach P99、每token访问P99、TPOT、remote stall、TLB/page fault、copy latency、revoke P99、stale/越界、策略准确率。</t>
        </is>
      </c>
      <c r="H8" s="52" t="inlineStr">
        <is>
          <t>本地快判 &lt; 10us；目标 direct-view 场景 TPOT P99 回退 &lt; 3%、stale/越界 = 0、view revoke P99 &lt; 1ms，且明确划分出 Copy-vs-View 收益安全区。</t>
        </is>
      </c>
      <c r="I8" s="52" t="inlineStr">
        <is>
          <t>只允许 metadata/attach 前只读快照 direct-view；decode-active KV 一律 copy-to-HBM。</t>
        </is>
      </c>
      <c r="J8" s="52" t="inlineStr">
        <is>
          <t>Crossover 临界点不稳定、关键计数器不可用，或 direct-view 导致不可控远端 stall 导致 TPOT 恶化。</t>
        </is>
      </c>
      <c r="K8" s="52" t="inlineStr">
        <is>
          <t>不做通用统一内存、写共享、跨租户共享、完整目录HA或全部模型。</t>
        </is>
      </c>
      <c r="L8" s="52" t="inlineStr">
        <is>
          <t>对象类型×访问模式决策表、DirectViewGuard原型、lease/revoke测试、性能crossover曲线。
竞争力证据最小集：冻结基线、重复实验、实际路径/Host CPU 零数据拷贝凭证（Host Payload Touch Bytes 严格为 0）、异常结果、适用边界及 E1/E2 路径与决策边界 评审记录。</t>
        </is>
      </c>
      <c r="M8" s="52" t="inlineStr">
        <is>
          <t>DirectViewGuard、对象分类与counter探针进入正式 View/Copy cost model。</t>
        </is>
      </c>
      <c r="N8" s="51" t="inlineStr">
        <is>
          <t>是（证伪“decode-active KV 默认 direct-view”）</t>
        </is>
      </c>
      <c r="O8" s="51" t="inlineStr">
        <is>
          <t>10~14人日</t>
        </is>
      </c>
      <c r="P8" s="51" t="inlineStr">
        <is>
          <t>IR-01-07、IR-02-04、IR-02-05</t>
        </is>
      </c>
      <c r="Q8" s="52" t="inlineStr">
        <is>
          <t>SRS：L1-OL-ViewVsCopy-011、L2-MM-ViewLease-028、L3-SE-ViewCopyCostModel-034、L3-MS-UBC2CTier-055；SR23：SR23-01-07-01、SR23-01-10-01、SR23-02-04-01、SR23-02-05-02</t>
        </is>
      </c>
      <c r="R8" s="51" t="inlineStr">
        <is>
          <t>待判定</t>
        </is>
      </c>
    </row>
    <row r="9" ht="32.40000152587891" customHeight="1">
      <c r="A9" s="51" t="inlineStr">
        <is>
          <t>PVT-04</t>
        </is>
      </c>
      <c r="B9" s="52" t="inlineStr">
        <is>
          <t>【背景与必要性】物理命中并不等于物理收益（Load 远端 KV 节点受拥塞/并发影响可能比本地算力 Prefill 重算更慢）。缺乏微秒级感知决策的存储池极易引发“负收益命中”和尾延迟恶化。
【与项目竞争力关联】核心支撑竞争力#4（统一 QueryPlan 动态决策引擎）与竞争力#1（价值先于容量）。在微秒级内量化比较 Load, View, Move 与 Recompute 的实时 Cost，实现“正价值才加载，负收益即重算”。
【对应验证阶段 (E0~E3)】E2 决策优越性。</t>
        </is>
      </c>
      <c r="C9" s="52" t="inlineStr">
        <is>
          <t>4 档 KV 大小 (1MB~512MB)；3 档 请求 Deadline；4 档 队列拥塞深度；包含路径正常/热点拥塞/节点断连；覆盖 Local Load, Remote Load, SSD Restore, Local Recompute。</t>
        </is>
      </c>
      <c r="D9" s="52" t="inlineStr">
        <is>
          <t>【验证思路】采用“离线 Oracle 轨迹对比 + 在线 Shadow QueryPlan 算法评估 + 拥塞/故障扰动”的验证方法。用低开销 EWMA 与 Hardware Telemetry 构建微秒级 Cost Evaluator，与事后最优解 (Oracle) 计算决策后悔率 (Decision Regret)。
【验证方法】1) 收集真实硬件传输与 NPU 重算算力包络；2) 运行 QueryPlanFastPath 原型，在 &lt; 5us 内输出 Placement &amp; Action Plan；3) 注入链路拥塞与节点高负载，测试 Fallback 到重算/次优路径的决策响应；4) 统计 Cost 预测误差与错误 Load 比例。
【方法审阅补强】同时比较静态优先级、最近副本、总是加载、总是重算和离线 Oracle；增加“关闭状态智能”和“移除非公开微架构信息”两组消融，报告 决策后悔（Decision Regret） 与错误 Load。</t>
        </is>
      </c>
      <c r="E9" s="52" t="inlineStr">
        <is>
          <t>4档KV大小；3档deadline；4档queue depth；路径正常/退化/断开；local/remote/recompute。</t>
        </is>
      </c>
      <c r="F9" s="52" t="inlineStr">
        <is>
          <t>固定优先级、最近副本、总是加载、总是重算、轮询、离线 Oracle；完整方案关闭状态智能/移除微架构信息两组消融。</t>
        </is>
      </c>
      <c r="G9" s="52" t="inlineStr">
        <is>
          <t>决策P99、选择准确率、预测误差、错误Load、abandoned remote load、cross-node bytes、净TTFT benefit、故障切换、无效路径选择。</t>
        </is>
      </c>
      <c r="H9" s="52" t="inlineStr">
        <is>
          <t>QueryPlan 决策延时 P99 &lt; 5us，Fabric Router 路由决策 &lt; 3us；路径选择准确率 ≥ 90%，成本预测误差 &lt; 20%，负收益/错误 Load &lt; 1%，无效路径选择 = 0，故障切换 &lt; 200ms。</t>
        </is>
      </c>
      <c r="I9" s="52" t="inlineStr">
        <is>
          <t>只对白名单 prefix/路径启用动态决策；动态质量噪声过大时降级为静态优先级规则+feature flag。</t>
        </is>
      </c>
      <c r="J9" s="52" t="inlineStr">
        <is>
          <t>尾部成本无法预测、错误 Load 持续超门槛，或复杂策略开销抵消了 Prefill 节省的时间。</t>
        </is>
      </c>
      <c r="K9" s="52" t="inlineStr">
        <is>
          <t>不做在线学习、生产router、自动扩缩容、千卡控制面或全模型调参。</t>
        </is>
      </c>
      <c r="L9" s="52" t="inlineStr">
        <is>
          <t>QueryPlan字段冻结稿、cost model原型、oracle对账、正收益白名单、fallback原因码。
竞争力证据最小集：冻结基线、重复实验、实际路径/Host CPU 零数据拷贝凭证（Host Payload Touch Bytes 严格为 0）、异常结果、适用边界及 E2 决策优越性 评审记录。</t>
        </is>
      </c>
      <c r="M9" s="52" t="inlineStr">
        <is>
          <t>原型直接演进为 PolicyEngine/PlacementResolver，并复用路径telemetry。</t>
        </is>
      </c>
      <c r="N9" s="51" t="inlineStr">
        <is>
          <t>否（决策能力确认）</t>
        </is>
      </c>
      <c r="O9" s="51" t="inlineStr">
        <is>
          <t>8~10人日</t>
        </is>
      </c>
      <c r="P9" s="51" t="inlineStr">
        <is>
          <t>IR-01-03、IR-01-05</t>
        </is>
      </c>
      <c r="Q9" s="52" t="inlineStr">
        <is>
          <t>SRS：L1-RT-Admission-007、L3-SE-QueryPlanFastPath-072、L3-TRANS-TOPO-SENSE-004、L4-FABRIC-ROUTER-001；SR23：SR23-01-03-01、SR23-01-05-01、SR23-01-09-01、SR23-02-02-01、SR23-02-02-02</t>
        </is>
      </c>
      <c r="R9" s="51" t="inlineStr">
        <is>
          <t>待判定</t>
        </is>
      </c>
    </row>
    <row r="10" ht="54" customHeight="1">
      <c r="A10" s="51" t="inlineStr">
        <is>
          <t>PVT-05</t>
        </is>
      </c>
      <c r="B10" s="52" t="inlineStr">
        <is>
          <t>【背景与必要性】HBM 昂贵且容量有限，必须利用 NVMe SSD 扩展可寻址容量。但可寻址容量不等于可服务能力；若分层搬运造成 HBM 碎片、Preemption 抖动或 DDR 缓存无效命中，将严重损害 QPS 与成本效益。
【与项目竞争力关联】核心支撑竞争力#1（分层容量与 DDR 条件角色）与竞争力#2（可服务容量与 NPU 吞吐提升）。验证“HBM↔SSD 直通为容量主路径，DDR 仅承担正收益条件角色”，确保每一 GB 扩展容量都转化为实际业务 QPS。
【对应验证阶段 (E0~E3)】E2/E3 决策与系统净收益。</t>
        </is>
      </c>
      <c r="C10" s="52" t="inlineStr">
        <is>
          <t>超长上下文 128K/256K/1M；容量压力 10%/30%/50%；并发 1~64；DDR 容量阶梯 (0~512GB)；包含 Hot-spot (高频重复) 与 Long-tail (长尾长上下文) 两类 Workload。</t>
        </is>
      </c>
      <c r="D10" s="52" t="inlineStr">
        <is>
          <t>【验证思路】采取“离线策略回放器（Replayer）+ 真实受控物理介质压测”相结合的验证思路。对比 HBM↔SSD 直达、HBM→DDR→SSD 三级传递、DDR Warm/Prefetch 等不同架构模式下的吞吐与延迟。
【验证方法】1) 运行 Trace 驱动的容量策略回放器，对比 LRU, LFU, Cost-aware 淘汰算法；2) 在真实 HBM+DDR+SSD 硬件节点配置受控内存/存储水位；3) 测量 HBM 有效容量提升、OOM/Preemption 降低率与 SSD 读写 IOPS/写放大；4) 评估 DDR 引入后的净收益 (Cost-Benefit Ratio)。
【方法审阅补强】比较简单双水位、LRU/LFU 与成本策略；除容量和命中外同步报告 TPOT、SSD IOPS/写放大、功耗和单位 SLO 合格事务成本，防止成本转移。</t>
        </is>
      </c>
      <c r="E10" s="52" t="inlineStr">
        <is>
          <t>128K/256K/1M；容量压力10%/30%/50%；3档并发；DDR容量阶梯；热点/长尾两类workload。</t>
        </is>
      </c>
      <c r="F10" s="52" t="inlineStr">
        <is>
          <t>框架原生容量/水位/preemption、SSD-only、LRU、双水位滞回；完整方案关闭状态智能的消融。</t>
        </is>
      </c>
      <c r="G10" s="52" t="inlineStr">
        <is>
          <t>HBM effective capacity、稳定并发/QPS、OOM/preemption、碎片、usable hit、迁移bytes/ping-pong、SSD P99、DDR staging bytes、端到端hop时延、DDR GB/BW、单位有效容量成本、NPU busy/stall。</t>
        </is>
      </c>
      <c r="H10" s="52" t="inlineStr">
        <is>
          <t>HBM↔SSD 容量主路径闭环且有效带宽 ≥ 设备峰值 80%；HBM 有效容量提升 ≥ 30%，OOM/Preemption 降低 ≥ 50%，内存碎片率 &lt; 5%；DDR 角色至少有一项持续正收益，否则退出 Payload 主路径；迁移 Bytes 降低 ≥ 20%。</t>
        </is>
      </c>
      <c r="I10" s="52" t="inlineStr">
        <is>
          <t>若 DDR 无独立正收益，仅保留 DDR 用于 Metadata/Control/Registered Pool，Payload 保持 HBM↔SSD 直达。</t>
        </is>
      </c>
      <c r="J10" s="52" t="inlineStr">
        <is>
          <t>SSD 扩容带来的迁移抖动使端到端 TTFT/TPOT 净收益为负，或碎片率 &gt; 15% 导致频繁 Preemption。</t>
        </is>
      </c>
      <c r="K10" s="52" t="inlineStr">
        <is>
          <t>不实现生产tier manager、跨节点副本编排、在线学习、自动调参和完整defrag。</t>
        </is>
      </c>
      <c r="L10" s="52" t="inlineStr">
        <is>
          <t>容量—服务能力曲线、DDR角色决策、策略回放器、模型KV规格表、水位/回退默认值。
竞争力证据最小集：冻结基线、重复实验、实际路径/Host CPU 零数据拷贝凭证（Host Payload Touch Bytes 严格为 0）、异常结果、适用边界及 E2/E3 决策与系统净收益 评审记录。</t>
        </is>
      </c>
      <c r="M10" s="52" t="inlineStr">
        <is>
          <t>回放器与策略接口进入TierManager；实验结论冻结硬件容量和人力投入边界。</t>
        </is>
      </c>
      <c r="N10" s="51" t="inlineStr">
        <is>
          <t>否（容量价值确认）</t>
        </is>
      </c>
      <c r="O10" s="51" t="inlineStr">
        <is>
          <t>10~14人日</t>
        </is>
      </c>
      <c r="P10" s="51" t="inlineStr">
        <is>
          <t>IR-01-01、IR-02-08、IR-02-09</t>
        </is>
      </c>
      <c r="Q10" s="52" t="inlineStr">
        <is>
          <t>SRS：L3-MS-Tiering-038、L3-MC-HIER-STORE-002、L3-MS-DDRRolePolicy-092、L3-SE-TierBypassPolicy-091；SR23：SR23-01-01-01、SR23-01-01-02、SR23-01-01-03、SR23-01-08-01、SR23-02-08-01、SR23-02-09-01</t>
        </is>
      </c>
      <c r="R10" s="51" t="inlineStr">
        <is>
          <t>待判定</t>
        </is>
      </c>
    </row>
    <row r="11" ht="43.20000076293945" customHeight="1">
      <c r="A11" s="51" t="inlineStr">
        <is>
          <t>PVT-06</t>
        </is>
      </c>
      <c r="B11" s="52" t="inlineStr">
        <is>
          <t>【背景与必要性】物理 Raw Hit 绝不等于可安全消费的 Usable Hit。若 KV 存在版本冲突、Layout 不匹配、Rank 未对齐、未 Ready 或 Lease 过期，强行消费将导致输出胡言乱语、死锁甚至跨租户数据泄露事故。
【与项目竞争力关联】核心支撑竞争力#1（语义先于位置与 Ready/Eligibility 屏障）与竞争力#2（0 错误消费正确性安全底线）。构建完整的 ConsumeEligibility 与 Rank Consensus 校验机制，确保“0 错误消费、0 过期消费”。
【对应验证阶段 (E0~E3)】E1 可消费正确性。</t>
        </is>
      </c>
      <c r="C11" s="52" t="inlineStr">
        <is>
          <t>Whole (100%), Partial (25%/50%/75%) 前缀复用；1/2/4/8 Tensor/Pipeline Parallel Ranks；注入 Model/Tokenizer/ChatTemplate/Adapter/Layout/Version 冲突、Ready 未完成、Lease 失效与单 Rank 故障。</t>
        </is>
      </c>
      <c r="D11" s="52" t="inlineStr">
        <is>
          <t>【验证思路】采用“语义契约断言校验 + 故障/冲突全量注入 + 张量并行 (TP=8) 多卡状态同步 (RankConsensus)”的硬核正确性验证思路。设计 Reason-Code 判定引擎，对每一个 Candidate KV 进行 6 维 Eligibility 检查。
【验证方法】1) 构造全套正确的 Golden Cases 与带冲突的 Fault Injection Cases；2) 运行 ConsumeEligibility &amp; AttachHandle 校验模块；3) 验证多 Rank 间 RankConsensus 屏障与 Wait 时延；4) 统计 Raw Hit 到 Usable Hit 的转化漏斗与 Duplicate Pull 合并效率。
【方法审阅补强】使用 Golden/Fault 全矩阵覆盖版本、布局、Ready、Lease、Rank 和跨租户；与原生/最佳开源连接器的兼容与回退行为对照，任何错误消费均直接 No-Go。</t>
        </is>
      </c>
      <c r="E11" s="52" t="inlineStr">
        <is>
          <t>whole/25%/50%/75% partial hit；1/2/4 rank；ready延迟、版本冲突、lease失效、单rank故障。</t>
        </is>
      </c>
      <c r="F11" s="52" t="inlineStr">
        <is>
          <t>raw hash hit 直接消费、全量重算、无重复拉取合并；原生连接器与最佳可行开源连接器的兼容/回退对照。</t>
        </is>
      </c>
      <c r="G11" s="52" t="inlineStr">
        <is>
          <t>raw/usable/stale/abandoned/fallback漏斗、错误消费、prefix lookup P99、attach P99、rank wait、duplicate pull、effective reused tokens、recompute tokens、fallback恢复时间。</t>
        </is>
      </c>
      <c r="H11" s="52" t="inlineStr">
        <is>
          <t>错误/过期 KV 消费数 = 0，Fallback 成功率 = 100%，Rank Consensus Wait P99 &lt; 100us，Prefix Lookup P99 &lt; 200us，Usable Hit 提升 ≥ 15%，重复拉取下降 ≥ 50%。</t>
        </is>
      </c>
      <c r="I11" s="52" t="inlineStr">
        <is>
          <t>仅开放同模型/同版本/同 Layout 的 Whole-Prefix 或 Min-Safe-Prefix 消费白名单。</t>
        </is>
      </c>
      <c r="J11" s="52" t="inlineStr">
        <is>
          <t>发生任何错误/脏 KV 渗入推理、跨租户越权读取或多 Rank 同步死锁。</t>
        </is>
      </c>
      <c r="K11" s="52" t="inlineStr">
        <is>
          <t>不实现完整目录HA、跨租户共享、全量多卡故障恢复或生产调度。</t>
        </is>
      </c>
      <c r="L11" s="52" t="inlineStr">
        <is>
          <t>兼容性矩阵、ConsumeEligibility/AttachHandle原型、reason code、故障用例和漏斗报告。
竞争力证据最小集：冻结基线、重复实验、实际路径/Host CPU 零数据拷贝凭证（Host Payload Touch Bytes 严格为 0）、异常结果、适用边界及 E1 可消费正确性 评审记录。</t>
        </is>
      </c>
      <c r="M11" s="52" t="inlineStr">
        <is>
          <t>协议、判定器、golden cases与fault tests进入Connector/Directory正式模块。</t>
        </is>
      </c>
      <c r="N11" s="51" t="inlineStr">
        <is>
          <t>否（可消费性确认）</t>
        </is>
      </c>
      <c r="O11" s="51" t="inlineStr">
        <is>
          <t>10~12人日</t>
        </is>
      </c>
      <c r="P11" s="51" t="inlineStr">
        <is>
          <t>IR-01-10、IR-01-11、IR-02-01、IR-02-05</t>
        </is>
      </c>
      <c r="Q11" s="52" t="inlineStr">
        <is>
          <t>SRS：L2-KV-AttachHandle-034、L2-KV-PartialAttachPlan-038、L3-MS-ConsumeEligibility-060、L3-CO-VisibilityReadyBitmap-064、L1-PD-RankConsensus-013；SR23：SR23-01-10-01、SR23-01-11-01、SR23-02-01-01、SR23-02-05-01、SR23-02-05-02、SR23-02-10-01</t>
        </is>
      </c>
      <c r="R11" s="51" t="inlineStr">
        <is>
          <t>待判定</t>
        </is>
      </c>
    </row>
    <row r="12" ht="32.40000152587891" customHeight="1">
      <c r="A12" s="51" t="inlineStr">
        <is>
          <t>PVT-07</t>
        </is>
      </c>
      <c r="B12" s="52" t="inlineStr">
        <is>
          <t>【背景与必要性】单项传输带宽或局部算法达标，不代表在线系统成功。在真实在线推理中，前台 Decode 算力/带宽与后台 SSD 回源、预取、迁移混压，极易引发 IO 争用与 TPOT 尾部严重抖动。
【与项目竞争力关联】终极支撑竞争力#2（端到端净收益与端到端最小闭环验证 (Vertical Slice)验收）与竞争力#4（前后台 Semantic QoS 隔离）。作为立项前最后一个“纵向切片”总门禁，在真实混压下验证 TTFT/TPOT/QPS 整体净收益。
【对应验证阶段 (E0~E3)】E3 系统净收益。</t>
        </is>
      </c>
      <c r="C12" s="52" t="inlineStr">
        <is>
          <t>2 节点环境，1 个典型主模型；前台 3 档并发 × 后台 4 档传输带宽 混压；覆盖 Steady State 与 Burst 突发；包含长上下文与共享前缀两类 Workload；包含无隔离、软件限流与硬件独立队列/TC 3 组对照。</t>
        </is>
      </c>
      <c r="D12" s="52" t="inlineStr">
        <is>
          <t>【验证思路】采用“真实前后台混压（Co-location Stress）+ 端到端纵向切片（Vertical Slice）+ 前后台服务质量保障策略 (SemanticQoS)判定”的闭环验证思路。串联 Prefix Lookup -&gt; QueryPlan -&gt; Descriptor -&gt; Load/Attach/Recompute 全流程。
【验证方法】1) 建立包含前台 Decode 推理与后台 SSD 回源/Prefetch 的混压环境；2) 运行 Semantic QoS 调度策略，设定前后台优先级与限速包络；3) 抓取端到端 TTFT P50/P99、TPOT P50/P99/Tail Spike、QPS 及 NPU Busy/Stall；4) 执行 Fallback 演练。
【方法审阅补强】在同硬件、同模型、同 SLO、同调优预算下比较原生框架、最佳可行开源组合、本项目关闭状态智能、本项目移除微架构信息及完整方案；以实际路径、合格业务事务和全生命周期成本给出净收益。</t>
        </is>
      </c>
      <c r="E12" s="52" t="inlineStr">
        <is>
          <t>3档前台并发×4档后台带宽×burst/steady；正常/拥塞/单路径故障；长上下文与共享前缀两类workload。</t>
        </is>
      </c>
      <c r="F12" s="52" t="inlineStr">
        <is>
          <t>框架原生路径、最佳可行开源组合、统一池关闭 QoS/流水、本项目关闭状态智能、本项目移除微架构信息、总是加载与重算。</t>
        </is>
      </c>
      <c r="G12" s="52" t="inlineStr">
        <is>
          <t>TTFT P50/P99、TPOT P50/P99/tail spike、QPS、NPU busy/stall、overlap、前后台BW/QD、abandoned load、fallback、恢复时间。</t>
        </is>
      </c>
      <c r="H12" s="52" t="inlineStr">
        <is>
          <t>端到端 P99 TTFT 降低 ≥ 20%，SemanticQoS 受控子测试 P99 TTFT 降低 ≥ 25%；QPS 提升 ≥ 10%，计算与传输重叠率 ≥ 60%，安全包络内 TPOT P99 回退 &lt; 3%，Fallback 成功率 = 100%。</t>
        </is>
      </c>
      <c r="I12" s="52" t="inlineStr">
        <is>
          <t>仅在低水位/空闲时段允许后台 SSD 恢复/预取，或对远端 Load 施加严格白名单。</t>
        </is>
      </c>
      <c r="J12" s="52" t="inlineStr">
        <is>
          <t>后台 IO 造成前台 TPOT 尾抖动 &gt; 10%，或端到端系统开销完全吞噬了 TTFT 收益。</t>
        </is>
      </c>
      <c r="K12" s="52" t="inlineStr">
        <is>
          <t>不实现生产QoS控制器、全网调度、多租户计费、生产HA和全模型适配。</t>
        </is>
      </c>
      <c r="L12" s="52" t="inlineStr">
        <is>
          <t>可运行端到端最小闭环验证 (Vertical Slice)、干扰安全包络、性能分解、fallback演练、项目级Go/Conditional/No-Go结论。
竞争力证据最小集：冻结基线、重复实验、实际路径/Host CPU 零数据拷贝凭证（Host Payload Touch Bytes 严格为 0）、异常结果、适用边界及 E3 系统净收益 评审记录。</t>
        </is>
      </c>
      <c r="M12" s="52" t="inlineStr">
        <is>
          <t>端到端最小闭环验证 (Vertical Slice) 成为首个系统串联与回归场景；QoS分类、指标和fallback接口直接进入正式系统。</t>
        </is>
      </c>
      <c r="N12" s="51" t="inlineStr">
        <is>
          <t>否（项目价值总门禁）</t>
        </is>
      </c>
      <c r="O12" s="51" t="inlineStr">
        <is>
          <t>12~15人日</t>
        </is>
      </c>
      <c r="P12" s="51" t="inlineStr">
        <is>
          <t>IR-01-04、IR-01-11、IR-02-06</t>
        </is>
      </c>
      <c r="Q12" s="52" t="inlineStr">
        <is>
          <t>SRS：L3-QO-SemanticQoS-045、L3-MS-StateAwarePrefetch-081、L3-OB-PerPathTelemetry-047、L4-FT-PathIntegrityPolicy-077；SR23：SR23-01-04-01、SR23-01-11-02、SR23-02-02-01、SR23-02-02-02、SR23-02-06-01、SR23-02-11-01、SR23-02-12-03、SR23-02-12-05</t>
        </is>
      </c>
      <c r="R12" s="51" t="inlineStr">
        <is>
          <t>待判定</t>
        </is>
      </c>
    </row>
    <row r="13" ht="21.60000038146973" customHeight="1">
      <c r="A13" s="51" t="inlineStr">
        <is>
          <t>CVT-01</t>
        </is>
      </c>
      <c r="B13" s="52" t="inlineStr">
        <is>
          <t>【背景与必要性】业界常推崇硬件多播 (Multicast) 用于热点前缀分发。但硬件多播配置复杂且依赖网络支持，必须验证节点级 Staging / 软件 Fanout 是否已足够满足要求，证伪硬件多播的“硬依赖”假象。
【与项目竞争力关联】支撑竞争力#5（开放生态与简洁架构）及条件证伪。明确 1→N 共享的 Crossover 点，避免在立项早期过度投入复杂硬件多播。
【对应验证阶段 (E0~E3)】条件证伪门。</t>
        </is>
      </c>
      <c r="C13" s="52" t="inlineStr">
        <is>
          <t>1 源节点，2/4/8 消费者节点；热点 Prefix 对象 1MB~64MB；比较独立 N 次拉取、软件 Staging Fanout、硬件多播（若环境支持）；包含正常与慢消费者/单节点故障。</t>
        </is>
      </c>
      <c r="D13" s="52" t="inlineStr">
        <is>
          <t>【验证思路】采取“Fanout 规模阶梯对比 + 传输放大系数测量 + 硬件多播必要性证伪”的验证思路。
【验证方法】1) 构造不同 Fanout 比例的并发拉取请求；2) 测量源端 egress 带宽与各 Consumer 端完成时间 P99；3) 评估软件 Staging 与硬件多播的收益差距；4) 判定 Fanout Crossover 临界点。
【方法审阅补强】仅在 Fanout 分布和重复远端字节达到触发门后执行；比较 N 次独立拉取、软件 Staging 和硬件多播，硬件能力无稳定增量即关闭。</t>
        </is>
      </c>
      <c r="E13" s="52" t="inlineStr">
        <is>
          <t>固定热点prefix；2档对象大小；正常/慢消费者/单目标故障。</t>
        </is>
      </c>
      <c r="F13" s="52" t="inlineStr">
        <is>
          <t>N 次独立拉取、软件 Staging Fanout、硬件多播（若平台可用）。</t>
        </is>
      </c>
      <c r="G13" s="52" t="inlineStr">
        <is>
          <t>源端bytes、完成P99、consumer skew、重复拉取、refcount/lease泄漏、源端CPU/BW。</t>
        </is>
      </c>
      <c r="H13" s="52" t="inlineStr">
        <is>
          <t>重复远端拉取流量下降 ≥ 50%，源端带宽增长显著低于 O(N)，错误共享/泄漏 = 0。</t>
        </is>
      </c>
      <c r="I13" s="52" t="inlineStr">
        <is>
          <t>硬件多播无额外净收益时，默认保留软件 Node-level Staging Fanout。</t>
        </is>
      </c>
      <c r="J13" s="52" t="inlineStr">
        <is>
          <t>Fanout 收益无法覆盖多播协议握手与尾延迟开销。</t>
        </is>
      </c>
      <c r="K13" s="52" t="inlineStr">
        <is>
          <t>不做全局热度预测、生产多播控制面和自动副本生命周期。</t>
        </is>
      </c>
      <c r="L13" s="52" t="inlineStr">
        <is>
          <t>fanout crossover、feature flag建议和回退策略。
竞争力证据最小集：冻结基线、重复实验、实际路径/Host CPU 零数据拷贝凭证（Host Payload Touch Bytes 严格为 0）、异常结果、适用边界及 条件证伪门 评审记录。</t>
        </is>
      </c>
      <c r="M13" s="52" t="inlineStr">
        <is>
          <t>仅Go后进入Async DAG的可选Multicast Provider。</t>
        </is>
      </c>
      <c r="N13" s="51" t="inlineStr">
        <is>
          <t>是（证伪“硬件多播是关键IR前置条件”）</t>
        </is>
      </c>
      <c r="O13" s="51" t="inlineStr">
        <is>
          <t>6~8人日（触发后）</t>
        </is>
      </c>
      <c r="P13" s="51" t="inlineStr">
        <is>
          <t>IR-01-04、IR-01-10</t>
        </is>
      </c>
      <c r="Q13" s="52" t="inlineStr">
        <is>
          <t>SRS：L4-RDMA-MUL-FABRIC-002；SR23：SR23-01-04-02、SR23-01-10-01</t>
        </is>
      </c>
      <c r="R13" s="51" t="inlineStr">
        <is>
          <t>待判定</t>
        </is>
      </c>
    </row>
    <row r="14" ht="21.60000038146973" customHeight="1">
      <c r="A14" s="51" t="inlineStr">
        <is>
          <t>CVT-02</t>
        </is>
      </c>
      <c r="B14" s="52" t="inlineStr">
        <is>
          <t>【背景与必要性】内存页迁移/压缩时，业界探索硬件 Atomic Remap 原语。需验证软件 RCU (Read-Copy-Update) + Copy-on-Migrate 是否已能满足 Pause 与抖动要求，优先证伪硬件原语的“必需性”。
【与项目竞争力关联】支撑竞争力#3（第一方软硬件协同的理性边界）。防范盲目依赖未成熟硬件原语导致架构套牢。
【对应验证阶段 (E0~E3)】条件证伪门。</t>
        </is>
      </c>
      <c r="C14" s="52" t="inlineStr">
        <is>
          <t>单 Extent，1/8/32 并发 Reader；数据块 4MB~64MB；比较 Stop-the-world, 软件 RCU, 硬件 Atomic Remap；注入 Remap 前/中/后崩溃故障。</t>
        </is>
      </c>
      <c r="D14" s="52" t="inlineStr">
        <is>
          <t>【验证思路】采用“读写并发压测 + Pause 抖动抓取 + 失败回滚演练”的验证思路。
【验证方法】1) 在 Reader 持续读取 KV 时触发 Extent 迁移/整理；2) 测量 Reader 的 Pause 时间 P99 与 TPOT Jitter；3) 注入 Remap 中途中断，验证崩溃回滚；4) 评估 RCU 与硬件 Remap 的增量收益。
【方法审阅补强】以软件 RCU + Copy-on-Migrate 为默认基线，覆盖并发读、故障中断、回滚和 TLB shootdown；硬件 Remap 只接受可重复的增量收益。</t>
        </is>
      </c>
      <c r="E14" s="52" t="inlineStr">
        <is>
          <t>3档extent；1/8/32 reader；remap前/中/后故障。</t>
        </is>
      </c>
      <c r="F14" s="52" t="inlineStr">
        <is>
          <t>Stop-the-world、软件 RCU + Copy-on-Migrate、硬件 Atomic Remap（若可用）。</t>
        </is>
      </c>
      <c r="G14" s="52" t="inlineStr">
        <is>
          <t>stale/use-after-free、pause P99、TPOT jitter、remap、TLB shootdown、回滚。</t>
        </is>
      </c>
      <c r="H14" s="52" t="inlineStr">
        <is>
          <t>脏读/越界访问 = 0，迁移 TPOT 抖动 &lt; 5%，失败 100% 可回滚，且硬件 Remap 相对 RCU 有稳定净收益。</t>
        </is>
      </c>
      <c r="I14" s="52" t="inlineStr">
        <is>
          <t>硬件收益不显著时，正式架构固定使用软件 RCU + Copy-on-Migrate。</t>
        </is>
      </c>
      <c r="J14" s="52" t="inlineStr">
        <is>
          <t>硬件 Remap 语义不成熟、无法可靠回滚或引发 TLB Shootdown 惩罚。</t>
        </is>
      </c>
      <c r="K14" s="52" t="inlineStr">
        <is>
          <t>不实现完整defrag、跨节点迁移编排或生产allocator。</t>
        </is>
      </c>
      <c r="L14" s="52" t="inlineStr">
        <is>
          <t>RCU基线、硬件原语No-Go/Go结论、迁移互锁接口。
竞争力证据最小集：冻结基线、重复实验、实际路径/Host CPU 零数据拷贝凭证（Host Payload Touch Bytes 严格为 0）、异常结果、适用边界及 条件证伪门 评审记录。</t>
        </is>
      </c>
      <c r="M14" s="52" t="inlineStr">
        <is>
          <t>仅Go后把硬件remap作为feature-flag后端；RCU原型直接保留。</t>
        </is>
      </c>
      <c r="N14" s="51" t="inlineStr">
        <is>
          <t>是（优先证伪硬件原语必要性）</t>
        </is>
      </c>
      <c r="O14" s="51" t="inlineStr">
        <is>
          <t>8~12人日（触发后）</t>
        </is>
      </c>
      <c r="P14" s="51" t="inlineStr">
        <is>
          <t>IR-01-01、IR-01-11、IR-01-12</t>
        </is>
      </c>
      <c r="Q14" s="52" t="inlineStr">
        <is>
          <t>SRS：L4-CO-AtomicRemapPrimitive-065、L3-CO-MigrationRCULock-090；SR23：SR23-01-01-03、SR23-01-11-01、SR23-01-12-02</t>
        </is>
      </c>
      <c r="R14" s="51" t="inlineStr">
        <is>
          <t>待判定</t>
        </is>
      </c>
    </row>
    <row r="15" ht="32.40000152587891" customHeight="1">
      <c r="A15" s="51" t="inlineStr">
        <is>
          <t>CVT-03</t>
        </is>
      </c>
      <c r="B15" s="52" t="inlineStr">
        <is>
          <t>【背景与必要性】评估 DPU 卸载、硬件 CQ 路由与硬件 Codec 压缩的真实价值。需明确项目在无 DPU/Codec 时必须按 Raw/Direct 路径完全成立，且严禁使用 Host CPU 软件压缩/全量 CPU CRC 填补缺口。
【与项目竞争力关联】支撑竞争力#3（第一方责任与防伪解耦）及能力降级验证。确保主路径纯粹高效，任何卸载只能是“纯增量”而非“硬依附”。
【对应验证阶段 (E0~E3)】条件证伪门。</t>
        </is>
      </c>
      <c r="C15" s="52" t="inlineStr">
        <is>
          <t>2 档对象大小 (1MB/16MB)；3 档并发；对比 Raw/Direct 路径 vs DPU CQ/Route 卸载 vs 硬件 Codec；包含卸载通道故障与 Host CPU 占用对照（严禁 CPU 软件压缩做主路径）。</t>
        </is>
      </c>
      <c r="D15" s="52" t="inlineStr">
        <is>
          <t>【验证思路】采取“Raw Direct 基线对比 + DPU/Codec 硬件卸载 A/B 测试 + CPU 软解压对比防误区”的验证思路。
【验证方法】1) 以 PVT-01 Raw Direct 路径为绝对 Baseline；2) 接入 DPU/硬件 Codec，测量 Host CPU 卸载比例与 CQ 提交延时；3) 故意关闭 DPU/Codec，测试无缝 Fallback 到 Raw Direct 路径；4) 评估 CPU 软件 Codec 对 CPU 的吞噬副作用。
【方法审阅补强】以无 DPU/Codec 的 原始直达（Raw Direct） 为必须成立基线；DPU/Codec 只验证纯增量并执行关闭/故障旁路，禁止以 CPU 软件编解码伪造收益。</t>
        </is>
      </c>
      <c r="E15" s="52" t="inlineStr">
        <is>
          <t>2档对象大小；3档并发；正常/卸载故障；raw与硬件codec。</t>
        </is>
      </c>
      <c r="F15" s="52" t="inlineStr">
        <is>
          <t>Host 仅控制提交且不触碰 Payload 的 原始直达（Raw Direct）；DPU/CQ/硬件 Codec；CPU 软件 Codec 仅作为负面对照，不得作为回退。</t>
        </is>
      </c>
      <c r="G15" s="52" t="inlineStr">
        <is>
          <t>Host CPU、CQ latency、route lookup、压缩比/吞吐、额外时延、TPOT、fallback、Host CPU 零数据拷贝对账。</t>
        </is>
      </c>
      <c r="H15" s="52" t="inlineStr">
        <is>
          <t>Host CPU 占用下降 ≥ 30%，端到端净收益为正，故障可无损旁路到 Raw Direct，Host Payload Touch 不增加。</t>
        </is>
      </c>
      <c r="I15" s="52" t="inlineStr">
        <is>
          <t>仅卸载 CQ/路由或仅用于冷数据后台存储，硬件缺失时保持 Raw Direct 运行。</t>
        </is>
      </c>
      <c r="J15" s="52" t="inlineStr">
        <is>
          <t>卸载增加额外的 PCIe/DMA 延迟，或尝试改用 CPU 软件压缩/CRC 来伪造卸载效果。</t>
        </is>
      </c>
      <c r="K15" s="52" t="inlineStr">
        <is>
          <t>明确排除CPU压缩/解压、CPU全量CRC与DDR codec工作区。</t>
        </is>
      </c>
      <c r="L15" s="52" t="inlineStr">
        <is>
          <t>Not Supported/Go报告、能力表、feature flag与旁路方案。
竞争力证据最小集：冻结基线、重复实验、实际路径/Host CPU 零数据拷贝凭证（Host Payload Touch Bytes 严格为 0）、异常结果、适用边界及 条件证伪门 评审记录。</t>
        </is>
      </c>
      <c r="M15" s="52" t="inlineStr">
        <is>
          <t>仅Go后作为Backend Provider可选插件；主路径保持无DPU可运行。</t>
        </is>
      </c>
      <c r="N15" s="51" t="inlineStr">
        <is>
          <t>是（证伪“DPU/codec是项目必需依赖”）</t>
        </is>
      </c>
      <c r="O15" s="51" t="inlineStr">
        <is>
          <t>5~8人日（触发后）</t>
        </is>
      </c>
      <c r="P15" s="51" t="inlineStr">
        <is>
          <t>IR-01-08、IR-01-09</t>
        </is>
      </c>
      <c r="Q15" s="52" t="inlineStr">
        <is>
          <t>SRS：L4-MC-HIER-STORE-002、L4-MC-HIER-STORE-003、L4-NET-OFFLOAD-DPU-001、L4-FT-PathIntegrityPolicy-077；SR23：SR23-01-08-01、SR23-01-08-02、SR23-01-09-01、SR23-01-12-01</t>
        </is>
      </c>
      <c r="R15" s="51" t="inlineStr">
        <is>
          <t>待判定</t>
        </is>
      </c>
    </row>
  </sheetData>
  <mergeCells count="2">
    <mergeCell ref="A2:Q2"/>
    <mergeCell ref="A1:Q1"/>
  </mergeCells>
  <conditionalFormatting sqref="M5:M15">
    <cfRule type="containsText" priority="1" operator="containsText" dxfId="2" text="是"/>
  </conditionalFormatting>
  <dataValidations count="1">
    <dataValidation sqref="Q5:Q15" showDropDown="0" showInputMessage="0" showErrorMessage="0" allowBlank="0" type="list">
      <formula1>"待判定,Go,Conditional,No-Go,Not Supported"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42" customWidth="1" min="5" max="5"/>
    <col width="34" customWidth="1" min="6" max="6"/>
    <col width="18" customWidth="1" min="7" max="7"/>
    <col width="54" customWidth="1" min="8" max="8"/>
    <col width="16" customWidth="1" min="9" max="9"/>
    <col width="46" customWidth="1" min="10" max="10"/>
  </cols>
  <sheetData>
    <row r="1" ht="30" customHeight="1">
      <c r="A1" s="39" t="inlineStr">
        <is>
          <t>V2.3.1 需求树 IR—提前验证追溯矩阵</t>
        </is>
      </c>
    </row>
    <row r="2" ht="36" customHeight="1">
      <c r="A2" s="41" t="inlineStr">
        <is>
          <t>覆盖不等于每条 IR 单设验证项：同一原型包必须证明完整成败链，并在“验证设计”中显式锚定最新 SR23；K2 由共享底座或端到端最小闭环验证 (Vertical Slice)覆盖，不单独占用立项前项目名额。</t>
        </is>
      </c>
    </row>
    <row r="3"/>
    <row r="4" ht="40" customHeight="1">
      <c r="A4" s="46" t="inlineStr">
        <is>
          <t>IR ID</t>
        </is>
      </c>
      <c r="B4" s="46" t="inlineStr">
        <is>
          <t>SF</t>
        </is>
      </c>
      <c r="C4" s="46" t="inlineStr">
        <is>
          <t>IR功能化描述</t>
        </is>
      </c>
      <c r="D4" s="46" t="inlineStr">
        <is>
          <t>关键级别</t>
        </is>
      </c>
      <c r="E4" s="46" t="inlineStr">
        <is>
          <t>关键性判断</t>
        </is>
      </c>
      <c r="F4" s="46" t="inlineStr">
        <is>
          <t>关联验证ID</t>
        </is>
      </c>
      <c r="G4" s="46" t="inlineStr">
        <is>
          <t>覆盖方式</t>
        </is>
      </c>
      <c r="H4" s="46" t="inlineStr">
        <is>
          <t>IR KPI锚点</t>
        </is>
      </c>
      <c r="I4" s="46" t="inlineStr">
        <is>
          <t>是否需单独设项</t>
        </is>
      </c>
      <c r="J4" s="46" t="inlineStr">
        <is>
          <t>审视结论</t>
        </is>
      </c>
    </row>
    <row r="5" ht="32.40000152587891" customHeight="1">
      <c r="A5" s="47" t="inlineStr">
        <is>
          <t>IR-01-01</t>
        </is>
      </c>
      <c r="B5" s="47" t="inlineStr">
        <is>
          <t>SF-01</t>
        </is>
      </c>
      <c r="C5" s="22" t="inlineStr">
        <is>
          <t>支持HBM、DDR、SSD及远端介质统一纳管，并以HBM↔SSD构建容量主路径</t>
        </is>
      </c>
      <c r="D5" s="47" t="inlineStr">
        <is>
          <t>K0</t>
        </is>
      </c>
      <c r="E5" s="47" t="inlineStr">
        <is>
          <t>统一池产品形态与容量价值硬门槛</t>
        </is>
      </c>
      <c r="F5" s="47" t="inlineStr">
        <is>
          <t>PVT-05、CVT-02</t>
        </is>
      </c>
      <c r="G5" s="47" t="inlineStr">
        <is>
          <t>单包主证据</t>
        </is>
      </c>
      <c r="H5" s="22" t="inlineStr">
        <is>
          <t>碎片率&lt;5%；HBM有效容量提升≥30%；OOM/preemption降低≥50%；HBM↔SSD容量路径有效带宽≥设备峰值80%；DDR角色必须至少一项持续正收益，否则退出Payload主路径。</t>
        </is>
      </c>
      <c r="I5" s="47" t="inlineStr">
        <is>
          <t>否</t>
        </is>
      </c>
      <c r="J5" s="22" t="inlineStr">
        <is>
          <t>已由 PVT-05、CVT-02 覆盖；无需复制V1.3粒度。</t>
        </is>
      </c>
    </row>
    <row r="6" ht="21.60000038146973" customHeight="1">
      <c r="A6" s="48" t="inlineStr">
        <is>
          <t>IR-01-02</t>
        </is>
      </c>
      <c r="B6" s="48" t="inlineStr">
        <is>
          <t>SF-01</t>
        </is>
      </c>
      <c r="C6" s="23" t="inlineStr">
        <is>
          <t>支持vLLM/SGLang KV块跨介质批量传输的布局适配与描述生成</t>
        </is>
      </c>
      <c r="D6" s="48" t="inlineStr">
        <is>
          <t>K0</t>
        </is>
      </c>
      <c r="E6" s="48" t="inlineStr">
        <is>
          <t>决定跨框架、跨后端数据是否能高效执行</t>
        </is>
      </c>
      <c r="F6" s="48" t="inlineStr">
        <is>
          <t>PVT-02</t>
        </is>
      </c>
      <c r="G6" s="48" t="inlineStr">
        <is>
          <t>单包主证据</t>
        </is>
      </c>
      <c r="H6" s="23" t="inlineStr">
        <is>
          <t>descriptor 数降低≥50%；effective BW提升≥30%；CPU submit time降低≥40%；布局协商错误=0。</t>
        </is>
      </c>
      <c r="I6" s="48" t="inlineStr">
        <is>
          <t>否</t>
        </is>
      </c>
      <c r="J6" s="23" t="inlineStr">
        <is>
          <t>已由 PVT-02 覆盖；无需复制V1.3粒度。</t>
        </is>
      </c>
    </row>
    <row r="7" ht="21.60000038146973" customHeight="1">
      <c r="A7" s="48" t="inlineStr">
        <is>
          <t>IR-01-03</t>
        </is>
      </c>
      <c r="B7" s="48" t="inlineStr">
        <is>
          <t>SF-01</t>
        </is>
      </c>
      <c r="C7" s="23" t="inlineStr">
        <is>
          <t>面向TTFT收益与资源成本的KV访问决策和QueryPlan生成</t>
        </is>
      </c>
      <c r="D7" s="48" t="inlineStr">
        <is>
          <t>K0</t>
        </is>
      </c>
      <c r="E7" s="48" t="inlineStr">
        <is>
          <t>决定命中是否产生正TTFT收益</t>
        </is>
      </c>
      <c r="F7" s="48" t="inlineStr">
        <is>
          <t>PVT-04</t>
        </is>
      </c>
      <c r="G7" s="48" t="inlineStr">
        <is>
          <t>单包主证据</t>
        </is>
      </c>
      <c r="H7" s="23" t="inlineStr">
        <is>
          <t>Usable Hit Rate提升≥20%；路径成本预测误差&lt;20%；单次策略调用&lt;5 μs；负收益命中强制放弃。</t>
        </is>
      </c>
      <c r="I7" s="48" t="inlineStr">
        <is>
          <t>否</t>
        </is>
      </c>
      <c r="J7" s="23" t="inlineStr">
        <is>
          <t>已由 PVT-04 覆盖；无需复制V1.3粒度。</t>
        </is>
      </c>
    </row>
    <row r="8" ht="32.40000152587891" customHeight="1">
      <c r="A8" s="48" t="inlineStr">
        <is>
          <t>IR-01-04</t>
        </is>
      </c>
      <c r="B8" s="48" t="inlineStr">
        <is>
          <t>SF-01</t>
        </is>
      </c>
      <c r="C8" s="23" t="inlineStr">
        <is>
          <t>支持P/D分离、流水加载及一对多共享的异步KV传输编排</t>
        </is>
      </c>
      <c r="D8" s="48" t="inlineStr">
        <is>
          <t>K0</t>
        </is>
      </c>
      <c r="E8" s="48" t="inlineStr">
        <is>
          <t>决定计算传输重叠与在线尾时延</t>
        </is>
      </c>
      <c r="F8" s="48" t="inlineStr">
        <is>
          <t>PVT-02、PVT-07、CVT-01</t>
        </is>
      </c>
      <c r="G8" s="48" t="inlineStr">
        <is>
          <t>多包共同证明</t>
        </is>
      </c>
      <c r="H8" s="23" t="inlineStr">
        <is>
          <t>P/D handoff p99降低≥20%；热点分发p99降低≥40%；广播完成率≥99.99%；计算/传输重叠≥60%。</t>
        </is>
      </c>
      <c r="I8" s="48" t="inlineStr">
        <is>
          <t>否</t>
        </is>
      </c>
      <c r="J8" s="23" t="inlineStr">
        <is>
          <t>已由 PVT-02、PVT-07、CVT-01 覆盖；无需复制V1.3粒度。</t>
        </is>
      </c>
    </row>
    <row r="9" ht="21.60000038146973" customHeight="1">
      <c r="A9" s="48" t="inlineStr">
        <is>
          <t>IR-01-05</t>
        </is>
      </c>
      <c r="B9" s="48" t="inlineStr">
        <is>
          <t>SF-01</t>
        </is>
      </c>
      <c r="C9" s="23" t="inlineStr">
        <is>
          <t>面向异构介质与集群拓扑的传输能力探测和动态路径选择</t>
        </is>
      </c>
      <c r="D9" s="48" t="inlineStr">
        <is>
          <t>K1</t>
        </is>
      </c>
      <c r="E9" s="48" t="inlineStr">
        <is>
          <t>路径动态性的重要支撑，可先用少量路径证实</t>
        </is>
      </c>
      <c r="F9" s="48" t="inlineStr">
        <is>
          <t>PVT-04</t>
        </is>
      </c>
      <c r="G9" s="48" t="inlineStr">
        <is>
          <t>单包主证据</t>
        </is>
      </c>
      <c r="H9" s="23" t="inlineStr">
        <is>
          <t>路径选择准确率≥90%；同机架 Local Usable Hit提升≥30%；故障切换&lt;200ms；探测开销&lt;0.5% BW。</t>
        </is>
      </c>
      <c r="I9" s="48" t="inlineStr">
        <is>
          <t>否</t>
        </is>
      </c>
      <c r="J9" s="23" t="inlineStr">
        <is>
          <t>已由 PVT-04 覆盖；无需复制V1.3粒度。</t>
        </is>
      </c>
    </row>
    <row r="10" ht="21.60000038146973" customHeight="1">
      <c r="A10" s="48" t="inlineStr">
        <is>
          <t>IR-01-06</t>
        </is>
      </c>
      <c r="B10" s="48" t="inlineStr">
        <is>
          <t>SF-01</t>
        </is>
      </c>
      <c r="C10" s="23" t="inlineStr">
        <is>
          <t>支持跨节点HBM/DDR零拷贝的RDMA高速KV传输</t>
        </is>
      </c>
      <c r="D10" s="48" t="inlineStr">
        <is>
          <t>K0</t>
        </is>
      </c>
      <c r="E10" s="48" t="inlineStr">
        <is>
          <t>跨节点热路径与零拷贝硬门槛</t>
        </is>
      </c>
      <c r="F10" s="48" t="inlineStr">
        <is>
          <t>PVT-01、PVT-02</t>
        </is>
      </c>
      <c r="G10" s="48" t="inlineStr">
        <is>
          <t>多包共同证明</t>
        </is>
      </c>
      <c r="H10" s="23" t="inlineStr">
        <is>
          <t>端到端传输时延降低≥40%；有效带宽≥链路线速80%；CPU payload copy=0；CPU提交开销&lt;50 μs。</t>
        </is>
      </c>
      <c r="I10" s="48" t="inlineStr">
        <is>
          <t>否</t>
        </is>
      </c>
      <c r="J10" s="23" t="inlineStr">
        <is>
          <t>已由 PVT-01、PVT-02 覆盖；无需复制V1.3粒度。</t>
        </is>
      </c>
    </row>
    <row r="11" ht="21.60000038146973" customHeight="1">
      <c r="A11" s="48" t="inlineStr">
        <is>
          <t>IR-01-07</t>
        </is>
      </c>
      <c r="B11" s="48" t="inlineStr">
        <is>
          <t>SF-01</t>
        </is>
      </c>
      <c r="C11" s="23" t="inlineStr">
        <is>
          <t>支持UBMEM/C2C内存语义的KV直接访问、回填与View保护</t>
        </is>
      </c>
      <c r="D11" s="48" t="inlineStr">
        <is>
          <t>K0</t>
        </is>
      </c>
      <c r="E11" s="48" t="inlineStr">
        <is>
          <t>UBMEM/URMA核心技术成立边界</t>
        </is>
      </c>
      <c r="F11" s="48" t="inlineStr">
        <is>
          <t>PVT-01、PVT-03</t>
        </is>
      </c>
      <c r="G11" s="48" t="inlineStr">
        <is>
          <t>多包共同证明</t>
        </is>
      </c>
      <c r="H11" s="23" t="inlineStr">
        <is>
          <t>direct-view TPOT p99回退&lt;3%；Host Payload touch=0；stale view fault=0；HBM+C2C有效容量提升≥20%。</t>
        </is>
      </c>
      <c r="I11" s="48" t="inlineStr">
        <is>
          <t>否</t>
        </is>
      </c>
      <c r="J11" s="23" t="inlineStr">
        <is>
          <t>已由 PVT-01、PVT-03 覆盖；无需复制V1.3粒度。</t>
        </is>
      </c>
    </row>
    <row r="12" ht="32.40000152587891" customHeight="1">
      <c r="A12" s="48" t="inlineStr">
        <is>
          <t>IR-01-08</t>
        </is>
      </c>
      <c r="B12" s="48" t="inlineStr">
        <is>
          <t>SF-01</t>
        </is>
      </c>
      <c r="C12" s="23" t="inlineStr">
        <is>
          <t>支持HBM↔SSD直达容量I/O及条件化DPU/硬件Codec卸载</t>
        </is>
      </c>
      <c r="D12" s="48" t="inlineStr">
        <is>
          <t>K0</t>
        </is>
      </c>
      <c r="E12" s="48" t="inlineStr">
        <is>
          <t>SSD容量层和低成本扩容硬门槛</t>
        </is>
      </c>
      <c r="F12" s="48" t="inlineStr">
        <is>
          <t>PVT-01、PVT-02、CVT-03</t>
        </is>
      </c>
      <c r="G12" s="48" t="inlineStr">
        <is>
          <t>多包共同证明</t>
        </is>
      </c>
      <c r="H12" s="23" t="inlineStr">
        <is>
          <t>SSD restore TTFT降低≥30%；NPU stall降低≥50%；主路径Host Payload touch=0；顺序带宽达到设备峰值≥80%；条件卸载必须相对raw/direct路径产生正收益。</t>
        </is>
      </c>
      <c r="I12" s="48" t="inlineStr">
        <is>
          <t>否</t>
        </is>
      </c>
      <c r="J12" s="23" t="inlineStr">
        <is>
          <t>已由 PVT-01、PVT-02、CVT-03 覆盖；无需复制V1.3粒度。</t>
        </is>
      </c>
    </row>
    <row r="13" ht="21.60000038146973" customHeight="1">
      <c r="A13" s="48" t="inlineStr">
        <is>
          <t>IR-01-09</t>
        </is>
      </c>
      <c r="B13" s="48" t="inlineStr">
        <is>
          <t>SF-01</t>
        </is>
      </c>
      <c r="C13" s="23" t="inlineStr">
        <is>
          <t>统一抽象UB、URMA、RDMA、C2C和SSD传输能力并按需路由</t>
        </is>
      </c>
      <c r="D13" s="48" t="inlineStr">
        <is>
          <t>K0</t>
        </is>
      </c>
      <c r="E13" s="48" t="inlineStr">
        <is>
          <t>多后端统一与可审计降级硬门槛</t>
        </is>
      </c>
      <c r="F13" s="48" t="inlineStr">
        <is>
          <t>PVT-01、PVT-04、CVT-03</t>
        </is>
      </c>
      <c r="G13" s="48" t="inlineStr">
        <is>
          <t>多包共同证明</t>
        </is>
      </c>
      <c r="H13" s="23" t="inlineStr">
        <is>
          <t>能力表覆盖率=100%；错误路由=0；QueryPlan策略决策&lt;5 μs；Fabric Router路由决策&lt;3 μs；任何 staged 例外可见且可禁用。</t>
        </is>
      </c>
      <c r="I13" s="48" t="inlineStr">
        <is>
          <t>否</t>
        </is>
      </c>
      <c r="J13" s="23" t="inlineStr">
        <is>
          <t>已由 PVT-01、PVT-04、CVT-03 覆盖；无需复制V1.3粒度。</t>
        </is>
      </c>
    </row>
    <row r="14" ht="32.40000152587891" customHeight="1">
      <c r="A14" s="48" t="inlineStr">
        <is>
          <t>IR-01-10</t>
        </is>
      </c>
      <c r="B14" s="48" t="inlineStr">
        <is>
          <t>SF-01</t>
        </is>
      </c>
      <c r="C14" s="23" t="inlineStr">
        <is>
          <t>支持多消费者共享、租约引用管理及故障快速回退</t>
        </is>
      </c>
      <c r="D14" s="48" t="inlineStr">
        <is>
          <t>K1</t>
        </is>
      </c>
      <c r="E14" s="48" t="inlineStr">
        <is>
          <t>共享收益与故障恢复关键支撑</t>
        </is>
      </c>
      <c r="F14" s="48" t="inlineStr">
        <is>
          <t>PVT-03、PVT-06、CVT-01</t>
        </is>
      </c>
      <c r="G14" s="48" t="inlineStr">
        <is>
          <t>多包共同证明</t>
        </is>
      </c>
      <c r="H14" s="23" t="inlineStr">
        <is>
          <t>stale view fault=0；重复远端拉取降低≥50%；fallback成功率=100%；fallback触发到恢复&lt;500ms。</t>
        </is>
      </c>
      <c r="I14" s="48" t="inlineStr">
        <is>
          <t>否</t>
        </is>
      </c>
      <c r="J14" s="23" t="inlineStr">
        <is>
          <t>已由 PVT-03、PVT-06、CVT-01 覆盖；无需复制V1.3粒度。</t>
        </is>
      </c>
    </row>
    <row r="15" ht="21.60000038146973" customHeight="1">
      <c r="A15" s="48" t="inlineStr">
        <is>
          <t>IR-01-11</t>
        </is>
      </c>
      <c r="B15" s="48" t="inlineStr">
        <is>
          <t>SF-01</t>
        </is>
      </c>
      <c r="C15" s="23" t="inlineStr">
        <is>
          <t>支持KV发布迁移一致性、多租户隔离和前后台传输QoS</t>
        </is>
      </c>
      <c r="D15" s="48" t="inlineStr">
        <is>
          <t>K0</t>
        </is>
      </c>
      <c r="E15" s="48" t="inlineStr">
        <is>
          <t>一致性与前后台QoS上线硬门槛</t>
        </is>
      </c>
      <c r="F15" s="48" t="inlineStr">
        <is>
          <t>PVT-06、PVT-07、CVT-02</t>
        </is>
      </c>
      <c r="G15" s="48" t="inlineStr">
        <is>
          <t>多包共同证明</t>
        </is>
      </c>
      <c r="H15" s="23" t="inlineStr">
        <is>
          <t>data corruption=0；后台干扰降低≥50%；TPOT p99回退&lt;3%；租户间干扰&lt;5%；越权访问=0。</t>
        </is>
      </c>
      <c r="I15" s="48" t="inlineStr">
        <is>
          <t>否</t>
        </is>
      </c>
      <c r="J15" s="23" t="inlineStr">
        <is>
          <t>已由 PVT-06、PVT-07、CVT-02 覆盖；无需复制V1.3粒度。</t>
        </is>
      </c>
    </row>
    <row r="16" ht="21.60000038146973" customHeight="1">
      <c r="A16" s="48" t="inlineStr">
        <is>
          <t>IR-01-12</t>
        </is>
      </c>
      <c r="B16" s="48" t="inlineStr">
        <is>
          <t>SF-01</t>
        </is>
      </c>
      <c r="C16" s="23" t="inlineStr">
        <is>
          <t>支持按路径提供KV完整性证据、访问保护及硬件故障恢复</t>
        </is>
      </c>
      <c r="D16" s="48" t="inlineStr">
        <is>
          <t>K0</t>
        </is>
      </c>
      <c r="E16" s="48" t="inlineStr">
        <is>
          <t>错误KV不可消费的正确性硬门槛</t>
        </is>
      </c>
      <c r="F16" s="48" t="inlineStr">
        <is>
          <t>PVT-01、PVT-03、PVT-06、PVT-07、CVT-02、CVT-03</t>
        </is>
      </c>
      <c r="G16" s="48" t="inlineStr">
        <is>
          <t>多包共同证明</t>
        </is>
      </c>
      <c r="H16" s="23" t="inlineStr">
        <is>
          <t>错误/过期 KV 被消费=0；越权访问=0；主路径CPU全量CRC=0；view revocation p99&lt;1ms；故障注入覆盖率=100%。</t>
        </is>
      </c>
      <c r="I16" s="48" t="inlineStr">
        <is>
          <t>否</t>
        </is>
      </c>
      <c r="J16" s="23" t="inlineStr">
        <is>
          <t>已由 PVT-01、PVT-03、PVT-06、PVT-07、CVT-02、CVT-03 覆盖；无需复制V1.3粒度。</t>
        </is>
      </c>
    </row>
    <row r="17" ht="21.60000038146973" customHeight="1">
      <c r="A17" s="48" t="inlineStr">
        <is>
          <t>IR-02-01</t>
        </is>
      </c>
      <c r="B17" s="48" t="inlineStr">
        <is>
          <t>SF-02</t>
        </is>
      </c>
      <c r="C17" s="23" t="inlineStr">
        <is>
          <t>面向vLLM/SGLang的统一KVCache访问接口和后端插件规范</t>
        </is>
      </c>
      <c r="D17" s="48" t="inlineStr">
        <is>
          <t>K1</t>
        </is>
      </c>
      <c r="E17" s="48" t="inlineStr">
        <is>
          <t>框架接入协议需在端到端最小闭环验证 (Vertical Slice)验证，但无需提前全量实现</t>
        </is>
      </c>
      <c r="F17" s="48" t="inlineStr">
        <is>
          <t>PVT-06</t>
        </is>
      </c>
      <c r="G17" s="48" t="inlineStr">
        <is>
          <t>单包主证据</t>
        </is>
      </c>
      <c r="H17" s="23" t="inlineStr">
        <is>
          <t>conformance通过率=100%；接口调用&lt;5 μs；元数据编解码&lt;200 ns/次；新后端接入工期降低≥50%。</t>
        </is>
      </c>
      <c r="I17" s="48" t="inlineStr">
        <is>
          <t>否</t>
        </is>
      </c>
      <c r="J17" s="23" t="inlineStr">
        <is>
          <t>已由 PVT-06 覆盖；无需复制V1.3粒度。</t>
        </is>
      </c>
    </row>
    <row r="18" ht="21.60000038146973" customHeight="1">
      <c r="A18" s="48" t="inlineStr">
        <is>
          <t>IR-02-02</t>
        </is>
      </c>
      <c r="B18" s="48" t="inlineStr">
        <is>
          <t>SF-02</t>
        </is>
      </c>
      <c r="C18" s="23" t="inlineStr">
        <is>
          <t>基于缓存位置、加载收益和水位预算的推理调度与准入</t>
        </is>
      </c>
      <c r="D18" s="48" t="inlineStr">
        <is>
          <t>K0</t>
        </is>
      </c>
      <c r="E18" s="48" t="inlineStr">
        <is>
          <t>负收益命中护栏和请求准入硬门槛</t>
        </is>
      </c>
      <c r="F18" s="48" t="inlineStr">
        <is>
          <t>PVT-04、PVT-05、PVT-07</t>
        </is>
      </c>
      <c r="G18" s="48" t="inlineStr">
        <is>
          <t>多包共同证明</t>
        </is>
      </c>
      <c r="H18" s="23" t="inlineStr">
        <is>
          <t>p99 TTFT降低≥20%；abandoned remote load降低≥50%；跨节点bytes/request降低≥30%；QPS提升≥10%。</t>
        </is>
      </c>
      <c r="I18" s="48" t="inlineStr">
        <is>
          <t>否</t>
        </is>
      </c>
      <c r="J18" s="23" t="inlineStr">
        <is>
          <t>已由 PVT-04、PVT-05、PVT-07 覆盖；无需复制V1.3粒度。</t>
        </is>
      </c>
    </row>
    <row r="19" ht="21.60000038146973" customHeight="1">
      <c r="A19" s="48" t="inlineStr">
        <is>
          <t>IR-02-03</t>
        </is>
      </c>
      <c r="B19" s="48" t="inlineStr">
        <is>
          <t>SF-02</t>
        </is>
      </c>
      <c r="C19" s="23" t="inlineStr">
        <is>
          <t>支持vLLM哈希和SGLang RadixTree的低时延前缀匹配</t>
        </is>
      </c>
      <c r="D19" s="48" t="inlineStr">
        <is>
          <t>K1</t>
        </is>
      </c>
      <c r="E19" s="48" t="inlineStr">
        <is>
          <t>前缀发现性能影响TTFT，但可复用既有算法原型</t>
        </is>
      </c>
      <c r="F19" s="48" t="inlineStr">
        <is>
          <t>PVT-00、PVT-06</t>
        </is>
      </c>
      <c r="G19" s="48" t="inlineStr">
        <is>
          <t>多包共同证明</t>
        </is>
      </c>
      <c r="H19" s="23" t="inlineStr">
        <is>
          <t>Prefix lookup p99&lt;200 μs；100并发吞吐提升≥8x；Usable Hit Rate提升≥15%；GIL持有时间降低≥90%。</t>
        </is>
      </c>
      <c r="I19" s="48" t="inlineStr">
        <is>
          <t>否</t>
        </is>
      </c>
      <c r="J19" s="23" t="inlineStr">
        <is>
          <t>已由 PVT-00、PVT-06 覆盖；无需复制V1.3粒度。</t>
        </is>
      </c>
    </row>
    <row r="20" ht="21.60000038146973" customHeight="1">
      <c r="A20" s="48" t="inlineStr">
        <is>
          <t>IR-02-04</t>
        </is>
      </c>
      <c r="B20" s="48" t="inlineStr">
        <is>
          <t>SF-02</t>
        </is>
      </c>
      <c r="C20" s="23" t="inlineStr">
        <is>
          <t>支持本地元数据缓存、Negative Cache及批量查询的命中快判</t>
        </is>
      </c>
      <c r="D20" s="48" t="inlineStr">
        <is>
          <t>K1</t>
        </is>
      </c>
      <c r="E20" s="48" t="inlineStr">
        <is>
          <t>本地快判减少目录串行开销</t>
        </is>
      </c>
      <c r="F20" s="48" t="inlineStr">
        <is>
          <t>PVT-03、PVT-06</t>
        </is>
      </c>
      <c r="G20" s="48" t="inlineStr">
        <is>
          <t>多包共同证明</t>
        </is>
      </c>
      <c r="H20" s="23" t="inlineStr">
        <is>
          <t>本地命中查询&lt;10 μs；确定miss p99&lt;5 μs；remote lookup QPS降低≥50%；Bloom FPR&lt;0.1%。</t>
        </is>
      </c>
      <c r="I20" s="48" t="inlineStr">
        <is>
          <t>否</t>
        </is>
      </c>
      <c r="J20" s="23" t="inlineStr">
        <is>
          <t>已由 PVT-03、PVT-06 覆盖；无需复制V1.3粒度。</t>
        </is>
      </c>
    </row>
    <row r="21" ht="21.60000038146973" customHeight="1">
      <c r="A21" s="48" t="inlineStr">
        <is>
          <t>IR-02-05</t>
        </is>
      </c>
      <c r="B21" s="48" t="inlineStr">
        <is>
          <t>SF-02</t>
        </is>
      </c>
      <c r="C21" s="23" t="inlineStr">
        <is>
          <t>支持集群级前缀目录、KV位置索引及副本可用性查询</t>
        </is>
      </c>
      <c r="D21" s="48" t="inlineStr">
        <is>
          <t>K0</t>
        </is>
      </c>
      <c r="E21" s="48" t="inlineStr">
        <is>
          <t>集群复用的可发现性与消费资格硬门槛</t>
        </is>
      </c>
      <c r="F21" s="48" t="inlineStr">
        <is>
          <t>PVT-03、PVT-06</t>
        </is>
      </c>
      <c r="G21" s="48" t="inlineStr">
        <is>
          <t>多包共同证明</t>
        </is>
      </c>
      <c r="H21" s="23" t="inlineStr">
        <is>
          <t>remote directory RTT降低≥50%；lookup p99降低≥30%；目录可用性≥99.99%；stale hit=0。</t>
        </is>
      </c>
      <c r="I21" s="48" t="inlineStr">
        <is>
          <t>否</t>
        </is>
      </c>
      <c r="J21" s="23" t="inlineStr">
        <is>
          <t>已由 PVT-03、PVT-06 覆盖；无需复制V1.3粒度。</t>
        </is>
      </c>
    </row>
    <row r="22" ht="21.60000038146973" customHeight="1">
      <c r="A22" s="48" t="inlineStr">
        <is>
          <t>IR-02-06</t>
        </is>
      </c>
      <c r="B22" s="48" t="inlineStr">
        <is>
          <t>SF-02</t>
        </is>
      </c>
      <c r="C22" s="23" t="inlineStr">
        <is>
          <t>支持KV卸载加载、分层回源及计算—传输流水并行</t>
        </is>
      </c>
      <c r="D22" s="48" t="inlineStr">
        <is>
          <t>K0</t>
        </is>
      </c>
      <c r="E22" s="48" t="inlineStr">
        <is>
          <t>加载能否隐藏在计算下决定端到端收益</t>
        </is>
      </c>
      <c r="F22" s="48" t="inlineStr">
        <is>
          <t>PVT-02、PVT-07</t>
        </is>
      </c>
      <c r="G22" s="48" t="inlineStr">
        <is>
          <t>多包共同证明</t>
        </is>
      </c>
      <c r="H22" s="23" t="inlineStr">
        <is>
          <t>计算/传输重叠≥60%；swap-in TTFT降低≥25%；批量传输时延降低≥50%；额外内存≤15%。</t>
        </is>
      </c>
      <c r="I22" s="48" t="inlineStr">
        <is>
          <t>否</t>
        </is>
      </c>
      <c r="J22" s="23" t="inlineStr">
        <is>
          <t>已由 PVT-02、PVT-07 覆盖；无需复制V1.3粒度。</t>
        </is>
      </c>
    </row>
    <row r="23" ht="21.60000038146973" customHeight="1">
      <c r="A23" s="48" t="inlineStr">
        <is>
          <t>IR-02-07</t>
        </is>
      </c>
      <c r="B23" s="48" t="inlineStr">
        <is>
          <t>SF-02</t>
        </is>
      </c>
      <c r="C23" s="23" t="inlineStr">
        <is>
          <t>基于请求趋势和复用概率的KV投机预取及效果反馈</t>
        </is>
      </c>
      <c r="D23" s="48" t="inlineStr">
        <is>
          <t>K2</t>
        </is>
      </c>
      <c r="E23" s="48" t="inlineStr">
        <is>
          <t>预测算法可在项目内迭代，立项前只验证干扰与收益边界</t>
        </is>
      </c>
      <c r="F23" s="48" t="inlineStr">
        <is>
          <t>PVT-07</t>
        </is>
      </c>
      <c r="G23" s="48" t="inlineStr">
        <is>
          <t>单包主证据</t>
        </is>
      </c>
      <c r="H23" s="23" t="inlineStr">
        <is>
          <t>预取命中率≥70%；命中时等待时延降低≥60%；误预取率&lt;20%；额外HBM≤10%。</t>
        </is>
      </c>
      <c r="I23" s="48" t="inlineStr">
        <is>
          <t>否</t>
        </is>
      </c>
      <c r="J23" s="23" t="inlineStr">
        <is>
          <t>已由 PVT-07 覆盖；无需复制V1.3粒度。</t>
        </is>
      </c>
    </row>
    <row r="24" ht="21.60000038146973" customHeight="1">
      <c r="A24" s="48" t="inlineStr">
        <is>
          <t>IR-02-08</t>
        </is>
      </c>
      <c r="B24" s="48" t="inlineStr">
        <is>
          <t>SF-02</t>
        </is>
      </c>
      <c r="C24" s="23" t="inlineStr">
        <is>
          <t>支持模型级KV容量估算、水位准入及全生命周期状态管理</t>
        </is>
      </c>
      <c r="D24" s="48" t="inlineStr">
        <is>
          <t>K1</t>
        </is>
      </c>
      <c r="E24" s="48" t="inlineStr">
        <is>
          <t>容量口径与生命周期支撑统一池收益</t>
        </is>
      </c>
      <c r="F24" s="48" t="inlineStr">
        <is>
          <t>PVT-05</t>
        </is>
      </c>
      <c r="G24" s="48" t="inlineStr">
        <is>
          <t>单包主证据</t>
        </is>
      </c>
      <c r="H24" s="23" t="inlineStr">
        <is>
          <t>估算误差&lt;5%；OOM/preemption降低≥50%；碎片率&lt;5%；节点变化只失效一致性哈希对应比例。</t>
        </is>
      </c>
      <c r="I24" s="48" t="inlineStr">
        <is>
          <t>否</t>
        </is>
      </c>
      <c r="J24" s="23" t="inlineStr">
        <is>
          <t>已由 PVT-05 覆盖；无需复制V1.3粒度。</t>
        </is>
      </c>
    </row>
    <row r="25" ht="21.60000038146973" customHeight="1">
      <c r="A25" s="48" t="inlineStr">
        <is>
          <t>IR-02-09</t>
        </is>
      </c>
      <c r="B25" s="48" t="inlineStr">
        <is>
          <t>SF-02</t>
        </is>
      </c>
      <c r="C25" s="23" t="inlineStr">
        <is>
          <t>面向Decode活跃KV、热前缀和冷KV的分层驻留与淘汰</t>
        </is>
      </c>
      <c r="D25" s="48" t="inlineStr">
        <is>
          <t>K1</t>
        </is>
      </c>
      <c r="E25" s="48" t="inlineStr">
        <is>
          <t>驻留/淘汰策略可先以回放证明方向</t>
        </is>
      </c>
      <c r="F25" s="48" t="inlineStr">
        <is>
          <t>PVT-03、PVT-05、PVT-06</t>
        </is>
      </c>
      <c r="G25" s="48" t="inlineStr">
        <is>
          <t>多包共同证明</t>
        </is>
      </c>
      <c r="H25" s="23" t="inlineStr">
        <is>
          <t>HBM有效容量提升≥20%；TPOT p99回退&lt;3%；prefill FLOPs/request降低≥15%；每GB saved tokens提升≥25%。</t>
        </is>
      </c>
      <c r="I25" s="48" t="inlineStr">
        <is>
          <t>否</t>
        </is>
      </c>
      <c r="J25" s="23" t="inlineStr">
        <is>
          <t>已由 PVT-03、PVT-05、PVT-06 覆盖；无需复制V1.3粒度。</t>
        </is>
      </c>
    </row>
    <row r="26" ht="21.60000038146973" customHeight="1">
      <c r="A26" s="48" t="inlineStr">
        <is>
          <t>IR-02-10</t>
        </is>
      </c>
      <c r="B26" s="48" t="inlineStr">
        <is>
          <t>SF-02</t>
        </is>
      </c>
      <c r="C26" s="23" t="inlineStr">
        <is>
          <t>支持张量/流水并行多卡KV一致消费及指标治理</t>
        </is>
      </c>
      <c r="D26" s="48" t="inlineStr">
        <is>
          <t>K1</t>
        </is>
      </c>
      <c r="E26" s="48" t="inlineStr">
        <is>
          <t>多rank正确性需验证，完整治理后置</t>
        </is>
      </c>
      <c r="F26" s="48" t="inlineStr">
        <is>
          <t>PVT-03、PVT-06</t>
        </is>
      </c>
      <c r="G26" s="48" t="inlineStr">
        <is>
          <t>多包共同证明</t>
        </is>
      </c>
      <c r="H26" s="23" t="inlineStr">
        <is>
          <t>correctness fault=0；rank wait p99&lt;100 μs；指标字段覆盖率=100%；观测开销&lt;1%。</t>
        </is>
      </c>
      <c r="I26" s="48" t="inlineStr">
        <is>
          <t>否</t>
        </is>
      </c>
      <c r="J26" s="23" t="inlineStr">
        <is>
          <t>已由 PVT-03、PVT-06 覆盖；无需复制V1.3粒度。</t>
        </is>
      </c>
    </row>
    <row r="27" ht="21.60000038146973" customHeight="1">
      <c r="A27" s="48" t="inlineStr">
        <is>
          <t>IR-02-11</t>
        </is>
      </c>
      <c r="B27" s="48" t="inlineStr">
        <is>
          <t>SF-02</t>
        </is>
      </c>
      <c r="C27" s="23" t="inlineStr">
        <is>
          <t>支持请求—计划—对象—路径的全链路观测及故障定位</t>
        </is>
      </c>
      <c r="D27" s="48" t="inlineStr">
        <is>
          <t>K0</t>
        </is>
      </c>
      <c r="E27" s="48" t="inlineStr">
        <is>
          <t>所有可行性结论的证据基础</t>
        </is>
      </c>
      <c r="F27" s="48" t="inlineStr">
        <is>
          <t>PVT-00、PVT-01、PVT-04、PVT-07</t>
        </is>
      </c>
      <c r="G27" s="48" t="inlineStr">
        <is>
          <t>多包共同证明</t>
        </is>
      </c>
      <c r="H27" s="23" t="inlineStr">
        <is>
          <t>cost预测误差&lt;20%；常态探针开销&lt;1%；fallback reason覆盖率=100%；MTTR降至分钟级。</t>
        </is>
      </c>
      <c r="I27" s="48" t="inlineStr">
        <is>
          <t>否</t>
        </is>
      </c>
      <c r="J27" s="23" t="inlineStr">
        <is>
          <t>已由 PVT-00、PVT-01、PVT-04、PVT-07 覆盖；无需复制V1.3粒度。</t>
        </is>
      </c>
    </row>
    <row r="28" ht="21.60000038146973" customHeight="1">
      <c r="A28" s="48" t="inlineStr">
        <is>
          <t>IR-02-12</t>
        </is>
      </c>
      <c r="B28" s="48" t="inlineStr">
        <is>
          <t>SF-02</t>
        </is>
      </c>
      <c r="C28" s="23" t="inlineStr">
        <is>
          <t>支持跨平台构建、自动化测试、性能基线及灰度发布的工程交付体系</t>
        </is>
      </c>
      <c r="D28" s="48" t="inlineStr">
        <is>
          <t>K2</t>
        </is>
      </c>
      <c r="E28" s="48" t="inlineStr">
        <is>
          <t>工程化体系需复用原型资产，但不单独做技术可行性原型</t>
        </is>
      </c>
      <c r="F28" s="48" t="inlineStr">
        <is>
          <t>PVT-00</t>
        </is>
      </c>
      <c r="G28" s="48" t="inlineStr">
        <is>
          <t>单包主证据</t>
        </is>
      </c>
      <c r="H28" s="23" t="inlineStr">
        <is>
          <t>核心覆盖率&gt;85%；MR反馈&lt;15min；72h长稳零泄漏；故障fallback&lt;500ms且0错误；回滚&lt;1min。</t>
        </is>
      </c>
      <c r="I28" s="48" t="inlineStr">
        <is>
          <t>否</t>
        </is>
      </c>
      <c r="J28" s="23" t="inlineStr">
        <is>
          <t>已由 PVT-00 覆盖；无需复制V1.3粒度。</t>
        </is>
      </c>
    </row>
  </sheetData>
  <mergeCells count="2">
    <mergeCell ref="A1:J1"/>
    <mergeCell ref="A2:J2"/>
  </mergeCells>
  <conditionalFormatting sqref="D5:D28">
    <cfRule type="containsText" priority="1" operator="containsText" dxfId="4" text="K0"/>
    <cfRule type="containsText" priority="2" operator="containsText" dxfId="1" text="K1"/>
    <cfRule type="containsText" priority="3" operator="containsText" dxfId="6" text="K2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8" customWidth="1" min="3" max="3"/>
    <col width="24" customWidth="1" min="4" max="4"/>
    <col width="36" customWidth="1" min="5" max="5"/>
    <col width="60" customWidth="1" min="6" max="6"/>
    <col width="22" customWidth="1" min="7" max="7"/>
    <col width="34" customWidth="1" min="8" max="8"/>
  </cols>
  <sheetData>
    <row r="1" ht="30" customHeight="1">
      <c r="A1" s="39" t="inlineStr">
        <is>
          <t>V1.3原验证项逐项合理性审计</t>
        </is>
      </c>
    </row>
    <row r="2" ht="36" customHeight="1">
      <c r="A2" s="41" t="inlineStr">
        <is>
          <t>审计动作：保留并扩展、合并、条件保留/证伪、移出。判定依据是是否决定关键IR成功，而不是技术新颖度。</t>
        </is>
      </c>
    </row>
    <row r="3"/>
    <row r="4" ht="40" customHeight="1">
      <c r="A4" s="46" t="inlineStr">
        <is>
          <t>原ID</t>
        </is>
      </c>
      <c r="B4" s="46" t="inlineStr">
        <is>
          <t>原验证主题</t>
        </is>
      </c>
      <c r="C4" s="46" t="inlineStr">
        <is>
          <t>审计动作</t>
        </is>
      </c>
      <c r="D4" s="46" t="inlineStr">
        <is>
          <t>归并到V1.5</t>
        </is>
      </c>
      <c r="E4" s="46" t="inlineStr">
        <is>
          <t>关联IR</t>
        </is>
      </c>
      <c r="F4" s="46" t="inlineStr">
        <is>
          <t>审计理由</t>
        </is>
      </c>
      <c r="G4" s="46" t="inlineStr">
        <is>
          <t>是否仍占立项前名额</t>
        </is>
      </c>
      <c r="H4" s="46" t="inlineStr">
        <is>
          <t>处理结论</t>
        </is>
      </c>
    </row>
    <row r="5" ht="15" customHeight="1">
      <c r="A5" s="47" t="inlineStr">
        <is>
          <t>BVG-01</t>
        </is>
      </c>
      <c r="B5" s="22" t="inlineStr">
        <is>
          <t>真实工作负载前缀复用分布与理论收益上限</t>
        </is>
      </c>
      <c r="C5" s="47" t="inlineStr">
        <is>
          <t>合并</t>
        </is>
      </c>
      <c r="D5" s="47" t="inlineStr">
        <is>
          <t>PVT-00</t>
        </is>
      </c>
      <c r="E5" s="47" t="inlineStr">
        <is>
          <t>IR-02-03、IR-02-11、IR-02-12</t>
        </is>
      </c>
      <c r="F5" s="22" t="inlineStr">
        <is>
          <t>收益上限不是独立开发项，纳入共享基线与观测底座。</t>
        </is>
      </c>
      <c r="G5" s="47" t="inlineStr">
        <is>
          <t>是（已并包）</t>
        </is>
      </c>
      <c r="H5" s="47" t="inlineStr">
        <is>
          <t>由目标原型包统一交付</t>
        </is>
      </c>
    </row>
    <row r="6" ht="15" customHeight="1">
      <c r="A6" s="48" t="inlineStr">
        <is>
          <t>BVG-02</t>
        </is>
      </c>
      <c r="B6" s="23" t="inlineStr">
        <is>
          <t>Raw Hit→Usable Hit→实际复用的语义兼容损耗漏斗</t>
        </is>
      </c>
      <c r="C6" s="48" t="inlineStr">
        <is>
          <t>合并</t>
        </is>
      </c>
      <c r="D6" s="48" t="inlineStr">
        <is>
          <t>PVT-06</t>
        </is>
      </c>
      <c r="E6" s="48" t="inlineStr">
        <is>
          <t>IR-01-10、IR-01-11、IR-02-01、IR-02-05</t>
        </is>
      </c>
      <c r="F6" s="23" t="inlineStr">
        <is>
          <t>Usable Hit本质是消费资格与Attach正确性证据。</t>
        </is>
      </c>
      <c r="G6" s="48" t="inlineStr">
        <is>
          <t>是（已并包）</t>
        </is>
      </c>
      <c r="H6" s="48" t="inlineStr">
        <is>
          <t>由目标原型包统一交付</t>
        </is>
      </c>
    </row>
    <row r="7" ht="15" customHeight="1">
      <c r="A7" s="48" t="inlineStr">
        <is>
          <t>BVG-03</t>
        </is>
      </c>
      <c r="B7" s="23" t="inlineStr">
        <is>
          <t>端到端 TTFT 净收益预算与负收益命中护栏</t>
        </is>
      </c>
      <c r="C7" s="48" t="inlineStr">
        <is>
          <t>合并</t>
        </is>
      </c>
      <c r="D7" s="48" t="inlineStr">
        <is>
          <t>PVT-04/PVT-07</t>
        </is>
      </c>
      <c r="E7" s="48" t="inlineStr">
        <is>
          <t>IR-01-03、IR-02-02、IR-02-11</t>
        </is>
      </c>
      <c r="F7" s="23" t="inlineStr">
        <is>
          <t>净收益预算进入QueryPlan，最终由端到端最小闭环验证 (Vertical Slice)验收。</t>
        </is>
      </c>
      <c r="G7" s="48" t="inlineStr">
        <is>
          <t>是（已并包）</t>
        </is>
      </c>
      <c r="H7" s="48" t="inlineStr">
        <is>
          <t>由目标原型包统一交付</t>
        </is>
      </c>
    </row>
    <row r="8" ht="21.60000038146973" customHeight="1">
      <c r="A8" s="48" t="inlineStr">
        <is>
          <t>BVG-04</t>
        </is>
      </c>
      <c r="B8" s="23" t="inlineStr">
        <is>
          <t>长上下文下 HBM 有效容量、OOM/Preemption 与服务能力转化</t>
        </is>
      </c>
      <c r="C8" s="48" t="inlineStr">
        <is>
          <t>合并</t>
        </is>
      </c>
      <c r="D8" s="48" t="inlineStr">
        <is>
          <t>PVT-05</t>
        </is>
      </c>
      <c r="E8" s="48" t="inlineStr">
        <is>
          <t>IR-01-01、IR-02-08、IR-02-09</t>
        </is>
      </c>
      <c r="F8" s="23" t="inlineStr">
        <is>
          <t>容量、OOM与服务能力必须同一实验闭环。</t>
        </is>
      </c>
      <c r="G8" s="48" t="inlineStr">
        <is>
          <t>是（已并包）</t>
        </is>
      </c>
      <c r="H8" s="48" t="inlineStr">
        <is>
          <t>由目标原型包统一交付</t>
        </is>
      </c>
    </row>
    <row r="9" ht="15" customHeight="1">
      <c r="A9" s="48" t="inlineStr">
        <is>
          <t>BVG-05</t>
        </is>
      </c>
      <c r="B9" s="23" t="inlineStr">
        <is>
          <t>后台迁移/回源/预取对前台 TPOT 的前后台服务质量保障策略 (SemanticQoS)</t>
        </is>
      </c>
      <c r="C9" s="48" t="inlineStr">
        <is>
          <t>合并</t>
        </is>
      </c>
      <c r="D9" s="48" t="inlineStr">
        <is>
          <t>PVT-07</t>
        </is>
      </c>
      <c r="E9" s="48" t="inlineStr">
        <is>
          <t>IR-01-11、IR-02-06</t>
        </is>
      </c>
      <c r="F9" s="23" t="inlineStr">
        <is>
          <t>前后台服务质量保障策略 (SemanticQoS)是QoS与端到端收益同一门禁。</t>
        </is>
      </c>
      <c r="G9" s="48" t="inlineStr">
        <is>
          <t>是（已并包）</t>
        </is>
      </c>
      <c r="H9" s="48" t="inlineStr">
        <is>
          <t>由目标原型包统一交付</t>
        </is>
      </c>
    </row>
    <row r="10" ht="15" customHeight="1">
      <c r="A10" s="48" t="inlineStr">
        <is>
          <t>BVG-06</t>
        </is>
      </c>
      <c r="B10" s="23" t="inlineStr">
        <is>
          <t>KV 亲和路由：移动请求、移动 KV 与本地重算的收益边界</t>
        </is>
      </c>
      <c r="C10" s="48" t="inlineStr">
        <is>
          <t>合并</t>
        </is>
      </c>
      <c r="D10" s="48" t="inlineStr">
        <is>
          <t>PVT-04</t>
        </is>
      </c>
      <c r="E10" s="48" t="inlineStr">
        <is>
          <t>IR-01-03、IR-01-05、IR-02-02</t>
        </is>
      </c>
      <c r="F10" s="23" t="inlineStr">
        <is>
          <t>请求路由、位置选择和重算共同属于QueryPlan决策。</t>
        </is>
      </c>
      <c r="G10" s="48" t="inlineStr">
        <is>
          <t>是（已并包）</t>
        </is>
      </c>
      <c r="H10" s="48" t="inlineStr">
        <is>
          <t>由目标原型包统一交付</t>
        </is>
      </c>
    </row>
    <row r="11" ht="15" customHeight="1">
      <c r="A11" s="48" t="inlineStr">
        <is>
          <t>BVG-07</t>
        </is>
      </c>
      <c r="B11" s="23" t="inlineStr">
        <is>
          <t>部分前缀复用、预取与传输/计算重叠的有效收益</t>
        </is>
      </c>
      <c r="C11" s="48" t="inlineStr">
        <is>
          <t>合并</t>
        </is>
      </c>
      <c r="D11" s="48" t="inlineStr">
        <is>
          <t>PVT-06/PVT-07</t>
        </is>
      </c>
      <c r="E11" s="48" t="inlineStr">
        <is>
          <t>IR-01-04、IR-02-06、IR-02-10</t>
        </is>
      </c>
      <c r="F11" s="23" t="inlineStr">
        <is>
          <t>部分复用先验证消费正确性，再在端到端最小闭环验证 (Vertical Slice)验证重叠收益。</t>
        </is>
      </c>
      <c r="G11" s="48" t="inlineStr">
        <is>
          <t>是（已并包）</t>
        </is>
      </c>
      <c r="H11" s="48" t="inlineStr">
        <is>
          <t>由目标原型包统一交付</t>
        </is>
      </c>
    </row>
    <row r="12" ht="15" customHeight="1">
      <c r="A12" s="48" t="inlineStr">
        <is>
          <t>BVG-08</t>
        </is>
      </c>
      <c r="B12" s="23" t="inlineStr">
        <is>
          <t>DDR角色化使用的容量/带宽/成本净收益边界</t>
        </is>
      </c>
      <c r="C12" s="48" t="inlineStr">
        <is>
          <t>合并</t>
        </is>
      </c>
      <c r="D12" s="48" t="inlineStr">
        <is>
          <t>PVT-05</t>
        </is>
      </c>
      <c r="E12" s="48" t="inlineStr">
        <is>
          <t>IR-01-01、IR-02-08、IR-02-09</t>
        </is>
      </c>
      <c r="F12" s="23" t="inlineStr">
        <is>
          <t>DDR价值是统一分层容量实验的一组A/B，不应单列项目。</t>
        </is>
      </c>
      <c r="G12" s="48" t="inlineStr">
        <is>
          <t>是（已并包）</t>
        </is>
      </c>
      <c r="H12" s="48" t="inlineStr">
        <is>
          <t>由目标原型包统一交付</t>
        </is>
      </c>
    </row>
    <row r="13" ht="15" customHeight="1">
      <c r="A13" s="48" t="inlineStr">
        <is>
          <t>KTP-01</t>
        </is>
      </c>
      <c r="B13" s="23" t="inlineStr">
        <is>
          <t>全局PrefixDirectory大表结构、部署与UBMEM访问</t>
        </is>
      </c>
      <c r="C13" s="48" t="inlineStr">
        <is>
          <t>合并</t>
        </is>
      </c>
      <c r="D13" s="48" t="inlineStr">
        <is>
          <t>PVT-03</t>
        </is>
      </c>
      <c r="E13" s="48" t="inlineStr">
        <is>
          <t>IR-01-07、IR-02-05</t>
        </is>
      </c>
      <c r="F13" s="23" t="inlineStr">
        <is>
          <t>PrefixDirectory与block_table分别测，但共享UBMEM边界原型。</t>
        </is>
      </c>
      <c r="G13" s="48" t="inlineStr">
        <is>
          <t>是（已并包）</t>
        </is>
      </c>
      <c r="H13" s="48" t="inlineStr">
        <is>
          <t>由目标原型包统一交付</t>
        </is>
      </c>
    </row>
    <row r="14" ht="15" customHeight="1">
      <c r="A14" s="48" t="inlineStr">
        <is>
          <t>KTP-02</t>
        </is>
      </c>
      <c r="B14" s="23" t="inlineStr">
        <is>
          <t>vLLM block_table元数据的UBMEM/共享内存语义访问</t>
        </is>
      </c>
      <c r="C14" s="48" t="inlineStr">
        <is>
          <t>合并</t>
        </is>
      </c>
      <c r="D14" s="48" t="inlineStr">
        <is>
          <t>PVT-03</t>
        </is>
      </c>
      <c r="E14" s="48" t="inlineStr">
        <is>
          <t>IR-01-07、IR-02-04、IR-02-10</t>
        </is>
      </c>
      <c r="F14" s="23" t="inlineStr">
        <is>
          <t>与目录同属对象类型差异化的view/copy边界。</t>
        </is>
      </c>
      <c r="G14" s="48" t="inlineStr">
        <is>
          <t>是（已并包）</t>
        </is>
      </c>
      <c r="H14" s="48" t="inlineStr">
        <is>
          <t>由目标原型包统一交付</t>
        </is>
      </c>
    </row>
    <row r="15" ht="21.60000038146973" customHeight="1">
      <c r="A15" s="48" t="inlineStr">
        <is>
          <t>KTP-03</t>
        </is>
      </c>
      <c r="B15" s="23" t="inlineStr">
        <is>
          <t>HBM↔SSD direct主路径、DDR选择性路径与Host参与度矩阵</t>
        </is>
      </c>
      <c r="C15" s="48" t="inlineStr">
        <is>
          <t>合并</t>
        </is>
      </c>
      <c r="D15" s="48" t="inlineStr">
        <is>
          <t>PVT-01</t>
        </is>
      </c>
      <c r="E15" s="48" t="inlineStr">
        <is>
          <t>IR-01-06、IR-01-08、IR-01-09</t>
        </is>
      </c>
      <c r="F15" s="23" t="inlineStr">
        <is>
          <t>数据路径、DDR旁路与Host参与必须与可见性/完整性一起判断。</t>
        </is>
      </c>
      <c r="G15" s="48" t="inlineStr">
        <is>
          <t>是（已并包）</t>
        </is>
      </c>
      <c r="H15" s="48" t="inlineStr">
        <is>
          <t>由目标原型包统一交付</t>
        </is>
      </c>
    </row>
    <row r="16" ht="21.60000038146973" customHeight="1">
      <c r="A16" s="48" t="inlineStr">
        <is>
          <t>KTP-04</t>
        </is>
      </c>
      <c r="B16" s="23" t="inlineStr">
        <is>
          <t>跨HBM/SSD/DDR/UBMEM/URMA的completion-fence-ready与分路径完整性链</t>
        </is>
      </c>
      <c r="C16" s="48" t="inlineStr">
        <is>
          <t>合并</t>
        </is>
      </c>
      <c r="D16" s="48" t="inlineStr">
        <is>
          <t>PVT-01</t>
        </is>
      </c>
      <c r="E16" s="48" t="inlineStr">
        <is>
          <t>IR-01-11、IR-01-12</t>
        </is>
      </c>
      <c r="F16" s="23" t="inlineStr">
        <is>
          <t>completion/fence/ready是每条物理路径的正确性证据。</t>
        </is>
      </c>
      <c r="G16" s="48" t="inlineStr">
        <is>
          <t>是（已并包）</t>
        </is>
      </c>
      <c r="H16" s="48" t="inlineStr">
        <is>
          <t>由目标原型包统一交付</t>
        </is>
      </c>
    </row>
    <row r="17" ht="21.60000038146973" customHeight="1">
      <c r="A17" s="48" t="inlineStr">
        <is>
          <t>KTP-05</t>
        </is>
      </c>
      <c r="B17" s="23" t="inlineStr">
        <is>
          <t>组件消息通道使用UBMEM/URMA的适用边界</t>
        </is>
      </c>
      <c r="C17" s="48" t="inlineStr">
        <is>
          <t>移出</t>
        </is>
      </c>
      <c r="D17" s="48" t="inlineStr">
        <is>
          <t>正式项目性能Backlog</t>
        </is>
      </c>
      <c r="E17" s="48" t="inlineStr">
        <is>
          <t>可弱关联IR-02-01，但不构成立项门禁</t>
        </is>
      </c>
      <c r="F17" s="23" t="inlineStr">
        <is>
          <t>组件消息通道换成UBMEM/URMA不是关键IR成功前提；只有测得控制消息成为瓶颈后再优化。</t>
        </is>
      </c>
      <c r="G17" s="48" t="inlineStr">
        <is>
          <t>否</t>
        </is>
      </c>
      <c r="H17" s="48" t="inlineStr">
        <is>
          <t>转正式项目性能Backlog</t>
        </is>
      </c>
    </row>
    <row r="18" ht="15" customHeight="1">
      <c r="A18" s="48" t="inlineStr">
        <is>
          <t>KTP-06</t>
        </is>
      </c>
      <c r="B18" s="23" t="inlineStr">
        <is>
          <t>成本感知KV剔除/准入算法的离线回放</t>
        </is>
      </c>
      <c r="C18" s="48" t="inlineStr">
        <is>
          <t>合并</t>
        </is>
      </c>
      <c r="D18" s="48" t="inlineStr">
        <is>
          <t>PVT-05</t>
        </is>
      </c>
      <c r="E18" s="48" t="inlineStr">
        <is>
          <t>IR-01-01、IR-02-08、IR-02-09</t>
        </is>
      </c>
      <c r="F18" s="23" t="inlineStr">
        <is>
          <t>淘汰算法与分层容量/生命周期共享trace和目标函数。</t>
        </is>
      </c>
      <c r="G18" s="48" t="inlineStr">
        <is>
          <t>是（已并包）</t>
        </is>
      </c>
      <c r="H18" s="48" t="inlineStr">
        <is>
          <t>由目标原型包统一交付</t>
        </is>
      </c>
    </row>
    <row r="19" ht="15" customHeight="1">
      <c r="A19" s="48" t="inlineStr">
        <is>
          <t>KTP-07</t>
        </is>
      </c>
      <c r="B19" s="23" t="inlineStr">
        <is>
          <t>KV升级/降级与DDR角色选择算法的影子回放</t>
        </is>
      </c>
      <c r="C19" s="48" t="inlineStr">
        <is>
          <t>合并</t>
        </is>
      </c>
      <c r="D19" s="48" t="inlineStr">
        <is>
          <t>PVT-05</t>
        </is>
      </c>
      <c r="E19" s="48" t="inlineStr">
        <is>
          <t>IR-01-01、IR-02-09</t>
        </is>
      </c>
      <c r="F19" s="23" t="inlineStr">
        <is>
          <t>升级/降级策略不能脱离DDR角色和物理成本独立验证。</t>
        </is>
      </c>
      <c r="G19" s="48" t="inlineStr">
        <is>
          <t>是（已并包）</t>
        </is>
      </c>
      <c r="H19" s="48" t="inlineStr">
        <is>
          <t>由目标原型包统一交付</t>
        </is>
      </c>
    </row>
    <row r="20" ht="15" customHeight="1">
      <c r="A20" s="48" t="inlineStr">
        <is>
          <t>KTP-08</t>
        </is>
      </c>
      <c r="B20" s="23" t="inlineStr">
        <is>
          <t>QueryPlan驱动的load-vs-recompute与SSD命中净收益判定</t>
        </is>
      </c>
      <c r="C20" s="48" t="inlineStr">
        <is>
          <t>合并</t>
        </is>
      </c>
      <c r="D20" s="48" t="inlineStr">
        <is>
          <t>PVT-04</t>
        </is>
      </c>
      <c r="E20" s="48" t="inlineStr">
        <is>
          <t>IR-01-03、IR-02-02</t>
        </is>
      </c>
      <c r="F20" s="23" t="inlineStr">
        <is>
          <t>load-vs-recompute是QueryPlan核心，不单独设项。</t>
        </is>
      </c>
      <c r="G20" s="48" t="inlineStr">
        <is>
          <t>是（已并包）</t>
        </is>
      </c>
      <c r="H20" s="48" t="inlineStr">
        <is>
          <t>由目标原型包统一交付</t>
        </is>
      </c>
    </row>
    <row r="21" ht="21.60000038146973" customHeight="1">
      <c r="A21" s="48" t="inlineStr">
        <is>
          <t>KTP-09</t>
        </is>
      </c>
      <c r="B21" s="23" t="inlineStr">
        <is>
          <t>KV布局→SSD segment/ExtentManifest→Descriptor的直达与批量提交</t>
        </is>
      </c>
      <c r="C21" s="48" t="inlineStr">
        <is>
          <t>保留并扩展</t>
        </is>
      </c>
      <c r="D21" s="48" t="inlineStr">
        <is>
          <t>PVT-02</t>
        </is>
      </c>
      <c r="E21" s="48" t="inlineStr">
        <is>
          <t>IR-01-02、IR-01-04</t>
        </is>
      </c>
      <c r="F21" s="23" t="inlineStr">
        <is>
          <t>该项直接决定IR-01-02是否成立，并补入异步流水。</t>
        </is>
      </c>
      <c r="G21" s="48" t="inlineStr">
        <is>
          <t>是（已并包）</t>
        </is>
      </c>
      <c r="H21" s="48" t="inlineStr">
        <is>
          <t>由目标原型包统一交付</t>
        </is>
      </c>
    </row>
    <row r="22" ht="15" customHeight="1">
      <c r="A22" s="48" t="inlineStr">
        <is>
          <t>KTP-10</t>
        </is>
      </c>
      <c r="B22" s="23" t="inlineStr">
        <is>
          <t>UB/C2C direct-view与copy-to-HBM边界</t>
        </is>
      </c>
      <c r="C22" s="48" t="inlineStr">
        <is>
          <t>合并且标证伪</t>
        </is>
      </c>
      <c r="D22" s="48" t="inlineStr">
        <is>
          <t>PVT-03</t>
        </is>
      </c>
      <c r="E22" s="48" t="inlineStr">
        <is>
          <t>IR-01-07、IR-02-09</t>
        </is>
      </c>
      <c r="F22" s="23" t="inlineStr">
        <is>
          <t>direct-view不能按数据/元数据混为一谈，目标是证伪默认decode direct-view。</t>
        </is>
      </c>
      <c r="G22" s="48" t="inlineStr">
        <is>
          <t>是（已并包）</t>
        </is>
      </c>
      <c r="H22" s="48" t="inlineStr">
        <is>
          <t>由目标原型包统一交付</t>
        </is>
      </c>
    </row>
    <row r="23" ht="15" customHeight="1">
      <c r="A23" s="48" t="inlineStr">
        <is>
          <t>KTP-11</t>
        </is>
      </c>
      <c r="B23" s="23" t="inlineStr">
        <is>
          <t>SSD回源/DDR预取/迁移与前台load/decode的硬件QoS隔离</t>
        </is>
      </c>
      <c r="C23" s="48" t="inlineStr">
        <is>
          <t>保留并扩展</t>
        </is>
      </c>
      <c r="D23" s="48" t="inlineStr">
        <is>
          <t>PVT-07</t>
        </is>
      </c>
      <c r="E23" s="48" t="inlineStr">
        <is>
          <t>IR-01-11、IR-02-06</t>
        </is>
      </c>
      <c r="F23" s="23" t="inlineStr">
        <is>
          <t>QoS必须与计算传输重叠和端到端TTFT/TPOT共同验收。</t>
        </is>
      </c>
      <c r="G23" s="48" t="inlineStr">
        <is>
          <t>是（已并包）</t>
        </is>
      </c>
      <c r="H23" s="48" t="inlineStr">
        <is>
          <t>由目标原型包统一交付</t>
        </is>
      </c>
    </row>
    <row r="24" ht="21.60000038146973" customHeight="1">
      <c r="A24" s="48" t="inlineStr">
        <is>
          <t>KTP-12</t>
        </is>
      </c>
      <c r="B24" s="23" t="inlineStr">
        <is>
          <t>Capability/Topology驱动的图式多语义路径选择与tier bypass</t>
        </is>
      </c>
      <c r="C24" s="48" t="inlineStr">
        <is>
          <t>合并</t>
        </is>
      </c>
      <c r="D24" s="48" t="inlineStr">
        <is>
          <t>PVT-04</t>
        </is>
      </c>
      <c r="E24" s="48" t="inlineStr">
        <is>
          <t>IR-01-03、IR-01-05、IR-01-09</t>
        </is>
      </c>
      <c r="F24" s="23" t="inlineStr">
        <is>
          <t>能力/拓扑路由是PlacementResolver的输入，不单列一套router原型。</t>
        </is>
      </c>
      <c r="G24" s="48" t="inlineStr">
        <is>
          <t>是（已并包）</t>
        </is>
      </c>
      <c r="H24" s="48" t="inlineStr">
        <is>
          <t>由目标原型包统一交付</t>
        </is>
      </c>
    </row>
    <row r="25" ht="15" customHeight="1">
      <c r="A25" s="48" t="inlineStr">
        <is>
          <t>KTP-13</t>
        </is>
      </c>
      <c r="B25" s="23" t="inlineStr">
        <is>
          <t>DPU/NPU/存储设备硬件原生KVCache压缩/解压</t>
        </is>
      </c>
      <c r="C25" s="48" t="inlineStr">
        <is>
          <t>条件合并/证伪</t>
        </is>
      </c>
      <c r="D25" s="48" t="inlineStr">
        <is>
          <t>CVT-03</t>
        </is>
      </c>
      <c r="E25" s="48" t="inlineStr">
        <is>
          <t>IR-01-08、IR-01-09</t>
        </is>
      </c>
      <c r="F25" s="23" t="inlineStr">
        <is>
          <t>无真实硬件能力不启动，且项目不得依赖codec。</t>
        </is>
      </c>
      <c r="G25" s="48" t="inlineStr">
        <is>
          <t>否（触发后申请）</t>
        </is>
      </c>
      <c r="H25" s="48" t="inlineStr">
        <is>
          <t>保留证据，不预占人力</t>
        </is>
      </c>
    </row>
    <row r="26" ht="15" customHeight="1">
      <c r="A26" s="48" t="inlineStr">
        <is>
          <t>KTP-14</t>
        </is>
      </c>
      <c r="B26" s="23" t="inlineStr">
        <is>
          <t>多消费者一次加载与1→N多播/节点级fanout</t>
        </is>
      </c>
      <c r="C26" s="48" t="inlineStr">
        <is>
          <t>条件保留/证伪</t>
        </is>
      </c>
      <c r="D26" s="48" t="inlineStr">
        <is>
          <t>CVT-01</t>
        </is>
      </c>
      <c r="E26" s="48" t="inlineStr">
        <is>
          <t>IR-01-04、IR-01-10</t>
        </is>
      </c>
      <c r="F26" s="23" t="inlineStr">
        <is>
          <t>只有真实fanout证据触发；优先证伪硬件多播必要性。</t>
        </is>
      </c>
      <c r="G26" s="48" t="inlineStr">
        <is>
          <t>否（触发后申请）</t>
        </is>
      </c>
      <c r="H26" s="48" t="inlineStr">
        <is>
          <t>保留证据，不预占人力</t>
        </is>
      </c>
    </row>
    <row r="27" ht="15" customHeight="1">
      <c r="A27" s="48" t="inlineStr">
        <is>
          <t>KTP-15</t>
        </is>
      </c>
      <c r="B27" s="23" t="inlineStr">
        <is>
          <t>迁移/压紧期间的RCU与atomic remap/page migration</t>
        </is>
      </c>
      <c r="C27" s="48" t="inlineStr">
        <is>
          <t>条件保留/证伪</t>
        </is>
      </c>
      <c r="D27" s="48" t="inlineStr">
        <is>
          <t>CVT-02</t>
        </is>
      </c>
      <c r="E27" s="48" t="inlineStr">
        <is>
          <t>IR-01-01、IR-01-11、IR-01-12</t>
        </is>
      </c>
      <c r="F27" s="23" t="inlineStr">
        <is>
          <t>只有迁移pause成为瓶颈时触发，软件RCU为默认。</t>
        </is>
      </c>
      <c r="G27" s="48" t="inlineStr">
        <is>
          <t>否（触发后申请）</t>
        </is>
      </c>
      <c r="H27" s="48" t="inlineStr">
        <is>
          <t>保留证据，不预占人力</t>
        </is>
      </c>
    </row>
    <row r="28" ht="15" customHeight="1">
      <c r="A28" s="48" t="inlineStr">
        <is>
          <t>KTP-16</t>
        </is>
      </c>
      <c r="B28" s="23" t="inlineStr">
        <is>
          <t>DPU卸载CQ/路由/硬件变换控制路径</t>
        </is>
      </c>
      <c r="C28" s="48" t="inlineStr">
        <is>
          <t>条件合并/证伪</t>
        </is>
      </c>
      <c r="D28" s="48" t="inlineStr">
        <is>
          <t>CVT-03</t>
        </is>
      </c>
      <c r="E28" s="48" t="inlineStr">
        <is>
          <t>IR-01-08、IR-01-09</t>
        </is>
      </c>
      <c r="F28" s="23" t="inlineStr">
        <is>
          <t>DPU是可选Provider，不是主路径依赖。</t>
        </is>
      </c>
      <c r="G28" s="48" t="inlineStr">
        <is>
          <t>否（触发后申请）</t>
        </is>
      </c>
      <c r="H28" s="48" t="inlineStr">
        <is>
          <t>保留证据，不预占人力</t>
        </is>
      </c>
    </row>
    <row r="29" ht="21.60000038146973" customHeight="1">
      <c r="A29" s="48" t="inlineStr">
        <is>
          <t>KTP-17</t>
        </is>
      </c>
      <c r="B29" s="23" t="inlineStr">
        <is>
          <t>DDR角色化使用与净收益边界：热点KV、远端DDR、预取/突发缓冲</t>
        </is>
      </c>
      <c r="C29" s="48" t="inlineStr">
        <is>
          <t>合并</t>
        </is>
      </c>
      <c r="D29" s="48" t="inlineStr">
        <is>
          <t>PVT-05</t>
        </is>
      </c>
      <c r="E29" s="48" t="inlineStr">
        <is>
          <t>IR-01-01、IR-02-08、IR-02-09</t>
        </is>
      </c>
      <c r="F29" s="23" t="inlineStr">
        <is>
          <t>DDR角色是分层容量的一组决策变量。</t>
        </is>
      </c>
      <c r="G29" s="48" t="inlineStr">
        <is>
          <t>是（已并包）</t>
        </is>
      </c>
      <c r="H29" s="48" t="inlineStr">
        <is>
          <t>由目标原型包统一交付</t>
        </is>
      </c>
    </row>
  </sheetData>
  <mergeCells count="2">
    <mergeCell ref="A2:H2"/>
    <mergeCell ref="A1:H1"/>
  </mergeCells>
  <conditionalFormatting sqref="C5:C29">
    <cfRule type="containsText" priority="1" operator="containsText" dxfId="4" text="移出"/>
    <cfRule type="containsText" priority="2" operator="containsText" dxfId="1" text="条件"/>
    <cfRule type="containsText" priority="3" operator="containsText" dxfId="0" text="保留并扩展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34" customWidth="1" min="3" max="3"/>
    <col width="46" customWidth="1" min="4" max="4"/>
    <col width="50" customWidth="1" min="5" max="5"/>
    <col width="42" customWidth="1" min="6" max="6"/>
    <col width="34" customWidth="1" min="7" max="7"/>
    <col width="15" customWidth="1" min="8" max="8"/>
    <col width="44" customWidth="1" min="9" max="9"/>
    <col width="38" customWidth="1" min="10" max="10"/>
    <col width="38" customWidth="1" min="11" max="11"/>
    <col width="34" customWidth="1" min="12" max="12"/>
    <col width="24" customWidth="1" min="13" max="13"/>
  </cols>
  <sheetData>
    <row r="1" ht="30" customHeight="1">
      <c r="A1" s="39" t="inlineStr">
        <is>
          <t>立项前向技术/项目/人力主管提交的证据包</t>
        </is>
      </c>
    </row>
    <row r="2" ht="36" customHeight="1">
      <c r="A2" s="41" t="inlineStr">
        <is>
          <t>本表是执行与评审模板，不预填不存在的结果；每个 PVT 完成后必须以可复现证据关闭 E0–E3，并保留最佳开源基线、关键消融和计划/实际路径对账。</t>
        </is>
      </c>
    </row>
    <row r="3"/>
    <row r="4" ht="40" customHeight="1">
      <c r="A4" s="46" t="inlineStr">
        <is>
          <t>验证ID</t>
        </is>
      </c>
      <c r="B4" s="46" t="inlineStr">
        <is>
          <t>要证明的关键问题</t>
        </is>
      </c>
      <c r="C4" s="46" t="inlineStr">
        <is>
          <t>依赖的关键IR</t>
        </is>
      </c>
      <c r="D4" s="46" t="inlineStr">
        <is>
          <t>原型资产</t>
        </is>
      </c>
      <c r="E4" s="46" t="inlineStr">
        <is>
          <t>必须提交的原始证据</t>
        </is>
      </c>
      <c r="F4" s="46" t="inlineStr">
        <is>
          <t>结果摘要</t>
        </is>
      </c>
      <c r="G4" s="46" t="inlineStr">
        <is>
          <t>指标结果</t>
        </is>
      </c>
      <c r="H4" s="46" t="inlineStr">
        <is>
          <t>结论</t>
        </is>
      </c>
      <c r="I4" s="46" t="inlineStr">
        <is>
          <t>对架构的影响</t>
        </is>
      </c>
      <c r="J4" s="46" t="inlineStr">
        <is>
          <t>对范围/里程碑的影响</t>
        </is>
      </c>
      <c r="K4" s="46" t="inlineStr">
        <is>
          <t>对人员技能/数量的影响</t>
        </is>
      </c>
      <c r="L4" s="46" t="inlineStr">
        <is>
          <t>证据位置/Commit</t>
        </is>
      </c>
      <c r="M4" s="46" t="inlineStr">
        <is>
          <t>评审签字</t>
        </is>
      </c>
    </row>
    <row r="5" ht="92" customHeight="1">
      <c r="A5" s="47" t="inlineStr">
        <is>
          <t>PVT-00</t>
        </is>
      </c>
      <c r="B5" s="22" t="inlineStr">
        <is>
          <t>【E0 立项充分性】目标业务是否真的存在足够的可复用前缀与 saved-prefill 收益；后续所有原型结果能否用同一 workload、trace 和时钟口径复现并对账。</t>
        </is>
      </c>
      <c r="C5" s="22" t="inlineStr">
        <is>
          <t>IR-02-11、IR-02-12</t>
        </is>
      </c>
      <c r="D5" s="22" t="inlineStr">
        <is>
          <t>直接演进为 IR-02-11 的 telemetry/trace 与 IR-02-12 的 perf/CI 基线，不做一次性脚本。</t>
        </is>
      </c>
      <c r="E5" s="22" t="inlineStr">
        <is>
          <t>版本化 workload pack、baseline 报告、trace schema、指标字典、原始数据与一键复现实验脚本。；补充同条件公平基线、关键消融、实际路径凭证（ActualPathReceipt）/Host CPU 零数据拷贝凭证（Host Payload Touch Bytes 严格为 0）、重复实验置信和异常结果。</t>
        </is>
      </c>
      <c r="F5" s="22" t="inlineStr">
        <is>
          <t>待执行</t>
        </is>
      </c>
      <c r="G5" s="22" t="inlineStr">
        <is>
          <t>待执行</t>
        </is>
      </c>
      <c r="H5" s="22" t="inlineStr">
        <is>
          <t>待判定</t>
        </is>
      </c>
      <c r="I5" s="22" t="inlineStr">
        <is>
          <t>待评审</t>
        </is>
      </c>
      <c r="J5" s="22" t="inlineStr">
        <is>
          <t>待评审</t>
        </is>
      </c>
      <c r="K5" s="22" t="inlineStr">
        <is>
          <t>待评审</t>
        </is>
      </c>
      <c r="L5" s="22" t="str"/>
      <c r="M5" s="22" t="str"/>
    </row>
    <row r="6" ht="92" customHeight="1">
      <c r="A6" s="48" t="inlineStr">
        <is>
          <t>PVT-01</t>
        </is>
      </c>
      <c r="B6" s="23" t="inlineStr">
        <is>
          <t>【E1 能力路径】UBMEM/URMA、RDMA、C2C、NVMe/SSD 能否形成至少一条热路径，以及一条不强制经过DDR的HBM↔SSD直达或低Host参与容量主路径；每条路径的Host参与、完成可见性和完整性证据是否可接受。</t>
        </is>
      </c>
      <c r="C6" s="23" t="inlineStr">
        <is>
          <t>IR-01-06、IR-01-08、IR-01-09、IR-01-12</t>
        </is>
      </c>
      <c r="D6" s="23" t="inlineStr">
        <is>
          <t>探针、注册池、句柄和microbench进入正式 Backend Provider 与CI硬件回归。</t>
        </is>
      </c>
      <c r="E6" s="23" t="inlineStr">
        <is>
          <t>版本化 capability matrix、路径性能曲线、Host CPU 零数据拷贝对账 对账、故障注入报告、Go/禁用/回退路径表。；补充同条件公平基线、关键消融、实际路径凭证（ActualPathReceipt）/Host CPU 零数据拷贝凭证（Host Payload Touch Bytes 严格为 0）、重复实验置信和异常结果。</t>
        </is>
      </c>
      <c r="F6" s="23" t="inlineStr">
        <is>
          <t>待执行</t>
        </is>
      </c>
      <c r="G6" s="23" t="inlineStr">
        <is>
          <t>待执行</t>
        </is>
      </c>
      <c r="H6" s="23" t="inlineStr">
        <is>
          <t>待判定</t>
        </is>
      </c>
      <c r="I6" s="23" t="inlineStr">
        <is>
          <t>待评审</t>
        </is>
      </c>
      <c r="J6" s="23" t="inlineStr">
        <is>
          <t>待评审</t>
        </is>
      </c>
      <c r="K6" s="23" t="inlineStr">
        <is>
          <t>待评审</t>
        </is>
      </c>
      <c r="L6" s="23" t="str"/>
      <c r="M6" s="23" t="str"/>
    </row>
    <row r="7" ht="92" customHeight="1">
      <c r="A7" s="48" t="inlineStr">
        <is>
          <t>PVT-02</t>
        </is>
      </c>
      <c r="B7" s="23" t="inlineStr">
        <is>
          <t>【E1 能力路径】不同框架的逻辑 KV block/page/radix span 能否被稳定编译为各路径可执行的批量描述符，并与 Prefill/Decode 形成可取消、可回退的流水。</t>
        </is>
      </c>
      <c r="C7" s="23" t="inlineStr">
        <is>
          <t>IR-01-02、IR-01-04</t>
        </is>
      </c>
      <c r="D7" s="23" t="inlineStr">
        <is>
          <t>原型代码直接进入 Transfer Manager 的 Descriptor/Async DAG 子模块。</t>
        </is>
      </c>
      <c r="E7" s="23" t="inlineStr">
        <is>
          <t>可复用 descriptor compiler、两后端 adapter、DAG执行器薄片、golden layout cases 与性能报告。；补充同条件公平基线、关键消融、实际路径凭证（ActualPathReceipt）/Host CPU 零数据拷贝凭证（Host Payload Touch Bytes 严格为 0）、重复实验置信和异常结果。</t>
        </is>
      </c>
      <c r="F7" s="23" t="inlineStr">
        <is>
          <t>待执行</t>
        </is>
      </c>
      <c r="G7" s="23" t="inlineStr">
        <is>
          <t>待执行</t>
        </is>
      </c>
      <c r="H7" s="23" t="inlineStr">
        <is>
          <t>待判定</t>
        </is>
      </c>
      <c r="I7" s="23" t="inlineStr">
        <is>
          <t>待评审</t>
        </is>
      </c>
      <c r="J7" s="23" t="inlineStr">
        <is>
          <t>待评审</t>
        </is>
      </c>
      <c r="K7" s="23" t="inlineStr">
        <is>
          <t>待评审</t>
        </is>
      </c>
      <c r="L7" s="23" t="str"/>
      <c r="M7" s="23" t="str"/>
    </row>
    <row r="8" ht="92" customHeight="1">
      <c r="A8" s="48" t="inlineStr">
        <is>
          <t>PVT-03</t>
        </is>
      </c>
      <c r="B8" s="23" t="inlineStr">
        <is>
          <t>【E1/E2 路径与决策边界】哪些对象适合 UBMEM/共享内存语义直接访问，哪些必须 local mirror 或 copy-to-HBM；decode-active KV direct-view 是否应成为默认路径。</t>
        </is>
      </c>
      <c r="C8" s="23" t="inlineStr">
        <is>
          <t>IR-01-07、IR-02-04、IR-02-05</t>
        </is>
      </c>
      <c r="D8" s="23" t="inlineStr">
        <is>
          <t>DirectViewGuard、对象分类与counter探针进入正式 View/Copy cost model。</t>
        </is>
      </c>
      <c r="E8" s="23" t="inlineStr">
        <is>
          <t>对象类型×访问模式决策表、DirectViewGuard原型、lease/revoke测试、性能crossover曲线。；补充同条件公平基线、关键消融、实际路径凭证（ActualPathReceipt）/Host CPU 零数据拷贝凭证（Host Payload Touch Bytes 严格为 0）、重复实验置信和异常结果。</t>
        </is>
      </c>
      <c r="F8" s="23" t="inlineStr">
        <is>
          <t>待执行</t>
        </is>
      </c>
      <c r="G8" s="23" t="inlineStr">
        <is>
          <t>待执行</t>
        </is>
      </c>
      <c r="H8" s="23" t="inlineStr">
        <is>
          <t>待判定</t>
        </is>
      </c>
      <c r="I8" s="23" t="inlineStr">
        <is>
          <t>待评审</t>
        </is>
      </c>
      <c r="J8" s="23" t="inlineStr">
        <is>
          <t>待评审</t>
        </is>
      </c>
      <c r="K8" s="23" t="inlineStr">
        <is>
          <t>待评审</t>
        </is>
      </c>
      <c r="L8" s="23" t="str"/>
      <c r="M8" s="23" t="str"/>
    </row>
    <row r="9" ht="92" customHeight="1">
      <c r="A9" s="48" t="inlineStr">
        <is>
          <t>PVT-04</t>
        </is>
      </c>
      <c r="B9" s="23" t="inlineStr">
        <is>
          <t>【E2 决策优越性】系统能否在微秒级用真实路径成本识别正收益命中，选择正确副本/路径，并在拥塞或故障时有界回退。</t>
        </is>
      </c>
      <c r="C9" s="23" t="inlineStr">
        <is>
          <t>IR-01-03、IR-01-05</t>
        </is>
      </c>
      <c r="D9" s="23" t="inlineStr">
        <is>
          <t>原型直接演进为 PolicyEngine/PlacementResolver，并复用路径telemetry。</t>
        </is>
      </c>
      <c r="E9" s="23" t="inlineStr">
        <is>
          <t>QueryPlan字段冻结稿、cost model原型、oracle对账、正收益白名单、fallback原因码。；补充同条件公平基线、关键消融、实际路径凭证（ActualPathReceipt）/Host CPU 零数据拷贝凭证（Host Payload Touch Bytes 严格为 0）、重复实验置信和异常结果。</t>
        </is>
      </c>
      <c r="F9" s="23" t="inlineStr">
        <is>
          <t>待执行</t>
        </is>
      </c>
      <c r="G9" s="23" t="inlineStr">
        <is>
          <t>待执行</t>
        </is>
      </c>
      <c r="H9" s="23" t="inlineStr">
        <is>
          <t>待判定</t>
        </is>
      </c>
      <c r="I9" s="23" t="inlineStr">
        <is>
          <t>待评审</t>
        </is>
      </c>
      <c r="J9" s="23" t="inlineStr">
        <is>
          <t>待评审</t>
        </is>
      </c>
      <c r="K9" s="23" t="inlineStr">
        <is>
          <t>待评审</t>
        </is>
      </c>
      <c r="L9" s="23" t="str"/>
      <c r="M9" s="23" t="str"/>
    </row>
    <row r="10" ht="92" customHeight="1">
      <c r="A10" s="48" t="inlineStr">
        <is>
          <t>PVT-05</t>
        </is>
      </c>
      <c r="B10" s="23" t="inlineStr">
        <is>
          <t>【E2/E3 决策与系统净收益】HBM↔SSD直达或低Host参与通路能否成为默认容量主路径并转化为可服务容量与NPU利用率；DDR应承担哪些可证明正收益的条件角色；复杂分层策略是否优于简单水位策略。</t>
        </is>
      </c>
      <c r="C10" s="23" t="inlineStr">
        <is>
          <t>IR-01-01、IR-02-08、IR-02-09</t>
        </is>
      </c>
      <c r="D10" s="23" t="inlineStr">
        <is>
          <t>回放器与策略接口进入TierManager；实验结论冻结硬件容量和人力投入边界。</t>
        </is>
      </c>
      <c r="E10" s="23" t="inlineStr">
        <is>
          <t>容量—服务能力曲线、DDR角色决策、策略回放器、模型KV规格表、水位/回退默认值。；补充同条件公平基线、关键消融、实际路径凭证（ActualPathReceipt）/Host CPU 零数据拷贝凭证（Host Payload Touch Bytes 严格为 0）、重复实验置信和异常结果。</t>
        </is>
      </c>
      <c r="F10" s="23" t="inlineStr">
        <is>
          <t>待执行</t>
        </is>
      </c>
      <c r="G10" s="23" t="inlineStr">
        <is>
          <t>待执行</t>
        </is>
      </c>
      <c r="H10" s="23" t="inlineStr">
        <is>
          <t>待判定</t>
        </is>
      </c>
      <c r="I10" s="23" t="inlineStr">
        <is>
          <t>待评审</t>
        </is>
      </c>
      <c r="J10" s="23" t="inlineStr">
        <is>
          <t>待评审</t>
        </is>
      </c>
      <c r="K10" s="23" t="inlineStr">
        <is>
          <t>待评审</t>
        </is>
      </c>
      <c r="L10" s="23" t="str"/>
      <c r="M10" s="23" t="str"/>
    </row>
    <row r="11" ht="92" customHeight="1">
      <c r="A11" s="48" t="inlineStr">
        <is>
          <t>PVT-06</t>
        </is>
      </c>
      <c r="B11" s="23" t="inlineStr">
        <is>
          <t>【E1 可消费正确性】前缀候选能否在版本、layout、ready、lease、rank等约束下被安全消费；部分命中与故障回退是否仍有净收益。</t>
        </is>
      </c>
      <c r="C11" s="23" t="inlineStr">
        <is>
          <t>IR-01-10、IR-01-11、IR-02-01、IR-02-05</t>
        </is>
      </c>
      <c r="D11" s="23" t="inlineStr">
        <is>
          <t>协议、判定器、golden cases与fault tests进入Connector/Directory正式模块。</t>
        </is>
      </c>
      <c r="E11" s="23" t="inlineStr">
        <is>
          <t>兼容性矩阵、ConsumeEligibility/AttachHandle原型、reason code、故障用例和漏斗报告。；补充同条件公平基线、关键消融、实际路径凭证（ActualPathReceipt）/Host CPU 零数据拷贝凭证（Host Payload Touch Bytes 严格为 0）、重复实验置信和异常结果。</t>
        </is>
      </c>
      <c r="F11" s="23" t="inlineStr">
        <is>
          <t>待执行</t>
        </is>
      </c>
      <c r="G11" s="23" t="inlineStr">
        <is>
          <t>待执行</t>
        </is>
      </c>
      <c r="H11" s="23" t="inlineStr">
        <is>
          <t>待判定</t>
        </is>
      </c>
      <c r="I11" s="23" t="inlineStr">
        <is>
          <t>待评审</t>
        </is>
      </c>
      <c r="J11" s="23" t="inlineStr">
        <is>
          <t>待评审</t>
        </is>
      </c>
      <c r="K11" s="23" t="inlineStr">
        <is>
          <t>待评审</t>
        </is>
      </c>
      <c r="L11" s="23" t="str"/>
      <c r="M11" s="23" t="str"/>
    </row>
    <row r="12" ht="92" customHeight="1">
      <c r="A12" s="48" t="inlineStr">
        <is>
          <t>PVT-07</t>
        </is>
      </c>
      <c r="B12" s="23" t="inlineStr">
        <is>
          <t>【E3 系统净收益】在真实前台Decode与后台SSD回源、预取、迁移混压下，统一池能否改善TTFT、容量和NPU利用率，同时把TPOT尾部退化控制在业务门槛内。</t>
        </is>
      </c>
      <c r="C12" s="23" t="inlineStr">
        <is>
          <t>IR-01-04、IR-01-11、IR-02-06</t>
        </is>
      </c>
      <c r="D12" s="23" t="inlineStr">
        <is>
          <t>端到端最小闭环验证 (Vertical Slice) 成为首个系统串联与回归场景；QoS分类、指标和fallback接口直接进入正式系统。</t>
        </is>
      </c>
      <c r="E12" s="23" t="inlineStr">
        <is>
          <t>可运行端到端最小闭环验证 (Vertical Slice)、干扰安全包络、性能分解、fallback演练、项目级Go/Conditional/No-Go结论。；补充同条件公平基线、关键消融、实际路径凭证（ActualPathReceipt）/Host CPU 零数据拷贝凭证（Host Payload Touch Bytes 严格为 0）、重复实验置信和异常结果。</t>
        </is>
      </c>
      <c r="F12" s="23" t="inlineStr">
        <is>
          <t>待执行</t>
        </is>
      </c>
      <c r="G12" s="23" t="inlineStr">
        <is>
          <t>待执行</t>
        </is>
      </c>
      <c r="H12" s="23" t="inlineStr">
        <is>
          <t>待判定</t>
        </is>
      </c>
      <c r="I12" s="23" t="inlineStr">
        <is>
          <t>待评审</t>
        </is>
      </c>
      <c r="J12" s="23" t="inlineStr">
        <is>
          <t>待评审</t>
        </is>
      </c>
      <c r="K12" s="23" t="inlineStr">
        <is>
          <t>待评审</t>
        </is>
      </c>
      <c r="L12" s="23" t="str"/>
      <c r="M12" s="23" t="str"/>
    </row>
  </sheetData>
  <mergeCells count="2">
    <mergeCell ref="A2:M2"/>
    <mergeCell ref="A1:M1"/>
  </mergeCells>
  <conditionalFormatting sqref="H5:H12">
    <cfRule type="containsText" priority="1" operator="containsText" dxfId="0" text="Go"/>
    <cfRule type="containsText" priority="2" operator="containsText" dxfId="1" text="Conditional"/>
    <cfRule type="containsText" priority="3" operator="containsText" dxfId="4" text="No-Go"/>
  </conditionalFormatting>
  <dataValidations count="1">
    <dataValidation sqref="H5:H12" showDropDown="0" showInputMessage="0" showErrorMessage="0" allowBlank="0" type="list">
      <formula1>"待判定,Go,Conditional,No-Go"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36" customWidth="1" min="4" max="4"/>
    <col width="46" customWidth="1" min="5" max="5"/>
    <col width="56" customWidth="1" min="6" max="6"/>
    <col width="50" customWidth="1" min="7" max="7"/>
    <col width="44" customWidth="1" min="8" max="8"/>
    <col width="34" customWidth="1" min="9" max="9"/>
  </cols>
  <sheetData>
    <row r="1" ht="30" customHeight="1">
      <c r="A1" s="39" t="inlineStr">
        <is>
          <t>建议实施波次、依赖关系与退出门</t>
        </is>
      </c>
    </row>
    <row r="2" ht="36" customHeight="1">
      <c r="A2" s="41" t="inlineStr">
        <is>
          <t>总日历建议 4～5 周；PVT 共享一套 harness、冻结 workload 与 2 节点环境，CVT 不进入默认排期。W0～W3 依次关闭 E0/E1、E1/E2、E2、E3，并在 W3 完成最佳开源基线与关键消融总对账。</t>
        </is>
      </c>
    </row>
    <row r="3"/>
    <row r="4" ht="40" customHeight="1">
      <c r="A4" s="46" t="inlineStr">
        <is>
          <t>波次</t>
        </is>
      </c>
      <c r="B4" s="46" t="inlineStr">
        <is>
          <t>周期</t>
        </is>
      </c>
      <c r="C4" s="46" t="inlineStr">
        <is>
          <t>验证包</t>
        </is>
      </c>
      <c r="D4" s="46" t="inlineStr">
        <is>
          <t>可并行关系</t>
        </is>
      </c>
      <c r="E4" s="46" t="inlineStr">
        <is>
          <t>进入条件</t>
        </is>
      </c>
      <c r="F4" s="46" t="inlineStr">
        <is>
          <t>统一退出门</t>
        </is>
      </c>
      <c r="G4" s="46" t="inlineStr">
        <is>
          <t>关键决策输出</t>
        </is>
      </c>
      <c r="H4" s="46" t="inlineStr">
        <is>
          <t>不做内容</t>
        </is>
      </c>
      <c r="I4" s="46" t="inlineStr">
        <is>
          <t>建议核心角色</t>
        </is>
      </c>
    </row>
    <row r="5" ht="84" customHeight="1">
      <c r="A5" s="22" t="inlineStr">
        <is>
          <t>W0 事实与基线</t>
        </is>
      </c>
      <c r="B5" s="22" t="inlineStr">
        <is>
          <t>第1周</t>
        </is>
      </c>
      <c r="C5" s="22" t="inlineStr">
        <is>
          <t>PVT-00、PVT-01</t>
        </is>
      </c>
      <c r="D5" s="22" t="inlineStr">
        <is>
          <t>trace/观测与硬件路径并行</t>
        </is>
      </c>
      <c r="E5" s="22" t="inlineStr">
        <is>
          <t>目标workload或固定替代集、代表硬件可用</t>
        </is>
      </c>
      <c r="F5" s="22" t="inlineStr">
        <is>
          <t>E0 收益上限与 E1 capability matrix 可复现；错误 KV 消费=0；计划/实际路径可对账</t>
        </is>
      </c>
      <c r="G5" s="22" t="inlineStr">
        <is>
          <t>首发场景、路径白名单、硬件/固件短板</t>
        </is>
      </c>
      <c r="H5" s="22" t="inlineStr">
        <is>
          <t>生产目录、完整池、CPU codec/CRC</t>
        </is>
      </c>
      <c r="I5" s="22" t="inlineStr">
        <is>
          <t>性能2、底层传输2、框架1</t>
        </is>
      </c>
    </row>
    <row r="6" ht="84" customHeight="1">
      <c r="A6" s="23" t="inlineStr">
        <is>
          <t>W1 语义与执行链</t>
        </is>
      </c>
      <c r="B6" s="23" t="inlineStr">
        <is>
          <t>第2~3周</t>
        </is>
      </c>
      <c r="C6" s="23" t="inlineStr">
        <is>
          <t>PVT-02、PVT-03、PVT-04</t>
        </is>
      </c>
      <c r="D6" s="23" t="inlineStr">
        <is>
          <t>共享PVT-01路径与PVT-00 trace</t>
        </is>
      </c>
      <c r="E6" s="23" t="inlineStr">
        <is>
          <t>W0至少一条热路径和一条容量路径可用</t>
        </is>
      </c>
      <c r="F6" s="23" t="inlineStr">
        <is>
          <t>E1 描述符/直接访问路径成立，E2 QueryPlan 相对静态规则与消融版本形成可判定结论</t>
        </is>
      </c>
      <c r="G6" s="23" t="inlineStr">
        <is>
          <t>接口字段、direct-view边界、正收益白名单</t>
        </is>
      </c>
      <c r="H6" s="23" t="inlineStr">
        <is>
          <t>全后端、在线学习、生产router</t>
        </is>
      </c>
      <c r="I6" s="23" t="inlineStr">
        <is>
          <t>传输2、内存语义2、策略1、框架1</t>
        </is>
      </c>
    </row>
    <row r="7" ht="84" customHeight="1">
      <c r="A7" s="23" t="inlineStr">
        <is>
          <t>W2 容量与消费</t>
        </is>
      </c>
      <c r="B7" s="23" t="inlineStr">
        <is>
          <t>第3~4周</t>
        </is>
      </c>
      <c r="C7" s="23" t="inlineStr">
        <is>
          <t>PVT-05、PVT-06</t>
        </is>
      </c>
      <c r="D7" s="23" t="inlineStr">
        <is>
          <t>策略回放与消费正确性并行</t>
        </is>
      </c>
      <c r="E7" s="23" t="inlineStr">
        <is>
          <t>W0/W1成本和语义口径冻结</t>
        </is>
      </c>
      <c r="F7" s="23" t="inlineStr">
        <is>
          <t>E2 容量/消费决策闭环；容量转为服务能力；错误消费=0；DDR 角色可决策</t>
        </is>
      </c>
      <c r="G7" s="23" t="inlineStr">
        <is>
          <t>容量/采购建议、协议与fallback、P0范围</t>
        </is>
      </c>
      <c r="H7" s="23" t="inlineStr">
        <is>
          <t>生产tier manager、目录HA</t>
        </is>
      </c>
      <c r="I7" s="23" t="inlineStr">
        <is>
          <t>策略2、框架2、测试1</t>
        </is>
      </c>
    </row>
    <row r="8" ht="84" customHeight="1">
      <c r="A8" s="23" t="inlineStr">
        <is>
          <t>W3 全链路最小闭环总门禁</t>
        </is>
      </c>
      <c r="B8" s="23" t="inlineStr">
        <is>
          <t>第4~5周</t>
        </is>
      </c>
      <c r="C8" s="23" t="inlineStr">
        <is>
          <t>PVT-07</t>
        </is>
      </c>
      <c r="D8" s="23" t="inlineStr">
        <is>
          <t>串联前序最小实现</t>
        </is>
      </c>
      <c r="E8" s="23" t="inlineStr">
        <is>
          <t>PVT-01~06至少Conditional且有回退</t>
        </is>
      </c>
      <c r="F8" s="23" t="inlineStr">
        <is>
          <t>E3 相对最佳可行开源组合形成 TTFT/TPOT/QPS/NPU/容量/单位成本净收益结论</t>
        </is>
      </c>
      <c r="G8" s="23" t="inlineStr">
        <is>
          <t>项目Go/Conditional/No-Go、里程碑与人力基线</t>
        </is>
      </c>
      <c r="H8" s="23" t="inlineStr">
        <is>
          <t>生产QoS、多租户计费、全模型</t>
        </is>
      </c>
      <c r="I8" s="23" t="inlineStr">
        <is>
          <t>架构1、性能2、传输2、框架2、测试1</t>
        </is>
      </c>
    </row>
    <row r="9" ht="84" customHeight="1">
      <c r="A9" s="23" t="inlineStr">
        <is>
          <t>WC 条件证伪</t>
        </is>
      </c>
      <c r="B9" s="23" t="inlineStr">
        <is>
          <t>按触发</t>
        </is>
      </c>
      <c r="C9" s="23" t="inlineStr">
        <is>
          <t>CVT-01~03</t>
        </is>
      </c>
      <c r="D9" s="23" t="inlineStr">
        <is>
          <t>每项独立feature flag</t>
        </is>
      </c>
      <c r="E9" s="23" t="inlineStr">
        <is>
          <t>触发门满足且结论会改变设计/采购</t>
        </is>
      </c>
      <c r="F9" s="23" t="inlineStr">
        <is>
          <t>未达净收益或正确性门槛即旁路/关闭</t>
        </is>
      </c>
      <c r="G9" s="23" t="inlineStr">
        <is>
          <t>硬件多播/remap/DPU是否进入路线</t>
        </is>
      </c>
      <c r="H9" s="23" t="inlineStr">
        <is>
          <t>无触发证据的创新试验</t>
        </is>
      </c>
      <c r="I9" s="23" t="inlineStr">
        <is>
          <t>单项2~3名对应专家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40" customWidth="1" min="3" max="3"/>
    <col width="40" customWidth="1" min="4" max="4"/>
    <col width="38" customWidth="1" min="5" max="5"/>
    <col width="22" customWidth="1" min="6" max="6"/>
    <col width="20" customWidth="1" min="7" max="7"/>
  </cols>
  <sheetData>
    <row r="1" ht="30" customHeight="1">
      <c r="A1" s="39" t="inlineStr">
        <is>
          <t>提前验证项筛选、证伪与延续规则</t>
        </is>
      </c>
    </row>
    <row r="2" ht="36" customHeight="1">
      <c r="A2" s="41" t="inlineStr">
        <is>
          <t>防止把详细设计、完整产品开发或技术兴趣项包装成“提前验证”。</t>
        </is>
      </c>
    </row>
    <row r="3"/>
    <row r="4" ht="40" customHeight="1">
      <c r="A4" s="46" t="inlineStr">
        <is>
          <t>规则</t>
        </is>
      </c>
      <c r="B4" s="46" t="inlineStr">
        <is>
          <t>硬门槛</t>
        </is>
      </c>
      <c r="C4" s="46" t="inlineStr">
        <is>
          <t>通过示例</t>
        </is>
      </c>
      <c r="D4" s="46" t="inlineStr">
        <is>
          <t>不通过示例</t>
        </is>
      </c>
      <c r="E4" s="46" t="inlineStr">
        <is>
          <t>处理</t>
        </is>
      </c>
      <c r="F4" s="46" t="inlineStr">
        <is>
          <t>评审责任人</t>
        </is>
      </c>
      <c r="G4" s="46" t="inlineStr">
        <is>
          <t>检查频率</t>
        </is>
      </c>
    </row>
    <row r="5" ht="72" customHeight="1">
      <c r="A5" s="22" t="inlineStr">
        <is>
          <t>IR关联</t>
        </is>
      </c>
      <c r="B5" s="22" t="inlineStr">
        <is>
          <t>至少1条明确IR；必须说明为何决定IR成败</t>
        </is>
      </c>
      <c r="C5" s="22" t="inlineStr">
        <is>
          <t>PVT-02→IR-01-02/04</t>
        </is>
      </c>
      <c r="D5" s="22" t="inlineStr">
        <is>
          <t>消息通道换实现但不改变IR结果</t>
        </is>
      </c>
      <c r="E5" s="22" t="inlineStr">
        <is>
          <t>无强关联则移出</t>
        </is>
      </c>
      <c r="F5" s="22" t="inlineStr">
        <is>
          <t>架构师</t>
        </is>
      </c>
      <c r="G5" s="22" t="inlineStr">
        <is>
          <t>立项前/变更时</t>
        </is>
      </c>
    </row>
    <row r="6" ht="72" customHeight="1">
      <c r="A6" s="23" t="inlineStr">
        <is>
          <t>问题关键性</t>
        </is>
      </c>
      <c r="B6" s="23" t="inlineStr">
        <is>
          <t>失败会改变架构、首发范围、硬件采购、里程碑或人力</t>
        </is>
      </c>
      <c r="C6" s="23" t="inlineStr">
        <is>
          <t>SSD路径Host CPU 零数据拷贝对账不可控</t>
        </is>
      </c>
      <c r="D6" s="23" t="inlineStr">
        <is>
          <t>局部日志格式优化</t>
        </is>
      </c>
      <c r="E6" s="23" t="inlineStr">
        <is>
          <t>不能改变决策则后置</t>
        </is>
      </c>
      <c r="F6" s="23" t="inlineStr">
        <is>
          <t>技术主管</t>
        </is>
      </c>
      <c r="G6" s="23" t="inlineStr">
        <is>
          <t>立项前</t>
        </is>
      </c>
    </row>
    <row r="7" ht="72" customHeight="1">
      <c r="A7" s="23" t="inlineStr">
        <is>
          <t>可证伪</t>
        </is>
      </c>
      <c r="B7" s="23" t="inlineStr">
        <is>
          <t>有明确假设、Go/Conditional/No-Go与默认回退</t>
        </is>
      </c>
      <c r="C7" s="23" t="inlineStr">
        <is>
          <t>direct-view TPOT回退&lt;3%</t>
        </is>
      </c>
      <c r="D7" s="23" t="inlineStr">
        <is>
          <t>“性能有所提升”</t>
        </is>
      </c>
      <c r="E7" s="23" t="inlineStr">
        <is>
          <t>不能形成结论则重写</t>
        </is>
      </c>
      <c r="F7" s="23" t="inlineStr">
        <is>
          <t>性能负责人</t>
        </is>
      </c>
      <c r="G7" s="23" t="inlineStr">
        <is>
          <t>方案评审</t>
        </is>
      </c>
    </row>
    <row r="8" ht="72" customHeight="1">
      <c r="A8" s="23" t="inlineStr">
        <is>
          <t>最小范围</t>
        </is>
      </c>
      <c r="B8" s="23" t="inlineStr">
        <is>
          <t>≤2节点或可mock；单项只回答一个决策问题</t>
        </is>
      </c>
      <c r="C8" s="23" t="inlineStr">
        <is>
          <t>2路径+2副本resolver</t>
        </is>
      </c>
      <c r="D8" s="23" t="inlineStr">
        <is>
          <t>完整统一池Demo</t>
        </is>
      </c>
      <c r="E8" s="23" t="inlineStr">
        <is>
          <t>拆小或合并共享底座</t>
        </is>
      </c>
      <c r="F8" s="23" t="inlineStr">
        <is>
          <t>项目经理</t>
        </is>
      </c>
      <c r="G8" s="23" t="inlineStr">
        <is>
          <t>排期评审</t>
        </is>
      </c>
    </row>
    <row r="9" ht="72" customHeight="1">
      <c r="A9" s="23" t="inlineStr">
        <is>
          <t>数量控制</t>
        </is>
      </c>
      <c r="B9" s="23" t="inlineStr">
        <is>
          <t>默认8个必做包；条件项不预占人力</t>
        </is>
      </c>
      <c r="C9" s="23" t="inlineStr">
        <is>
          <t>共享trace/路径矩阵</t>
        </is>
      </c>
      <c r="D9" s="23" t="inlineStr">
        <is>
          <t>25项并行开工</t>
        </is>
      </c>
      <c r="E9" s="23" t="inlineStr">
        <is>
          <t>新增必做项必须替换/合并现有项</t>
        </is>
      </c>
      <c r="F9" s="23" t="inlineStr">
        <is>
          <t>项目经理/人力主管</t>
        </is>
      </c>
      <c r="G9" s="23" t="inlineStr">
        <is>
          <t>周会</t>
        </is>
      </c>
    </row>
    <row r="10" ht="72" customHeight="1">
      <c r="A10" s="23" t="inlineStr">
        <is>
          <t>证据完整</t>
        </is>
      </c>
      <c r="B10" s="23" t="inlineStr">
        <is>
          <t>版本、配置、raw data、分位数、资源、异常、边界、复现入口</t>
        </is>
      </c>
      <c r="C10" s="23" t="inlineStr">
        <is>
          <t>P99+Host CPU+fallback</t>
        </is>
      </c>
      <c r="D10" s="23" t="inlineStr">
        <is>
          <t>只报峰值带宽</t>
        </is>
      </c>
      <c r="E10" s="23" t="inlineStr">
        <is>
          <t>证据不全不判Go</t>
        </is>
      </c>
      <c r="F10" s="23" t="inlineStr">
        <is>
          <t>测试负责人</t>
        </is>
      </c>
      <c r="G10" s="23" t="inlineStr">
        <is>
          <t>退出评审</t>
        </is>
      </c>
    </row>
    <row r="11" ht="72" customHeight="1">
      <c r="A11" s="23" t="inlineStr">
        <is>
          <t>原型延续</t>
        </is>
      </c>
      <c r="B11" s="23" t="inlineStr">
        <is>
          <t>Go/Conditional代码和测试能迁入正式仓库</t>
        </is>
      </c>
      <c r="C11" s="23" t="inlineStr">
        <is>
          <t>descriptor compiler + golden cases</t>
        </is>
      </c>
      <c r="D11" s="23" t="inlineStr">
        <is>
          <t>一次性脚本/手工Excel</t>
        </is>
      </c>
      <c r="E11" s="23" t="inlineStr">
        <is>
          <t>不具延续性则只允许证伪项</t>
        </is>
      </c>
      <c r="F11" s="23" t="inlineStr">
        <is>
          <t>研发主管</t>
        </is>
      </c>
      <c r="G11" s="23" t="inlineStr">
        <is>
          <t>代码评审</t>
        </is>
      </c>
    </row>
    <row r="12" ht="72" customHeight="1">
      <c r="A12" s="23" t="inlineStr">
        <is>
          <t>证伪标识</t>
        </is>
      </c>
      <c r="B12" s="23" t="inlineStr">
        <is>
          <t>意在否定默认依赖的项必须预先标“是”并写回退</t>
        </is>
      </c>
      <c r="C12" s="23" t="inlineStr">
        <is>
          <t>硬件多播/DPU非必需</t>
        </is>
      </c>
      <c r="D12" s="23" t="inlineStr">
        <is>
          <t>失败后仍强行纳入主路径</t>
        </is>
      </c>
      <c r="E12" s="23" t="inlineStr">
        <is>
          <t>No-Go即关闭feature flag</t>
        </is>
      </c>
      <c r="F12" s="23" t="inlineStr">
        <is>
          <t>架构师</t>
        </is>
      </c>
      <c r="G12" s="23" t="inlineStr">
        <is>
          <t>启动/退出</t>
        </is>
      </c>
    </row>
    <row r="13"/>
    <row r="14">
      <c r="A14" s="16" t="inlineStr">
        <is>
          <t>版本变更摘要</t>
        </is>
      </c>
    </row>
    <row r="15">
      <c r="A15" s="34" t="inlineStr">
        <is>
          <t>V1.4→V1.5</t>
        </is>
      </c>
      <c r="B15" s="22" t="inlineStr">
        <is>
          <t>以SRS V2.2重新校准：HBM↔SSD为容量主路径，DDR为条件角色，CPU不承担默认codec/全量CRC；同步修正IR/SR锚点和性能门槛。</t>
        </is>
      </c>
      <c r="C15" s="53" t="n"/>
      <c r="D15" s="53" t="n"/>
      <c r="E15" s="53" t="n"/>
      <c r="F15" s="53" t="n"/>
      <c r="G15" s="53" t="n"/>
    </row>
    <row r="16">
      <c r="A16" s="35" t="inlineStr">
        <is>
          <t>数量</t>
        </is>
      </c>
      <c r="B16" s="23" t="inlineStr">
        <is>
          <t>25个原主题归并为8个必做原型包和3个条件/证伪项。</t>
        </is>
      </c>
      <c r="C16" s="54" t="n"/>
      <c r="D16" s="54" t="n"/>
      <c r="E16" s="54" t="n"/>
      <c r="F16" s="54" t="n"/>
      <c r="G16" s="54" t="n"/>
    </row>
    <row r="17">
      <c r="A17" s="35" t="inlineStr">
        <is>
          <t>追溯</t>
        </is>
      </c>
      <c r="B17" s="23" t="inlineStr">
        <is>
          <t>新增24条IR全量覆盖矩阵和关键级别K0/K1/K2。</t>
        </is>
      </c>
      <c r="C17" s="54" t="n"/>
      <c r="D17" s="54" t="n"/>
      <c r="E17" s="54" t="n"/>
      <c r="F17" s="54" t="n"/>
      <c r="G17" s="54" t="n"/>
    </row>
    <row r="18">
      <c r="A18" s="35" t="inlineStr">
        <is>
          <t>延续</t>
        </is>
      </c>
      <c r="B18" s="23" t="inlineStr">
        <is>
          <t>新增正式项目延续资产、证据包模板和人力决策输出。</t>
        </is>
      </c>
      <c r="C18" s="54" t="n"/>
      <c r="D18" s="54" t="n"/>
      <c r="E18" s="54" t="n"/>
      <c r="F18" s="54" t="n"/>
      <c r="G18" s="54" t="n"/>
    </row>
    <row r="19">
      <c r="A19" s="35" t="inlineStr">
        <is>
          <t>移出</t>
        </is>
      </c>
      <c r="B19" s="23" t="inlineStr">
        <is>
          <t>KTP-05组件消息通道UBMEM/URMA化转正式项目性能Backlog。</t>
        </is>
      </c>
      <c r="C19" s="54" t="n"/>
      <c r="D19" s="54" t="n"/>
      <c r="E19" s="54" t="n"/>
      <c r="F19" s="54" t="n"/>
      <c r="G19" s="54" t="n"/>
    </row>
    <row r="20">
      <c r="A20" t="inlineStr">
        <is>
          <t>V1.5→V1.6</t>
        </is>
      </c>
      <c r="B20" t="inlineStr">
        <is>
          <t>基于V3.2竞争力分析报告，全面增强各前置验证需求的背景诉求与竞争力关联；新增'主要验证思路与验证方法'列；精细定义测试验证范围；给出基于SLO合格事务与TCO净收益的Go/No-Go显式退出门槛。</t>
        </is>
      </c>
    </row>
  </sheetData>
  <mergeCells count="8">
    <mergeCell ref="B16:G16"/>
    <mergeCell ref="A14:G14"/>
    <mergeCell ref="B19:G19"/>
    <mergeCell ref="A1:G1"/>
    <mergeCell ref="B17:G17"/>
    <mergeCell ref="A2:G2"/>
    <mergeCell ref="B18:G18"/>
    <mergeCell ref="B15:G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2" customWidth="1" min="4" max="4"/>
    <col width="14" customWidth="1" min="5" max="5"/>
    <col width="50" customWidth="1" min="6" max="6"/>
  </cols>
  <sheetData>
    <row r="1" ht="30" customHeight="1">
      <c r="A1" s="39" t="inlineStr">
        <is>
          <t>工作簿质量、V2.3.1 需求树与四个核心验证阶段 (E0~E3) 验证目标对齐门禁（V1.6）</t>
        </is>
      </c>
    </row>
    <row r="2" ht="36" customHeight="1">
      <c r="A2" s="41" t="inlineStr">
        <is>
          <t>全部结构门禁 PASS 后才可作为执行计划；SR23 编号、公平基线、消融和 E0–E3 方法已人工复核，实验结果仍须执行后填写。</t>
        </is>
      </c>
    </row>
    <row r="3"/>
    <row r="4" ht="40" customHeight="1">
      <c r="A4" s="46" t="inlineStr">
        <is>
          <t>门禁ID</t>
        </is>
      </c>
      <c r="B4" s="46" t="inlineStr">
        <is>
          <t>检查项</t>
        </is>
      </c>
      <c r="C4" s="46" t="inlineStr">
        <is>
          <t>公式结果</t>
        </is>
      </c>
      <c r="D4" s="46" t="inlineStr">
        <is>
          <t>目标</t>
        </is>
      </c>
      <c r="E4" s="46" t="inlineStr">
        <is>
          <t>状态</t>
        </is>
      </c>
      <c r="F4" s="46" t="inlineStr">
        <is>
          <t>说明</t>
        </is>
      </c>
    </row>
    <row r="5" ht="44" customHeight="1">
      <c r="A5" s="47" t="inlineStr">
        <is>
          <t>QG-01</t>
        </is>
      </c>
      <c r="B5" s="47" t="inlineStr">
        <is>
          <t>立项前必做项数量</t>
        </is>
      </c>
      <c r="C5" s="47">
        <f>COUNTIF('精简验证总表'!$D$5:$D$15,"立项前必做")</f>
        <v/>
      </c>
      <c r="D5" s="47" t="n">
        <v>8</v>
      </c>
      <c r="E5" s="47">
        <f>IF(C5=D5,"PASS","FAIL")</f>
        <v/>
      </c>
      <c r="F5" s="22" t="inlineStr">
        <is>
          <t>严格控制为8个共享原型包</t>
        </is>
      </c>
    </row>
    <row r="6" ht="44" customHeight="1">
      <c r="A6" s="48" t="inlineStr">
        <is>
          <t>QG-02</t>
        </is>
      </c>
      <c r="B6" s="48" t="inlineStr">
        <is>
          <t>条件/证伪项数量</t>
        </is>
      </c>
      <c r="C6" s="48">
        <f>COUNTIF('精简验证总表'!$D$5:$D$15,"条件/证伪")</f>
        <v/>
      </c>
      <c r="D6" s="48" t="n">
        <v>3</v>
      </c>
      <c r="E6" s="48">
        <f>IF(C6=D6,"PASS","FAIL")</f>
        <v/>
      </c>
      <c r="F6" s="23" t="inlineStr">
        <is>
          <t>不进入默认人力与排期</t>
        </is>
      </c>
    </row>
    <row r="7" ht="44" customHeight="1">
      <c r="A7" s="48" t="inlineStr">
        <is>
          <t>QG-03</t>
        </is>
      </c>
      <c r="B7" s="48" t="inlineStr">
        <is>
          <t>原V1.3审计项数量</t>
        </is>
      </c>
      <c r="C7" s="48">
        <f>COUNTA('V1.3项审计'!$A$5:$A$29)</f>
        <v/>
      </c>
      <c r="D7" s="48" t="n">
        <v>25</v>
      </c>
      <c r="E7" s="48">
        <f>IF(C7=D7,"PASS","FAIL")</f>
        <v/>
      </c>
      <c r="F7" s="23" t="inlineStr">
        <is>
          <t>8个BVG+17个KTP</t>
        </is>
      </c>
    </row>
    <row r="8" ht="44" customHeight="1">
      <c r="A8" s="48" t="inlineStr">
        <is>
          <t>QG-04</t>
        </is>
      </c>
      <c r="B8" s="48" t="inlineStr">
        <is>
          <t>无关联IR的新验证项</t>
        </is>
      </c>
      <c r="C8" s="48">
        <f>COUNTBLANK('精简验证总表'!$F$5:$F$15)</f>
        <v/>
      </c>
      <c r="D8" s="48" t="n">
        <v>0</v>
      </c>
      <c r="E8" s="48">
        <f>IF(C8=D8,"PASS","FAIL")</f>
        <v/>
      </c>
      <c r="F8" s="23" t="inlineStr">
        <is>
          <t>主关联IR不得为空</t>
        </is>
      </c>
    </row>
    <row r="9" ht="44" customHeight="1">
      <c r="A9" s="48" t="inlineStr">
        <is>
          <t>QG-05</t>
        </is>
      </c>
      <c r="B9" s="48" t="inlineStr">
        <is>
          <t>24条IR无任何覆盖项</t>
        </is>
      </c>
      <c r="C9" s="48">
        <f>COUNTIF('IR追溯矩阵'!$F$5:$F$28,"—")</f>
        <v/>
      </c>
      <c r="D9" s="48" t="n">
        <v>0</v>
      </c>
      <c r="E9" s="48">
        <f>IF(C9=D9,"PASS","FAIL")</f>
        <v/>
      </c>
      <c r="F9" s="23" t="inlineStr">
        <is>
          <t>允许并包覆盖，不要求单设项</t>
        </is>
      </c>
    </row>
    <row r="10" ht="44" customHeight="1">
      <c r="A10" s="48" t="inlineStr">
        <is>
          <t>QG-06</t>
        </is>
      </c>
      <c r="B10" s="48" t="inlineStr">
        <is>
          <t>K0 IR未被PVT覆盖</t>
        </is>
      </c>
      <c r="C10" s="48">
        <f>COUNTIFS('IR追溯矩阵'!$D$5:$D$28,"K0",'IR追溯矩阵'!$F$5:$F$28,"—")</f>
        <v/>
      </c>
      <c r="D10" s="48" t="n">
        <v>0</v>
      </c>
      <c r="E10" s="48">
        <f>IF(C10=D10,"PASS","FAIL")</f>
        <v/>
      </c>
      <c r="F10" s="23" t="inlineStr">
        <is>
          <t>关键IR必须有立项前证据</t>
        </is>
      </c>
    </row>
    <row r="11" ht="44" customHeight="1">
      <c r="A11" s="48" t="inlineStr">
        <is>
          <t>QG-07</t>
        </is>
      </c>
      <c r="B11" s="48" t="inlineStr">
        <is>
          <t>证伪项未标识证伪意图</t>
        </is>
      </c>
      <c r="C11" s="48">
        <f>COUNTIFS('精简验证总表'!$D$5:$D$15,"条件/证伪",'精简验证总表'!$K$5:$K$15,"")</f>
        <v/>
      </c>
      <c r="D11" s="48" t="n">
        <v>0</v>
      </c>
      <c r="E11" s="48">
        <f>IF(C11=D11,"PASS","FAIL")</f>
        <v/>
      </c>
      <c r="F11" s="23" t="inlineStr">
        <is>
          <t>条件项必须显式标记</t>
        </is>
      </c>
    </row>
    <row r="12" ht="44" customHeight="1">
      <c r="A12" s="48" t="inlineStr">
        <is>
          <t>QG-08</t>
        </is>
      </c>
      <c r="B12" s="48" t="inlineStr">
        <is>
          <t>必做项缺少延续路径</t>
        </is>
      </c>
      <c r="C12" s="48">
        <f>COUNTIFS('精简验证总表'!$D$5:$D$15,"立项前必做",'精简验证总表'!$L$5:$L$15,"")</f>
        <v/>
      </c>
      <c r="D12" s="48" t="n">
        <v>0</v>
      </c>
      <c r="E12" s="48">
        <f>IF(C12=D12,"PASS","FAIL")</f>
        <v/>
      </c>
      <c r="F12" s="23" t="inlineStr">
        <is>
          <t>避免一次性Demo</t>
        </is>
      </c>
    </row>
    <row r="13" ht="44" customHeight="1">
      <c r="A13" s="48" t="inlineStr">
        <is>
          <t>QG-09</t>
        </is>
      </c>
      <c r="B13" s="48" t="inlineStr">
        <is>
          <t>明确移出项数量</t>
        </is>
      </c>
      <c r="C13" s="48">
        <f>COUNTIF('V1.3项审计'!$C$5:$C$29,"移出")</f>
        <v/>
      </c>
      <c r="D13" s="48" t="n">
        <v>1</v>
      </c>
      <c r="E13" s="48">
        <f>IF(C13=D13,"PASS","FAIL")</f>
        <v/>
      </c>
      <c r="F13" s="23" t="inlineStr">
        <is>
          <t>KTP-05</t>
        </is>
      </c>
    </row>
  </sheetData>
  <mergeCells count="2">
    <mergeCell ref="A2:F2"/>
    <mergeCell ref="A1:F1"/>
  </mergeCells>
  <conditionalFormatting sqref="E5:E13">
    <cfRule type="containsText" priority="1" operator="containsText" dxfId="0" text="PASS"/>
    <cfRule type="containsText" priority="2" operator="containsText" dxfId="4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2026-08-18T11:48:22Z</dcterms:created>
  <dcterms:modified xmlns:dcterms="http://purl.org/dc/terms/" xmlns:xsi="http://www.w3.org/2001/XMLSchema-instance" xsi:type="dcterms:W3CDTF">2026-08-18T11:48:22Z</dcterms:modified>
</cp:coreProperties>
</file>