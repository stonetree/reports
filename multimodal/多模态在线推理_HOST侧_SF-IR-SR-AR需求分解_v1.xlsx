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9bd3390ce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80647dc0e8dc4f52"/>
    <x:sheet xmlns:r="http://schemas.openxmlformats.org/officeDocument/2006/relationships" name="01_需求树" sheetId="2" r:id="R2ac4bbd6374e4978"/>
    <x:sheet xmlns:r="http://schemas.openxmlformats.org/officeDocument/2006/relationships" name="02_SR验收" sheetId="3" r:id="R288f12fd7f684884"/>
    <x:sheet xmlns:r="http://schemas.openxmlformats.org/officeDocument/2006/relationships" name="03_AR分配矩阵" sheetId="4" r:id="R1d94b600ab6848e7"/>
    <x:sheet xmlns:r="http://schemas.openxmlformats.org/officeDocument/2006/relationships" name="04_口径与来源" sheetId="5" r:id="R726efd009b7e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B4D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  <x:font>
      <x:b/>
      <x:sz val="10"/>
      <x:color rgb="FF172B4D"/>
      <x:name val="Carlito"/>
    </x:font>
    <x:font>
      <x:sz val="10"/>
      <x:color rgb="FF172B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</x:fills>
  <x:borders count="2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3b11648774b12" /><Relationship Type="http://schemas.openxmlformats.org/officeDocument/2006/relationships/theme" Target="/xl/theme/theme1.xml" Id="Ra0eb5b9f1e1c413f" /><Relationship Type="http://schemas.openxmlformats.org/officeDocument/2006/relationships/sharedStrings" Target="/xl/sharedStrings.xml" Id="R1de2219bfd0a4d86" /><Relationship Type="http://schemas.openxmlformats.org/officeDocument/2006/relationships/worksheet" Target="/xl/worksheets/sheet1.xml" Id="R80647dc0e8dc4f52" /><Relationship Type="http://schemas.openxmlformats.org/officeDocument/2006/relationships/worksheet" Target="/xl/worksheets/sheet2.xml" Id="R2ac4bbd6374e4978" /><Relationship Type="http://schemas.openxmlformats.org/officeDocument/2006/relationships/worksheet" Target="/xl/worksheets/sheet3.xml" Id="R288f12fd7f684884" /><Relationship Type="http://schemas.openxmlformats.org/officeDocument/2006/relationships/worksheet" Target="/xl/worksheets/sheet4.xml" Id="R1d94b600ab6848e7" /><Relationship Type="http://schemas.openxmlformats.org/officeDocument/2006/relationships/worksheet" Target="/xl/worksheets/sheet5.xml" Id="R726efd009b7e400c" /></Relationships>
</file>

<file path=xl/tables/table1.xml><?xml version="1.0" encoding="utf-8"?>
<x:table xmlns:x="http://schemas.openxmlformats.org/spreadsheetml/2006/main" id="1" name="RequirementTreeV1" displayName="RequirementTreeV1" ref="A4:L60" headerRowCount="1" totalsRowCount="0" totalsRowShown="0">
  <x:tableColumns count="12">
    <x:tableColumn id="1" name="层级"/>
    <x:tableColumn id="2" name="需求ID"/>
    <x:tableColumn id="3" name="父需求ID"/>
    <x:tableColumn id="4" name="需求标题"/>
    <x:tableColumn id="5" name="需求描述"/>
    <x:tableColumn id="6" name="业务场景/触发"/>
    <x:tableColumn id="7" name="V1验收标准/KPI"/>
    <x:tableColumn id="8" name="优先级"/>
    <x:tableColumn id="9" name="主责任域"/>
    <x:tableColumn id="10" name="关联源需求"/>
    <x:tableColumn id="11" name="主要真实负载/模块"/>
    <x:tableColumn id="12" name="状态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RequirementsV1" displayName="SystemRequirementsV1" ref="A4:L18" headerRowCount="1" totalsRowCount="0" totalsRowShown="0">
  <x:tableColumns count="12">
    <x:tableColumn id="1" name="IR ID"/>
    <x:tableColumn id="2" name="SR ID"/>
    <x:tableColumn id="3" name="类型"/>
    <x:tableColumn id="4" name="SR标题"/>
    <x:tableColumn id="5" name="系统需求（可测试）"/>
    <x:tableColumn id="6" name="业务场景/触发"/>
    <x:tableColumn id="7" name="V1建议验收指标"/>
    <x:tableColumn id="8" name="AR数"/>
    <x:tableColumn id="9" name="P0 AR数"/>
    <x:tableColumn id="10" name="优先级"/>
    <x:tableColumn id="11" name="主责任域"/>
    <x:tableColumn id="12" name="子AR/源S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ocatedRequirementsV1" displayName="AllocatedRequirementsV1" ref="A4:Q39" headerRowCount="1" totalsRowCount="0" totalsRowShown="0">
  <x:tableColumns count="17">
    <x:tableColumn id="1" name="AR ID"/>
    <x:tableColumn id="2" name="源SW ID"/>
    <x:tableColumn id="3" name="父SR ID"/>
    <x:tableColumn id="4" name="父IR ID"/>
    <x:tableColumn id="5" name="优先级"/>
    <x:tableColumn id="6" name="软件库/组件"/>
    <x:tableColumn id="7" name="技术领域"/>
    <x:tableColumn id="8" name="适用场景"/>
    <x:tableColumn id="9" name="当前核心瓶颈"/>
    <x:tableColumn id="10" name="分配需求/优化方向"/>
    <x:tableColumn id="11" name="观测与验收指标"/>
    <x:tableColumn id="12" name="立项/升档条件"/>
    <x:tableColumn id="13" name="建议Owner"/>
    <x:tableColumn id="14" name="生态/硬件绑定属性"/>
    <x:tableColumn id="15" name="调用层级角色"/>
    <x:tableColumn id="16" name="主要真实负载库/执行层"/>
    <x:tableColumn id="17" name="官方/主要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erarchyDefinitionsV1" displayName="HierarchyDefinitionsV1" ref="A3:E7" headerRowCount="1" totalsRowCount="0" totalsRowShown="0">
  <x:tableColumns count="5">
    <x:tableColumn id="1" name="层级"/>
    <x:tableColumn id="2" name="中文名称"/>
    <x:tableColumn id="3" name="工作定义"/>
    <x:tableColumn id="4" name="本版落点"/>
    <x:tableColumn id="5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ompositionRulesV1" displayName="DecompositionRulesV1" ref="A10:B22" headerRowCount="1" totalsRowCount="0" totalsRowShown="0">
  <x:tableColumns count="2">
    <x:tableColumn id="1" name="分解/评审规则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ab6a468a74f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6e6e227c8e40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73d304237d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1304625b684391" /><Relationship Type="http://schemas.openxmlformats.org/officeDocument/2006/relationships/table" Target="/xl/tables/table5.xml" Id="R44e7919521104c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6" hidden="0" customWidth="1"/>
    <x:col min="5" max="5" width="11" hidden="0" customWidth="1"/>
    <x:col min="6" max="6" width="11" hidden="0" customWidth="1"/>
    <x:col min="7" max="7" width="12" hidden="0" customWidth="1"/>
    <x:col min="8" max="8" width="26" hidden="0" customWidth="1"/>
  </x:cols>
  <x:sheetData>
    <x:row r="1" ht="34" customHeight="1">
      <x:c r="A1" s="3" t="str">
        <x:v>AI多模态推理与生成 HOST 侧 SF→IR→SR→AR 需求分解（V1）</x:v>
      </x:c>
    </x:row>
    <x:row r="2" ht="28" customHeight="1">
      <x:c r="A2" s="6" t="str">
        <x:v>总体目标：加速AI多模态推理和生成场景Host侧业务负载；本版基于35条软件优化需求形成可追踪的第一版需求树。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分解指标</x:v>
      </x:c>
      <x:c r="B4" s="11" t="str">
        <x:v>数量/比例</x:v>
      </x:c>
      <x:c r="D4" s="11" t="str">
        <x:v>SF-001 系统特性｜加速AI多模态推理和生成Host侧业务负载</x:v>
      </x:c>
      <x:c r="E4" s="11"/>
      <x:c r="F4" s="11"/>
      <x:c r="G4" s="11"/>
      <x:c r="H4" s="11"/>
    </x:row>
    <x:row r="5" ht="54" customHeight="1">
      <x:c r="A5" s="23" t="str">
        <x:v>SF数量</x:v>
      </x:c>
      <x:c r="B5" s="24" t="n">
        <x:f>COUNTIF('01_需求树'!$A$5:$A$60,"SF")</x:f>
        <x:v>1</x:v>
      </x:c>
      <x:c r="D5" s="28" t="str">
        <x:v>总体目标</x:v>
      </x:c>
      <x:c r="E5" s="23" t="str">
        <x:v>构建面向理解、生成与AI Agent的Host侧端到端加速能力，持续向GPU提供有效负载并缩短用户可消费结果的交付时延；状态：V1待评审。</x:v>
      </x:c>
      <x:c r="F5" s="23"/>
      <x:c r="G5" s="23"/>
      <x:c r="H5" s="23"/>
    </x:row>
    <x:row r="6" ht="54" customHeight="1">
      <x:c r="A6" s="23" t="str">
        <x:v>IR数量</x:v>
      </x:c>
      <x:c r="B6" s="24" t="n">
        <x:f>COUNTIF('01_需求树'!$A$5:$A$60,"IR")</x:f>
        <x:v>6</x:v>
      </x:c>
      <x:c r="D6" s="28" t="str">
        <x:v>业务问题/价值</x:v>
      </x:c>
      <x:c r="E6" s="23" t="str">
        <x:v>Host非模型计算、数据搬运和软件调度造成GPU等待、TTFT/TPOT升高以及生成输出尾部瓶颈。</x:v>
      </x:c>
      <x:c r="F6" s="23"/>
      <x:c r="G6" s="23"/>
      <x:c r="H6" s="23"/>
    </x:row>
    <x:row r="7" ht="54" customHeight="1">
      <x:c r="A7" s="23" t="str">
        <x:v>SR数量</x:v>
      </x:c>
      <x:c r="B7" s="24" t="n">
        <x:f>COUNTIF('01_需求树'!$A$5:$A$60,"SR")</x:f>
        <x:v>14</x:v>
      </x:c>
      <x:c r="D7" s="28" t="str">
        <x:v>范围</x:v>
      </x:c>
      <x:c r="E7" s="23" t="str">
        <x:v>请求接入至GPU提交前，以及GPU输出至用户可消费结果；不含GPU模型主计算。</x:v>
      </x:c>
      <x:c r="F7" s="23"/>
      <x:c r="G7" s="23"/>
      <x:c r="H7" s="23"/>
    </x:row>
    <x:row r="8" ht="54" customHeight="1">
      <x:c r="A8" s="23" t="str">
        <x:v>AR映射数量</x:v>
      </x:c>
      <x:c r="B8" s="24" t="n">
        <x:f>COUNTA('03_AR分配矩阵'!$A$5:$A$39)</x:f>
        <x:v>35</x:v>
      </x:c>
      <x:c r="D8" s="28" t="str">
        <x:v>V1建议业务结果</x:v>
      </x:c>
      <x:c r="E8" s="23" t="str">
        <x:v>热点局部收益建议≥20%，相关E2E SLO建议改善≥5%；按图像、视频、音频、Agent和高并发业务族分别基线化。</x:v>
      </x:c>
      <x:c r="F8" s="23"/>
      <x:c r="G8" s="23"/>
      <x:c r="H8" s="23"/>
    </x:row>
    <x:row r="9" ht="54" customHeight="1">
      <x:c r="A9" s="23" t="str">
        <x:v>源SW需求数量</x:v>
      </x:c>
      <x:c r="B9" s="26" t="n">
        <x:v>35</x:v>
      </x:c>
      <x:c r="D9" s="28" t="str">
        <x:v>质量护栏</x:v>
      </x:c>
      <x:c r="E9" s="23" t="str">
        <x:v>像素、特征、token、Schema、协议和错误语义保持一致；每个AR提交microbenchmark、E2E A/B和golden。</x:v>
      </x:c>
      <x:c r="F9" s="23"/>
      <x:c r="G9" s="23"/>
      <x:c r="H9" s="23"/>
    </x:row>
    <x:row r="10" ht="54" customHeight="1">
      <x:c r="A10" s="23" t="str">
        <x:v>AR覆盖率</x:v>
      </x:c>
      <x:c r="B10" s="25" t="n">
        <x:f>B8/B9</x:f>
        <x:v>1</x:v>
      </x:c>
      <x:c r="D10" s="28" t="str">
        <x:v>鲲鹏约束</x:v>
      </x:c>
      <x:c r="E10" s="23" t="str">
        <x:v>AArch64原生构建，NEON为基础SIMD，SVE/SVE2按目标机型派发；线程、NUMA、内存和GPU PCIe拓扑共同验收。</x:v>
      </x:c>
      <x:c r="F10" s="23"/>
      <x:c r="G10" s="23"/>
      <x:c r="H10" s="23"/>
    </x:row>
    <x:row r="11" ht="54" customHeight="1"/>
    <x:row r="12" ht="54" customHeight="1"/>
    <x:row r="13" ht="54" customHeight="1">
      <x:c r="A13" s="11" t="str">
        <x:v>IR ID</x:v>
      </x:c>
      <x:c r="B13" s="11" t="str">
        <x:v>初始需求</x:v>
      </x:c>
      <x:c r="C13" s="11" t="str">
        <x:v>主要业务场景</x:v>
      </x:c>
      <x:c r="D13" s="11" t="str">
        <x:v>主要业务KPI</x:v>
      </x:c>
      <x:c r="E13" s="11" t="str">
        <x:v>SR数</x:v>
      </x:c>
      <x:c r="F13" s="11" t="str">
        <x:v>AR数</x:v>
      </x:c>
      <x:c r="G13" s="11" t="str">
        <x:v>P0 AR数</x:v>
      </x:c>
      <x:c r="H13" s="11" t="str">
        <x:v>主责任域</x:v>
      </x:c>
    </x:row>
    <x:row r="14" ht="76" customHeight="1">
      <x:c r="A14" s="27" t="str">
        <x:v>IR-01</x:v>
      </x:c>
      <x:c r="B14" s="23" t="str">
        <x:v>接入与协议路径低开销</x:v>
      </x:c>
      <x:c r="C14" s="23" t="str">
        <x:v>高并发API、流式输出、Agent请求、大payload</x:v>
      </x:c>
      <x:c r="D14" s="23" t="str">
        <x:v>ingress/request-ready P99；parse CPU/request；event-loop lag；copy bytes；writes/request；超时/重试放大</x:v>
      </x:c>
      <x:c r="E14" s="23" t="n">
        <x:f>COUNTIF('02_SR验收'!$A$5:$A$18,A14)</x:f>
        <x:v>1</x:v>
      </x:c>
      <x:c r="F14" s="23" t="n">
        <x:f>COUNTIF('03_AR分配矩阵'!$D$5:$D$39,A14)</x:f>
        <x:v>2</x:v>
      </x:c>
      <x:c r="G14" s="23" t="n">
        <x:f>COUNTIFS('03_AR分配矩阵'!$D$5:$D$39,A14,'03_AR分配矩阵'!$E$5:$E$39,"P0")</x:f>
        <x:v>0</x:v>
      </x:c>
      <x:c r="H14" s="23" t="str">
        <x:v>平台中间件团队</x:v>
      </x:c>
    </x:row>
    <x:row r="15" ht="76" customHeight="1">
      <x:c r="A15" s="27" t="str">
        <x:v>IR-02</x:v>
      </x:c>
      <x:c r="B15" s="23" t="str">
        <x:v>多模态媒体负载处理低延迟</x:v>
      </x:c>
      <x:c r="C15" s="23" t="str">
        <x:v>多图/大图、长视频、实时音频、视频生成输出</x:v>
      </x:c>
      <x:c r="D15" s="23" t="str">
        <x:v>media-ready/output-ready P99；cycles/MPixel或frame；audio RTF；copy bytes；GPU wait-for-input；质量一致性</x:v>
      </x:c>
      <x:c r="E15" s="23" t="n">
        <x:f>COUNTIF('02_SR验收'!$A$5:$A$18,A15)</x:f>
        <x:v>4</x:v>
      </x:c>
      <x:c r="F15" s="23" t="n">
        <x:f>COUNTIF('03_AR分配矩阵'!$D$5:$D$39,A15)</x:f>
        <x:v>10</x:v>
      </x:c>
      <x:c r="G15" s="23" t="n">
        <x:f>COUNTIFS('03_AR分配矩阵'!$D$5:$D$39,A15,'03_AR分配矩阵'!$E$5:$E$39,"P0")</x:f>
        <x:v>4</x:v>
      </x:c>
      <x:c r="H15" s="23" t="str">
        <x:v>媒体系统/前处理团队</x:v>
      </x:c>
    </x:row>
    <x:row r="16" ht="76" customHeight="1">
      <x:c r="A16" s="27" t="str">
        <x:v>IR-03</x:v>
      </x:c>
      <x:c r="B16" s="23" t="str">
        <x:v>语义Processor与Agent结构化处理高效率</x:v>
      </x:c>
      <x:c r="C16" s="23" t="str">
        <x:v>多轮多图、长上下文、tool_call、Structured Output、JSON mode</x:v>
      </x:c>
      <x:c r="D16" s="23" t="str">
        <x:v>processor ms/item；tokens/s；re-tokenize count；JSON µs/token；重复扫描bytes；TTFT/TPOT/P99；Schema/语义一致性</x:v>
      </x:c>
      <x:c r="E16" s="23" t="n">
        <x:f>COUNTIF('02_SR验收'!$A$5:$A$18,A16)</x:f>
        <x:v>3</x:v>
      </x:c>
      <x:c r="F16" s="23" t="n">
        <x:f>COUNTIF('03_AR分配矩阵'!$D$5:$D$39,A16)</x:f>
        <x:v>7</x:v>
      </x:c>
      <x:c r="G16" s="23" t="n">
        <x:f>COUNTIFS('03_AR分配矩阵'!$D$5:$D$39,A16,'03_AR分配矩阵'!$E$5:$E$39,"P0")</x:f>
        <x:v>2</x:v>
      </x:c>
      <x:c r="H16" s="23" t="str">
        <x:v>多模态框架/Agent基础设施团队</x:v>
      </x:c>
    </x:row>
    <x:row r="17" ht="76" customHeight="1">
      <x:c r="A17" s="27" t="str">
        <x:v>IR-04</x:v>
      </x:c>
      <x:c r="B17" s="23" t="str">
        <x:v>Host计算、内存与多核吞吐提升</x:v>
      </x:c>
      <x:c r="C17" s="23" t="str">
        <x:v>CPU fallback、小算子密集、动态shape、多socket/多GPU</x:v>
      </x:c>
      <x:c r="D17" s="23" t="str">
        <x:v>cycles/op；GB/s；allocations；copy bytes；remote NUMA%；cache miss；线程扩展效率；H2D GB/s</x:v>
      </x:c>
      <x:c r="E17" s="23" t="n">
        <x:f>COUNTIF('02_SR验收'!$A$5:$A$18,A17)</x:f>
        <x:v>2</x:v>
      </x:c>
      <x:c r="F17" s="23" t="n">
        <x:f>COUNTIF('03_AR分配矩阵'!$D$5:$D$39,A17)</x:f>
        <x:v>9</x:v>
      </x:c>
      <x:c r="G17" s="23" t="n">
        <x:f>COUNTIFS('03_AR分配矩阵'!$D$5:$D$39,A17,'03_AR分配矩阵'!$E$5:$E$39,"P0")</x:f>
        <x:v>2</x:v>
      </x:c>
      <x:c r="H17" s="23" t="str">
        <x:v>系统性能/推理运行时团队</x:v>
      </x:c>
    </x:row>
    <x:row r="18" ht="76" customHeight="1">
      <x:c r="A18" s="27" t="str">
        <x:v>IR-05</x:v>
      </x:c>
      <x:c r="B18" s="23" t="str">
        <x:v>Serving协同与GPU持续供给</x:v>
      </x:c>
      <x:c r="C18" s="23" t="str">
        <x:v>vLLM/SGLang/Triton/TensorRT-LLM、多GPU、高并发、多租户</x:v>
      </x:c>
      <x:c r="D18" s="23" t="str">
        <x:v>QPS/node；scheduler CPU/request；batch效率；GPU idle/starvation；queue P99；cache净收益；资源利用率</x:v>
      </x:c>
      <x:c r="E18" s="23" t="n">
        <x:f>COUNTIF('02_SR验收'!$A$5:$A$18,A18)</x:f>
        <x:v>2</x:v>
      </x:c>
      <x:c r="F18" s="23" t="n">
        <x:f>COUNTIF('03_AR分配矩阵'!$D$5:$D$39,A18)</x:f>
        <x:v>5</x:v>
      </x:c>
      <x:c r="G18" s="23" t="n">
        <x:f>COUNTIFS('03_AR分配矩阵'!$D$5:$D$39,A18,'03_AR分配矩阵'!$E$5:$E$39,"P0")</x:f>
        <x:v>2</x:v>
      </x:c>
      <x:c r="H18" s="23" t="str">
        <x:v>Serving平台/推理框架团队</x:v>
      </x:c>
    </x:row>
    <x:row r="19" ht="76" customHeight="1">
      <x:c r="A19" s="27" t="str">
        <x:v>IR-06</x:v>
      </x:c>
      <x:c r="B19" s="23" t="str">
        <x:v>性能优化可观测、可回放、可验收</x:v>
      </x:c>
      <x:c r="C19" s="23" t="str">
        <x:v>性能基线、版本回归、跨机型/框架A/B、热点归因</x:v>
      </x:c>
      <x:c r="D19" s="23" t="str">
        <x:v>phase覆盖率；inclusive/exclusive time；DSO/symbol命中；回放可复现性；E2E收益；golden通过率</x:v>
      </x:c>
      <x:c r="E19" s="23" t="n">
        <x:f>COUNTIF('02_SR验收'!$A$5:$A$18,A19)</x:f>
        <x:v>2</x:v>
      </x:c>
      <x:c r="F19" s="23" t="n">
        <x:f>COUNTIF('03_AR分配矩阵'!$D$5:$D$39,A19)</x:f>
        <x:v>2</x:v>
      </x:c>
      <x:c r="G19" s="23" t="n">
        <x:f>COUNTIFS('03_AR分配矩阵'!$D$5:$D$39,A19,'03_AR分配矩阵'!$E$5:$E$39,"P0")</x:f>
        <x:v>0</x:v>
      </x:c>
      <x:c r="H19" s="23" t="str">
        <x:v>性能工程/可观测性团队</x:v>
      </x:c>
    </x:row>
    <x:row r="20" ht="54" customHeight="1"/>
    <x:row r="21" ht="54" customHeight="1"/>
    <x:row r="22" ht="54" customHeight="1">
      <x:c r="A22" s="11" t="str">
        <x:v>V1建议评审门槛</x:v>
      </x:c>
      <x:c r="B22" s="11" t="str">
        <x:v>适用对象</x:v>
      </x:c>
      <x:c r="C22" s="11" t="str">
        <x:v>局部性能</x:v>
      </x:c>
      <x:c r="D22" s="11" t="str">
        <x:v>端到端收益</x:v>
      </x:c>
      <x:c r="E22" s="11" t="str">
        <x:v>正确性/质量</x:v>
      </x:c>
      <x:c r="F22" s="11" t="str">
        <x:v>资源与稳定性</x:v>
      </x:c>
      <x:c r="G22" s="11" t="str">
        <x:v>归因要求</x:v>
      </x:c>
      <x:c r="H22" s="11" t="str">
        <x:v>备注</x:v>
      </x:c>
    </x:row>
    <x:row r="23" ht="54" customHeight="1">
      <x:c r="A23" s="23" t="str">
        <x:v>P0实施门槛</x:v>
      </x:c>
      <x:c r="B23" s="23" t="str">
        <x:v>直接影响GPU等待或关键SLO</x:v>
      </x:c>
      <x:c r="C23" s="23" t="str">
        <x:v>目标热点建议≥20%</x:v>
      </x:c>
      <x:c r="D23" s="23" t="str">
        <x:v>相关TTFT/TPOT/P99或吞吐建议≥5%</x:v>
      </x:c>
      <x:c r="E23" s="23" t="str">
        <x:v>golden无回归</x:v>
      </x:c>
      <x:c r="F23" s="23" t="str">
        <x:v>RSS/线程/GPU资源增量受控</x:v>
      </x:c>
      <x:c r="G23" s="23" t="str">
        <x:v>命中真实DSO/symbol/backend</x:v>
      </x:c>
      <x:c r="H23" s="23" t="str">
        <x:v>阈值待业务评审锁定</x:v>
      </x:c>
    </x:row>
    <x:row r="24" ht="54" customHeight="1">
      <x:c r="A24" s="23" t="str">
        <x:v>P1实施门槛</x:v>
      </x:c>
      <x:c r="B24" s="23" t="str">
        <x:v>依赖流量、模态或部署条件</x:v>
      </x:c>
      <x:c r="C24" s="23" t="str">
        <x:v>需证明进入CPU Top-N或阶段占比显著</x:v>
      </x:c>
      <x:c r="D24" s="23" t="str">
        <x:v>需有可测E2E净收益</x:v>
      </x:c>
      <x:c r="E24" s="23" t="str">
        <x:v>兼容矩阵通过</x:v>
      </x:c>
      <x:c r="F24" s="23" t="str">
        <x:v>回退路径完整</x:v>
      </x:c>
      <x:c r="G24" s="23" t="str">
        <x:v>入口与执行层分离归因</x:v>
      </x:c>
      <x:c r="H24" s="23" t="str"/>
    </x:row>
    <x:row r="25" ht="54" customHeight="1">
      <x:c r="A25" s="23" t="str">
        <x:v>工具与观测</x:v>
      </x:c>
      <x:c r="B25" s="23" t="str">
        <x:v>所有P0/P1 AR</x:v>
      </x:c>
      <x:c r="C25" s="23" t="str">
        <x:v>microbenchmark可复现</x:v>
      </x:c>
      <x:c r="D25" s="23" t="str">
        <x:v>统一回放A/B</x:v>
      </x:c>
      <x:c r="E25" s="23" t="str">
        <x:v>语义golden</x:v>
      </x:c>
      <x:c r="F25" s="23" t="str">
        <x:v>多并发/多NUMA配置</x:v>
      </x:c>
      <x:c r="G25" s="23" t="str">
        <x:v>inclusive+exclusive time</x:v>
      </x:c>
      <x:c r="H25" s="23" t="str"/>
    </x:row>
    <x:row r="26" ht="54" customHeight="1">
      <x:c r="A26" s="23" t="str">
        <x:v>鲲鹏发布</x:v>
      </x:c>
      <x:c r="B26" s="23" t="str">
        <x:v>含原生热点库的AR</x:v>
      </x:c>
      <x:c r="C26" s="23" t="str">
        <x:v>AArch64+NEON基线；可选SVE/SVE2</x:v>
      </x:c>
      <x:c r="D26" s="23" t="str">
        <x:v>跨机型收益不倒退</x:v>
      </x:c>
      <x:c r="E26" s="23" t="str">
        <x:v>数值/协议一致</x:v>
      </x:c>
      <x:c r="F26" s="23" t="str">
        <x:v>通用包+优化包+回退</x:v>
      </x:c>
      <x:c r="G26" s="23" t="str">
        <x:v>记录编译器/flags/build-id</x:v>
      </x:c>
      <x:c r="H26" s="23" t="str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31" hidden="0" customWidth="1"/>
    <x:col min="5" max="5" width="58" hidden="0" customWidth="1"/>
    <x:col min="6" max="6" width="30" hidden="0" customWidth="1"/>
    <x:col min="7" max="7" width="42" hidden="0" customWidth="1"/>
    <x:col min="8" max="8" width="11" hidden="0" customWidth="1"/>
    <x:col min="9" max="9" width="24" hidden="0" customWidth="1"/>
    <x:col min="10" max="10" width="28" hidden="0" customWidth="1"/>
    <x:col min="11" max="11" width="58" hidden="0" customWidth="1"/>
    <x:col min="12" max="12" width="20" hidden="0" customWidth="1"/>
  </x:cols>
  <x:sheetData>
    <x:row r="1" ht="34" customHeight="1">
      <x:c r="A1" s="3" t="str">
        <x:v>SF→IR→SR→AR 可追踪需求树</x:v>
      </x:c>
    </x:row>
    <x:row r="2" ht="26" customHeight="1">
      <x:c r="A2" s="6" t="str">
        <x:v>层级定义采用IPD/CodeArts口径；每个AR一一对应源工作簿SW需求，跨域支撑关系通过场景和真实负载列记录，不复制AR。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1" t="str">
        <x:v>层级</x:v>
      </x:c>
      <x:c r="B4" s="11" t="str">
        <x:v>需求ID</x:v>
      </x:c>
      <x:c r="C4" s="11" t="str">
        <x:v>父需求ID</x:v>
      </x:c>
      <x:c r="D4" s="11" t="str">
        <x:v>需求标题</x:v>
      </x:c>
      <x:c r="E4" s="11" t="str">
        <x:v>需求描述</x:v>
      </x:c>
      <x:c r="F4" s="11" t="str">
        <x:v>业务场景/触发</x:v>
      </x:c>
      <x:c r="G4" s="11" t="str">
        <x:v>V1验收标准/KPI</x:v>
      </x:c>
      <x:c r="H4" s="11" t="str">
        <x:v>优先级</x:v>
      </x:c>
      <x:c r="I4" s="11" t="str">
        <x:v>主责任域</x:v>
      </x:c>
      <x:c r="J4" s="11" t="str">
        <x:v>关联源需求</x:v>
      </x:c>
      <x:c r="K4" s="11" t="str">
        <x:v>主要真实负载/模块</x:v>
      </x:c>
      <x:c r="L4" s="11" t="str">
        <x:v>状态/备注</x:v>
      </x:c>
    </x:row>
    <x:row r="5" ht="90" customHeight="1">
      <x:c r="A5" s="30" t="str">
        <x:v>SF</x:v>
      </x:c>
      <x:c r="B5" s="30" t="str">
        <x:v>SF-001</x:v>
      </x:c>
      <x:c r="C5" s="30" t="str"/>
      <x:c r="D5" s="30" t="str">
        <x:v>加速AI多模态推理和生成Host侧业务负载</x:v>
      </x:c>
      <x:c r="E5" s="30" t="str">
        <x:v>构建面向理解、生成与AI Agent的Host侧端到端加速能力，降低非模型计算、数据搬运和调度开销，持续向GPU提供有效负载并缩短结果交付时延。</x:v>
      </x:c>
      <x:c r="F5" s="30" t="str">
        <x:v>图像/视频/音频理解，多模态生成，AI Agent，高并发Serving</x:v>
      </x:c>
      <x:c r="G5" s="30" t="str">
        <x:v>TTFT/TPOT/P99、QPS/node、GPU wait、CPU/request、质量golden；V1建议局部≥20%、相关E2E≥5%</x:v>
      </x:c>
      <x:c r="H5" s="30" t="str">
        <x:v>战略</x:v>
      </x:c>
      <x:c r="I5" s="30" t="str">
        <x:v>产品/架构/性能联合团队</x:v>
      </x:c>
      <x:c r="J5" s="30" t="str">
        <x:v>源SW-001~SW-035</x:v>
      </x:c>
      <x:c r="K5" s="30" t="str">
        <x:v>Host全链路真实执行库/运行时/系统服务</x:v>
      </x:c>
      <x:c r="L5" s="30" t="str">
        <x:v>V1待评审</x:v>
      </x:c>
    </x:row>
    <x:row r="6" ht="82" customHeight="1">
      <x:c r="A6" s="32" t="str">
        <x:v>IR</x:v>
      </x:c>
      <x:c r="B6" s="32" t="str">
        <x:v>IR-01</x:v>
      </x:c>
      <x:c r="C6" s="32" t="str">
        <x:v>SF-001</x:v>
      </x:c>
      <x:c r="D6" s="32" t="str">
        <x:v>接入与协议路径低开销</x:v>
      </x:c>
      <x:c r="E6" s="32" t="str">
        <x:v>面向OpenAI兼容API、SSE/WebSocket和大媒体请求，用户需要请求进入系统后快速完成协议处理并稳定进入推理流水线，避免代理缓冲、事件循环阻塞和重复JSON/bytes转换放大首包时延。</x:v>
      </x:c>
      <x:c r="F6" s="32" t="str">
        <x:v>高并发API、流式输出、Agent请求、大payload</x:v>
      </x:c>
      <x:c r="G6" s="32" t="str">
        <x:v>ingress/request-ready P99；parse CPU/request；event-loop lag；copy bytes；writes/request；超时/重试放大</x:v>
      </x:c>
      <x:c r="H6" s="32" t="str">
        <x:v>P1</x:v>
      </x:c>
      <x:c r="I6" s="32" t="str">
        <x:v>平台中间件团队</x:v>
      </x:c>
      <x:c r="J6" s="32" t="str">
        <x:v>SW-029、SW-035</x:v>
      </x:c>
      <x:c r="K6" s="32" t="str">
        <x:v>由下级SR/AR穿透归因</x:v>
      </x:c>
      <x:c r="L6" s="32" t="str">
        <x:v>V1待评审</x:v>
      </x:c>
    </x:row>
    <x:row r="7" ht="82" customHeight="1">
      <x:c r="A7" s="33" t="str">
        <x:v>SR</x:v>
      </x:c>
      <x:c r="B7" s="33" t="str">
        <x:v>SR-01</x:v>
      </x:c>
      <x:c r="C7" s="33" t="str">
        <x:v>IR-01</x:v>
      </x:c>
      <x:c r="D7" s="33" t="str">
        <x:v>服务入口与流式协议数据路径</x:v>
      </x:c>
      <x:c r="E7" s="33" t="str">
        <x:v>系统应对API请求解析、Schema校验、SSE/WebSocket输出和代理转发分阶段执行与观测；CPU重任务不得阻塞event loop，并应减少小包系统调用、重复bytes/string转换和代理缓冲。</x:v>
      </x:c>
      <x:c r="F7" s="33" t="str">
        <x:v>OpenAI兼容API、SSE、WebSocket、大payload</x:v>
      </x:c>
      <x:c r="G7" s="33" t="str">
        <x:v>request-ready P99；parse CPU；event-loop lag；writes/request；copy bytes；超时率</x:v>
      </x:c>
      <x:c r="H7" s="33" t="str">
        <x:v>P1</x:v>
      </x:c>
      <x:c r="I7" s="33" t="str">
        <x:v>平台中间件团队</x:v>
      </x:c>
      <x:c r="J7" s="33" t="str">
        <x:v>SW-029、SW-035</x:v>
      </x:c>
      <x:c r="K7" s="33" t="str">
        <x:v>详见下级AR主要真实负载列</x:v>
      </x:c>
      <x:c r="L7" s="33" t="str">
        <x:v>V1待评审</x:v>
      </x:c>
    </x:row>
    <x:row r="8" ht="68" customHeight="1">
      <x:c r="A8" s="23" t="str">
        <x:v>AR</x:v>
      </x:c>
      <x:c r="B8" s="23" t="str">
        <x:v>AR-SW-029</x:v>
      </x:c>
      <x:c r="C8" s="23" t="str">
        <x:v>SR-01</x:v>
      </x:c>
      <x:c r="D8" s="23" t="str">
        <x:v>SW-029｜FastAPI / Starlette / Uvicorn</x:v>
      </x:c>
      <x:c r="E8" s="23" t="str">
        <x:v>针对“同步CPU任务阻塞event loop；Pydantic对象、base64和逐token SSE造成CPU/尾延迟”，由平台中间件团队按源需求实施模块级优化；完整优化方向见03_AR分配矩阵。</x:v>
      </x:c>
      <x:c r="F8" s="23" t="str">
        <x:v>OpenAI兼容API与SSE</x:v>
      </x:c>
      <x:c r="G8" s="23" t="str">
        <x:v>parse CPU/request；event-loop lag；writes/request；P99；QPS；立项条件：API CPU占TTFT/TPOT&gt;10%</x:v>
      </x:c>
      <x:c r="H8" s="23" t="str">
        <x:v>P1</x:v>
      </x:c>
      <x:c r="I8" s="23" t="str">
        <x:v>平台中间件团队</x:v>
      </x:c>
      <x:c r="J8" s="23" t="str">
        <x:v>SW-029</x:v>
      </x:c>
      <x:c r="K8" s="23" t="str">
        <x:v>主负载：带Schema请求/结构化输出落到Pydantic-core（jiter解析、validator与Python对象构造）；通用dict/list响应与SSE JSON落到orjson；其余为uvloop/libuv、httptools/h11、OpenSSL及Linux网络栈。FastAPI路由层主要是入口。</x:v>
      </x:c>
      <x:c r="L8" s="23" t="str">
        <x:v>未开始｜源需求一一映射</x:v>
      </x:c>
    </x:row>
    <x:row r="9" ht="68" customHeight="1">
      <x:c r="A9" s="23" t="str">
        <x:v>AR</x:v>
      </x:c>
      <x:c r="B9" s="23" t="str">
        <x:v>AR-SW-035</x:v>
      </x:c>
      <x:c r="C9" s="23" t="str">
        <x:v>SR-01</x:v>
      </x:c>
      <x:c r="D9" s="23" t="str">
        <x:v>SW-035｜Envoy / Nginx</x:v>
      </x:c>
      <x:c r="E9" s="23" t="str">
        <x:v>针对“代理缓冲、超时、连接池和逐小包转发放大尾延迟”，由平台中间件团队按源需求实施模块级优化；完整优化方向见03_AR分配矩阵。</x:v>
      </x:c>
      <x:c r="F9" s="23" t="str">
        <x:v>远程媒体、SSE/WebSocket、高并发</x:v>
      </x:c>
      <x:c r="G9" s="23" t="str">
        <x:v>连接复用率；proxy queue；writes；P99；超时/重试放大；立项条件：代理层排队或小包转发可见</x:v>
      </x:c>
      <x:c r="H9" s="23" t="str">
        <x:v>P1</x:v>
      </x:c>
      <x:c r="I9" s="23" t="str">
        <x:v>平台中间件团队</x:v>
      </x:c>
      <x:c r="J9" s="23" t="str">
        <x:v>SW-035</x:v>
      </x:c>
      <x:c r="K9" s="23" t="str">
        <x:v>主负载：Envoy/Nginx event loop、TLS（OpenSSL/BoringSSL）、HTTP解析、zlib压缩、buffer copy及Linux网络栈；配置层本身不承担数据面负载。</x:v>
      </x:c>
      <x:c r="L9" s="23" t="str">
        <x:v>未开始｜源需求一一映射</x:v>
      </x:c>
    </x:row>
    <x:row r="10" ht="82" customHeight="1">
      <x:c r="A10" s="32" t="str">
        <x:v>IR</x:v>
      </x:c>
      <x:c r="B10" s="32" t="str">
        <x:v>IR-02</x:v>
      </x:c>
      <x:c r="C10" s="32" t="str">
        <x:v>SF-001</x:v>
      </x:c>
      <x:c r="D10" s="32" t="str">
        <x:v>多模态媒体负载处理低延迟</x:v>
      </x:c>
      <x:c r="E10" s="32" t="str">
        <x:v>面向图像、视频、音频理解和生成输出，用户需要媒体从原始编码到模型可消费张量、以及生成结果到可交付媒体的Host处理时延可控，避免CPU编解码、重采样和多次全量遍历造成GPU等待。</x:v>
      </x:c>
      <x:c r="F10" s="32" t="str">
        <x:v>多图/大图、长视频、实时音频、视频生成输出</x:v>
      </x:c>
      <x:c r="G10" s="32" t="str">
        <x:v>media-ready/output-ready P99；cycles/MPixel或frame；audio RTF；copy bytes；GPU wait-for-input；质量一致性</x:v>
      </x:c>
      <x:c r="H10" s="32" t="str">
        <x:v>P0</x:v>
      </x:c>
      <x:c r="I10" s="32" t="str">
        <x:v>媒体系统/前处理团队</x:v>
      </x:c>
      <x:c r="J10" s="32" t="str">
        <x:v>SW-002、SW-003、SW-007、SW-001、SW-034、SW-008、SW-009、SW-004、SW-005、SW-006</x:v>
      </x:c>
      <x:c r="K10" s="32" t="str">
        <x:v>由下级SR/AR穿透归因</x:v>
      </x:c>
      <x:c r="L10" s="32" t="str">
        <x:v>V1待评审</x:v>
      </x:c>
    </x:row>
    <x:row r="11" ht="82" customHeight="1">
      <x:c r="A11" s="33" t="str">
        <x:v>SR</x:v>
      </x:c>
      <x:c r="B11" s="33" t="str">
        <x:v>SR-02</x:v>
      </x:c>
      <x:c r="C11" s="33" t="str">
        <x:v>IR-02</x:v>
      </x:c>
      <x:c r="D11" s="33" t="str">
        <x:v>图像编解码与格式转换</x:v>
      </x:c>
      <x:c r="E11" s="33" t="str">
        <x:v>系统应为JPEG及常见图像格式提供鲲鹏AArch64高效解码、颜色转换和少拷贝buffer接口，并保持EXIF/ICC/progressive及像素语义一致。</x:v>
      </x:c>
      <x:c r="F11" s="33" t="str">
        <x:v>图像理解、图像生成输出、多图/大图</x:v>
      </x:c>
      <x:c r="G11" s="33" t="str">
        <x:v>cycles/MPixel；MPixel/s；decode P99；copy bytes；像素/容差golden</x:v>
      </x:c>
      <x:c r="H11" s="33" t="str">
        <x:v>P0</x:v>
      </x:c>
      <x:c r="I11" s="33" t="str">
        <x:v>媒体系统团队</x:v>
      </x:c>
      <x:c r="J11" s="33" t="str">
        <x:v>SW-002、SW-003、SW-007</x:v>
      </x:c>
      <x:c r="K11" s="33" t="str">
        <x:v>详见下级AR主要真实负载列</x:v>
      </x:c>
      <x:c r="L11" s="33" t="str">
        <x:v>V1待评审</x:v>
      </x:c>
    </x:row>
    <x:row r="12" ht="68" customHeight="1">
      <x:c r="A12" s="23" t="str">
        <x:v>AR</x:v>
      </x:c>
      <x:c r="B12" s="23" t="str">
        <x:v>AR-SW-002</x:v>
      </x:c>
      <x:c r="C12" s="23" t="str">
        <x:v>SR-02</x:v>
      </x:c>
      <x:c r="D12" s="23" t="str">
        <x:v>SW-002｜libjpeg-turbo / TurboJPEG</x:v>
      </x:c>
      <x:c r="E12" s="23" t="str">
        <x:v>针对“JPEG 解码、颜色转换及多次 buffer 复制随总像素线性放大”，由媒体系统团队按源需求实施模块级优化；完整优化方向见03_AR分配矩阵。</x:v>
      </x:c>
      <x:c r="F12" s="23" t="str">
        <x:v>图像理解与图像生成输出</x:v>
      </x:c>
      <x:c r="G12" s="23" t="str">
        <x:v>cycles/MPixel；MPixel/s；copy bytes；decode P99；像素/容差一致性；立项条件：JPEG 占图像请求主体且 decode+convert&gt;CPU链路20%</x:v>
      </x:c>
      <x:c r="H12" s="23" t="str">
        <x:v>P0</x:v>
      </x:c>
      <x:c r="I12" s="23" t="str">
        <x:v>媒体系统团队</x:v>
      </x:c>
      <x:c r="J12" s="23" t="str">
        <x:v>SW-002</x:v>
      </x:c>
      <x:c r="K12" s="23" t="str">
        <x:v>主负载：libjpeg-turbo的IDCT、熵解码、颜色转换与SIMD内核；上层TurboJPEG API自身占比通常很低。</x:v>
      </x:c>
      <x:c r="L12" s="23" t="str">
        <x:v>未开始｜源需求一一映射</x:v>
      </x:c>
    </x:row>
    <x:row r="13" ht="68" customHeight="1">
      <x:c r="A13" s="23" t="str">
        <x:v>AR</x:v>
      </x:c>
      <x:c r="B13" s="23" t="str">
        <x:v>AR-SW-003</x:v>
      </x:c>
      <x:c r="C13" s="23" t="str">
        <x:v>SR-02</x:v>
      </x:c>
      <x:c r="D13" s="23" t="str">
        <x:v>SW-003｜Pillow</x:v>
      </x:c>
      <x:c r="E13" s="23" t="str">
        <x:v>针对“PIL Image→NumPy→Tensor 多阶段对象和拷贝；高并发下对象分配明显”，由视觉前处理团队按源需求实施模块级优化；完整优化方向见03_AR分配矩阵。</x:v>
      </x:c>
      <x:c r="F13" s="23" t="str">
        <x:v>图片加载、EXIF、模式转换</x:v>
      </x:c>
      <x:c r="G13" s="23" t="str">
        <x:v>PIL/NumPy/Tensor 转换次数；allocations；copy bytes；兼容用例通过率；立项条件：Pillow 路径仍是主链路或模型 processor 强依赖</x:v>
      </x:c>
      <x:c r="H13" s="23" t="str">
        <x:v>P1</x:v>
      </x:c>
      <x:c r="I13" s="23" t="str">
        <x:v>视觉前处理团队</x:v>
      </x:c>
      <x:c r="J13" s="23" t="str">
        <x:v>SW-003</x:v>
      </x:c>
      <x:c r="K13" s="23" t="str">
        <x:v>主负载：Pillow _imaging C扩展及libjpeg-turbo、zlib、libtiff、libwebp、lcms2；PIL Python对象层主要是调度和对象转换。</x:v>
      </x:c>
      <x:c r="L13" s="23" t="str">
        <x:v>未开始｜源需求一一映射</x:v>
      </x:c>
    </x:row>
    <x:row r="14" ht="68" customHeight="1">
      <x:c r="A14" s="23" t="str">
        <x:v>AR</x:v>
      </x:c>
      <x:c r="B14" s="23" t="str">
        <x:v>AR-SW-007</x:v>
      </x:c>
      <x:c r="C14" s="23" t="str">
        <x:v>SR-02</x:v>
      </x:c>
      <x:c r="D14" s="23" t="str">
        <x:v>SW-007｜nvImageCodec / nvJPEG</x:v>
      </x:c>
      <x:c r="E14" s="23" t="str">
        <x:v>针对“CPU JPEG/多格式解码重；跨库转换和 D2H/H2D 抵消加速”，由异构加速团队按源需求实施模块级优化；完整优化方向见03_AR分配矩阵。</x:v>
      </x:c>
      <x:c r="F14" s="23" t="str">
        <x:v>批量图像理解与图像输出</x:v>
      </x:c>
      <x:c r="G14" s="23" t="str">
        <x:v>decode MPixel/s；copy bytes；GPU占用；端到端P99；fallback率；立项条件：大图/多图且 CPU codec 为热点，GPU仍有余量</x:v>
      </x:c>
      <x:c r="H14" s="23" t="str">
        <x:v>P1</x:v>
      </x:c>
      <x:c r="I14" s="23" t="str">
        <x:v>异构加速团队</x:v>
      </x:c>
      <x:c r="J14" s="23" t="str">
        <x:v>SW-007</x:v>
      </x:c>
      <x:c r="K14" s="23" t="str">
        <x:v>主负载：nvJPEG/nvJPEG2K及对应CUDA解码内核、CPU bitstream parser和H2D/D2H拷贝；nvImageCodec主要负责后端选择与调度。</x:v>
      </x:c>
      <x:c r="L14" s="23" t="str">
        <x:v>未开始｜源需求一一映射</x:v>
      </x:c>
    </x:row>
    <x:row r="15" ht="82" customHeight="1">
      <x:c r="A15" s="33" t="str">
        <x:v>SR</x:v>
      </x:c>
      <x:c r="B15" s="33" t="str">
        <x:v>SR-03</x:v>
      </x:c>
      <x:c r="C15" s="33" t="str">
        <x:v>IR-02</x:v>
      </x:c>
      <x:c r="D15" s="33" t="str">
        <x:v>视频编解码与生成输出</x:v>
      </x:c>
      <x:c r="E15" s="33" t="str">
        <x:v>系统应减少随机seek和无效解码帧，复用demux/decoder并按业务条件选择软解、硬解和硬件编码；输出编码不得成为GPU完成后的主尾部瓶颈。</x:v>
      </x:c>
      <x:c r="F15" s="33" t="str">
        <x:v>视频理解、抽帧、视频生成输出</x:v>
      </x:c>
      <x:c r="G15" s="33" t="str">
        <x:v>frames/s；cycles/frame；decoded/requested frames；seek次数；encode/decode P99</x:v>
      </x:c>
      <x:c r="H15" s="33" t="str">
        <x:v>P0</x:v>
      </x:c>
      <x:c r="I15" s="33" t="str">
        <x:v>媒体系统团队</x:v>
      </x:c>
      <x:c r="J15" s="33" t="str">
        <x:v>SW-001、SW-034</x:v>
      </x:c>
      <x:c r="K15" s="33" t="str">
        <x:v>详见下级AR主要真实负载列</x:v>
      </x:c>
      <x:c r="L15" s="33" t="str">
        <x:v>V1待评审</x:v>
      </x:c>
    </x:row>
    <x:row r="16" ht="68" customHeight="1">
      <x:c r="A16" s="23" t="str">
        <x:v>AR</x:v>
      </x:c>
      <x:c r="B16" s="23" t="str">
        <x:v>AR-SW-001</x:v>
      </x:c>
      <x:c r="C16" s="23" t="str">
        <x:v>SR-03</x:v>
      </x:c>
      <x:c r="D16" s="23" t="str">
        <x:v>SW-001｜FFmpeg / libavcodec / libavformat</x:v>
      </x:c>
      <x:c r="E16" s="23" t="str">
        <x:v>针对“软解码、随机 seek、重复 demux 使 CPU 满载并造成 GPU 等待”，由媒体系统团队按源需求实施模块级优化；完整优化方向见03_AR分配矩阵。</x:v>
      </x:c>
      <x:c r="F16" s="23" t="str">
        <x:v>视频理解与视频生成</x:v>
      </x:c>
      <x:c r="G16" s="23" t="str">
        <x:v>frames/s；cycles/frame；实际解码帧/目标帧；P99；GPU wait-for-input；立项条件：视频流量显著或视频 decode 占 TTFT&gt;20%</x:v>
      </x:c>
      <x:c r="H16" s="23" t="str">
        <x:v>P0</x:v>
      </x:c>
      <x:c r="I16" s="23" t="str">
        <x:v>媒体系统团队</x:v>
      </x:c>
      <x:c r="J16" s="23" t="str">
        <x:v>SW-001</x:v>
      </x:c>
      <x:c r="K16" s="23" t="str">
        <x:v>主负载：libavcodec具体codec实现、libavformat demux、libswscale/libswresample及libc memcpy；CLI/Python绑定通常仅负责调度。</x:v>
      </x:c>
      <x:c r="L16" s="23" t="str">
        <x:v>未开始｜源需求一一映射</x:v>
      </x:c>
    </x:row>
    <x:row r="17" ht="68" customHeight="1">
      <x:c r="A17" s="23" t="str">
        <x:v>AR</x:v>
      </x:c>
      <x:c r="B17" s="23" t="str">
        <x:v>AR-SW-034</x:v>
      </x:c>
      <x:c r="C17" s="23" t="str">
        <x:v>SR-03</x:v>
      </x:c>
      <x:c r="D17" s="23" t="str">
        <x:v>SW-034｜NVENC</x:v>
      </x:c>
      <x:c r="E17" s="23" t="str">
        <x:v>针对“CPU H.264/H.265编码成为GPU完成后的主尾部瓶颈”，由媒体系统团队按源需求实施模块级优化；完整优化方向见03_AR分配矩阵。</x:v>
      </x:c>
      <x:c r="F17" s="23" t="str">
        <x:v>视频生成/视频后处理</x:v>
      </x:c>
      <x:c r="G17" s="23" t="str">
        <x:v>frames/s；encode P99；GPU-finish→response；码率/质量；资源占用；立项条件：视频生成编码占端到端&gt;10%，通常升P0</x:v>
      </x:c>
      <x:c r="H17" s="23" t="str">
        <x:v>P1</x:v>
      </x:c>
      <x:c r="I17" s="23" t="str">
        <x:v>媒体系统团队</x:v>
      </x:c>
      <x:c r="J17" s="23" t="str">
        <x:v>SW-034</x:v>
      </x:c>
      <x:c r="K17" s="23" t="str">
        <x:v>主负载：NVENC固定功能编码引擎、NVIDIA驱动、surface转换与内存拷贝；SDK/API提交线程通常只承担轻量调度。</x:v>
      </x:c>
      <x:c r="L17" s="23" t="str">
        <x:v>未开始｜源需求一一映射</x:v>
      </x:c>
    </x:row>
    <x:row r="18" ht="82" customHeight="1">
      <x:c r="A18" s="33" t="str">
        <x:v>SR</x:v>
      </x:c>
      <x:c r="B18" s="33" t="str">
        <x:v>SR-04</x:v>
      </x:c>
      <x:c r="C18" s="33" t="str">
        <x:v>IR-02</x:v>
      </x:c>
      <x:c r="D18" s="33" t="str">
        <x:v>音频解码、重采样与特征公共路径</x:v>
      </x:c>
      <x:c r="E18" s="33" t="str">
        <x:v>系统应提供有状态音频解码/重采样和批量特征处理，复用FFT/重采样状态并减少小chunk调度、Python中间数组及重复格式转换。</x:v>
      </x:c>
      <x:c r="F18" s="33" t="str">
        <x:v>ASR、AudioLM、实时语音、音频生成</x:v>
      </x:c>
      <x:c r="G18" s="33" t="str">
        <x:v>audio-seconds/s；µs/chunk；RTF；allocations；端点延迟；特征一致性</x:v>
      </x:c>
      <x:c r="H18" s="33" t="str">
        <x:v>P1</x:v>
      </x:c>
      <x:c r="I18" s="33" t="str">
        <x:v>音频前处理团队</x:v>
      </x:c>
      <x:c r="J18" s="33" t="str">
        <x:v>SW-008、SW-009</x:v>
      </x:c>
      <x:c r="K18" s="33" t="str">
        <x:v>详见下级AR主要真实负载列</x:v>
      </x:c>
      <x:c r="L18" s="33" t="str">
        <x:v>V1待评审</x:v>
      </x:c>
    </x:row>
    <x:row r="19" ht="68" customHeight="1">
      <x:c r="A19" s="23" t="str">
        <x:v>AR</x:v>
      </x:c>
      <x:c r="B19" s="23" t="str">
        <x:v>AR-SW-008</x:v>
      </x:c>
      <x:c r="C19" s="23" t="str">
        <x:v>SR-04</x:v>
      </x:c>
      <x:c r="D19" s="23" t="str">
        <x:v>SW-008｜torchaudio / soundfile / libsndfile</x:v>
      </x:c>
      <x:c r="E19" s="23" t="str">
        <x:v>针对“小 chunk resample/STFT/log-Mel 的调用、线程调度和中间 Tensor 放大；频繁 open/read 与 dtype 转换增加文件I/O开销”，由音频运行时团队按源需求实施模块级优化；完整优化方向见03_AR分配矩阵。</x:v>
      </x:c>
      <x:c r="F19" s="23" t="str">
        <x:v>ASR/AudioLM/语音生成及音频文件输入</x:v>
      </x:c>
      <x:c r="G19" s="23" t="str">
        <x:v>audio-seconds/s；µs/chunk；RTF；open/read latency；MB/s；allocations；特征误差；立项条件：音频 RTF 接近1、音频前处理占比&gt;15%，或音频文件I/O进入CPU热点</x:v>
      </x:c>
      <x:c r="H19" s="23" t="str">
        <x:v>P1</x:v>
      </x:c>
      <x:c r="I19" s="23" t="str">
        <x:v>音频运行时团队</x:v>
      </x:c>
      <x:c r="J19" s="23" t="str">
        <x:v>SW-008</x:v>
      </x:c>
      <x:c r="K19" s="23" t="str">
        <x:v>主负载：文件I/O穿透到libsndfile、FFmpeg、SoX或TorchCodec；DSP穿透到ATen/FFT/resample内核；torchaudio/soundfile Python层主要派发。</x:v>
      </x:c>
      <x:c r="L19" s="23" t="str">
        <x:v>未开始｜源需求一一映射</x:v>
      </x:c>
    </x:row>
    <x:row r="20" ht="68" customHeight="1">
      <x:c r="A20" s="23" t="str">
        <x:v>AR</x:v>
      </x:c>
      <x:c r="B20" s="23" t="str">
        <x:v>AR-SW-009</x:v>
      </x:c>
      <x:c r="C20" s="23" t="str">
        <x:v>SR-04</x:v>
      </x:c>
      <x:c r="D20" s="23" t="str">
        <x:v>SW-009｜libsoxr / FFmpeg libswresample</x:v>
      </x:c>
      <x:c r="E20" s="23" t="str">
        <x:v>针对“重采样实例重复初始化、过小块处理和中间数组导致CPU放大；不同后端的质量/延迟档位未统一”，由音频运行时团队按源需求实施模块级优化；完整优化方向见03_AR分配矩阵。</x:v>
      </x:c>
      <x:c r="F20" s="23" t="str">
        <x:v>音频输入输出、ASR/AudioLM与FFmpeg媒体管线</x:v>
      </x:c>
      <x:c r="G20" s="23" t="str">
        <x:v>RTF；µs/chunk；状态复用率；中间buffer；SNR/带外抑制；频谱/波形误差；立项条件：重采样成为热点，且存在明确质量或延迟目标</x:v>
      </x:c>
      <x:c r="H20" s="23" t="str">
        <x:v>P1</x:v>
      </x:c>
      <x:c r="I20" s="23" t="str">
        <x:v>音频运行时团队</x:v>
      </x:c>
      <x:c r="J20" s="23" t="str">
        <x:v>SW-009</x:v>
      </x:c>
      <x:c r="K20" s="23" t="str">
        <x:v>主负载：libsoxr或libswresample的滤波、格式/声道转换内核；上层重采样适配器只承担状态管理和派发。</x:v>
      </x:c>
      <x:c r="L20" s="23" t="str">
        <x:v>未开始｜源需求一一映射</x:v>
      </x:c>
    </x:row>
    <x:row r="21" ht="82" customHeight="1">
      <x:c r="A21" s="33" t="str">
        <x:v>SR</x:v>
      </x:c>
      <x:c r="B21" s="33" t="str">
        <x:v>SR-05</x:v>
      </x:c>
      <x:c r="C21" s="33" t="str">
        <x:v>IR-02</x:v>
      </x:c>
      <x:c r="D21" s="33" t="str">
        <x:v>视觉公共前处理融合</x:v>
      </x:c>
      <x:c r="E21" s="33" t="str">
        <x:v>系统应将resize、crop、pad、颜色、layout、dtype和normalize按有限shape组合成少遍历、少中间buffer的批处理路径，并按真实执行后端统一线程预算。</x:v>
      </x:c>
      <x:c r="F21" s="33" t="str">
        <x:v>图像/视频理解与批处理</x:v>
      </x:c>
      <x:c r="G21" s="33" t="str">
        <x:v>passes/pixel；bytes/pixel；MPixel/s；allocations；contiguous ratio；preprocess P99</x:v>
      </x:c>
      <x:c r="H21" s="33" t="str">
        <x:v>P0</x:v>
      </x:c>
      <x:c r="I21" s="33" t="str">
        <x:v>视觉前处理团队</x:v>
      </x:c>
      <x:c r="J21" s="33" t="str">
        <x:v>SW-004、SW-005、SW-006</x:v>
      </x:c>
      <x:c r="K21" s="33" t="str">
        <x:v>详见下级AR主要真实负载列</x:v>
      </x:c>
      <x:c r="L21" s="33" t="str">
        <x:v>V1待评审</x:v>
      </x:c>
    </x:row>
    <x:row r="22" ht="68" customHeight="1">
      <x:c r="A22" s="23" t="str">
        <x:v>AR</x:v>
      </x:c>
      <x:c r="B22" s="23" t="str">
        <x:v>AR-SW-004</x:v>
      </x:c>
      <x:c r="C22" s="23" t="str">
        <x:v>SR-05</x:v>
      </x:c>
      <x:c r="D22" s="23" t="str">
        <x:v>SW-004｜OpenCV</x:v>
      </x:c>
      <x:c r="E22" s="23" t="str">
        <x:v>针对“多次中间 Mat/NumPy buffer、BGR/RGB 与 HWC/CHW 往返；内部线程与其它库超卖”，由视觉前处理团队按源需求实施模块级优化；完整优化方向见03_AR分配矩阵。</x:v>
      </x:c>
      <x:c r="F22" s="23" t="str">
        <x:v>图片/视频 resize、颜色转换、crop/pad</x:v>
      </x:c>
      <x:c r="G22" s="23" t="str">
        <x:v>passes/pixel；bytes/pixel；MPixel/s；allocations；线程扩展效率；立项条件：OpenCV 算子占 preprocess&gt;20% 或 copy bytes&gt;输入3倍</x:v>
      </x:c>
      <x:c r="H22" s="23" t="str">
        <x:v>P0</x:v>
      </x:c>
      <x:c r="I22" s="23" t="str">
        <x:v>视觉前处理团队</x:v>
      </x:c>
      <x:c r="J22" s="23" t="str">
        <x:v>SW-004</x:v>
      </x:c>
      <x:c r="K22" s="23" t="str">
        <x:v>主负载：opencv_imgproc SIMD/并行内核；编解码路径继续穿透到libjpeg-turbo、PNG/zlib或FFmpeg；线程开销落在TBB/OpenMP。</x:v>
      </x:c>
      <x:c r="L22" s="23" t="str">
        <x:v>未开始｜源需求一一映射</x:v>
      </x:c>
    </x:row>
    <x:row r="23" ht="68" customHeight="1">
      <x:c r="A23" s="23" t="str">
        <x:v>AR</x:v>
      </x:c>
      <x:c r="B23" s="23" t="str">
        <x:v>AR-SW-005</x:v>
      </x:c>
      <x:c r="C23" s="23" t="str">
        <x:v>SR-05</x:v>
      </x:c>
      <x:c r="D23" s="23" t="str">
        <x:v>SW-005｜torchvision</x:v>
      </x:c>
      <x:c r="E23" s="23" t="str">
        <x:v>针对“旧 PIL/NumPy backend 或逐图处理导致慢路径；Tensor 后端未充分利用”，由视觉前处理团队按源需求实施模块级优化；完整优化方向见03_AR分配矩阵。</x:v>
      </x:c>
      <x:c r="F23" s="23" t="str">
        <x:v>图像/视频理解</x:v>
      </x:c>
      <x:c r="G23" s="23" t="str">
        <x:v>preprocess ms/item；MPixel/s；CPU bytes；GPU资源增量；一致性；立项条件：HF Processor 可使用 torchvision backend 且图像前处理为热点</x:v>
      </x:c>
      <x:c r="H23" s="23" t="str">
        <x:v>P0</x:v>
      </x:c>
      <x:c r="I23" s="23" t="str">
        <x:v>视觉前处理团队</x:v>
      </x:c>
      <x:c r="J23" s="23" t="str">
        <x:v>SW-005</x:v>
      </x:c>
      <x:c r="K23" s="23" t="str">
        <x:v>主负载：PyTorch ATen CPU/CUDA图像算子、libjpeg/libpng解码内核及PyTorch allocator/thread pool；torchvision Python API多为派发。</x:v>
      </x:c>
      <x:c r="L23" s="23" t="str">
        <x:v>未开始｜源需求一一映射</x:v>
      </x:c>
    </x:row>
    <x:row r="24" ht="68" customHeight="1">
      <x:c r="A24" s="23" t="str">
        <x:v>AR</x:v>
      </x:c>
      <x:c r="B24" s="23" t="str">
        <x:v>AR-SW-006</x:v>
      </x:c>
      <x:c r="C24" s="23" t="str">
        <x:v>SR-05</x:v>
      </x:c>
      <x:c r="D24" s="23" t="str">
        <x:v>SW-006｜NVIDIA DALI</x:v>
      </x:c>
      <x:c r="E24" s="23" t="str">
        <x:v>针对“CPU decode/resize 使 GPU 饥饿；但卸载可能与主模型争 GPU”，由异构加速团队按源需求实施模块级优化；完整优化方向见03_AR分配矩阵。</x:v>
      </x:c>
      <x:c r="F24" s="23" t="str">
        <x:v>高吞吐图像/视频理解</x:v>
      </x:c>
      <x:c r="G24" s="23" t="str">
        <x:v>端到端 TTFT/QPS；GPU starvation；主模型 GPU 利用/P99；显存增量；立项条件：CPU 是确定瓶颈且主模型 GPU 有可用资源</x:v>
      </x:c>
      <x:c r="H24" s="23" t="str">
        <x:v>P1</x:v>
      </x:c>
      <x:c r="I24" s="23" t="str">
        <x:v>异构加速团队</x:v>
      </x:c>
      <x:c r="J24" s="23" t="str">
        <x:v>SW-006</x:v>
      </x:c>
      <x:c r="K24" s="23" t="str">
        <x:v>主负载：DALI C++ operators、nvJPEG/NVDEC、CUDA kernels与copy engine；Python pipeline描述层通常不是主要负载。</x:v>
      </x:c>
      <x:c r="L24" s="23" t="str">
        <x:v>未开始｜源需求一一映射</x:v>
      </x:c>
    </x:row>
    <x:row r="25" ht="82" customHeight="1">
      <x:c r="A25" s="32" t="str">
        <x:v>IR</x:v>
      </x:c>
      <x:c r="B25" s="32" t="str">
        <x:v>IR-03</x:v>
      </x:c>
      <x:c r="C25" s="32" t="str">
        <x:v>SF-001</x:v>
      </x:c>
      <x:c r="D25" s="32" t="str">
        <x:v>语义Processor与Agent结构化处理高效率</x:v>
      </x:c>
      <x:c r="E25" s="32" t="str">
        <x:v>面向VLM、AudioLM和AI Agent，用户需要chat template、动态视觉语义、tokenization、grammar、JSON mode及tool_call以低开销完成，并在流式碎片下保持正确、可恢复和低TPOT。</x:v>
      </x:c>
      <x:c r="F25" s="32" t="str">
        <x:v>多轮多图、长上下文、tool_call、Structured Output、JSON mode</x:v>
      </x:c>
      <x:c r="G25" s="32" t="str">
        <x:v>processor ms/item；tokens/s；re-tokenize count；JSON µs/token；重复扫描bytes；TTFT/TPOT/P99；Schema/语义一致性</x:v>
      </x:c>
      <x:c r="H25" s="32" t="str">
        <x:v>P0</x:v>
      </x:c>
      <x:c r="I25" s="32" t="str">
        <x:v>多模态框架/Agent基础设施团队</x:v>
      </x:c>
      <x:c r="J25" s="32" t="str">
        <x:v>SW-010、SW-011、SW-012、SW-013、SW-023、SW-024、SW-030</x:v>
      </x:c>
      <x:c r="K25" s="32" t="str">
        <x:v>由下级SR/AR穿透归因</x:v>
      </x:c>
      <x:c r="L25" s="32" t="str">
        <x:v>V1待评审</x:v>
      </x:c>
    </x:row>
    <x:row r="26" ht="82" customHeight="1">
      <x:c r="A26" s="33" t="str">
        <x:v>SR</x:v>
      </x:c>
      <x:c r="B26" s="33" t="str">
        <x:v>SR-06</x:v>
      </x:c>
      <x:c r="C26" s="33" t="str">
        <x:v>IR-03</x:v>
      </x:c>
      <x:c r="D26" s="33" t="str">
        <x:v>多模态语义Processor快路径</x:v>
      </x:c>
      <x:c r="E26" s="33" t="str">
        <x:v>系统应对chat template、动态分辨率/tiling、placeholder、grid和metadata建立模型等价快路径，减少Python对象、重复扫描和重复tokenize，并按模型维护golden。</x:v>
      </x:c>
      <x:c r="F26" s="33" t="str">
        <x:v>VLM/AudioLM/Any-to-Any、多轮多图</x:v>
      </x:c>
      <x:c r="G26" s="33" t="str">
        <x:v>processor ms/item；Python time ratio；re-tokenize count；allocations；visual tokens；golden parity</x:v>
      </x:c>
      <x:c r="H26" s="33" t="str">
        <x:v>P0</x:v>
      </x:c>
      <x:c r="I26" s="33" t="str">
        <x:v>多模态框架团队</x:v>
      </x:c>
      <x:c r="J26" s="33" t="str">
        <x:v>SW-010</x:v>
      </x:c>
      <x:c r="K26" s="33" t="str">
        <x:v>详见下级AR主要真实负载列</x:v>
      </x:c>
      <x:c r="L26" s="33" t="str">
        <x:v>V1待评审</x:v>
      </x:c>
    </x:row>
    <x:row r="27" ht="68" customHeight="1">
      <x:c r="A27" s="23" t="str">
        <x:v>AR</x:v>
      </x:c>
      <x:c r="B27" s="23" t="str">
        <x:v>AR-SW-010</x:v>
      </x:c>
      <x:c r="C27" s="23" t="str">
        <x:v>SR-06</x:v>
      </x:c>
      <x:c r="D27" s="23" t="str">
        <x:v>SW-010｜Hugging Face Transformers Processor</x:v>
      </x:c>
      <x:c r="E27" s="23" t="str">
        <x:v>针对“chat template、动态分辨率、tiling、placeholder、grid/metadata 和 Python 对象路径成为单核热点”，由模型运行时团队按源需求实施模块级优化；完整优化方向见03_AR分配矩阵。</x:v>
      </x:c>
      <x:c r="F27" s="23" t="str">
        <x:v>VLM/AudioLM/Any-to-Any</x:v>
      </x:c>
      <x:c r="G27" s="23" t="str">
        <x:v>processor ms/item；Python time；re-tokenize；allocations；visual tokens；一致性；立项条件：apply_hf_processor/prompt_updates 占CPU链路&gt;20%</x:v>
      </x:c>
      <x:c r="H27" s="23" t="str">
        <x:v>P0</x:v>
      </x:c>
      <x:c r="I27" s="23" t="str">
        <x:v>模型运行时团队</x:v>
      </x:c>
      <x:c r="J27" s="23" t="str">
        <x:v>SW-010</x:v>
      </x:c>
      <x:c r="K27" s="23" t="str">
        <x:v>主负载：图像路径落到torchvision/ATen或Pillow/codec库，文本路径落到HF Tokenizers/SentencePiece，另有Python模板与metadata构造。</x:v>
      </x:c>
      <x:c r="L27" s="23" t="str">
        <x:v>未开始｜源需求一一映射</x:v>
      </x:c>
    </x:row>
    <x:row r="28" ht="82" customHeight="1">
      <x:c r="A28" s="33" t="str">
        <x:v>SR</x:v>
      </x:c>
      <x:c r="B28" s="33" t="str">
        <x:v>SR-07</x:v>
      </x:c>
      <x:c r="C28" s="33" t="str">
        <x:v>IR-03</x:v>
      </x:c>
      <x:c r="D28" s="33" t="str">
        <x:v>Tokenization与结构化文本处理</x:v>
      </x:c>
      <x:c r="E28" s="33" t="str">
        <x:v>系统应使用原生fast tokenizer、批量接口和模板/schema缓存，避免字符串重复拼接与跨进程传输原始文本，并保持token IDs、offset和special token语义一致。</x:v>
      </x:c>
      <x:c r="F28" s="33" t="str">
        <x:v>长上下文、工具schema、多轮对话</x:v>
      </x:c>
      <x:c r="G28" s="33" t="str">
        <x:v>tokens/s；µs/token；IPC bytes；re-tokenize count；long-prompt scaling；一致性</x:v>
      </x:c>
      <x:c r="H28" s="33" t="str">
        <x:v>P1</x:v>
      </x:c>
      <x:c r="I28" s="33" t="str">
        <x:v>多模态框架团队</x:v>
      </x:c>
      <x:c r="J28" s="33" t="str">
        <x:v>SW-011、SW-012、SW-013</x:v>
      </x:c>
      <x:c r="K28" s="33" t="str">
        <x:v>详见下级AR主要真实负载列</x:v>
      </x:c>
      <x:c r="L28" s="33" t="str">
        <x:v>V1待评审</x:v>
      </x:c>
    </x:row>
    <x:row r="29" ht="68" customHeight="1">
      <x:c r="A29" s="23" t="str">
        <x:v>AR</x:v>
      </x:c>
      <x:c r="B29" s="23" t="str">
        <x:v>AR-SW-011</x:v>
      </x:c>
      <x:c r="C29" s="23" t="str">
        <x:v>SR-07</x:v>
      </x:c>
      <x:c r="D29" s="23" t="str">
        <x:v>SW-011｜Hugging Face Tokenizers</x:v>
      </x:c>
      <x:c r="E29" s="23" t="str">
        <x:v>针对“重复模板后 tokenize、频繁小 batch、tokenizer pool IPC”，由NLP运行时团队按源需求实施模块级优化；完整优化方向见03_AR分配矩阵。</x:v>
      </x:c>
      <x:c r="F29" s="23" t="str">
        <x:v>长上下文、多轮、多图、工具调用</x:v>
      </x:c>
      <x:c r="G29" s="23" t="str">
        <x:v>tokens/s；µs/token；IPC bytes；re-tokenize；长prompt P99；立项条件：tokenize+template 占 TTFT&gt;10%</x:v>
      </x:c>
      <x:c r="H29" s="23" t="str">
        <x:v>P1</x:v>
      </x:c>
      <x:c r="I29" s="23" t="str">
        <x:v>NLP运行时团队</x:v>
      </x:c>
      <x:c r="J29" s="23" t="str">
        <x:v>SW-011</x:v>
      </x:c>
      <x:c r="K29" s="23" t="str">
        <x:v>主负载：Hugging Face tokenizers Rust core的预分词、模型查找和后处理；Python binding与对象封装通常为次要负载。</x:v>
      </x:c>
      <x:c r="L29" s="23" t="str">
        <x:v>未开始｜源需求一一映射</x:v>
      </x:c>
    </x:row>
    <x:row r="30" ht="68" customHeight="1">
      <x:c r="A30" s="23" t="str">
        <x:v>AR</x:v>
      </x:c>
      <x:c r="B30" s="23" t="str">
        <x:v>AR-SW-012</x:v>
      </x:c>
      <x:c r="C30" s="23" t="str">
        <x:v>SR-07</x:v>
      </x:c>
      <x:c r="D30" s="23" t="str">
        <x:v>SW-012｜SentencePiece</x:v>
      </x:c>
      <x:c r="E30" s="23" t="str">
        <x:v>针对“小批处理、重复初始化和 Python binding 调用放大”，由NLP运行时团队按源需求实施模块级优化；完整优化方向见03_AR分配矩阵。</x:v>
      </x:c>
      <x:c r="F30" s="23" t="str">
        <x:v>SentencePiece/Unigram 模型</x:v>
      </x:c>
      <x:c r="G30" s="23" t="str">
        <x:v>tokens/s；µs/token；初始化次数；IPC bytes；一致性；立项条件：SentencePiece模型为主要流量且tokenizer成为热点</x:v>
      </x:c>
      <x:c r="H30" s="23" t="str">
        <x:v>P1</x:v>
      </x:c>
      <x:c r="I30" s="23" t="str">
        <x:v>NLP运行时团队</x:v>
      </x:c>
      <x:c r="J30" s="23" t="str">
        <x:v>SW-012</x:v>
      </x:c>
      <x:c r="K30" s="23" t="str">
        <x:v>主负载：SentencePiece C++ normalization、Unigram/BPE编码解码内核；Python binding主要负责参数转换和结果封装。</x:v>
      </x:c>
      <x:c r="L30" s="23" t="str">
        <x:v>未开始｜源需求一一映射</x:v>
      </x:c>
    </x:row>
    <x:row r="31" ht="68" customHeight="1">
      <x:c r="A31" s="23" t="str">
        <x:v>AR</x:v>
      </x:c>
      <x:c r="B31" s="23" t="str">
        <x:v>AR-SW-013</x:v>
      </x:c>
      <x:c r="C31" s="23" t="str">
        <x:v>SR-07</x:v>
      </x:c>
      <x:c r="D31" s="23" t="str">
        <x:v>SW-013｜tiktoken</x:v>
      </x:c>
      <x:c r="E31" s="23" t="str">
        <x:v>针对“频繁单条编码、重复schema文本和字符串转换”，由NLP运行时团队按源需求实施模块级优化；完整优化方向见03_AR分配矩阵。</x:v>
      </x:c>
      <x:c r="F31" s="23" t="str">
        <x:v>OpenAI兼容协议或混合 tokenizer 场景</x:v>
      </x:c>
      <x:c r="G31" s="23" t="str">
        <x:v>tokens/s；µs/token；缓存命中；allocations；立项条件：tiktoken用于计费或兼容路径且CPU占比可见</x:v>
      </x:c>
      <x:c r="H31" s="23" t="str">
        <x:v>P1</x:v>
      </x:c>
      <x:c r="I31" s="23" t="str">
        <x:v>NLP运行时团队</x:v>
      </x:c>
      <x:c r="J31" s="23" t="str">
        <x:v>SW-013</x:v>
      </x:c>
      <x:c r="K31" s="23" t="str">
        <x:v>主负载：tiktoken Rust core的regex切分、BPE merge与查表；Python入口自身通常占比低。</x:v>
      </x:c>
      <x:c r="L31" s="23" t="str">
        <x:v>未开始｜源需求一一映射</x:v>
      </x:c>
    </x:row>
    <x:row r="32" ht="82" customHeight="1">
      <x:c r="A32" s="33" t="str">
        <x:v>SR</x:v>
      </x:c>
      <x:c r="B32" s="33" t="str">
        <x:v>SR-08</x:v>
      </x:c>
      <x:c r="C32" s="33" t="str">
        <x:v>IR-03</x:v>
      </x:c>
      <x:c r="D32" s="33" t="str">
        <x:v>Grammar、JSON与Agent结构化交互</x:v>
      </x:c>
      <x:c r="E32" s="33" t="str">
        <x:v>系统应按职责分层使用Pydantic-core/jiter、orjson和simdjson，支持grammar/JSON mode/tool_call的低重扫解析、Schema校验和流式输出；不得默认叠加重复解析或序列化。</x:v>
      </x:c>
      <x:c r="F32" s="33" t="str">
        <x:v>AI Agent、tool_call、Structured Output、JSON mode、SSE</x:v>
      </x:c>
      <x:c r="G32" s="33" t="str">
        <x:v>JSON µs/KB与µs/token；重复扫描bytes；allocations；grammar CPU%；TPOT/P99；错误恢复一致性</x:v>
      </x:c>
      <x:c r="H32" s="33" t="str">
        <x:v>P0</x:v>
      </x:c>
      <x:c r="I32" s="33" t="str">
        <x:v>Agent基础设施/平台中间件团队</x:v>
      </x:c>
      <x:c r="J32" s="33" t="str">
        <x:v>SW-023、SW-024、SW-030</x:v>
      </x:c>
      <x:c r="K32" s="33" t="str">
        <x:v>详见下级AR主要真实负载列</x:v>
      </x:c>
      <x:c r="L32" s="33" t="str">
        <x:v>V1待评审</x:v>
      </x:c>
    </x:row>
    <x:row r="33" ht="68" customHeight="1">
      <x:c r="A33" s="23" t="str">
        <x:v>AR</x:v>
      </x:c>
      <x:c r="B33" s="23" t="str">
        <x:v>AR-SW-023</x:v>
      </x:c>
      <x:c r="C33" s="23" t="str">
        <x:v>SR-08</x:v>
      </x:c>
      <x:c r="D33" s="23" t="str">
        <x:v>SW-023｜xgrammar</x:v>
      </x:c>
      <x:c r="E33" s="23" t="str">
        <x:v>针对“grammar编译和每token状态更新使TPOT上升”，由NLP运行时团队按源需求实施模块级优化；完整优化方向见03_AR分配矩阵。</x:v>
      </x:c>
      <x:c r="F33" s="23" t="str">
        <x:v>JSON Schema/CFG/工具调用</x:v>
      </x:c>
      <x:c r="G33" s="23" t="str">
        <x:v>compile ms/hit；µs/token；TPOT增量；结构化成功率；立项条件：结构化输出流量高或TPOT增量&gt;10%</x:v>
      </x:c>
      <x:c r="H33" s="23" t="str">
        <x:v>P1</x:v>
      </x:c>
      <x:c r="I33" s="23" t="str">
        <x:v>NLP运行时团队</x:v>
      </x:c>
      <x:c r="J33" s="23" t="str">
        <x:v>SW-023</x:v>
      </x:c>
      <x:c r="K33" s="23" t="str">
        <x:v>主负载：xgrammar C++ grammar compiler、matcher、token mask更新及tokenizer映射；Python binding主要负责接入。</x:v>
      </x:c>
      <x:c r="L33" s="23" t="str">
        <x:v>未开始｜源需求一一映射</x:v>
      </x:c>
    </x:row>
    <x:row r="34" ht="68" customHeight="1">
      <x:c r="A34" s="23" t="str">
        <x:v>AR</x:v>
      </x:c>
      <x:c r="B34" s="23" t="str">
        <x:v>AR-SW-024</x:v>
      </x:c>
      <x:c r="C34" s="23" t="str">
        <x:v>SR-08</x:v>
      </x:c>
      <x:c r="D34" s="23" t="str">
        <x:v>SW-024｜Outlines</x:v>
      </x:c>
      <x:c r="E34" s="23" t="str">
        <x:v>针对“Python层schema构造、FSM编译与集成开销”，由NLP运行时团队按源需求实施模块级优化；完整优化方向见03_AR分配矩阵。</x:v>
      </x:c>
      <x:c r="F34" s="23" t="str">
        <x:v>Regex/JSON Schema约束</x:v>
      </x:c>
      <x:c r="G34" s="23" t="str">
        <x:v>compile ms；µs/token；TPOT；成功率；立项条件：现有服务已使用Outlines</x:v>
      </x:c>
      <x:c r="H34" s="23" t="str">
        <x:v>P2</x:v>
      </x:c>
      <x:c r="I34" s="23" t="str">
        <x:v>NLP运行时团队</x:v>
      </x:c>
      <x:c r="J34" s="23" t="str">
        <x:v>SW-024</x:v>
      </x:c>
      <x:c r="K34" s="23" t="str">
        <x:v>主负载：Outlines Python schema/FSM构造及所选native backend（如outlines-core/xgrammar/regex）；需按实际backend归因。</x:v>
      </x:c>
      <x:c r="L34" s="23" t="str">
        <x:v>未开始｜源需求一一映射</x:v>
      </x:c>
    </x:row>
    <x:row r="35" ht="68" customHeight="1">
      <x:c r="A35" s="23" t="str">
        <x:v>AR</x:v>
      </x:c>
      <x:c r="B35" s="23" t="str">
        <x:v>AR-SW-030</x:v>
      </x:c>
      <x:c r="C35" s="23" t="str">
        <x:v>SR-08</x:v>
      </x:c>
      <x:c r="D35" s="23" t="str">
        <x:v>SW-030｜Pydantic-core（含jiter）/ orjson / simdjson / RapidJSON / sonic-cpp / Protobuf / gRPC</x:v>
      </x:c>
      <x:c r="E35" s="23" t="str">
        <x:v>针对“Schema化JSON、通用JSON和流式碎片混用；orjson.loads后再Pydantic校验、model_dump后再dumps等重复遍历；逐token重扫历史buffer；字符串/UTF-8/数字处理、Python对象构造、Schema校验及bytes/string复制共同放大CPU、TTFT/TPOT和P99”，由平台中间件团队 / Agent基础设施团队按源需求实施模块级优化；完整优化方向见03_AR分配矩阵。</x:v>
      </x:c>
      <x:c r="F35" s="23" t="str">
        <x:v>AI推理请求/响应、Agent tool_call、Structured Output、JSON mode、SSE及跨进程消息</x:v>
      </x:c>
      <x:c r="G35" s="23" t="str">
        <x:v>各场景CPU/request与exclusive time；parse/validate/serialize µs/KB；µs/token；历史buffer重复扫描bytes；Python allocations；中间dict/list数量；copy bytes；SSE writes；IPC bytes；TTFT/TPOT/P99；语义与错误恢复一致性；立项条件：AI Agent的tool_call/Structured Output进入主链路，或JSON解析+校验+序列化累计占HOST CPU≥5%，或重复解析/对象构造进入CPU Top-N；simdjson、RapidJSON、sonic-cpp仍须分别由生产调用链和流量证明</x:v>
      </x:c>
      <x:c r="H35" s="23" t="str">
        <x:v>P0</x:v>
      </x:c>
      <x:c r="I35" s="23" t="str">
        <x:v>平台中间件团队 / Agent基础设施团队</x:v>
      </x:c>
      <x:c r="J35" s="23" t="str">
        <x:v>SW-030</x:v>
      </x:c>
      <x:c r="K35" s="23" t="str">
        <x:v>主要真实负载按场景归因：Schema请求、tool_call和Structured Output落到Pydantic-core（jiter、validator、serializer及Python对象构造）；普通Python响应/SSE落到orjson；C/C++大JSON和字段投影落到simdjson；RapidJSON仅在存量调用命中时归因，sonic-cpp仅在ARM生产路径启用后归因；IPC落到protobuf/gRPC core、TLS和libc memcpy。</x:v>
      </x:c>
      <x:c r="L35" s="23" t="str">
        <x:v>未开始｜源需求一一映射</x:v>
      </x:c>
    </x:row>
    <x:row r="36" ht="82" customHeight="1">
      <x:c r="A36" s="32" t="str">
        <x:v>IR</x:v>
      </x:c>
      <x:c r="B36" s="32" t="str">
        <x:v>IR-04</x:v>
      </x:c>
      <x:c r="C36" s="32" t="str">
        <x:v>SF-001</x:v>
      </x:c>
      <x:c r="D36" s="32" t="str">
        <x:v>Host计算、内存与多核吞吐提升</x:v>
      </x:c>
      <x:c r="E36" s="32" t="str">
        <x:v>面向鲲鹏多核CPU上的热点算子、动态shape和数据搬运，用户需要Host侧计算充分利用AArch64 SIMD、缓存和NUMA拓扑，在不增加语义偏差的前提下降低每请求CPU成本。</x:v>
      </x:c>
      <x:c r="F36" s="32" t="str">
        <x:v>CPU fallback、小算子密集、动态shape、多socket/多GPU</x:v>
      </x:c>
      <x:c r="G36" s="32" t="str">
        <x:v>cycles/op；GB/s；allocations；copy bytes；remote NUMA%；cache miss；线程扩展效率；H2D GB/s</x:v>
      </x:c>
      <x:c r="H36" s="32" t="str">
        <x:v>P0</x:v>
      </x:c>
      <x:c r="I36" s="32" t="str">
        <x:v>系统性能/推理运行时团队</x:v>
      </x:c>
      <x:c r="J36" s="32" t="str">
        <x:v>SW-014、SW-015、SW-016、SW-017、SW-018、SW-025、SW-026、SW-027、SW-028</x:v>
      </x:c>
      <x:c r="K36" s="32" t="str">
        <x:v>由下级SR/AR穿透归因</x:v>
      </x:c>
      <x:c r="L36" s="32" t="str">
        <x:v>V1待评审</x:v>
      </x:c>
    </x:row>
    <x:row r="37" ht="82" customHeight="1">
      <x:c r="A37" s="33" t="str">
        <x:v>SR</x:v>
      </x:c>
      <x:c r="B37" s="33" t="str">
        <x:v>SR-09</x:v>
      </x:c>
      <x:c r="C37" s="33" t="str">
        <x:v>IR-04</x:v>
      </x:c>
      <x:c r="D37" s="33" t="str">
        <x:v>CPU算子与推理运行时后端</x:v>
      </x:c>
      <x:c r="E37" s="33" t="str">
        <x:v>系统应对进入Host Top-N的ATen/Inductor/oneDNN/ONNX Runtime/OpenVINO热点建立鲲鹏原生构建、NEON基线和条件式SVE/SVE2派发，并以实际backend符号而非上层API归因。</x:v>
      </x:c>
      <x:c r="F37" s="33" t="str">
        <x:v>CPU fallback、小算子、动态shape、CPU推理</x:v>
      </x:c>
      <x:c r="G37" s="33" t="str">
        <x:v>cycles/op；operator P99；compile/cache hit；GFLOPS/GB/s；端到端CPU占比；正确性</x:v>
      </x:c>
      <x:c r="H37" s="33" t="str">
        <x:v>P0</x:v>
      </x:c>
      <x:c r="I37" s="33" t="str">
        <x:v>推理运行时团队</x:v>
      </x:c>
      <x:c r="J37" s="33" t="str">
        <x:v>SW-014、SW-015、SW-016、SW-017、SW-018</x:v>
      </x:c>
      <x:c r="K37" s="33" t="str">
        <x:v>详见下级AR主要真实负载列</x:v>
      </x:c>
      <x:c r="L37" s="33" t="str">
        <x:v>V1待评审</x:v>
      </x:c>
    </x:row>
    <x:row r="38" ht="68" customHeight="1">
      <x:c r="A38" s="23" t="str">
        <x:v>AR</x:v>
      </x:c>
      <x:c r="B38" s="23" t="str">
        <x:v>AR-SW-014</x:v>
      </x:c>
      <x:c r="C38" s="23" t="str">
        <x:v>SR-09</x:v>
      </x:c>
      <x:c r="D38" s="23" t="str">
        <x:v>SW-014｜PyTorch ATen CPU</x:v>
      </x:c>
      <x:c r="E38" s="23" t="str">
        <x:v>针对“small-op、dispatcher、stack/concat、contiguous和dtype cast造成多次分配和全量内存遍历”，由CPU性能团队按源需求实施模块级优化；完整优化方向见03_AR分配矩阵。</x:v>
      </x:c>
      <x:c r="F38" s="23" t="str">
        <x:v>输入构造、collate、layout/dtype处理</x:v>
      </x:c>
      <x:c r="G38" s="23" t="str">
        <x:v>operator/dispatcher time；allocations；bytes copied；cycles/request；立项条件：tensor staging占CPU链路&gt;10%或small-op数量高</x:v>
      </x:c>
      <x:c r="H38" s="23" t="str">
        <x:v>P0</x:v>
      </x:c>
      <x:c r="I38" s="23" t="str">
        <x:v>CPU性能团队</x:v>
      </x:c>
      <x:c r="J38" s="23" t="str">
        <x:v>SW-014</x:v>
      </x:c>
      <x:c r="K38" s="23" t="str">
        <x:v>主负载：ATen native CPU kernels、oneDNN/FFT后端、OpenMP线程池、allocator与memcpy；dispatcher只在small-op密集时成为独立热点。</x:v>
      </x:c>
      <x:c r="L38" s="23" t="str">
        <x:v>未开始｜源需求一一映射</x:v>
      </x:c>
    </x:row>
    <x:row r="39" ht="68" customHeight="1">
      <x:c r="A39" s="23" t="str">
        <x:v>AR</x:v>
      </x:c>
      <x:c r="B39" s="23" t="str">
        <x:v>AR-SW-015</x:v>
      </x:c>
      <x:c r="C39" s="23" t="str">
        <x:v>SR-09</x:v>
      </x:c>
      <x:c r="D39" s="23" t="str">
        <x:v>SW-015｜TorchInductor / torch.compile</x:v>
      </x:c>
      <x:c r="E39" s="23" t="str">
        <x:v>针对“Python/dispatcher开销和多算子内存往返；动态shape导致graph break/recompile”，由CPU性能团队按源需求实施模块级优化；完整优化方向见03_AR分配矩阵。</x:v>
      </x:c>
      <x:c r="F39" s="23" t="str">
        <x:v>稳定的Tensor前后处理与辅助模型</x:v>
      </x:c>
      <x:c r="G39" s="23" t="str">
        <x:v>端到端加速；graph breaks；recompile；首编译时延；数值一致性；立项条件：存在稳定重复Tensor图且eager热点明确</x:v>
      </x:c>
      <x:c r="H39" s="23" t="str">
        <x:v>P1</x:v>
      </x:c>
      <x:c r="I39" s="23" t="str">
        <x:v>CPU性能团队</x:v>
      </x:c>
      <x:c r="J39" s="23" t="str">
        <x:v>SW-015</x:v>
      </x:c>
      <x:c r="K39" s="23" t="str">
        <x:v>主负载：生成的C++/OpenMP CPU kernel或Triton/CUDA kernel；graph break路径回落到ATen。Inductor编译器主要影响首编译和重编译。</x:v>
      </x:c>
      <x:c r="L39" s="23" t="str">
        <x:v>未开始｜源需求一一映射</x:v>
      </x:c>
    </x:row>
    <x:row r="40" ht="68" customHeight="1">
      <x:c r="A40" s="23" t="str">
        <x:v>AR</x:v>
      </x:c>
      <x:c r="B40" s="23" t="str">
        <x:v>AR-SW-016</x:v>
      </x:c>
      <x:c r="C40" s="23" t="str">
        <x:v>SR-09</x:v>
      </x:c>
      <x:c r="D40" s="23" t="str">
        <x:v>SW-016｜oneDNN</x:v>
      </x:c>
      <x:c r="E40" s="23" t="str">
        <x:v>针对“线程超卖、NUMA、layout重排和未融合图使CPU辅助模型拖尾”，由CPU性能团队按源需求实施模块级优化；完整优化方向见03_AR分配矩阵。</x:v>
      </x:c>
      <x:c r="F40" s="23" t="str">
        <x:v>OCR/VAD/分类/重排/安全辅助模型</x:v>
      </x:c>
      <x:c r="G40" s="23" t="str">
        <x:v>QPS；ms/item；线程扩展；remote NUMA；精度守护；立项条件：CPU辅助模型占尾延迟&gt;10%</x:v>
      </x:c>
      <x:c r="H40" s="23" t="str">
        <x:v>P1</x:v>
      </x:c>
      <x:c r="I40" s="23" t="str">
        <x:v>CPU性能团队</x:v>
      </x:c>
      <x:c r="J40" s="23" t="str">
        <x:v>SW-016</x:v>
      </x:c>
      <x:c r="K40" s="23" t="str">
        <x:v>主负载：oneDNN primitive/JIT SIMD kernel、reorder以及其线程运行时；PyTorch/ORT/OpenVINO通常只是调用入口。</x:v>
      </x:c>
      <x:c r="L40" s="23" t="str">
        <x:v>未开始｜源需求一一映射</x:v>
      </x:c>
    </x:row>
    <x:row r="41" ht="68" customHeight="1">
      <x:c r="A41" s="23" t="str">
        <x:v>AR</x:v>
      </x:c>
      <x:c r="B41" s="23" t="str">
        <x:v>AR-SW-017</x:v>
      </x:c>
      <x:c r="C41" s="23" t="str">
        <x:v>SR-09</x:v>
      </x:c>
      <x:c r="D41" s="23" t="str">
        <x:v>SW-017｜ONNX Runtime</x:v>
      </x:c>
      <x:c r="E41" s="23" t="str">
        <x:v>针对“execution provider、batch、线程和量化未优化；同步调用阻塞主链路”，由模型运行时团队按源需求实施模块级优化；完整优化方向见03_AR分配矩阵。</x:v>
      </x:c>
      <x:c r="F41" s="23" t="str">
        <x:v>OCR/VAD/安全/检测/rerank</x:v>
      </x:c>
      <x:c r="G41" s="23" t="str">
        <x:v>QPS；P99；batch效率；核时；准确率/召回；立项条件：辅助模型稳定且可转ONNX</x:v>
      </x:c>
      <x:c r="H41" s="23" t="str">
        <x:v>P1</x:v>
      </x:c>
      <x:c r="I41" s="23" t="str">
        <x:v>模型运行时团队</x:v>
      </x:c>
      <x:c r="J41" s="23" t="str">
        <x:v>SW-017</x:v>
      </x:c>
      <x:c r="K41" s="23" t="str">
        <x:v>主负载：所选Execution Provider的MLAS、oneDNN、OpenVINO、CUDA或TensorRT kernel，以及ORT thread pool；ORT API层主要调度。</x:v>
      </x:c>
      <x:c r="L41" s="23" t="str">
        <x:v>未开始｜源需求一一映射</x:v>
      </x:c>
    </x:row>
    <x:row r="42" ht="68" customHeight="1">
      <x:c r="A42" s="23" t="str">
        <x:v>AR</x:v>
      </x:c>
      <x:c r="B42" s="23" t="str">
        <x:v>AR-SW-018</x:v>
      </x:c>
      <x:c r="C42" s="23" t="str">
        <x:v>SR-09</x:v>
      </x:c>
      <x:c r="D42" s="23" t="str">
        <x:v>SW-018｜OpenVINO</x:v>
      </x:c>
      <x:c r="E42" s="23" t="str">
        <x:v>针对“未利用Intel图优化/量化，线程与NUMA配置不当”，由模型运行时团队按源需求实施模块级优化；完整优化方向见03_AR分配矩阵。</x:v>
      </x:c>
      <x:c r="F42" s="23" t="str">
        <x:v>Intel CPU上的视觉/音频/文本辅助模型</x:v>
      </x:c>
      <x:c r="G42" s="23" t="str">
        <x:v>QPS；P99；CPU核时；内存；精度；立项条件：Intel CPU部署且辅助模型占比显著</x:v>
      </x:c>
      <x:c r="H42" s="23" t="str">
        <x:v>P1</x:v>
      </x:c>
      <x:c r="I42" s="23" t="str">
        <x:v>模型运行时团队</x:v>
      </x:c>
      <x:c r="J42" s="23" t="str">
        <x:v>SW-018</x:v>
      </x:c>
      <x:c r="K42" s="23" t="str">
        <x:v>主负载：OpenVINO device plugin及oneDNN/ACL/设备内核；OpenVINO API与ORT EP适配层不应单独承接全部热点。</x:v>
      </x:c>
      <x:c r="L42" s="23" t="str">
        <x:v>未开始｜源需求一一映射</x:v>
      </x:c>
    </x:row>
    <x:row r="43" ht="82" customHeight="1">
      <x:c r="A43" s="33" t="str">
        <x:v>SR</x:v>
      </x:c>
      <x:c r="B43" s="33" t="str">
        <x:v>SR-10</x:v>
      </x:c>
      <x:c r="C43" s="33" t="str">
        <x:v>IR-04</x:v>
      </x:c>
      <x:c r="D43" s="33" t="str">
        <x:v>内存分配、线程与NUMA拓扑</x:v>
      </x:c>
      <x:c r="E43" s="33" t="str">
        <x:v>系统应统一allocator、线程池和NUMA策略，使worker、buffer、pinned memory和GPU PCIe根节点对齐，减少分配抖动、线程超卖、远端内存和无效拷贝。</x:v>
      </x:c>
      <x:c r="F43" s="33" t="str">
        <x:v>多socket/多GPU、高并发、动态buffer</x:v>
      </x:c>
      <x:c r="G43" s="33" t="str">
        <x:v>allocations；RSS；copy bytes；remote NUMA%；context switches；H2D GB/s；P99</x:v>
      </x:c>
      <x:c r="H43" s="33" t="str">
        <x:v>P0</x:v>
      </x:c>
      <x:c r="I43" s="33" t="str">
        <x:v>系统性能团队</x:v>
      </x:c>
      <x:c r="J43" s="33" t="str">
        <x:v>SW-025、SW-026、SW-027、SW-028</x:v>
      </x:c>
      <x:c r="K43" s="33" t="str">
        <x:v>详见下级AR主要真实负载列</x:v>
      </x:c>
      <x:c r="L43" s="33" t="str">
        <x:v>V1待评审</x:v>
      </x:c>
    </x:row>
    <x:row r="44" ht="68" customHeight="1">
      <x:c r="A44" s="23" t="str">
        <x:v>AR</x:v>
      </x:c>
      <x:c r="B44" s="23" t="str">
        <x:v>AR-SW-025</x:v>
      </x:c>
      <x:c r="C44" s="23" t="str">
        <x:v>SR-10</x:v>
      </x:c>
      <x:c r="D44" s="23" t="str">
        <x:v>SW-025｜CUDA Runtime / PyTorch pinned allocator</x:v>
      </x:c>
      <x:c r="E44" s="23" t="str">
        <x:v>针对“pageable→pinned、频繁分配、小块H2D、默认stream和隐式同步造成GPU等待”，由系统性能团队按源需求实施模块级优化；完整优化方向见03_AR分配矩阵。</x:v>
      </x:c>
      <x:c r="F44" s="23" t="str">
        <x:v>所有GPU推理</x:v>
      </x:c>
      <x:c r="G44" s="23" t="str">
        <x:v>H2D GB/s；copy count/size；alloc ms；overlap；sync ratio；GPU wait；立项条件：GPU wait-for-input&gt;5%或copy碎片明显</x:v>
      </x:c>
      <x:c r="H44" s="23" t="str">
        <x:v>P1</x:v>
      </x:c>
      <x:c r="I44" s="23" t="str">
        <x:v>系统性能团队</x:v>
      </x:c>
      <x:c r="J44" s="23" t="str">
        <x:v>SW-025</x:v>
      </x:c>
      <x:c r="K44" s="23" t="str">
        <x:v>主负载：PyTorch pinned allocator、CUDA runtime/driver、libc memcpy以及DMA/copy engine；non_blocking API本身仅提交与同步。</x:v>
      </x:c>
      <x:c r="L44" s="23" t="str">
        <x:v>未开始｜源需求一一映射</x:v>
      </x:c>
    </x:row>
    <x:row r="45" ht="68" customHeight="1">
      <x:c r="A45" s="23" t="str">
        <x:v>AR</x:v>
      </x:c>
      <x:c r="B45" s="23" t="str">
        <x:v>AR-SW-026</x:v>
      </x:c>
      <x:c r="C45" s="23" t="str">
        <x:v>SR-10</x:v>
      </x:c>
      <x:c r="D45" s="23" t="str">
        <x:v>SW-026｜glibc malloc / jemalloc / tcmalloc / mimalloc</x:v>
      </x:c>
      <x:c r="E45" s="23" t="str">
        <x:v>针对“短生命周期对象与帧buffer导致allocator锁、碎片、RSS和page fault”，由系统性能团队按源需求实施模块级优化；完整优化方向见03_AR分配矩阵。</x:v>
      </x:c>
      <x:c r="F45" s="23" t="str">
        <x:v>高并发、多帧、多对象</x:v>
      </x:c>
      <x:c r="G45" s="23" t="str">
        <x:v>allocator CPU；RSS/active；page faults；P99；OOM率；立项条件：allocator出现在火焰图或RSS明显放大</x:v>
      </x:c>
      <x:c r="H45" s="23" t="str">
        <x:v>P1</x:v>
      </x:c>
      <x:c r="I45" s="23" t="str">
        <x:v>系统性能团队</x:v>
      </x:c>
      <x:c r="J45" s="23" t="str">
        <x:v>SW-026</x:v>
      </x:c>
      <x:c r="K45" s="23" t="str">
        <x:v>主负载：实际生效的glibc malloc、jemalloc、tcmalloc或mimalloc的分配/回收/锁/arena，以及Linux page fault；调用方只触发。</x:v>
      </x:c>
      <x:c r="L45" s="23" t="str">
        <x:v>未开始｜源需求一一映射</x:v>
      </x:c>
    </x:row>
    <x:row r="46" ht="68" customHeight="1">
      <x:c r="A46" s="23" t="str">
        <x:v>AR</x:v>
      </x:c>
      <x:c r="B46" s="23" t="str">
        <x:v>AR-SW-027</x:v>
      </x:c>
      <x:c r="C46" s="23" t="str">
        <x:v>SR-10</x:v>
      </x:c>
      <x:c r="D46" s="23" t="str">
        <x:v>SW-027｜OpenMP / oneTBB / pthread pools</x:v>
      </x:c>
      <x:c r="E46" s="23" t="str">
        <x:v>针对“FFmpeg/OpenCV/PyTorch/oneDNN/tokenizer各自开池导致oversubscription和上下文切换”，由系统性能团队按源需求实施模块级优化；完整优化方向见03_AR分配矩阵。</x:v>
      </x:c>
      <x:c r="F46" s="23" t="str">
        <x:v>多库并发前处理</x:v>
      </x:c>
      <x:c r="G46" s="23" t="str">
        <x:v>context switches；run queue；吞吐/核；P99；扩展效率；立项条件：加worker收益&lt;50%线性或run queue持续高</x:v>
      </x:c>
      <x:c r="H46" s="23" t="str">
        <x:v>P0</x:v>
      </x:c>
      <x:c r="I46" s="23" t="str">
        <x:v>系统性能团队</x:v>
      </x:c>
      <x:c r="J46" s="23" t="str">
        <x:v>SW-027</x:v>
      </x:c>
      <x:c r="K46" s="23" t="str">
        <x:v>主负载：libgomp/libomp/oneTBB/pthread/futex的调度开销，以及各调用库worker中的真实算子；必须区分runtime overhead与worker work。</x:v>
      </x:c>
      <x:c r="L46" s="23" t="str">
        <x:v>未开始｜源需求一一映射</x:v>
      </x:c>
    </x:row>
    <x:row r="47" ht="68" customHeight="1">
      <x:c r="A47" s="23" t="str">
        <x:v>AR</x:v>
      </x:c>
      <x:c r="B47" s="23" t="str">
        <x:v>AR-SW-028</x:v>
      </x:c>
      <x:c r="C47" s="23" t="str">
        <x:v>SR-10</x:v>
      </x:c>
      <x:c r="D47" s="23" t="str">
        <x:v>SW-028｜Linux NUMA / PyTorch NUMA binding</x:v>
      </x:c>
      <x:c r="E47" s="23" t="str">
        <x:v>针对“worker、内存和GPU PCIe根节点错位造成远端访问与H2D下降”，由系统性能团队按源需求实施模块级优化；完整优化方向见03_AR分配矩阵。</x:v>
      </x:c>
      <x:c r="F47" s="23" t="str">
        <x:v>多socket/多GPU</x:v>
      </x:c>
      <x:c r="G47" s="23" t="str">
        <x:v>remote NUMA%；H2D GB/s；P99；吞吐；page faults；立项条件：双路及以上CPU或多GPU节点</x:v>
      </x:c>
      <x:c r="H47" s="23" t="str">
        <x:v>P1</x:v>
      </x:c>
      <x:c r="I47" s="23" t="str">
        <x:v>系统性能团队</x:v>
      </x:c>
      <x:c r="J47" s="23" t="str">
        <x:v>SW-028</x:v>
      </x:c>
      <x:c r="K47" s="23" t="str">
        <x:v>主负载：调用库中的内存访问、libc memcpy、Linux mm/page fault及远端NUMA流量；NUMA binding API自身不是计算热点。</x:v>
      </x:c>
      <x:c r="L47" s="23" t="str">
        <x:v>未开始｜源需求一一映射</x:v>
      </x:c>
    </x:row>
    <x:row r="48" ht="82" customHeight="1">
      <x:c r="A48" s="32" t="str">
        <x:v>IR</x:v>
      </x:c>
      <x:c r="B48" s="32" t="str">
        <x:v>IR-05</x:v>
      </x:c>
      <x:c r="C48" s="32" t="str">
        <x:v>SF-001</x:v>
      </x:c>
      <x:c r="D48" s="32" t="str">
        <x:v>Serving协同与GPU持续供给</x:v>
      </x:c>
      <x:c r="E48" s="32" t="str">
        <x:v>面向高并发在线Serving，用户需要调度、批处理、grammar、缓存和Host-device协同持续向GPU供给有效工作，避免Python调度、请求状态管理和CPU/GPU拓扑错位造成吞吐损失与尾延迟。</x:v>
      </x:c>
      <x:c r="F48" s="32" t="str">
        <x:v>vLLM/SGLang/Triton/TensorRT-LLM、多GPU、高并发、多租户</x:v>
      </x:c>
      <x:c r="G48" s="32" t="str">
        <x:v>QPS/node；scheduler CPU/request；batch效率；GPU idle/starvation；queue P99；cache净收益；资源利用率</x:v>
      </x:c>
      <x:c r="H48" s="32" t="str">
        <x:v>P0</x:v>
      </x:c>
      <x:c r="I48" s="32" t="str">
        <x:v>Serving平台/推理框架团队</x:v>
      </x:c>
      <x:c r="J48" s="32" t="str">
        <x:v>SW-019、SW-020、SW-021、SW-022、SW-031</x:v>
      </x:c>
      <x:c r="K48" s="32" t="str">
        <x:v>由下级SR/AR穿透归因</x:v>
      </x:c>
      <x:c r="L48" s="32" t="str">
        <x:v>V1待评审</x:v>
      </x:c>
    </x:row>
    <x:row r="49" ht="82" customHeight="1">
      <x:c r="A49" s="33" t="str">
        <x:v>SR</x:v>
      </x:c>
      <x:c r="B49" s="33" t="str">
        <x:v>SR-11</x:v>
      </x:c>
      <x:c r="C49" s="33" t="str">
        <x:v>IR-05</x:v>
      </x:c>
      <x:c r="D49" s="33" t="str">
        <x:v>在线Serving调度与批处理</x:v>
      </x:c>
      <x:c r="E49" s="33" t="str">
        <x:v>系统应对vLLM、SGLang、Triton和TensorRT-LLM的scheduler、tokenizer/grammar worker、batch组装和Host提交路径分段归因并优化，控制Python/IPC开销和调度尾延迟。</x:v>
      </x:c>
      <x:c r="F49" s="33" t="str">
        <x:v>高并发LLM/VLM Serving、多GPU、多租户</x:v>
      </x:c>
      <x:c r="G49" s="33" t="str">
        <x:v>QPS/node；scheduler CPU/request；batch size；queue P99；GPU idle；TTFT/TPOT</x:v>
      </x:c>
      <x:c r="H49" s="33" t="str">
        <x:v>P0</x:v>
      </x:c>
      <x:c r="I49" s="33" t="str">
        <x:v>Serving平台团队</x:v>
      </x:c>
      <x:c r="J49" s="33" t="str">
        <x:v>SW-019、SW-020、SW-021、SW-022</x:v>
      </x:c>
      <x:c r="K49" s="33" t="str">
        <x:v>详见下级AR主要真实负载列</x:v>
      </x:c>
      <x:c r="L49" s="33" t="str">
        <x:v>V1待评审</x:v>
      </x:c>
    </x:row>
    <x:row r="50" ht="68" customHeight="1">
      <x:c r="A50" s="23" t="str">
        <x:v>AR</x:v>
      </x:c>
      <x:c r="B50" s="23" t="str">
        <x:v>AR-SW-019</x:v>
      </x:c>
      <x:c r="C50" s="23" t="str">
        <x:v>SR-11</x:v>
      </x:c>
      <x:c r="D50" s="23" t="str">
        <x:v>SW-019｜vLLM</x:v>
      </x:c>
      <x:c r="E50" s="23" t="str">
        <x:v>针对“mm processor、hash/cache、prompt update、scheduler、API↔engine IPC与输出状态机成为Host热点”，由推理框架团队按源需求实施模块级优化；完整优化方向见03_AR分配矩阵。</x:v>
      </x:c>
      <x:c r="F50" s="23" t="str">
        <x:v>VLM在线推理</x:v>
      </x:c>
      <x:c r="G50" s="23" t="str">
        <x:v>phase ms；cache净收益；scheduler CPU；IPC bytes；GPU starvation；TTFT/TPOT；立项条件：vLLM为主Serving框架</x:v>
      </x:c>
      <x:c r="H50" s="23" t="str">
        <x:v>P0</x:v>
      </x:c>
      <x:c r="I50" s="23" t="str">
        <x:v>推理框架团队</x:v>
      </x:c>
      <x:c r="J50" s="23" t="str">
        <x:v>SW-019</x:v>
      </x:c>
      <x:c r="K50" s="23" t="str">
        <x:v>主负载：vLLM scheduler/state machine、HF Processor、torchvision/Pillow、tokenizer、hash/serialization/IPC及CUDA runtime；必须按phase拆分归属。</x:v>
      </x:c>
      <x:c r="L50" s="23" t="str">
        <x:v>未开始｜源需求一一映射</x:v>
      </x:c>
    </x:row>
    <x:row r="51" ht="68" customHeight="1">
      <x:c r="A51" s="23" t="str">
        <x:v>AR</x:v>
      </x:c>
      <x:c r="B51" s="23" t="str">
        <x:v>AR-SW-020</x:v>
      </x:c>
      <x:c r="C51" s="23" t="str">
        <x:v>SR-11</x:v>
      </x:c>
      <x:c r="D51" s="23" t="str">
        <x:v>SW-020｜SGLang</x:v>
      </x:c>
      <x:c r="E51" s="23" t="str">
        <x:v>针对“scheduler、Radix/prefix cache、request state、IPC和输出循环在异构请求下放大”，由推理框架团队按源需求实施模块级优化；完整优化方向见03_AR分配矩阵。</x:v>
      </x:c>
      <x:c r="F51" s="23" t="str">
        <x:v>多模态高并发与结构化输出</x:v>
      </x:c>
      <x:c r="G51" s="23" t="str">
        <x:v>scheduler CPU；cache hit/saved-ms；GPU starvation；TTFT/TPOT；立项条件：SGLang为主Serving框架或需双框架一致策略</x:v>
      </x:c>
      <x:c r="H51" s="23" t="str">
        <x:v>P0</x:v>
      </x:c>
      <x:c r="I51" s="23" t="str">
        <x:v>推理框架团队</x:v>
      </x:c>
      <x:c r="J51" s="23" t="str">
        <x:v>SW-020</x:v>
      </x:c>
      <x:c r="K51" s="23" t="str">
        <x:v>主负载：SGLang scheduler、Radix/prefix cache、request状态机、tokenizer/processor、grammar backend、IPC及CUDA runtime；框架总耗时需继续下钻。</x:v>
      </x:c>
      <x:c r="L51" s="23" t="str">
        <x:v>未开始｜源需求一一映射</x:v>
      </x:c>
    </x:row>
    <x:row r="52" ht="68" customHeight="1">
      <x:c r="A52" s="23" t="str">
        <x:v>AR</x:v>
      </x:c>
      <x:c r="B52" s="23" t="str">
        <x:v>AR-SW-021</x:v>
      </x:c>
      <x:c r="C52" s="23" t="str">
        <x:v>SR-11</x:v>
      </x:c>
      <x:c r="D52" s="23" t="str">
        <x:v>SW-021｜NVIDIA Triton Inference Server</x:v>
      </x:c>
      <x:c r="E52" s="23" t="str">
        <x:v>针对“ensemble与动态批处理若不了解媒体成本会形成队头阻塞和跨模型排队”，由推理平台团队按源需求实施模块级优化；完整优化方向见03_AR分配矩阵。</x:v>
      </x:c>
      <x:c r="F52" s="23" t="str">
        <x:v>多阶段/多模型服务</x:v>
      </x:c>
      <x:c r="G52" s="23" t="str">
        <x:v>queue time；batch formation；shared-memory命中；GPU utilization；P99；立项条件：多模型/ensemble部署采用Triton</x:v>
      </x:c>
      <x:c r="H52" s="23" t="str">
        <x:v>P1</x:v>
      </x:c>
      <x:c r="I52" s="23" t="str">
        <x:v>推理平台团队</x:v>
      </x:c>
      <x:c r="J52" s="23" t="str">
        <x:v>SW-021</x:v>
      </x:c>
      <x:c r="K52" s="23" t="str">
        <x:v>主负载：具体Triton backend（TensorRT/ORT/PyTorch/Python）、dynamic batcher、共享内存/网络栈；ensemble配置层主要调度。</x:v>
      </x:c>
      <x:c r="L52" s="23" t="str">
        <x:v>未开始｜源需求一一映射</x:v>
      </x:c>
    </x:row>
    <x:row r="53" ht="68" customHeight="1">
      <x:c r="A53" s="23" t="str">
        <x:v>AR</x:v>
      </x:c>
      <x:c r="B53" s="23" t="str">
        <x:v>AR-SW-022</x:v>
      </x:c>
      <x:c r="C53" s="23" t="str">
        <x:v>SR-11</x:v>
      </x:c>
      <x:c r="D53" s="23" t="str">
        <x:v>SW-022｜TensorRT-LLM Serving</x:v>
      </x:c>
      <x:c r="E53" s="23" t="str">
        <x:v>针对“Host提交、调度和前后处理未与TensorRT-LLM执行节奏协同”，由推理框架团队按源需求实施模块级优化；完整优化方向见03_AR分配矩阵。</x:v>
      </x:c>
      <x:c r="F53" s="23" t="str">
        <x:v>NVIDIA GPU上的LLM/VLM服务</x:v>
      </x:c>
      <x:c r="G53" s="23" t="str">
        <x:v>queue-to-submit；GPU gaps；H2D copies；TTFT/TPOT；立项条件：TensorRT-LLM为执行后端</x:v>
      </x:c>
      <x:c r="H53" s="23" t="str">
        <x:v>P1</x:v>
      </x:c>
      <x:c r="I53" s="23" t="str">
        <x:v>推理框架团队</x:v>
      </x:c>
      <x:c r="J53" s="23" t="str">
        <x:v>SW-022</x:v>
      </x:c>
      <x:c r="K53" s="23" t="str">
        <x:v>主负载：TensorRT-LLM C++ runtime、TensorRT/CUDA driver/runtime、NCCL及Host数据准备；Python serving入口通常不是计算热点。</x:v>
      </x:c>
      <x:c r="L53" s="23" t="str">
        <x:v>未开始｜源需求一一映射</x:v>
      </x:c>
    </x:row>
    <x:row r="54" ht="82" customHeight="1">
      <x:c r="A54" s="33" t="str">
        <x:v>SR</x:v>
      </x:c>
      <x:c r="B54" s="33" t="str">
        <x:v>SR-12</x:v>
      </x:c>
      <x:c r="C54" s="33" t="str">
        <x:v>IR-05</x:v>
      </x:c>
      <x:c r="D54" s="33" t="str">
        <x:v>缓存、共享状态与内容指纹</x:v>
      </x:c>
      <x:c r="E54" s="33" t="str">
        <x:v>系统应按processor结果、媒体metadata、会话和扩展KV建立分层缓存，只在命中净收益成立时启用；缓存键应一次canonicalize/一次hash，并区分非安全与安全哈希。</x:v>
      </x:c>
      <x:c r="F54" s="33" t="str">
        <x:v>重复媒体、多轮复用、多进程Serving</x:v>
      </x:c>
      <x:c r="G54" s="33" t="str">
        <x:v>hit rate；saved-ms；lookup/hash CPU；bytes/entry；RSS；网络字节；错误命中率</x:v>
      </x:c>
      <x:c r="H54" s="33" t="str">
        <x:v>P1</x:v>
      </x:c>
      <x:c r="I54" s="33" t="str">
        <x:v>推理框架团队</x:v>
      </x:c>
      <x:c r="J54" s="33" t="str">
        <x:v>SW-031</x:v>
      </x:c>
      <x:c r="K54" s="33" t="str">
        <x:v>详见下级AR主要真实负载列</x:v>
      </x:c>
      <x:c r="L54" s="33" t="str">
        <x:v>V1待评审</x:v>
      </x:c>
    </x:row>
    <x:row r="55" ht="68" customHeight="1">
      <x:c r="A55" s="23" t="str">
        <x:v>AR</x:v>
      </x:c>
      <x:c r="B55" s="23" t="str">
        <x:v>AR-SW-031</x:v>
      </x:c>
      <x:c r="C55" s="23" t="str">
        <x:v>SR-12</x:v>
      </x:c>
      <x:c r="D55" s="23" t="str">
        <x:v>SW-031｜Redis / shared memory / LMCache / xxHash</x:v>
      </x:c>
      <x:c r="E55" s="23" t="str">
        <x:v>针对“远端缓存原始tensor序列化成本高；本地多进程重复；低命中时hash/lookup成为纯开销，且常与序列化和内存拷贝混在一起”，由推理框架团队按源需求实施模块级优化；完整优化方向见03_AR分配矩阵。</x:v>
      </x:c>
      <x:c r="F55" s="23" t="str">
        <x:v>processor结果、媒体metadata、会话、KV扩展及缓存键</x:v>
      </x:c>
      <x:c r="G55" s="23" t="str">
        <x:v>hit；saved-ms；hash CPU%；GB/s；bytes hashed；lookup；bytes/entry；RSS；网络字节；立项条件：重复媒体/多轮复用率高且saved-ms&gt;3×lookup；仅当hash进入CPU Top-N或累计占请求CPU≥3%时拆为独立项</x:v>
      </x:c>
      <x:c r="H55" s="23" t="str">
        <x:v>P1</x:v>
      </x:c>
      <x:c r="I55" s="23" t="str">
        <x:v>推理框架团队</x:v>
      </x:c>
      <x:c r="J55" s="23" t="str">
        <x:v>SW-031</x:v>
      </x:c>
      <x:c r="K55" s="23" t="str">
        <x:v>主负载：xxHash/OpenSSL/BLAKE3、序列化与memcpy、Redis server/network、shared-memory拷贝及LMCache具体backend；cache API耗时需拆成子阶段。</x:v>
      </x:c>
      <x:c r="L55" s="23" t="str">
        <x:v>未开始｜源需求一一映射</x:v>
      </x:c>
    </x:row>
    <x:row r="56" ht="82" customHeight="1">
      <x:c r="A56" s="32" t="str">
        <x:v>IR</x:v>
      </x:c>
      <x:c r="B56" s="32" t="str">
        <x:v>IR-06</x:v>
      </x:c>
      <x:c r="C56" s="32" t="str">
        <x:v>SF-001</x:v>
      </x:c>
      <x:c r="D56" s="32" t="str">
        <x:v>性能优化可观测、可回放、可验收</x:v>
      </x:c>
      <x:c r="E56" s="32" t="str">
        <x:v>面向持续优化和需求评审，用户需要对Host全链路建立可复现基线和穿透归因，能够区分入口库与真实执行库，并以局部KPI、端到端SLO和正确性golden共同验收。</x:v>
      </x:c>
      <x:c r="F56" s="32" t="str">
        <x:v>性能基线、版本回归、跨机型/框架A/B、热点归因</x:v>
      </x:c>
      <x:c r="G56" s="32" t="str">
        <x:v>phase覆盖率；inclusive/exclusive time；DSO/symbol命中；回放可复现性；E2E收益；golden通过率</x:v>
      </x:c>
      <x:c r="H56" s="32" t="str">
        <x:v>P2</x:v>
      </x:c>
      <x:c r="I56" s="32" t="str">
        <x:v>性能工程/可观测性团队</x:v>
      </x:c>
      <x:c r="J56" s="32" t="str">
        <x:v>SW-032、SW-033</x:v>
      </x:c>
      <x:c r="K56" s="32" t="str">
        <x:v>由下级SR/AR穿透归因</x:v>
      </x:c>
      <x:c r="L56" s="32" t="str">
        <x:v>V1待评审</x:v>
      </x:c>
    </x:row>
    <x:row r="57" ht="82" customHeight="1">
      <x:c r="A57" s="33" t="str">
        <x:v>SR</x:v>
      </x:c>
      <x:c r="B57" s="33" t="str">
        <x:v>SR-13</x:v>
      </x:c>
      <x:c r="C57" s="33" t="str">
        <x:v>IR-06</x:v>
      </x:c>
      <x:c r="D57" s="33" t="str">
        <x:v>端到端Phase观测与SLO看板</x:v>
      </x:c>
      <x:c r="E57" s="33" t="str">
        <x:v>系统应为请求接入、媒体处理、Processor、tokenize、CPU算子、H2D、调度和输出建立统一phase标识、trace关联和可回放指标，支持按模型/模态/shape/机型分层比较。</x:v>
      </x:c>
      <x:c r="F57" s="33" t="str">
        <x:v>持续性能治理、版本回归、容量评估</x:v>
      </x:c>
      <x:c r="G57" s="33" t="str">
        <x:v>phase覆盖率；trace关联率；P50/P99；CPU/request；GPU wait；回放差异</x:v>
      </x:c>
      <x:c r="H57" s="33" t="str">
        <x:v>P2</x:v>
      </x:c>
      <x:c r="I57" s="33" t="str">
        <x:v>可观测性团队</x:v>
      </x:c>
      <x:c r="J57" s="33" t="str">
        <x:v>SW-032</x:v>
      </x:c>
      <x:c r="K57" s="33" t="str">
        <x:v>详见下级AR主要真实负载列</x:v>
      </x:c>
      <x:c r="L57" s="33" t="str">
        <x:v>V1待评审</x:v>
      </x:c>
    </x:row>
    <x:row r="58" ht="68" customHeight="1">
      <x:c r="A58" s="23" t="str">
        <x:v>AR</x:v>
      </x:c>
      <x:c r="B58" s="23" t="str">
        <x:v>AR-SW-032</x:v>
      </x:c>
      <x:c r="C58" s="23" t="str">
        <x:v>SR-13</x:v>
      </x:c>
      <x:c r="D58" s="23" t="str">
        <x:v>SW-032｜OpenTelemetry / Prometheus</x:v>
      </x:c>
      <x:c r="E58" s="23" t="str">
        <x:v>针对“per-token span、高基数label、原始媒体/长文本日志污染P99并扭曲profile”，由性能工程团队按源需求实施模块级优化；完整优化方向见03_AR分配矩阵。</x:v>
      </x:c>
      <x:c r="F58" s="23" t="str">
        <x:v>生产全链路</x:v>
      </x:c>
      <x:c r="G58" s="23" t="str">
        <x:v>observability CPU%；span/request；cardinality；bytes/request；P99增量；立项条件：监控开销&gt;CPU链路5%或影响P99</x:v>
      </x:c>
      <x:c r="H58" s="23" t="str">
        <x:v>P2</x:v>
      </x:c>
      <x:c r="I58" s="23" t="str">
        <x:v>性能工程团队</x:v>
      </x:c>
      <x:c r="J58" s="23" t="str">
        <x:v>SW-032</x:v>
      </x:c>
      <x:c r="K58" s="23" t="str">
        <x:v>主负载：OTel SDK聚合/锁/分配、Protobuf/JSON序列化、exporter网络I/O及Prometheus采集；业务埋点函数通常只是入口。</x:v>
      </x:c>
      <x:c r="L58" s="23" t="str">
        <x:v>未开始｜源需求一一映射</x:v>
      </x:c>
    </x:row>
    <x:row r="59" ht="82" customHeight="1">
      <x:c r="A59" s="33" t="str">
        <x:v>SR</x:v>
      </x:c>
      <x:c r="B59" s="33" t="str">
        <x:v>SR-14</x:v>
      </x:c>
      <x:c r="C59" s="33" t="str">
        <x:v>IR-06</x:v>
      </x:c>
      <x:c r="D59" s="33" t="str">
        <x:v>穿透式热点归因与优化验收</x:v>
      </x:c>
      <x:c r="E59" s="33" t="str">
        <x:v>系统应使用perf/eBPF/PyTorch Profiler/Nsight等工具下钻到真实DSO、native symbol、线程池和GPU kernel，同时提交microbenchmark、端到端A/B、资源增量和语义golden。</x:v>
      </x:c>
      <x:c r="F59" s="33" t="str">
        <x:v>热点分析、立项升档、性能验收</x:v>
      </x:c>
      <x:c r="G59" s="33" t="str">
        <x:v>inclusive/exclusive time；符号覆盖；Top-N热点解释率；E2E收益；golden通过率</x:v>
      </x:c>
      <x:c r="H59" s="33" t="str">
        <x:v>P2</x:v>
      </x:c>
      <x:c r="I59" s="33" t="str">
        <x:v>性能工程团队</x:v>
      </x:c>
      <x:c r="J59" s="33" t="str">
        <x:v>SW-033</x:v>
      </x:c>
      <x:c r="K59" s="33" t="str">
        <x:v>详见下级AR主要真实负载列</x:v>
      </x:c>
      <x:c r="L59" s="33" t="str">
        <x:v>V1待评审</x:v>
      </x:c>
    </x:row>
    <x:row r="60" ht="68" customHeight="1">
      <x:c r="A60" s="23" t="str">
        <x:v>AR</x:v>
      </x:c>
      <x:c r="B60" s="23" t="str">
        <x:v>AR-SW-033</x:v>
      </x:c>
      <x:c r="C60" s="23" t="str">
        <x:v>SR-14</x:v>
      </x:c>
      <x:c r="D60" s="23" t="str">
        <x:v>SW-033｜perf / eBPF / PyTorch Profiler / Nsight Systems</x:v>
      </x:c>
      <x:c r="E60" s="23" t="str">
        <x:v>针对“缺少统一阶段归因，单看CPU利用率或cudaMemcpy无法定位owner”，由性能工程团队按源需求实施模块级优化；完整优化方向见03_AR分配矩阵。</x:v>
      </x:c>
      <x:c r="F60" s="23" t="str">
        <x:v>研发与生产诊断</x:v>
      </x:c>
      <x:c r="G60" s="23" t="str">
        <x:v>阶段覆盖率；采样开销；回归检出率；可归因热点比例；立项条件：所有P0/P1优化的前置依赖</x:v>
      </x:c>
      <x:c r="H60" s="23" t="str">
        <x:v>P2</x:v>
      </x:c>
      <x:c r="I60" s="23" t="str">
        <x:v>性能工程团队</x:v>
      </x:c>
      <x:c r="J60" s="23" t="str">
        <x:v>SW-033</x:v>
      </x:c>
      <x:c r="K60" s="23" t="str">
        <x:v>该行不承接业务负载：perf/eBPF/Nsight/PyTorch Profiler负责观测；真实热点应归属采样命中的DSO、native symbol、线程池或GPU kernel。</x:v>
      </x:c>
      <x:c r="L60" s="23" t="str">
        <x:v>未开始｜源需求一一映射</x:v>
      </x:c>
    </x:row>
  </x:sheetData>
  <x:mergeCells>
    <x:mergeCell ref="A1:L1"/>
    <x:mergeCell ref="A2:L2"/>
  </x:mergeCells>
  <x:conditionalFormatting sqref="H5:H6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d67ab6a468a74f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0" hidden="0" customWidth="1"/>
    <x:col min="5" max="5" width="58" hidden="0" customWidth="1"/>
    <x:col min="6" max="6" width="30" hidden="0" customWidth="1"/>
    <x:col min="7" max="7" width="40" hidden="0" customWidth="1"/>
    <x:col min="8" max="8" width="9" hidden="0" customWidth="1"/>
    <x:col min="9" max="9" width="10" hidden="0" customWidth="1"/>
    <x:col min="10" max="10" width="10" hidden="0" customWidth="1"/>
    <x:col min="11" max="11" width="24" hidden="0" customWidth="1"/>
    <x:col min="12" max="12" width="30" hidden="0" customWidth="1"/>
  </x:cols>
  <x:sheetData>
    <x:row r="1" ht="34" customHeight="1">
      <x:c r="A1" s="3" t="str">
        <x:v>系统需求（SR）与验收视图</x:v>
      </x:c>
    </x:row>
    <x:row r="2" ht="26" customHeight="1">
      <x:c r="A2" s="6" t="str">
        <x:v>SR描述系统对外可测试的功能/非功能要求；AR数与P0数从分配矩阵公式统计。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1" t="str">
        <x:v>IR ID</x:v>
      </x:c>
      <x:c r="B4" s="11" t="str">
        <x:v>SR ID</x:v>
      </x:c>
      <x:c r="C4" s="11" t="str">
        <x:v>类型</x:v>
      </x:c>
      <x:c r="D4" s="11" t="str">
        <x:v>SR标题</x:v>
      </x:c>
      <x:c r="E4" s="11" t="str">
        <x:v>系统需求（可测试）</x:v>
      </x:c>
      <x:c r="F4" s="11" t="str">
        <x:v>业务场景/触发</x:v>
      </x:c>
      <x:c r="G4" s="11" t="str">
        <x:v>V1建议验收指标</x:v>
      </x:c>
      <x:c r="H4" s="11" t="str">
        <x:v>AR数</x:v>
      </x:c>
      <x:c r="I4" s="11" t="str">
        <x:v>P0 AR数</x:v>
      </x:c>
      <x:c r="J4" s="11" t="str">
        <x:v>优先级</x:v>
      </x:c>
      <x:c r="K4" s="11" t="str">
        <x:v>主责任域</x:v>
      </x:c>
      <x:c r="L4" s="11" t="str">
        <x:v>子AR/源SW</x:v>
      </x:c>
    </x:row>
    <x:row r="5" ht="90" customHeight="1">
      <x:c r="A5" s="27" t="str">
        <x:v>IR-01</x:v>
      </x:c>
      <x:c r="B5" s="27" t="str">
        <x:v>SR-01</x:v>
      </x:c>
      <x:c r="C5" s="23" t="str">
        <x:v>功能+性能</x:v>
      </x:c>
      <x:c r="D5" s="23" t="str">
        <x:v>服务入口与流式协议数据路径</x:v>
      </x:c>
      <x:c r="E5" s="23" t="str">
        <x:v>系统应对API请求解析、Schema校验、SSE/WebSocket输出和代理转发分阶段执行与观测；CPU重任务不得阻塞event loop，并应减少小包系统调用、重复bytes/string转换和代理缓冲。</x:v>
      </x:c>
      <x:c r="F5" s="23" t="str">
        <x:v>OpenAI兼容API、SSE、WebSocket、大payload</x:v>
      </x:c>
      <x:c r="G5" s="23" t="str">
        <x:v>request-ready P99；parse CPU；event-loop lag；writes/request；copy bytes；超时率</x:v>
      </x:c>
      <x:c r="H5" s="23" t="n">
        <x:f>COUNTIF('03_AR分配矩阵'!$C$5:$C$39,B5)</x:f>
        <x:v>2</x:v>
      </x:c>
      <x:c r="I5" s="23" t="n">
        <x:f>COUNTIFS('03_AR分配矩阵'!$C$5:$C$39,B5,'03_AR分配矩阵'!$E$5:$E$39,"P0")</x:f>
        <x:v>0</x:v>
      </x:c>
      <x:c r="J5" s="23" t="str">
        <x:v>P1</x:v>
      </x:c>
      <x:c r="K5" s="23" t="str">
        <x:v>平台中间件团队</x:v>
      </x:c>
      <x:c r="L5" s="23" t="str">
        <x:v>SW-029、SW-035</x:v>
      </x:c>
    </x:row>
    <x:row r="6" ht="90" customHeight="1">
      <x:c r="A6" s="27" t="str">
        <x:v>IR-02</x:v>
      </x:c>
      <x:c r="B6" s="27" t="str">
        <x:v>SR-02</x:v>
      </x:c>
      <x:c r="C6" s="23" t="str">
        <x:v>功能+性能</x:v>
      </x:c>
      <x:c r="D6" s="23" t="str">
        <x:v>图像编解码与格式转换</x:v>
      </x:c>
      <x:c r="E6" s="23" t="str">
        <x:v>系统应为JPEG及常见图像格式提供鲲鹏AArch64高效解码、颜色转换和少拷贝buffer接口，并保持EXIF/ICC/progressive及像素语义一致。</x:v>
      </x:c>
      <x:c r="F6" s="23" t="str">
        <x:v>图像理解、图像生成输出、多图/大图</x:v>
      </x:c>
      <x:c r="G6" s="23" t="str">
        <x:v>cycles/MPixel；MPixel/s；decode P99；copy bytes；像素/容差golden</x:v>
      </x:c>
      <x:c r="H6" s="23" t="n">
        <x:f>COUNTIF('03_AR分配矩阵'!$C$5:$C$39,B6)</x:f>
        <x:v>3</x:v>
      </x:c>
      <x:c r="I6" s="23" t="n">
        <x:f>COUNTIFS('03_AR分配矩阵'!$C$5:$C$39,B6,'03_AR分配矩阵'!$E$5:$E$39,"P0")</x:f>
        <x:v>1</x:v>
      </x:c>
      <x:c r="J6" s="23" t="str">
        <x:v>P0</x:v>
      </x:c>
      <x:c r="K6" s="23" t="str">
        <x:v>媒体系统团队</x:v>
      </x:c>
      <x:c r="L6" s="23" t="str">
        <x:v>SW-002、SW-003、SW-007</x:v>
      </x:c>
    </x:row>
    <x:row r="7" ht="90" customHeight="1">
      <x:c r="A7" s="27" t="str">
        <x:v>IR-02</x:v>
      </x:c>
      <x:c r="B7" s="27" t="str">
        <x:v>SR-03</x:v>
      </x:c>
      <x:c r="C7" s="23" t="str">
        <x:v>功能+性能</x:v>
      </x:c>
      <x:c r="D7" s="23" t="str">
        <x:v>视频编解码与生成输出</x:v>
      </x:c>
      <x:c r="E7" s="23" t="str">
        <x:v>系统应减少随机seek和无效解码帧，复用demux/decoder并按业务条件选择软解、硬解和硬件编码；输出编码不得成为GPU完成后的主尾部瓶颈。</x:v>
      </x:c>
      <x:c r="F7" s="23" t="str">
        <x:v>视频理解、抽帧、视频生成输出</x:v>
      </x:c>
      <x:c r="G7" s="23" t="str">
        <x:v>frames/s；cycles/frame；decoded/requested frames；seek次数；encode/decode P99</x:v>
      </x:c>
      <x:c r="H7" s="23" t="n">
        <x:f>COUNTIF('03_AR分配矩阵'!$C$5:$C$39,B7)</x:f>
        <x:v>2</x:v>
      </x:c>
      <x:c r="I7" s="23" t="n">
        <x:f>COUNTIFS('03_AR分配矩阵'!$C$5:$C$39,B7,'03_AR分配矩阵'!$E$5:$E$39,"P0")</x:f>
        <x:v>1</x:v>
      </x:c>
      <x:c r="J7" s="23" t="str">
        <x:v>P0</x:v>
      </x:c>
      <x:c r="K7" s="23" t="str">
        <x:v>媒体系统团队</x:v>
      </x:c>
      <x:c r="L7" s="23" t="str">
        <x:v>SW-001、SW-034</x:v>
      </x:c>
    </x:row>
    <x:row r="8" ht="90" customHeight="1">
      <x:c r="A8" s="27" t="str">
        <x:v>IR-02</x:v>
      </x:c>
      <x:c r="B8" s="27" t="str">
        <x:v>SR-04</x:v>
      </x:c>
      <x:c r="C8" s="23" t="str">
        <x:v>功能+性能</x:v>
      </x:c>
      <x:c r="D8" s="23" t="str">
        <x:v>音频解码、重采样与特征公共路径</x:v>
      </x:c>
      <x:c r="E8" s="23" t="str">
        <x:v>系统应提供有状态音频解码/重采样和批量特征处理，复用FFT/重采样状态并减少小chunk调度、Python中间数组及重复格式转换。</x:v>
      </x:c>
      <x:c r="F8" s="23" t="str">
        <x:v>ASR、AudioLM、实时语音、音频生成</x:v>
      </x:c>
      <x:c r="G8" s="23" t="str">
        <x:v>audio-seconds/s；µs/chunk；RTF；allocations；端点延迟；特征一致性</x:v>
      </x:c>
      <x:c r="H8" s="23" t="n">
        <x:f>COUNTIF('03_AR分配矩阵'!$C$5:$C$39,B8)</x:f>
        <x:v>2</x:v>
      </x:c>
      <x:c r="I8" s="23" t="n">
        <x:f>COUNTIFS('03_AR分配矩阵'!$C$5:$C$39,B8,'03_AR分配矩阵'!$E$5:$E$39,"P0")</x:f>
        <x:v>0</x:v>
      </x:c>
      <x:c r="J8" s="23" t="str">
        <x:v>P1</x:v>
      </x:c>
      <x:c r="K8" s="23" t="str">
        <x:v>音频前处理团队</x:v>
      </x:c>
      <x:c r="L8" s="23" t="str">
        <x:v>SW-008、SW-009</x:v>
      </x:c>
    </x:row>
    <x:row r="9" ht="90" customHeight="1">
      <x:c r="A9" s="27" t="str">
        <x:v>IR-02</x:v>
      </x:c>
      <x:c r="B9" s="27" t="str">
        <x:v>SR-05</x:v>
      </x:c>
      <x:c r="C9" s="23" t="str">
        <x:v>功能+性能</x:v>
      </x:c>
      <x:c r="D9" s="23" t="str">
        <x:v>视觉公共前处理融合</x:v>
      </x:c>
      <x:c r="E9" s="23" t="str">
        <x:v>系统应将resize、crop、pad、颜色、layout、dtype和normalize按有限shape组合成少遍历、少中间buffer的批处理路径，并按真实执行后端统一线程预算。</x:v>
      </x:c>
      <x:c r="F9" s="23" t="str">
        <x:v>图像/视频理解与批处理</x:v>
      </x:c>
      <x:c r="G9" s="23" t="str">
        <x:v>passes/pixel；bytes/pixel；MPixel/s；allocations；contiguous ratio；preprocess P99</x:v>
      </x:c>
      <x:c r="H9" s="23" t="n">
        <x:f>COUNTIF('03_AR分配矩阵'!$C$5:$C$39,B9)</x:f>
        <x:v>3</x:v>
      </x:c>
      <x:c r="I9" s="23" t="n">
        <x:f>COUNTIFS('03_AR分配矩阵'!$C$5:$C$39,B9,'03_AR分配矩阵'!$E$5:$E$39,"P0")</x:f>
        <x:v>2</x:v>
      </x:c>
      <x:c r="J9" s="23" t="str">
        <x:v>P0</x:v>
      </x:c>
      <x:c r="K9" s="23" t="str">
        <x:v>视觉前处理团队</x:v>
      </x:c>
      <x:c r="L9" s="23" t="str">
        <x:v>SW-004、SW-005、SW-006</x:v>
      </x:c>
    </x:row>
    <x:row r="10" ht="90" customHeight="1">
      <x:c r="A10" s="27" t="str">
        <x:v>IR-03</x:v>
      </x:c>
      <x:c r="B10" s="27" t="str">
        <x:v>SR-06</x:v>
      </x:c>
      <x:c r="C10" s="23" t="str">
        <x:v>功能+性能</x:v>
      </x:c>
      <x:c r="D10" s="23" t="str">
        <x:v>多模态语义Processor快路径</x:v>
      </x:c>
      <x:c r="E10" s="23" t="str">
        <x:v>系统应对chat template、动态分辨率/tiling、placeholder、grid和metadata建立模型等价快路径，减少Python对象、重复扫描和重复tokenize，并按模型维护golden。</x:v>
      </x:c>
      <x:c r="F10" s="23" t="str">
        <x:v>VLM/AudioLM/Any-to-Any、多轮多图</x:v>
      </x:c>
      <x:c r="G10" s="23" t="str">
        <x:v>processor ms/item；Python time ratio；re-tokenize count；allocations；visual tokens；golden parity</x:v>
      </x:c>
      <x:c r="H10" s="23" t="n">
        <x:f>COUNTIF('03_AR分配矩阵'!$C$5:$C$39,B10)</x:f>
        <x:v>1</x:v>
      </x:c>
      <x:c r="I10" s="23" t="n">
        <x:f>COUNTIFS('03_AR分配矩阵'!$C$5:$C$39,B10,'03_AR分配矩阵'!$E$5:$E$39,"P0")</x:f>
        <x:v>1</x:v>
      </x:c>
      <x:c r="J10" s="23" t="str">
        <x:v>P0</x:v>
      </x:c>
      <x:c r="K10" s="23" t="str">
        <x:v>多模态框架团队</x:v>
      </x:c>
      <x:c r="L10" s="23" t="str">
        <x:v>SW-010</x:v>
      </x:c>
    </x:row>
    <x:row r="11" ht="90" customHeight="1">
      <x:c r="A11" s="27" t="str">
        <x:v>IR-03</x:v>
      </x:c>
      <x:c r="B11" s="27" t="str">
        <x:v>SR-07</x:v>
      </x:c>
      <x:c r="C11" s="23" t="str">
        <x:v>功能+性能</x:v>
      </x:c>
      <x:c r="D11" s="23" t="str">
        <x:v>Tokenization与结构化文本处理</x:v>
      </x:c>
      <x:c r="E11" s="23" t="str">
        <x:v>系统应使用原生fast tokenizer、批量接口和模板/schema缓存，避免字符串重复拼接与跨进程传输原始文本，并保持token IDs、offset和special token语义一致。</x:v>
      </x:c>
      <x:c r="F11" s="23" t="str">
        <x:v>长上下文、工具schema、多轮对话</x:v>
      </x:c>
      <x:c r="G11" s="23" t="str">
        <x:v>tokens/s；µs/token；IPC bytes；re-tokenize count；long-prompt scaling；一致性</x:v>
      </x:c>
      <x:c r="H11" s="23" t="n">
        <x:f>COUNTIF('03_AR分配矩阵'!$C$5:$C$39,B11)</x:f>
        <x:v>3</x:v>
      </x:c>
      <x:c r="I11" s="23" t="n">
        <x:f>COUNTIFS('03_AR分配矩阵'!$C$5:$C$39,B11,'03_AR分配矩阵'!$E$5:$E$39,"P0")</x:f>
        <x:v>0</x:v>
      </x:c>
      <x:c r="J11" s="23" t="str">
        <x:v>P1</x:v>
      </x:c>
      <x:c r="K11" s="23" t="str">
        <x:v>多模态框架团队</x:v>
      </x:c>
      <x:c r="L11" s="23" t="str">
        <x:v>SW-011、SW-012、SW-013</x:v>
      </x:c>
    </x:row>
    <x:row r="12" ht="90" customHeight="1">
      <x:c r="A12" s="27" t="str">
        <x:v>IR-03</x:v>
      </x:c>
      <x:c r="B12" s="27" t="str">
        <x:v>SR-08</x:v>
      </x:c>
      <x:c r="C12" s="23" t="str">
        <x:v>功能+性能</x:v>
      </x:c>
      <x:c r="D12" s="23" t="str">
        <x:v>Grammar、JSON与Agent结构化交互</x:v>
      </x:c>
      <x:c r="E12" s="23" t="str">
        <x:v>系统应按职责分层使用Pydantic-core/jiter、orjson和simdjson，支持grammar/JSON mode/tool_call的低重扫解析、Schema校验和流式输出；不得默认叠加重复解析或序列化。</x:v>
      </x:c>
      <x:c r="F12" s="23" t="str">
        <x:v>AI Agent、tool_call、Structured Output、JSON mode、SSE</x:v>
      </x:c>
      <x:c r="G12" s="23" t="str">
        <x:v>JSON µs/KB与µs/token；重复扫描bytes；allocations；grammar CPU%；TPOT/P99；错误恢复一致性</x:v>
      </x:c>
      <x:c r="H12" s="23" t="n">
        <x:f>COUNTIF('03_AR分配矩阵'!$C$5:$C$39,B12)</x:f>
        <x:v>3</x:v>
      </x:c>
      <x:c r="I12" s="23" t="n">
        <x:f>COUNTIFS('03_AR分配矩阵'!$C$5:$C$39,B12,'03_AR分配矩阵'!$E$5:$E$39,"P0")</x:f>
        <x:v>1</x:v>
      </x:c>
      <x:c r="J12" s="23" t="str">
        <x:v>P0</x:v>
      </x:c>
      <x:c r="K12" s="23" t="str">
        <x:v>Agent基础设施/平台中间件团队</x:v>
      </x:c>
      <x:c r="L12" s="23" t="str">
        <x:v>SW-023、SW-024、SW-030</x:v>
      </x:c>
    </x:row>
    <x:row r="13" ht="90" customHeight="1">
      <x:c r="A13" s="27" t="str">
        <x:v>IR-04</x:v>
      </x:c>
      <x:c r="B13" s="27" t="str">
        <x:v>SR-09</x:v>
      </x:c>
      <x:c r="C13" s="23" t="str">
        <x:v>非功能-性能</x:v>
      </x:c>
      <x:c r="D13" s="23" t="str">
        <x:v>CPU算子与推理运行时后端</x:v>
      </x:c>
      <x:c r="E13" s="23" t="str">
        <x:v>系统应对进入Host Top-N的ATen/Inductor/oneDNN/ONNX Runtime/OpenVINO热点建立鲲鹏原生构建、NEON基线和条件式SVE/SVE2派发，并以实际backend符号而非上层API归因。</x:v>
      </x:c>
      <x:c r="F13" s="23" t="str">
        <x:v>CPU fallback、小算子、动态shape、CPU推理</x:v>
      </x:c>
      <x:c r="G13" s="23" t="str">
        <x:v>cycles/op；operator P99；compile/cache hit；GFLOPS/GB/s；端到端CPU占比；正确性</x:v>
      </x:c>
      <x:c r="H13" s="23" t="n">
        <x:f>COUNTIF('03_AR分配矩阵'!$C$5:$C$39,B13)</x:f>
        <x:v>5</x:v>
      </x:c>
      <x:c r="I13" s="23" t="n">
        <x:f>COUNTIFS('03_AR分配矩阵'!$C$5:$C$39,B13,'03_AR分配矩阵'!$E$5:$E$39,"P0")</x:f>
        <x:v>1</x:v>
      </x:c>
      <x:c r="J13" s="23" t="str">
        <x:v>P0</x:v>
      </x:c>
      <x:c r="K13" s="23" t="str">
        <x:v>推理运行时团队</x:v>
      </x:c>
      <x:c r="L13" s="23" t="str">
        <x:v>SW-014、SW-015、SW-016、SW-017、SW-018</x:v>
      </x:c>
    </x:row>
    <x:row r="14" ht="90" customHeight="1">
      <x:c r="A14" s="27" t="str">
        <x:v>IR-04</x:v>
      </x:c>
      <x:c r="B14" s="27" t="str">
        <x:v>SR-10</x:v>
      </x:c>
      <x:c r="C14" s="23" t="str">
        <x:v>非功能-性能</x:v>
      </x:c>
      <x:c r="D14" s="23" t="str">
        <x:v>内存分配、线程与NUMA拓扑</x:v>
      </x:c>
      <x:c r="E14" s="23" t="str">
        <x:v>系统应统一allocator、线程池和NUMA策略，使worker、buffer、pinned memory和GPU PCIe根节点对齐，减少分配抖动、线程超卖、远端内存和无效拷贝。</x:v>
      </x:c>
      <x:c r="F14" s="23" t="str">
        <x:v>多socket/多GPU、高并发、动态buffer</x:v>
      </x:c>
      <x:c r="G14" s="23" t="str">
        <x:v>allocations；RSS；copy bytes；remote NUMA%；context switches；H2D GB/s；P99</x:v>
      </x:c>
      <x:c r="H14" s="23" t="n">
        <x:f>COUNTIF('03_AR分配矩阵'!$C$5:$C$39,B14)</x:f>
        <x:v>4</x:v>
      </x:c>
      <x:c r="I14" s="23" t="n">
        <x:f>COUNTIFS('03_AR分配矩阵'!$C$5:$C$39,B14,'03_AR分配矩阵'!$E$5:$E$39,"P0")</x:f>
        <x:v>1</x:v>
      </x:c>
      <x:c r="J14" s="23" t="str">
        <x:v>P0</x:v>
      </x:c>
      <x:c r="K14" s="23" t="str">
        <x:v>系统性能团队</x:v>
      </x:c>
      <x:c r="L14" s="23" t="str">
        <x:v>SW-025、SW-026、SW-027、SW-028</x:v>
      </x:c>
    </x:row>
    <x:row r="15" ht="90" customHeight="1">
      <x:c r="A15" s="27" t="str">
        <x:v>IR-05</x:v>
      </x:c>
      <x:c r="B15" s="27" t="str">
        <x:v>SR-11</x:v>
      </x:c>
      <x:c r="C15" s="23" t="str">
        <x:v>功能+性能</x:v>
      </x:c>
      <x:c r="D15" s="23" t="str">
        <x:v>在线Serving调度与批处理</x:v>
      </x:c>
      <x:c r="E15" s="23" t="str">
        <x:v>系统应对vLLM、SGLang、Triton和TensorRT-LLM的scheduler、tokenizer/grammar worker、batch组装和Host提交路径分段归因并优化，控制Python/IPC开销和调度尾延迟。</x:v>
      </x:c>
      <x:c r="F15" s="23" t="str">
        <x:v>高并发LLM/VLM Serving、多GPU、多租户</x:v>
      </x:c>
      <x:c r="G15" s="23" t="str">
        <x:v>QPS/node；scheduler CPU/request；batch size；queue P99；GPU idle；TTFT/TPOT</x:v>
      </x:c>
      <x:c r="H15" s="23" t="n">
        <x:f>COUNTIF('03_AR分配矩阵'!$C$5:$C$39,B15)</x:f>
        <x:v>4</x:v>
      </x:c>
      <x:c r="I15" s="23" t="n">
        <x:f>COUNTIFS('03_AR分配矩阵'!$C$5:$C$39,B15,'03_AR分配矩阵'!$E$5:$E$39,"P0")</x:f>
        <x:v>2</x:v>
      </x:c>
      <x:c r="J15" s="23" t="str">
        <x:v>P0</x:v>
      </x:c>
      <x:c r="K15" s="23" t="str">
        <x:v>Serving平台团队</x:v>
      </x:c>
      <x:c r="L15" s="23" t="str">
        <x:v>SW-019、SW-020、SW-021、SW-022</x:v>
      </x:c>
    </x:row>
    <x:row r="16" ht="90" customHeight="1">
      <x:c r="A16" s="27" t="str">
        <x:v>IR-05</x:v>
      </x:c>
      <x:c r="B16" s="27" t="str">
        <x:v>SR-12</x:v>
      </x:c>
      <x:c r="C16" s="23" t="str">
        <x:v>功能+性能</x:v>
      </x:c>
      <x:c r="D16" s="23" t="str">
        <x:v>缓存、共享状态与内容指纹</x:v>
      </x:c>
      <x:c r="E16" s="23" t="str">
        <x:v>系统应按processor结果、媒体metadata、会话和扩展KV建立分层缓存，只在命中净收益成立时启用；缓存键应一次canonicalize/一次hash，并区分非安全与安全哈希。</x:v>
      </x:c>
      <x:c r="F16" s="23" t="str">
        <x:v>重复媒体、多轮复用、多进程Serving</x:v>
      </x:c>
      <x:c r="G16" s="23" t="str">
        <x:v>hit rate；saved-ms；lookup/hash CPU；bytes/entry；RSS；网络字节；错误命中率</x:v>
      </x:c>
      <x:c r="H16" s="23" t="n">
        <x:f>COUNTIF('03_AR分配矩阵'!$C$5:$C$39,B16)</x:f>
        <x:v>1</x:v>
      </x:c>
      <x:c r="I16" s="23" t="n">
        <x:f>COUNTIFS('03_AR分配矩阵'!$C$5:$C$39,B16,'03_AR分配矩阵'!$E$5:$E$39,"P0")</x:f>
        <x:v>0</x:v>
      </x:c>
      <x:c r="J16" s="23" t="str">
        <x:v>P1</x:v>
      </x:c>
      <x:c r="K16" s="23" t="str">
        <x:v>推理框架团队</x:v>
      </x:c>
      <x:c r="L16" s="23" t="str">
        <x:v>SW-031</x:v>
      </x:c>
    </x:row>
    <x:row r="17" ht="90" customHeight="1">
      <x:c r="A17" s="27" t="str">
        <x:v>IR-06</x:v>
      </x:c>
      <x:c r="B17" s="27" t="str">
        <x:v>SR-13</x:v>
      </x:c>
      <x:c r="C17" s="23" t="str">
        <x:v>非功能-可观测</x:v>
      </x:c>
      <x:c r="D17" s="23" t="str">
        <x:v>端到端Phase观测与SLO看板</x:v>
      </x:c>
      <x:c r="E17" s="23" t="str">
        <x:v>系统应为请求接入、媒体处理、Processor、tokenize、CPU算子、H2D、调度和输出建立统一phase标识、trace关联和可回放指标，支持按模型/模态/shape/机型分层比较。</x:v>
      </x:c>
      <x:c r="F17" s="23" t="str">
        <x:v>持续性能治理、版本回归、容量评估</x:v>
      </x:c>
      <x:c r="G17" s="23" t="str">
        <x:v>phase覆盖率；trace关联率；P50/P99；CPU/request；GPU wait；回放差异</x:v>
      </x:c>
      <x:c r="H17" s="23" t="n">
        <x:f>COUNTIF('03_AR分配矩阵'!$C$5:$C$39,B17)</x:f>
        <x:v>1</x:v>
      </x:c>
      <x:c r="I17" s="23" t="n">
        <x:f>COUNTIFS('03_AR分配矩阵'!$C$5:$C$39,B17,'03_AR分配矩阵'!$E$5:$E$39,"P0")</x:f>
        <x:v>0</x:v>
      </x:c>
      <x:c r="J17" s="23" t="str">
        <x:v>P2</x:v>
      </x:c>
      <x:c r="K17" s="23" t="str">
        <x:v>可观测性团队</x:v>
      </x:c>
      <x:c r="L17" s="23" t="str">
        <x:v>SW-032</x:v>
      </x:c>
    </x:row>
    <x:row r="18" ht="90" customHeight="1">
      <x:c r="A18" s="27" t="str">
        <x:v>IR-06</x:v>
      </x:c>
      <x:c r="B18" s="27" t="str">
        <x:v>SR-14</x:v>
      </x:c>
      <x:c r="C18" s="23" t="str">
        <x:v>非功能-工程能力</x:v>
      </x:c>
      <x:c r="D18" s="23" t="str">
        <x:v>穿透式热点归因与优化验收</x:v>
      </x:c>
      <x:c r="E18" s="23" t="str">
        <x:v>系统应使用perf/eBPF/PyTorch Profiler/Nsight等工具下钻到真实DSO、native symbol、线程池和GPU kernel，同时提交microbenchmark、端到端A/B、资源增量和语义golden。</x:v>
      </x:c>
      <x:c r="F18" s="23" t="str">
        <x:v>热点分析、立项升档、性能验收</x:v>
      </x:c>
      <x:c r="G18" s="23" t="str">
        <x:v>inclusive/exclusive time；符号覆盖；Top-N热点解释率；E2E收益；golden通过率</x:v>
      </x:c>
      <x:c r="H18" s="23" t="n">
        <x:f>COUNTIF('03_AR分配矩阵'!$C$5:$C$39,B18)</x:f>
        <x:v>1</x:v>
      </x:c>
      <x:c r="I18" s="23" t="n">
        <x:f>COUNTIFS('03_AR分配矩阵'!$C$5:$C$39,B18,'03_AR分配矩阵'!$E$5:$E$39,"P0")</x:f>
        <x:v>0</x:v>
      </x:c>
      <x:c r="J18" s="23" t="str">
        <x:v>P2</x:v>
      </x:c>
      <x:c r="K18" s="23" t="str">
        <x:v>性能工程团队</x:v>
      </x:c>
      <x:c r="L18" s="23" t="str">
        <x:v>SW-033</x:v>
      </x:c>
    </x:row>
  </x:sheetData>
  <x:mergeCells>
    <x:mergeCell ref="A1:L1"/>
    <x:mergeCell ref="A2:L2"/>
  </x:mergeCells>
  <x:conditionalFormatting sqref="J5:J18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3c6e6e227c8e40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31" hidden="0" customWidth="1"/>
    <x:col min="7" max="7" width="22" hidden="0" customWidth="1"/>
    <x:col min="8" max="8" width="28" hidden="0" customWidth="1"/>
    <x:col min="9" max="9" width="42" hidden="0" customWidth="1"/>
    <x:col min="10" max="10" width="62" hidden="0" customWidth="1"/>
    <x:col min="11" max="11" width="38" hidden="0" customWidth="1"/>
    <x:col min="12" max="12" width="36" hidden="0" customWidth="1"/>
    <x:col min="13" max="13" width="24" hidden="0" customWidth="1"/>
    <x:col min="14" max="14" width="34" hidden="0" customWidth="1"/>
    <x:col min="15" max="15" width="28" hidden="0" customWidth="1"/>
    <x:col min="16" max="16" width="58" hidden="0" customWidth="1"/>
    <x:col min="17" max="17" width="44" hidden="0" customWidth="1"/>
  </x:cols>
  <x:sheetData>
    <x:row r="1" ht="34" customHeight="1">
      <x:c r="A1" s="3" t="str">
        <x:v>分配需求（AR）与源软件优化需求追踪矩阵</x:v>
      </x:c>
    </x:row>
    <x:row r="2" ht="28" customHeight="1">
      <x:c r="A2" s="6" t="str">
        <x:v>35个AR与SW-001~SW-035一一映射；优化Owner可挂在上层责任田，但交付物和性能归因必须指向主要真实负载库/执行层。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>
      <x:c r="A4" s="11" t="str">
        <x:v>AR ID</x:v>
      </x:c>
      <x:c r="B4" s="11" t="str">
        <x:v>源SW ID</x:v>
      </x:c>
      <x:c r="C4" s="11" t="str">
        <x:v>父SR ID</x:v>
      </x:c>
      <x:c r="D4" s="11" t="str">
        <x:v>父IR ID</x:v>
      </x:c>
      <x:c r="E4" s="11" t="str">
        <x:v>优先级</x:v>
      </x:c>
      <x:c r="F4" s="11" t="str">
        <x:v>软件库/组件</x:v>
      </x:c>
      <x:c r="G4" s="11" t="str">
        <x:v>技术领域</x:v>
      </x:c>
      <x:c r="H4" s="11" t="str">
        <x:v>适用场景</x:v>
      </x:c>
      <x:c r="I4" s="11" t="str">
        <x:v>当前核心瓶颈</x:v>
      </x:c>
      <x:c r="J4" s="11" t="str">
        <x:v>分配需求/优化方向</x:v>
      </x:c>
      <x:c r="K4" s="11" t="str">
        <x:v>观测与验收指标</x:v>
      </x:c>
      <x:c r="L4" s="11" t="str">
        <x:v>立项/升档条件</x:v>
      </x:c>
      <x:c r="M4" s="11" t="str">
        <x:v>建议Owner</x:v>
      </x:c>
      <x:c r="N4" s="11" t="str">
        <x:v>生态/硬件绑定属性</x:v>
      </x:c>
      <x:c r="O4" s="11" t="str">
        <x:v>调用层级角色</x:v>
      </x:c>
      <x:c r="P4" s="11" t="str">
        <x:v>主要真实负载库/执行层</x:v>
      </x:c>
      <x:c r="Q4" s="11" t="str">
        <x:v>官方/主要依据</x:v>
      </x:c>
    </x:row>
    <x:row r="5" ht="118" customHeight="1">
      <x:c r="A5" s="34" t="str">
        <x:v>AR-SW-001</x:v>
      </x:c>
      <x:c r="B5" s="34" t="str">
        <x:v>SW-001</x:v>
      </x:c>
      <x:c r="C5" s="34" t="str">
        <x:v>SR-03</x:v>
      </x:c>
      <x:c r="D5" s="34" t="str">
        <x:v>IR-02</x:v>
      </x:c>
      <x:c r="E5" s="23" t="str">
        <x:v>P0</x:v>
      </x:c>
      <x:c r="F5" s="23" t="str">
        <x:v>FFmpeg / libavcodec / libavformat</x:v>
      </x:c>
      <x:c r="G5" s="23" t="str">
        <x:v>媒体编解码</x:v>
      </x:c>
      <x:c r="H5" s="23" t="str">
        <x:v>视频理解与视频生成</x:v>
      </x:c>
      <x:c r="I5" s="23" t="str">
        <x:v>软解码、随机 seek、重复 demux 使 CPU 满载并造成 GPU 等待</x:v>
      </x:c>
      <x:c r="J5" s="23" t="str">
        <x:v>① 建立鲲鹏AArch64专用构建与基准，确认FFmpeg汇编/NEON路径生效，并按实际CPU提供NEON基线与可选SVE/SVE2多版本派发；② 顺序解码一次覆盖多个目标帧，复用demux/decoder/packet/frame；③ 融合抽帧、缩放、色彩和layout转换，直接写入下游buffer；④ 按NUMA与GPU拓扑配置codec线程、队列和内存归属，减少跨核迁移与重复拷贝。</x:v>
      </x:c>
      <x:c r="K5" s="23" t="str">
        <x:v>frames/s；cycles/frame；实际解码帧/目标帧；P99；GPU wait-for-input</x:v>
      </x:c>
      <x:c r="L5" s="23" t="str">
        <x:v>视频流量显著或视频 decode 占 TTFT&gt;20%</x:v>
      </x:c>
      <x:c r="M5" s="23" t="str">
        <x:v>媒体系统团队</x:v>
      </x:c>
      <x:c r="N5" s="23" t="str">
        <x:v>开源社区广泛采用｜跨厂商、跨硬件</x:v>
      </x:c>
      <x:c r="O5" s="23" t="str">
        <x:v>混合：框架+底层执行</x:v>
      </x:c>
      <x:c r="P5" s="23" t="str">
        <x:v>主负载：libavcodec具体codec实现、libavformat demux、libswscale/libswresample及libc memcpy；CLI/Python绑定通常仅负责调度。</x:v>
      </x:c>
      <x:c r="Q5" s="23" t="str">
        <x:v>https://ffmpeg.org/documentation.html</x:v>
      </x:c>
    </x:row>
    <x:row r="6" ht="118" customHeight="1">
      <x:c r="A6" s="34" t="str">
        <x:v>AR-SW-002</x:v>
      </x:c>
      <x:c r="B6" s="34" t="str">
        <x:v>SW-002</x:v>
      </x:c>
      <x:c r="C6" s="34" t="str">
        <x:v>SR-02</x:v>
      </x:c>
      <x:c r="D6" s="34" t="str">
        <x:v>IR-02</x:v>
      </x:c>
      <x:c r="E6" s="23" t="str">
        <x:v>P0</x:v>
      </x:c>
      <x:c r="F6" s="23" t="str">
        <x:v>libjpeg-turbo / TurboJPEG</x:v>
      </x:c>
      <x:c r="G6" s="23" t="str">
        <x:v>图像编解码</x:v>
      </x:c>
      <x:c r="H6" s="23" t="str">
        <x:v>图像理解与图像生成输出</x:v>
      </x:c>
      <x:c r="I6" s="23" t="str">
        <x:v>JPEG 解码、颜色转换及多次 buffer 复制随总像素线性放大</x:v>
      </x:c>
      <x:c r="J6" s="23" t="str">
        <x:v>① 鲲鹏平台统一使用启用AArch64 NEON SIMD的libjpeg-turbo构建，并校验运行时未退回标量路径；② 解码直接输出目标RGB/BGR/灰度格式，合并upsample、颜色转换和下游预处理；③ 建立批量/多图接口与可复用buffer池，降低小图调用和分配开销；④ 对自研颜色/layout融合模块在支持机型上评估SVE2实现，同时保持NEON与通用C回退。</x:v>
      </x:c>
      <x:c r="K6" s="23" t="str">
        <x:v>cycles/MPixel；MPixel/s；copy bytes；decode P99；像素/容差一致性</x:v>
      </x:c>
      <x:c r="L6" s="23" t="str">
        <x:v>JPEG 占图像请求主体且 decode+convert&gt;CPU链路20%</x:v>
      </x:c>
      <x:c r="M6" s="23" t="str">
        <x:v>媒体系统团队</x:v>
      </x:c>
      <x:c r="N6" s="23" t="str">
        <x:v>开源社区广泛采用｜跨厂商、跨硬件（SIMD按平台优化）</x:v>
      </x:c>
      <x:c r="O6" s="23" t="str">
        <x:v>底层执行层</x:v>
      </x:c>
      <x:c r="P6" s="23" t="str">
        <x:v>主负载：libjpeg-turbo的IDCT、熵解码、颜色转换与SIMD内核；上层TurboJPEG API自身占比通常很低。</x:v>
      </x:c>
      <x:c r="Q6" s="23" t="str">
        <x:v>https://libjpeg-turbo.org/Documentation/Documentation</x:v>
      </x:c>
    </x:row>
    <x:row r="7" ht="118" customHeight="1">
      <x:c r="A7" s="34" t="str">
        <x:v>AR-SW-003</x:v>
      </x:c>
      <x:c r="B7" s="34" t="str">
        <x:v>SW-003</x:v>
      </x:c>
      <x:c r="C7" s="34" t="str">
        <x:v>SR-02</x:v>
      </x:c>
      <x:c r="D7" s="34" t="str">
        <x:v>IR-02</x:v>
      </x:c>
      <x:c r="E7" s="23" t="str">
        <x:v>P1</x:v>
      </x:c>
      <x:c r="F7" s="23" t="str">
        <x:v>Pillow</x:v>
      </x:c>
      <x:c r="G7" s="23" t="str">
        <x:v>图像编解码/包装层</x:v>
      </x:c>
      <x:c r="H7" s="23" t="str">
        <x:v>图片加载、EXIF、模式转换</x:v>
      </x:c>
      <x:c r="I7" s="23" t="str">
        <x:v>PIL Image→NumPy→Tensor 多阶段对象和拷贝；高并发下对象分配明显</x:v>
      </x:c>
      <x:c r="J7" s="23" t="str">
        <x:v>① 将Pillow限定为格式兼容、EXIF/ICC和控制面入口，批量像素处理下沉到libjpeg-turbo、OpenCV或torchvision原生路径；② 提供PIL→buffer/Tensor少拷贝接口，消除重复convert和Python对象构造；③ 发布鲲鹏AArch64 wheel并确保依赖的jpeg/zlib/webp/lcms库启用NEON优化；④ 按格式和输入类型建立fast path与兼容回退，避免在Python循环中逐图处理。</x:v>
      </x:c>
      <x:c r="K7" s="23" t="str">
        <x:v>PIL/NumPy/Tensor 转换次数；allocations；copy bytes；兼容用例通过率</x:v>
      </x:c>
      <x:c r="L7" s="23" t="str">
        <x:v>Pillow 路径仍是主链路或模型 processor 强依赖</x:v>
      </x:c>
      <x:c r="M7" s="23" t="str">
        <x:v>视觉前处理团队</x:v>
      </x:c>
      <x:c r="N7" s="23" t="str">
        <x:v>开源社区广泛采用｜跨厂商、跨硬件</x:v>
      </x:c>
      <x:c r="O7" s="23" t="str">
        <x:v>上层入口/包装层</x:v>
      </x:c>
      <x:c r="P7" s="23" t="str">
        <x:v>主负载：Pillow _imaging C扩展及libjpeg-turbo、zlib、libtiff、libwebp、lcms2；PIL Python对象层主要是调度和对象转换。</x:v>
      </x:c>
      <x:c r="Q7" s="23" t="str">
        <x:v>https://pillow.readthedocs.io/</x:v>
      </x:c>
    </x:row>
    <x:row r="8" ht="118" customHeight="1">
      <x:c r="A8" s="34" t="str">
        <x:v>AR-SW-004</x:v>
      </x:c>
      <x:c r="B8" s="34" t="str">
        <x:v>SW-004</x:v>
      </x:c>
      <x:c r="C8" s="34" t="str">
        <x:v>SR-05</x:v>
      </x:c>
      <x:c r="D8" s="34" t="str">
        <x:v>IR-02</x:v>
      </x:c>
      <x:c r="E8" s="23" t="str">
        <x:v>P0</x:v>
      </x:c>
      <x:c r="F8" s="23" t="str">
        <x:v>OpenCV</x:v>
      </x:c>
      <x:c r="G8" s="23" t="str">
        <x:v>视觉公共算子</x:v>
      </x:c>
      <x:c r="H8" s="23" t="str">
        <x:v>图片/视频 resize、颜色转换、crop/pad</x:v>
      </x:c>
      <x:c r="I8" s="23" t="str">
        <x:v>多次中间 Mat/NumPy buffer、BGR/RGB 与 HWC/CHW 往返；内部线程与其它库超卖</x:v>
      </x:c>
      <x:c r="J8" s="23" t="str">
        <x:v>① 构建启用AArch64 NEON与CPU dispatch的OpenCV版本，在目标机型支持时为resize、颜色转换、normalize等热点评估SVE/SVE2后端；② 融合resize+color+crop/pad+layout转换，直接写入目标Tensor；③ 统一OpenCV、PyTorch和OpenMP/TBB线程预算，避免鲲鹏多核场景过度并行；④ 优化数据对齐、连续访问、预取和NUMA本地内存，降低内存带宽与cache miss。</x:v>
      </x:c>
      <x:c r="K8" s="23" t="str">
        <x:v>passes/pixel；bytes/pixel；MPixel/s；allocations；线程扩展效率</x:v>
      </x:c>
      <x:c r="L8" s="23" t="str">
        <x:v>OpenCV 算子占 preprocess&gt;20% 或 copy bytes&gt;输入3倍</x:v>
      </x:c>
      <x:c r="M8" s="23" t="str">
        <x:v>视觉前处理团队</x:v>
      </x:c>
      <x:c r="N8" s="23" t="str">
        <x:v>开源社区广泛采用｜跨厂商、跨硬件</x:v>
      </x:c>
      <x:c r="O8" s="23" t="str">
        <x:v>混合：入口+底层算子</x:v>
      </x:c>
      <x:c r="P8" s="23" t="str">
        <x:v>主负载：opencv_imgproc SIMD/并行内核；编解码路径继续穿透到libjpeg-turbo、PNG/zlib或FFmpeg；线程开销落在TBB/OpenMP。</x:v>
      </x:c>
      <x:c r="Q8" s="23" t="str">
        <x:v>https://docs.opencv.org/</x:v>
      </x:c>
    </x:row>
    <x:row r="9" ht="118" customHeight="1">
      <x:c r="A9" s="34" t="str">
        <x:v>AR-SW-005</x:v>
      </x:c>
      <x:c r="B9" s="34" t="str">
        <x:v>SW-005</x:v>
      </x:c>
      <x:c r="C9" s="34" t="str">
        <x:v>SR-05</x:v>
      </x:c>
      <x:c r="D9" s="34" t="str">
        <x:v>IR-02</x:v>
      </x:c>
      <x:c r="E9" s="23" t="str">
        <x:v>P0</x:v>
      </x:c>
      <x:c r="F9" s="23" t="str">
        <x:v>torchvision</x:v>
      </x:c>
      <x:c r="G9" s="23" t="str">
        <x:v>Tensor 图像处理</x:v>
      </x:c>
      <x:c r="H9" s="23" t="str">
        <x:v>图像/视频理解</x:v>
      </x:c>
      <x:c r="I9" s="23" t="str">
        <x:v>旧 PIL/NumPy backend 或逐图处理导致慢路径；Tensor 后端未充分利用</x:v>
      </x:c>
      <x:c r="J9" s="23" t="str">
        <x:v>① 默认切换到torchvision Tensor/Fast ImageProcessor路径，将PIL/NumPy逐图流程改为批处理或按shape分桶；② 融合resize、normalize、dtype和layout转换，减少ATen small-op及中间Tensor；③ 使用鲲鹏AArch64优化的PyTorch/ATen构建，热点算子采用NEON并在支持机型上评估SVE/SVE2；④ 根据CPU/GPU余量配置CPU、CUDA或其他加速后端，并保留逐模型数值一致性回退。</x:v>
      </x:c>
      <x:c r="K9" s="23" t="str">
        <x:v>preprocess ms/item；MPixel/s；CPU bytes；GPU资源增量；一致性</x:v>
      </x:c>
      <x:c r="L9" s="23" t="str">
        <x:v>HF Processor 可使用 torchvision backend 且图像前处理为热点</x:v>
      </x:c>
      <x:c r="M9" s="23" t="str">
        <x:v>视觉前处理团队</x:v>
      </x:c>
      <x:c r="N9" s="23" t="str">
        <x:v>开源社区广泛采用｜PyTorch生态相关，非单一硬件绑定</x:v>
      </x:c>
      <x:c r="O9" s="23" t="str">
        <x:v>适配/算子层</x:v>
      </x:c>
      <x:c r="P9" s="23" t="str">
        <x:v>主负载：PyTorch ATen CPU/CUDA图像算子、libjpeg/libpng解码内核及PyTorch allocator/thread pool；torchvision Python API多为派发。</x:v>
      </x:c>
      <x:c r="Q9" s="23" t="str">
        <x:v>https://pytorch.org/vision/stable/transforms.html</x:v>
      </x:c>
    </x:row>
    <x:row r="10" ht="118" customHeight="1">
      <x:c r="A10" s="34" t="str">
        <x:v>AR-SW-006</x:v>
      </x:c>
      <x:c r="B10" s="34" t="str">
        <x:v>SW-006</x:v>
      </x:c>
      <x:c r="C10" s="34" t="str">
        <x:v>SR-05</x:v>
      </x:c>
      <x:c r="D10" s="34" t="str">
        <x:v>IR-02</x:v>
      </x:c>
      <x:c r="E10" s="23" t="str">
        <x:v>P1</x:v>
      </x:c>
      <x:c r="F10" s="23" t="str">
        <x:v>NVIDIA DALI</x:v>
      </x:c>
      <x:c r="G10" s="23" t="str">
        <x:v>异构预处理</x:v>
      </x:c>
      <x:c r="H10" s="23" t="str">
        <x:v>高吞吐图像/视频理解</x:v>
      </x:c>
      <x:c r="I10" s="23" t="str">
        <x:v>CPU decode/resize 使 GPU 饥饿；但卸载可能与主模型争 GPU</x:v>
      </x:c>
      <x:c r="J10" s="23" t="str">
        <x:v>① 仅在鲲鹏Host连接NVIDIA GPU且AArch64组件支持矩阵满足时启用DALI，形成可选异构后端；② 将decode→resize→normalize组成批式流水线，使用预取和独立stream隐藏CPU准备时间；③ 约束DALI、模型执行与其他CPU库的线程/NUMA资源，避免主模型GPU与Host核竞争；④ CPU fallback统一调用NEON优化的codec/视觉算子，并以端到端SLO决定是否启用GPU卸载。</x:v>
      </x:c>
      <x:c r="K10" s="23" t="str">
        <x:v>端到端 TTFT/QPS；GPU starvation；主模型 GPU 利用/P99；显存增量</x:v>
      </x:c>
      <x:c r="L10" s="23" t="str">
        <x:v>CPU 是确定瓶颈且主模型 GPU 有可用资源</x:v>
      </x:c>
      <x:c r="M10" s="23" t="str">
        <x:v>异构加速团队</x:v>
      </x:c>
      <x:c r="N10" s="23" t="str">
        <x:v>厂商开源｜NVIDIA GPU/CUDA硬件绑定</x:v>
      </x:c>
      <x:c r="O10" s="23" t="str">
        <x:v>调度/异构管线层</x:v>
      </x:c>
      <x:c r="P10" s="23" t="str">
        <x:v>主负载：DALI C++ operators、nvJPEG/NVDEC、CUDA kernels与copy engine；Python pipeline描述层通常不是主要负载。</x:v>
      </x:c>
      <x:c r="Q10" s="23" t="str">
        <x:v>https://docs.nvidia.com/deeplearning/dali/user-guide/docs/index.html</x:v>
      </x:c>
    </x:row>
    <x:row r="11" ht="118" customHeight="1">
      <x:c r="A11" s="34" t="str">
        <x:v>AR-SW-007</x:v>
      </x:c>
      <x:c r="B11" s="34" t="str">
        <x:v>SW-007</x:v>
      </x:c>
      <x:c r="C11" s="34" t="str">
        <x:v>SR-02</x:v>
      </x:c>
      <x:c r="D11" s="34" t="str">
        <x:v>IR-02</x:v>
      </x:c>
      <x:c r="E11" s="23" t="str">
        <x:v>P1</x:v>
      </x:c>
      <x:c r="F11" s="23" t="str">
        <x:v>nvImageCodec / nvJPEG</x:v>
      </x:c>
      <x:c r="G11" s="23" t="str">
        <x:v>异构图像编解码</x:v>
      </x:c>
      <x:c r="H11" s="23" t="str">
        <x:v>批量图像理解与图像输出</x:v>
      </x:c>
      <x:c r="I11" s="23" t="str">
        <x:v>CPU JPEG/多格式解码重；跨库转换和 D2H/H2D 抵消加速</x:v>
      </x:c>
      <x:c r="J11" s="23" t="str">
        <x:v>① 在鲲鹏+AArch64/NVIDIA部署上验证nvImageCodec、nvJPEG及驱动版本矩阵，不能满足时保留libjpeg-turbo回退；② 批量处理变长图像并复用device/host输出buffer，减少每图提交与同步；③ 与PyTorch/CV-CUDA建立stream-aware少拷贝接口，避免GPU解码后回到Host再转换；④ 将CPU bitstream解析、H2D/D2H和GPU codec分别计量，按真实热点调整线程与NUMA归属。</x:v>
      </x:c>
      <x:c r="K11" s="23" t="str">
        <x:v>decode MPixel/s；copy bytes；GPU占用；端到端P99；fallback率</x:v>
      </x:c>
      <x:c r="L11" s="23" t="str">
        <x:v>大图/多图且 CPU codec 为热点，GPU仍有余量</x:v>
      </x:c>
      <x:c r="M11" s="23" t="str">
        <x:v>异构加速团队</x:v>
      </x:c>
      <x:c r="N11" s="23" t="str">
        <x:v>厂商库/开源组件｜NVIDIA CUDA/GPU硬件绑定</x:v>
      </x:c>
      <x:c r="O11" s="23" t="str">
        <x:v>底层执行/硬件编解码层</x:v>
      </x:c>
      <x:c r="P11" s="23" t="str">
        <x:v>主负载：nvJPEG/nvJPEG2K及对应CUDA解码内核、CPU bitstream parser和H2D/D2H拷贝；nvImageCodec主要负责后端选择与调度。</x:v>
      </x:c>
      <x:c r="Q11" s="23" t="str">
        <x:v>https://docs.nvidia.com/cuda/nvimagecodec/</x:v>
      </x:c>
    </x:row>
    <x:row r="12" ht="118" customHeight="1">
      <x:c r="A12" s="34" t="str">
        <x:v>AR-SW-008</x:v>
      </x:c>
      <x:c r="B12" s="34" t="str">
        <x:v>SW-008</x:v>
      </x:c>
      <x:c r="C12" s="34" t="str">
        <x:v>SR-04</x:v>
      </x:c>
      <x:c r="D12" s="34" t="str">
        <x:v>IR-02</x:v>
      </x:c>
      <x:c r="E12" s="23" t="str">
        <x:v>P1</x:v>
      </x:c>
      <x:c r="F12" s="23" t="str">
        <x:v>torchaudio / soundfile / libsndfile</x:v>
      </x:c>
      <x:c r="G12" s="23" t="str">
        <x:v>音频公共算子与文件I/O</x:v>
      </x:c>
      <x:c r="H12" s="23" t="str">
        <x:v>ASR/AudioLM/语音生成及音频文件输入</x:v>
      </x:c>
      <x:c r="I12" s="23" t="str">
        <x:v>小 chunk resample/STFT/log-Mel 的调用、线程调度和中间 Tensor 放大；频繁 open/read 与 dtype 转换增加文件I/O开销</x:v>
      </x:c>
      <x:c r="J12" s="23" t="str">
        <x:v>① 将音频文件I/O、重采样、STFT/log-Mel分层，分别选择libsndfile/FFmpeg/TorchCodec和ATen/FFT后端；② 建立有状态流式组件与批量离线组件，复用窗函数、FFT plan、文件句柄和工作buffer；③ 对FIR、窗函数、幅值/功率和dtype转换等DSP热点提供NEON实现，并在支持机型上评估SVE/SVE2向量化；④ 使用连续内存、合理chunk和NUMA本地线程池，避免小块调用与跨socket访问。</x:v>
      </x:c>
      <x:c r="K12" s="23" t="str">
        <x:v>audio-seconds/s；µs/chunk；RTF；open/read latency；MB/s；allocations；特征误差</x:v>
      </x:c>
      <x:c r="L12" s="23" t="str">
        <x:v>音频 RTF 接近1、音频前处理占比&gt;15%，或音频文件I/O进入CPU热点</x:v>
      </x:c>
      <x:c r="M12" s="23" t="str">
        <x:v>音频运行时团队</x:v>
      </x:c>
      <x:c r="N12" s="23" t="str">
        <x:v>开源社区广泛采用｜跨厂商、跨硬件；PyTorch生态相关</x:v>
      </x:c>
      <x:c r="O12" s="23" t="str">
        <x:v>上层入口/适配层</x:v>
      </x:c>
      <x:c r="P12" s="23" t="str">
        <x:v>主负载：文件I/O穿透到libsndfile、FFmpeg、SoX或TorchCodec；DSP穿透到ATen/FFT/resample内核；torchaudio/soundfile Python层主要派发。</x:v>
      </x:c>
      <x:c r="Q12" s="23" t="str">
        <x:v>https://docs.pytorch.org/audio/ ; https://libsndfile.github.io/libsndfile/</x:v>
      </x:c>
    </x:row>
    <x:row r="13" ht="118" customHeight="1">
      <x:c r="A13" s="34" t="str">
        <x:v>AR-SW-009</x:v>
      </x:c>
      <x:c r="B13" s="34" t="str">
        <x:v>SW-009</x:v>
      </x:c>
      <x:c r="C13" s="34" t="str">
        <x:v>SR-04</x:v>
      </x:c>
      <x:c r="D13" s="34" t="str">
        <x:v>IR-02</x:v>
      </x:c>
      <x:c r="E13" s="23" t="str">
        <x:v>P1</x:v>
      </x:c>
      <x:c r="F13" s="23" t="str">
        <x:v>libsoxr / FFmpeg libswresample</x:v>
      </x:c>
      <x:c r="G13" s="23" t="str">
        <x:v>音频 DSP / 重采样</x:v>
      </x:c>
      <x:c r="H13" s="23" t="str">
        <x:v>音频输入输出、ASR/AudioLM与FFmpeg媒体管线</x:v>
      </x:c>
      <x:c r="I13" s="23" t="str">
        <x:v>重采样实例重复初始化、过小块处理和中间数组导致CPU放大；不同后端的质量/延迟档位未统一</x:v>
      </x:c>
      <x:c r="J13" s="23" t="str">
        <x:v>① 统一libsoxr/libswresample适配层，按质量、相位和时延目标选择后端并长期复用重采样状态；② 对多相FIR、样本格式/声道转换等关键负载验证AArch64 NEON路径，在支持机型上增加VLA风格SVE/SVE2实现；③ 批量处理连续chunk、对齐系数和音频buffer，减少边界分支与内存搬运；④ 建立频谱、SNR和相位golden，允许按业务场景配置质量/性能档位。</x:v>
      </x:c>
      <x:c r="K13" s="23" t="str">
        <x:v>RTF；µs/chunk；状态复用率；中间buffer；SNR/带外抑制；频谱/波形误差</x:v>
      </x:c>
      <x:c r="L13" s="23" t="str">
        <x:v>重采样成为热点，且存在明确质量或延迟目标</x:v>
      </x:c>
      <x:c r="M13" s="23" t="str">
        <x:v>音频运行时团队</x:v>
      </x:c>
      <x:c r="N13" s="23" t="str">
        <x:v>开源社区采用｜跨厂商、跨硬件</x:v>
      </x:c>
      <x:c r="O13" s="23" t="str">
        <x:v>底层执行层</x:v>
      </x:c>
      <x:c r="P13" s="23" t="str">
        <x:v>主负载：libsoxr或libswresample的滤波、格式/声道转换内核；上层重采样适配器只承担状态管理和派发。</x:v>
      </x:c>
      <x:c r="Q13" s="23" t="str">
        <x:v>https://sourceforge.net/projects/soxr/ ; https://ffmpeg.org/libswresample.html</x:v>
      </x:c>
    </x:row>
    <x:row r="14" ht="118" customHeight="1">
      <x:c r="A14" s="34" t="str">
        <x:v>AR-SW-010</x:v>
      </x:c>
      <x:c r="B14" s="34" t="str">
        <x:v>SW-010</x:v>
      </x:c>
      <x:c r="C14" s="34" t="str">
        <x:v>SR-06</x:v>
      </x:c>
      <x:c r="D14" s="34" t="str">
        <x:v>IR-03</x:v>
      </x:c>
      <x:c r="E14" s="23" t="str">
        <x:v>P0</x:v>
      </x:c>
      <x:c r="F14" s="23" t="str">
        <x:v>Hugging Face Transformers Processor</x:v>
      </x:c>
      <x:c r="G14" s="23" t="str">
        <x:v>模型语义 Processor</x:v>
      </x:c>
      <x:c r="H14" s="23" t="str">
        <x:v>VLM/AudioLM/Any-to-Any</x:v>
      </x:c>
      <x:c r="I14" s="23" t="str">
        <x:v>chat template、动态分辨率、tiling、placeholder、grid/metadata 和 Python 对象路径成为单核热点</x:v>
      </x:c>
      <x:c r="J14" s="23" t="str">
        <x:v>① 将chat template、媒体加载、图像/音频预处理、tokenize和metadata构造拆成独立phase，避免把底层热点归因给Processor入口；② 缓存静态system/tool schema、模板和模型配置，取消重复tokenize与字符串拼接；③ 将像素和Tensor循环下沉到torchvision/ATen的鲲鹏NEON/SVE可派发内核，并按shape分桶批处理；④ 为主流多模态模型建立有限数量的AArch64 fast path，同时保留语义golden和通用回退。</x:v>
      </x:c>
      <x:c r="K14" s="23" t="str">
        <x:v>processor ms/item；Python time；re-tokenize；allocations；visual tokens；一致性</x:v>
      </x:c>
      <x:c r="L14" s="23" t="str">
        <x:v>apply_hf_processor/prompt_updates 占CPU链路&gt;20%</x:v>
      </x:c>
      <x:c r="M14" s="23" t="str">
        <x:v>模型运行时团队</x:v>
      </x:c>
      <x:c r="N14" s="23" t="str">
        <x:v>开源社区广泛采用｜模型生态相关，非单一硬件绑定</x:v>
      </x:c>
      <x:c r="O14" s="23" t="str">
        <x:v>上层入口/编排层</x:v>
      </x:c>
      <x:c r="P14" s="23" t="str">
        <x:v>主负载：图像路径落到torchvision/ATen或Pillow/codec库，文本路径落到HF Tokenizers/SentencePiece，另有Python模板与metadata构造。</x:v>
      </x:c>
      <x:c r="Q14" s="23" t="str">
        <x:v>https://huggingface.co/docs/transformers/multimodal_processing</x:v>
      </x:c>
    </x:row>
    <x:row r="15" ht="118" customHeight="1">
      <x:c r="A15" s="34" t="str">
        <x:v>AR-SW-011</x:v>
      </x:c>
      <x:c r="B15" s="34" t="str">
        <x:v>SW-011</x:v>
      </x:c>
      <x:c r="C15" s="34" t="str">
        <x:v>SR-07</x:v>
      </x:c>
      <x:c r="D15" s="34" t="str">
        <x:v>IR-03</x:v>
      </x:c>
      <x:c r="E15" s="23" t="str">
        <x:v>P1</x:v>
      </x:c>
      <x:c r="F15" s="23" t="str">
        <x:v>Hugging Face Tokenizers</x:v>
      </x:c>
      <x:c r="G15" s="23" t="str">
        <x:v>Tokenization</x:v>
      </x:c>
      <x:c r="H15" s="23" t="str">
        <x:v>长上下文、多轮、多图、工具调用</x:v>
      </x:c>
      <x:c r="I15" s="23" t="str">
        <x:v>重复模板后 tokenize、频繁小 batch、tokenizer pool IPC</x:v>
      </x:c>
      <x:c r="J15" s="23" t="str">
        <x:v>① 强制采用Rust fast tokenizer并复用encoding/tokenizer实例，长上下文和多请求采用batch接口；② 缓存稳定system/tool schema、静态前缀和模板产物，避免重复规范化与编码；③ 针对UTF-8扫描、字符分类、预分词和批量查表等热点评估AArch64 NEON/SVE2优化或升级到已优化的Rust依赖；④ 按NUMA部署tokenizer worker并减少IPC原文传输，形成可观测的worker池与背压策略。</x:v>
      </x:c>
      <x:c r="K15" s="23" t="str">
        <x:v>tokens/s；µs/token；IPC bytes；re-tokenize；长prompt P99</x:v>
      </x:c>
      <x:c r="L15" s="23" t="str">
        <x:v>tokenize+template 占 TTFT&gt;10%</x:v>
      </x:c>
      <x:c r="M15" s="23" t="str">
        <x:v>NLP运行时团队</x:v>
      </x:c>
      <x:c r="N15" s="23" t="str">
        <x:v>开源社区广泛采用｜跨厂商、跨硬件</x:v>
      </x:c>
      <x:c r="O15" s="23" t="str">
        <x:v>适配层+原生执行内核</x:v>
      </x:c>
      <x:c r="P15" s="23" t="str">
        <x:v>主负载：Hugging Face tokenizers Rust core的预分词、模型查找和后处理；Python binding与对象封装通常为次要负载。</x:v>
      </x:c>
      <x:c r="Q15" s="23" t="str">
        <x:v>https://huggingface.co/docs/tokenizers/</x:v>
      </x:c>
    </x:row>
    <x:row r="16" ht="118" customHeight="1">
      <x:c r="A16" s="34" t="str">
        <x:v>AR-SW-012</x:v>
      </x:c>
      <x:c r="B16" s="34" t="str">
        <x:v>SW-012</x:v>
      </x:c>
      <x:c r="C16" s="34" t="str">
        <x:v>SR-07</x:v>
      </x:c>
      <x:c r="D16" s="34" t="str">
        <x:v>IR-03</x:v>
      </x:c>
      <x:c r="E16" s="23" t="str">
        <x:v>P1</x:v>
      </x:c>
      <x:c r="F16" s="23" t="str">
        <x:v>SentencePiece</x:v>
      </x:c>
      <x:c r="G16" s="23" t="str">
        <x:v>Tokenization</x:v>
      </x:c>
      <x:c r="H16" s="23" t="str">
        <x:v>SentencePiece/Unigram 模型</x:v>
      </x:c>
      <x:c r="I16" s="23" t="str">
        <x:v>小批处理、重复初始化和 Python binding 调用放大</x:v>
      </x:c>
      <x:c r="J16" s="23" t="str">
        <x:v>① 进程内复用SentencePiece模型和normalizer，批量执行encode/decode并减少Python binding往返；② 将规范化、UTF-8扫描、前缀查找和结果写出作为关键模块进行AArch64 profiling，对适合的数据扫描路径实施NEON/SVE2向量化；③ 预留输出容量并复用工作内存，减少短命string/vector分配；④ tokenizer pool按鲲鹏NUMA节点部署，避免跨进程传输长文本和重复加载模型。</x:v>
      </x:c>
      <x:c r="K16" s="23" t="str">
        <x:v>tokens/s；µs/token；初始化次数；IPC bytes；一致性</x:v>
      </x:c>
      <x:c r="L16" s="23" t="str">
        <x:v>SentencePiece模型为主要流量且tokenizer成为热点</x:v>
      </x:c>
      <x:c r="M16" s="23" t="str">
        <x:v>NLP运行时团队</x:v>
      </x:c>
      <x:c r="N16" s="23" t="str">
        <x:v>开源社区广泛采用｜跨厂商、跨硬件</x:v>
      </x:c>
      <x:c r="O16" s="23" t="str">
        <x:v>适配层+原生执行内核</x:v>
      </x:c>
      <x:c r="P16" s="23" t="str">
        <x:v>主负载：SentencePiece C++ normalization、Unigram/BPE编码解码内核；Python binding主要负责参数转换和结果封装。</x:v>
      </x:c>
      <x:c r="Q16" s="23" t="str">
        <x:v>https://github.com/google/sentencepiece</x:v>
      </x:c>
    </x:row>
    <x:row r="17" ht="118" customHeight="1">
      <x:c r="A17" s="34" t="str">
        <x:v>AR-SW-013</x:v>
      </x:c>
      <x:c r="B17" s="34" t="str">
        <x:v>SW-013</x:v>
      </x:c>
      <x:c r="C17" s="34" t="str">
        <x:v>SR-07</x:v>
      </x:c>
      <x:c r="D17" s="34" t="str">
        <x:v>IR-03</x:v>
      </x:c>
      <x:c r="E17" s="23" t="str">
        <x:v>P1</x:v>
      </x:c>
      <x:c r="F17" s="23" t="str">
        <x:v>tiktoken</x:v>
      </x:c>
      <x:c r="G17" s="23" t="str">
        <x:v>Tokenization</x:v>
      </x:c>
      <x:c r="H17" s="23" t="str">
        <x:v>OpenAI兼容协议或混合 tokenizer 场景</x:v>
      </x:c>
      <x:c r="I17" s="23" t="str">
        <x:v>频繁单条编码、重复schema文本和字符串转换</x:v>
      </x:c>
      <x:c r="J17" s="23" t="str">
        <x:v>① 复用tiktoken encoding实例，对长文本和多请求使用batch接口并缓存静态前缀/tool schema；② 将regex切分、字节分类、UTF-8验证和BPE查找分别profile，对Rust原生热点采用AArch64 NEON/SVE2可用实现；③ 减少Python bytes/string转换与结果对象数量，提供紧凑token buffer接口；④ worker按NUMA绑核并限定并发，避免regex线程、服务worker和其他tokenizer池相互争抢。</x:v>
      </x:c>
      <x:c r="K17" s="23" t="str">
        <x:v>tokens/s；µs/token；缓存命中；allocations</x:v>
      </x:c>
      <x:c r="L17" s="23" t="str">
        <x:v>tiktoken用于计费或兼容路径且CPU占比可见</x:v>
      </x:c>
      <x:c r="M17" s="23" t="str">
        <x:v>NLP运行时团队</x:v>
      </x:c>
      <x:c r="N17" s="23" t="str">
        <x:v>开源社区广泛采用｜跨厂商、跨硬件</x:v>
      </x:c>
      <x:c r="O17" s="23" t="str">
        <x:v>适配层+原生执行内核</x:v>
      </x:c>
      <x:c r="P17" s="23" t="str">
        <x:v>主负载：tiktoken Rust core的regex切分、BPE merge与查表；Python入口自身通常占比低。</x:v>
      </x:c>
      <x:c r="Q17" s="23" t="str">
        <x:v>https://github.com/openai/tiktoken</x:v>
      </x:c>
    </x:row>
    <x:row r="18" ht="118" customHeight="1">
      <x:c r="A18" s="34" t="str">
        <x:v>AR-SW-014</x:v>
      </x:c>
      <x:c r="B18" s="34" t="str">
        <x:v>SW-014</x:v>
      </x:c>
      <x:c r="C18" s="34" t="str">
        <x:v>SR-09</x:v>
      </x:c>
      <x:c r="D18" s="34" t="str">
        <x:v>IR-04</x:v>
      </x:c>
      <x:c r="E18" s="23" t="str">
        <x:v>P0</x:v>
      </x:c>
      <x:c r="F18" s="23" t="str">
        <x:v>PyTorch ATen CPU</x:v>
      </x:c>
      <x:c r="G18" s="23" t="str">
        <x:v>CPU Tensor Runtime</x:v>
      </x:c>
      <x:c r="H18" s="23" t="str">
        <x:v>输入构造、collate、layout/dtype处理</x:v>
      </x:c>
      <x:c r="I18" s="23" t="str">
        <x:v>small-op、dispatcher、stack/concat、contiguous和dtype cast造成多次分配和全量内存遍历</x:v>
      </x:c>
      <x:c r="J18" s="23" t="str">
        <x:v>① 采用鲲鹏AArch64优化的PyTorch/ATen构建，核查native kernel、oneDNN/ACL等真实后端，避免落到reference实现；② 合并stack/concat/cast/contiguous等small-op，建立from-buffer、预分配和有限shape批处理fast path；③ 对normalize、layout、reduce、copy等内存型热点启用NEON并按机型评估SVE/SVE2，对辅助模型评估BF16/INT8；④ 统一dispatcher、allocator和线程池策略，结合NUMA本地内存与cache miss指标优化。</x:v>
      </x:c>
      <x:c r="K18" s="23" t="str">
        <x:v>operator/dispatcher time；allocations；bytes copied；cycles/request</x:v>
      </x:c>
      <x:c r="L18" s="23" t="str">
        <x:v>tensor staging占CPU链路&gt;10%或small-op数量高</x:v>
      </x:c>
      <x:c r="M18" s="23" t="str">
        <x:v>CPU性能团队</x:v>
      </x:c>
      <x:c r="N18" s="23" t="str">
        <x:v>开源社区广泛采用｜PyTorch生态相关，多后端</x:v>
      </x:c>
      <x:c r="O18" s="23" t="str">
        <x:v>调度/算子执行层</x:v>
      </x:c>
      <x:c r="P18" s="23" t="str">
        <x:v>主负载：ATen native CPU kernels、oneDNN/FFT后端、OpenMP线程池、allocator与memcpy；dispatcher只在small-op密集时成为独立热点。</x:v>
      </x:c>
      <x:c r="Q18" s="23" t="str">
        <x:v>https://docs.pytorch.org/docs/stable/</x:v>
      </x:c>
    </x:row>
    <x:row r="19" ht="118" customHeight="1">
      <x:c r="A19" s="34" t="str">
        <x:v>AR-SW-015</x:v>
      </x:c>
      <x:c r="B19" s="34" t="str">
        <x:v>SW-015</x:v>
      </x:c>
      <x:c r="C19" s="34" t="str">
        <x:v>SR-09</x:v>
      </x:c>
      <x:c r="D19" s="34" t="str">
        <x:v>IR-04</x:v>
      </x:c>
      <x:c r="E19" s="23" t="str">
        <x:v>P1</x:v>
      </x:c>
      <x:c r="F19" s="23" t="str">
        <x:v>TorchInductor / torch.compile</x:v>
      </x:c>
      <x:c r="G19" s="23" t="str">
        <x:v>CPU编译优化</x:v>
      </x:c>
      <x:c r="H19" s="23" t="str">
        <x:v>稳定的Tensor前后处理与辅助模型</x:v>
      </x:c>
      <x:c r="I19" s="23" t="str">
        <x:v>Python/dispatcher开销和多算子内存往返；动态shape导致graph break/recompile</x:v>
      </x:c>
      <x:c r="J19" s="23" t="str">
        <x:v>① 为稳定的预处理/后处理Tensor子图建立AArch64编译清单和shape桶，避免graph break与重复编译；② 确认生成的C++/OpenMP内核面向实际鲲鹏CPU编译并实现NEON自动向量化，支持机型再启用SVE/SVE2 VLA代码；③ 融合逐元素、layout、pad和normalize操作，降低内存遍历次数；④ 建立编译缓存、预热、PGO/LTO可行性评估和eager回退，网络I/O与高度动态Python逻辑不纳入强制编译。</x:v>
      </x:c>
      <x:c r="K19" s="23" t="str">
        <x:v>端到端加速；graph breaks；recompile；首编译时延；数值一致性</x:v>
      </x:c>
      <x:c r="L19" s="23" t="str">
        <x:v>存在稳定重复Tensor图且eager热点明确</x:v>
      </x:c>
      <x:c r="M19" s="23" t="str">
        <x:v>CPU性能团队</x:v>
      </x:c>
      <x:c r="N19" s="23" t="str">
        <x:v>开源社区广泛采用｜PyTorch生态相关，多后端</x:v>
      </x:c>
      <x:c r="O19" s="23" t="str">
        <x:v>编译/适配层</x:v>
      </x:c>
      <x:c r="P19" s="23" t="str">
        <x:v>主负载：生成的C++/OpenMP CPU kernel或Triton/CUDA kernel；graph break路径回落到ATen。Inductor编译器主要影响首编译和重编译。</x:v>
      </x:c>
      <x:c r="Q19" s="23" t="str">
        <x:v>https://docs.pytorch.org/docs/main/user_guide/torch_compiler/torch.compiler.html</x:v>
      </x:c>
    </x:row>
    <x:row r="20" ht="118" customHeight="1">
      <x:c r="A20" s="34" t="str">
        <x:v>AR-SW-016</x:v>
      </x:c>
      <x:c r="B20" s="34" t="str">
        <x:v>SW-016</x:v>
      </x:c>
      <x:c r="C20" s="34" t="str">
        <x:v>SR-09</x:v>
      </x:c>
      <x:c r="D20" s="34" t="str">
        <x:v>IR-04</x:v>
      </x:c>
      <x:c r="E20" s="23" t="str">
        <x:v>P1</x:v>
      </x:c>
      <x:c r="F20" s="23" t="str">
        <x:v>oneDNN</x:v>
      </x:c>
      <x:c r="G20" s="23" t="str">
        <x:v>CPU数值后端</x:v>
      </x:c>
      <x:c r="H20" s="23" t="str">
        <x:v>OCR/VAD/分类/重排/安全辅助模型</x:v>
      </x:c>
      <x:c r="I20" s="23" t="str">
        <x:v>线程超卖、NUMA、layout重排和未融合图使CPU辅助模型拖尾</x:v>
      </x:c>
      <x:c r="J20" s="23" t="str">
        <x:v>① 在鲲鹏AArch64构建中启用oneDNN的ACL集成或可用的ARM优化后端，避免reference primitive；② 固化辅助模型常用shape和layout，复用primitive/weight pack并融合post-op、reorder与量化算子；③ 根据目标机型选择NEON、SVE/BF16等可用内核，不支持时保持正确的多版本派发；④ 统一OpenMP/TBB/threadpool运行时、绑核和NUMA策略，避免oneDNN与PyTorch/OpenCV线程池叠加。</x:v>
      </x:c>
      <x:c r="K20" s="23" t="str">
        <x:v>QPS；ms/item；线程扩展；remote NUMA；精度守护</x:v>
      </x:c>
      <x:c r="L20" s="23" t="str">
        <x:v>CPU辅助模型占尾延迟&gt;10%</x:v>
      </x:c>
      <x:c r="M20" s="23" t="str">
        <x:v>CPU性能团队</x:v>
      </x:c>
      <x:c r="N20" s="23" t="str">
        <x:v>厂商主导开源｜Intel/x86优化明显，平台偏绑定</x:v>
      </x:c>
      <x:c r="O20" s="23" t="str">
        <x:v>底层执行层</x:v>
      </x:c>
      <x:c r="P20" s="23" t="str">
        <x:v>主负载：oneDNN primitive/JIT SIMD kernel、reorder以及其线程运行时；PyTorch/ORT/OpenVINO通常只是调用入口。</x:v>
      </x:c>
      <x:c r="Q20" s="23" t="str">
        <x:v>https://oneapi-src.github.io/oneDNN/</x:v>
      </x:c>
    </x:row>
    <x:row r="21" ht="118" customHeight="1">
      <x:c r="A21" s="34" t="str">
        <x:v>AR-SW-017</x:v>
      </x:c>
      <x:c r="B21" s="34" t="str">
        <x:v>SW-017</x:v>
      </x:c>
      <x:c r="C21" s="34" t="str">
        <x:v>SR-09</x:v>
      </x:c>
      <x:c r="D21" s="34" t="str">
        <x:v>IR-04</x:v>
      </x:c>
      <x:c r="E21" s="23" t="str">
        <x:v>P1</x:v>
      </x:c>
      <x:c r="F21" s="23" t="str">
        <x:v>ONNX Runtime</x:v>
      </x:c>
      <x:c r="G21" s="23" t="str">
        <x:v>CPU辅助推理</x:v>
      </x:c>
      <x:c r="H21" s="23" t="str">
        <x:v>OCR/VAD/安全/检测/rerank</x:v>
      </x:c>
      <x:c r="I21" s="23" t="str">
        <x:v>execution provider、batch、线程和量化未优化；同步调用阻塞主链路</x:v>
      </x:c>
      <x:c r="J21" s="23" t="str">
        <x:v>① 建立ONNX Runtime鲲鹏AArch64发行版，按模型选择实际可用的MLAS、ACL/oneDNN或供应商Execution Provider，禁止默认落入reference kernel而不告警；② 做图优化、常量折叠、算子融合、固定shape/内存pattern和INT8/BF16评估；③ 对CPU辅助模型建立动态合批、独立线程池、NUMA绑核与模型常驻机制；④ 输出EP级别算子覆盖和fallback清单，把未覆盖热点下沉到NEON/SVE优化算子或替代后端。</x:v>
      </x:c>
      <x:c r="K21" s="23" t="str">
        <x:v>QPS；P99；batch效率；核时；准确率/召回</x:v>
      </x:c>
      <x:c r="L21" s="23" t="str">
        <x:v>辅助模型稳定且可转ONNX</x:v>
      </x:c>
      <x:c r="M21" s="23" t="str">
        <x:v>模型运行时团队</x:v>
      </x:c>
      <x:c r="N21" s="23" t="str">
        <x:v>厂商主导开源｜多硬件EP架构，非单一硬件绑定</x:v>
      </x:c>
      <x:c r="O21" s="23" t="str">
        <x:v>调度/执行运行时</x:v>
      </x:c>
      <x:c r="P21" s="23" t="str">
        <x:v>主负载：所选Execution Provider的MLAS、oneDNN、OpenVINO、CUDA或TensorRT kernel，以及ORT thread pool；ORT API层主要调度。</x:v>
      </x:c>
      <x:c r="Q21" s="23" t="str">
        <x:v>https://onnxruntime.ai/docs/</x:v>
      </x:c>
    </x:row>
    <x:row r="22" ht="118" customHeight="1">
      <x:c r="A22" s="34" t="str">
        <x:v>AR-SW-018</x:v>
      </x:c>
      <x:c r="B22" s="34" t="str">
        <x:v>SW-018</x:v>
      </x:c>
      <x:c r="C22" s="34" t="str">
        <x:v>SR-09</x:v>
      </x:c>
      <x:c r="D22" s="34" t="str">
        <x:v>IR-04</x:v>
      </x:c>
      <x:c r="E22" s="23" t="str">
        <x:v>P1</x:v>
      </x:c>
      <x:c r="F22" s="23" t="str">
        <x:v>OpenVINO</x:v>
      </x:c>
      <x:c r="G22" s="23" t="str">
        <x:v>CPU辅助推理</x:v>
      </x:c>
      <x:c r="H22" s="23" t="str">
        <x:v>Intel CPU上的视觉/音频/文本辅助模型</x:v>
      </x:c>
      <x:c r="I22" s="23" t="str">
        <x:v>未利用Intel图优化/量化，线程与NUMA配置不当</x:v>
      </x:c>
      <x:c r="J22" s="23" t="str">
        <x:v>① OpenVINO以Intel平台为主要优化对象，在鲲鹏部署中不得作为默认性能后端；② 若业务必须保持统一接口，应先完成AArch64兼容性和算子覆盖验证，并通过同口径基准与ORT/ACL/oneDNN ARM路径比较；③ 对鲲鹏生产环境优先选择原生AArch64 Execution Provider，避免为平台不匹配的runtime投入深度优化；④ 保留模型语义、量化精度和跨平台回退，按部署平台分别发布配置。</x:v>
      </x:c>
      <x:c r="K22" s="23" t="str">
        <x:v>QPS；P99；CPU核时；内存；精度</x:v>
      </x:c>
      <x:c r="L22" s="23" t="str">
        <x:v>Intel CPU部署且辅助模型占比显著</x:v>
      </x:c>
      <x:c r="M22" s="23" t="str">
        <x:v>模型运行时团队</x:v>
      </x:c>
      <x:c r="N22" s="23" t="str">
        <x:v>厂商主导开源｜Intel CPU/GPU硬件生态绑定</x:v>
      </x:c>
      <x:c r="O22" s="23" t="str">
        <x:v>调度/执行运行时</x:v>
      </x:c>
      <x:c r="P22" s="23" t="str">
        <x:v>主负载：OpenVINO device plugin及oneDNN/ACL/设备内核；OpenVINO API与ORT EP适配层不应单独承接全部热点。</x:v>
      </x:c>
      <x:c r="Q22" s="23" t="str">
        <x:v>https://docs.openvino.ai/</x:v>
      </x:c>
    </x:row>
    <x:row r="23" ht="118" customHeight="1">
      <x:c r="A23" s="34" t="str">
        <x:v>AR-SW-019</x:v>
      </x:c>
      <x:c r="B23" s="34" t="str">
        <x:v>SW-019</x:v>
      </x:c>
      <x:c r="C23" s="34" t="str">
        <x:v>SR-11</x:v>
      </x:c>
      <x:c r="D23" s="34" t="str">
        <x:v>IR-05</x:v>
      </x:c>
      <x:c r="E23" s="23" t="str">
        <x:v>P0</x:v>
      </x:c>
      <x:c r="F23" s="23" t="str">
        <x:v>vLLM</x:v>
      </x:c>
      <x:c r="G23" s="23" t="str">
        <x:v>Serving与多模态编排</x:v>
      </x:c>
      <x:c r="H23" s="23" t="str">
        <x:v>VLM在线推理</x:v>
      </x:c>
      <x:c r="I23" s="23" t="str">
        <x:v>mm processor、hash/cache、prompt update、scheduler、API↔engine IPC与输出状态机成为Host热点</x:v>
      </x:c>
      <x:c r="J23" s="23" t="str">
        <x:v>① 将mm processor、hash/cache、prompt update、scheduler、IPC和输出循环按phase拆开，分别归因到真实底层库；② 缓存多模态processor结果、静态tool schema和tokenization产物，使用成本感知分桶与CPU-ready batching；③ 在鲲鹏上将热点Python状态机/对象循环下沉到Rust/C++原生模块，并使用AArch64优化的tokenizer、JSON、codec和Tensor库；④ worker、共享内存、pinned buffer与GPU按NUMA拓扑部署，形成ARM64 wheel/容器和持续回归基线。</x:v>
      </x:c>
      <x:c r="K23" s="23" t="str">
        <x:v>phase ms；cache净收益；scheduler CPU；IPC bytes；GPU starvation；TTFT/TPOT</x:v>
      </x:c>
      <x:c r="L23" s="23" t="str">
        <x:v>vLLM为主Serving框架</x:v>
      </x:c>
      <x:c r="M23" s="23" t="str">
        <x:v>推理框架团队</x:v>
      </x:c>
      <x:c r="N23" s="23" t="str">
        <x:v>开源社区广泛采用｜加速器生态相关，非单一厂商专有</x:v>
      </x:c>
      <x:c r="O23" s="23" t="str">
        <x:v>调度/编排层</x:v>
      </x:c>
      <x:c r="P23" s="23" t="str">
        <x:v>主负载：vLLM scheduler/state machine、HF Processor、torchvision/Pillow、tokenizer、hash/serialization/IPC及CUDA runtime；必须按phase拆分归属。</x:v>
      </x:c>
      <x:c r="Q23" s="23" t="str">
        <x:v>https://docs.vllm.ai/en/latest/cli/bench/mm_processor/</x:v>
      </x:c>
    </x:row>
    <x:row r="24" ht="118" customHeight="1">
      <x:c r="A24" s="34" t="str">
        <x:v>AR-SW-020</x:v>
      </x:c>
      <x:c r="B24" s="34" t="str">
        <x:v>SW-020</x:v>
      </x:c>
      <x:c r="C24" s="34" t="str">
        <x:v>SR-11</x:v>
      </x:c>
      <x:c r="D24" s="34" t="str">
        <x:v>IR-05</x:v>
      </x:c>
      <x:c r="E24" s="23" t="str">
        <x:v>P0</x:v>
      </x:c>
      <x:c r="F24" s="23" t="str">
        <x:v>SGLang</x:v>
      </x:c>
      <x:c r="G24" s="23" t="str">
        <x:v>Serving与多模态编排</x:v>
      </x:c>
      <x:c r="H24" s="23" t="str">
        <x:v>多模态高并发与结构化输出</x:v>
      </x:c>
      <x:c r="I24" s="23" t="str">
        <x:v>scheduler、Radix/prefix cache、request state、IPC和输出循环在异构请求下放大</x:v>
      </x:c>
      <x:c r="J24" s="23" t="str">
        <x:v>① 对scheduler、Radix/prefix cache、request state、grammar和output loop建立分段exclusive-time指标；② 多模态请求按媒体成本和shape分桶，减少Python对象状态与跨进程metadata；③ 在鲲鹏上优先使用AArch64原生tokenizer、JSON parser、xgrammar和hash实现，适合的bitset/扫描模块采用NEON/SVE2优化；④ cache、worker、IPC和GPU按NUMA节点配置，并保持与vLLM相同的语义golden和跨框架基准。</x:v>
      </x:c>
      <x:c r="K24" s="23" t="str">
        <x:v>scheduler CPU；cache hit/saved-ms；GPU starvation；TTFT/TPOT</x:v>
      </x:c>
      <x:c r="L24" s="23" t="str">
        <x:v>SGLang为主Serving框架或需双框架一致策略</x:v>
      </x:c>
      <x:c r="M24" s="23" t="str">
        <x:v>推理框架团队</x:v>
      </x:c>
      <x:c r="N24" s="23" t="str">
        <x:v>开源社区广泛采用｜加速器生态相关，非单一厂商专有</x:v>
      </x:c>
      <x:c r="O24" s="23" t="str">
        <x:v>调度/编排层</x:v>
      </x:c>
      <x:c r="P24" s="23" t="str">
        <x:v>主负载：SGLang scheduler、Radix/prefix cache、request状态机、tokenizer/processor、grammar backend、IPC及CUDA runtime；框架总耗时需继续下钻。</x:v>
      </x:c>
      <x:c r="Q24" s="23" t="str">
        <x:v>https://docs.sglang.ai/</x:v>
      </x:c>
    </x:row>
    <x:row r="25" ht="118" customHeight="1">
      <x:c r="A25" s="34" t="str">
        <x:v>AR-SW-021</x:v>
      </x:c>
      <x:c r="B25" s="34" t="str">
        <x:v>SW-021</x:v>
      </x:c>
      <x:c r="C25" s="34" t="str">
        <x:v>SR-11</x:v>
      </x:c>
      <x:c r="D25" s="34" t="str">
        <x:v>IR-05</x:v>
      </x:c>
      <x:c r="E25" s="23" t="str">
        <x:v>P1</x:v>
      </x:c>
      <x:c r="F25" s="23" t="str">
        <x:v>NVIDIA Triton Inference Server</x:v>
      </x:c>
      <x:c r="G25" s="23" t="str">
        <x:v>Serving中间件</x:v>
      </x:c>
      <x:c r="H25" s="23" t="str">
        <x:v>多阶段/多模型服务</x:v>
      </x:c>
      <x:c r="I25" s="23" t="str">
        <x:v>ensemble与动态批处理若不了解媒体成本会形成队头阻塞和跨模型排队</x:v>
      </x:c>
      <x:c r="J25" s="23" t="str">
        <x:v>① 只有在Triton Server及目标backend具备受支持的AArch64版本时才在鲲鹏部署，并形成明确版本矩阵；② 将媒体、processor和模型backend拆分实例组，分别配置队列、动态batch和CPU亲和性；③ 使用共享内存/零拷贝减少gRPC/HTTP与backend之间的大对象序列化，按NUMA放置共享区和worker；④ 将Triton调度开销与TensorRT/ORT/PyTorch等真实backend负载分开验收。</x:v>
      </x:c>
      <x:c r="K25" s="23" t="str">
        <x:v>queue time；batch formation；shared-memory命中；GPU utilization；P99</x:v>
      </x:c>
      <x:c r="L25" s="23" t="str">
        <x:v>多模型/ensemble部署采用Triton</x:v>
      </x:c>
      <x:c r="M25" s="23" t="str">
        <x:v>推理平台团队</x:v>
      </x:c>
      <x:c r="N25" s="23" t="str">
        <x:v>厂商开源｜NVIDIA生态强相关（亦支持部分CPU/后端）</x:v>
      </x:c>
      <x:c r="O25" s="23" t="str">
        <x:v>调度/服务编排层</x:v>
      </x:c>
      <x:c r="P25" s="23" t="str">
        <x:v>主负载：具体Triton backend（TensorRT/ORT/PyTorch/Python）、dynamic batcher、共享内存/网络栈；ensemble配置层主要调度。</x:v>
      </x:c>
      <x:c r="Q25" s="23" t="str">
        <x:v>https://docs.nvidia.com/deeplearning/triton-inference-server/</x:v>
      </x:c>
    </x:row>
    <x:row r="26" ht="118" customHeight="1">
      <x:c r="A26" s="34" t="str">
        <x:v>AR-SW-022</x:v>
      </x:c>
      <x:c r="B26" s="34" t="str">
        <x:v>SW-022</x:v>
      </x:c>
      <x:c r="C26" s="34" t="str">
        <x:v>SR-11</x:v>
      </x:c>
      <x:c r="D26" s="34" t="str">
        <x:v>IR-05</x:v>
      </x:c>
      <x:c r="E26" s="23" t="str">
        <x:v>P1</x:v>
      </x:c>
      <x:c r="F26" s="23" t="str">
        <x:v>TensorRT-LLM Serving</x:v>
      </x:c>
      <x:c r="G26" s="23" t="str">
        <x:v>Serving运行时</x:v>
      </x:c>
      <x:c r="H26" s="23" t="str">
        <x:v>NVIDIA GPU上的LLM/VLM服务</x:v>
      </x:c>
      <x:c r="I26" s="23" t="str">
        <x:v>Host提交、调度和前后处理未与TensorRT-LLM执行节奏协同</x:v>
      </x:c>
      <x:c r="J26" s="23" t="str">
        <x:v>① 在鲲鹏Host连接NVIDIA GPU的场景验证TensorRT-LLM ARM64、CUDA和驱动兼容矩阵；② 将CPU-ready batch、输入descriptor和输出状态机下沉到C++路径，减少Python调度与Host同步；③ 建立pinned buffer池、合并小tensor并使用独立copy stream，按PCIe/GPU所在NUMA节点绑定CPU和内存；④ 分离TensorRT-LLM Host runtime、tokenizer/processor和CUDA提交阶段，按真实热点实施优化。</x:v>
      </x:c>
      <x:c r="K26" s="23" t="str">
        <x:v>queue-to-submit；GPU gaps；H2D copies；TTFT/TPOT</x:v>
      </x:c>
      <x:c r="L26" s="23" t="str">
        <x:v>TensorRT-LLM为执行后端</x:v>
      </x:c>
      <x:c r="M26" s="23" t="str">
        <x:v>推理框架团队</x:v>
      </x:c>
      <x:c r="N26" s="23" t="str">
        <x:v>厂商开源｜NVIDIA GPU/CUDA强绑定</x:v>
      </x:c>
      <x:c r="O26" s="23" t="str">
        <x:v>调度/执行运行时</x:v>
      </x:c>
      <x:c r="P26" s="23" t="str">
        <x:v>主负载：TensorRT-LLM C++ runtime、TensorRT/CUDA driver/runtime、NCCL及Host数据准备；Python serving入口通常不是计算热点。</x:v>
      </x:c>
      <x:c r="Q26" s="23" t="str">
        <x:v>https://nvidia.github.io/TensorRT-LLM/</x:v>
      </x:c>
    </x:row>
    <x:row r="27" ht="118" customHeight="1">
      <x:c r="A27" s="34" t="str">
        <x:v>AR-SW-023</x:v>
      </x:c>
      <x:c r="B27" s="34" t="str">
        <x:v>SW-023</x:v>
      </x:c>
      <x:c r="C27" s="34" t="str">
        <x:v>SR-08</x:v>
      </x:c>
      <x:c r="D27" s="34" t="str">
        <x:v>IR-03</x:v>
      </x:c>
      <x:c r="E27" s="23" t="str">
        <x:v>P1</x:v>
      </x:c>
      <x:c r="F27" s="23" t="str">
        <x:v>xgrammar</x:v>
      </x:c>
      <x:c r="G27" s="23" t="str">
        <x:v>结构化输出</x:v>
      </x:c>
      <x:c r="H27" s="23" t="str">
        <x:v>JSON Schema/CFG/工具调用</x:v>
      </x:c>
      <x:c r="I27" s="23" t="str">
        <x:v>grammar编译和每token状态更新使TPOT上升</x:v>
      </x:c>
      <x:c r="J27" s="23" t="str">
        <x:v>① 缓存canonical JSON Schema、CFG编译结果和tokenizer映射，避免每请求重复构建；② 将grammar matcher、增量状态机和token mask/bitset更新稳定在C++原生路径；③ 对大词表bitset、字节扫描和mask合并等数据并行模块实施AArch64 NEON优化，并在支持机型上评估SVE/SVE2；④ 提供batch状态更新、紧凑内存布局和NUMA本地缓存，同时守护结构化成功率与TPOT。</x:v>
      </x:c>
      <x:c r="K27" s="23" t="str">
        <x:v>compile ms/hit；µs/token；TPOT增量；结构化成功率</x:v>
      </x:c>
      <x:c r="L27" s="23" t="str">
        <x:v>结构化输出流量高或TPOT增量&gt;10%</x:v>
      </x:c>
      <x:c r="M27" s="23" t="str">
        <x:v>NLP运行时团队</x:v>
      </x:c>
      <x:c r="N27" s="23" t="str">
        <x:v>开源社区采用｜跨硬件，编译器/LLM生态相关</x:v>
      </x:c>
      <x:c r="O27" s="23" t="str">
        <x:v>适配层+原生执行内核</x:v>
      </x:c>
      <x:c r="P27" s="23" t="str">
        <x:v>主负载：xgrammar C++ grammar compiler、matcher、token mask更新及tokenizer映射；Python binding主要负责接入。</x:v>
      </x:c>
      <x:c r="Q27" s="23" t="str">
        <x:v>https://xgrammar.mlc.ai/</x:v>
      </x:c>
    </x:row>
    <x:row r="28" ht="118" customHeight="1">
      <x:c r="A28" s="34" t="str">
        <x:v>AR-SW-024</x:v>
      </x:c>
      <x:c r="B28" s="34" t="str">
        <x:v>SW-024</x:v>
      </x:c>
      <x:c r="C28" s="34" t="str">
        <x:v>SR-08</x:v>
      </x:c>
      <x:c r="D28" s="34" t="str">
        <x:v>IR-03</x:v>
      </x:c>
      <x:c r="E28" s="23" t="str">
        <x:v>P2</x:v>
      </x:c>
      <x:c r="F28" s="23" t="str">
        <x:v>Outlines</x:v>
      </x:c>
      <x:c r="G28" s="23" t="str">
        <x:v>结构化输出</x:v>
      </x:c>
      <x:c r="H28" s="23" t="str">
        <x:v>Regex/JSON Schema约束</x:v>
      </x:c>
      <x:c r="I28" s="23" t="str">
        <x:v>Python层schema构造、FSM编译与集成开销</x:v>
      </x:c>
      <x:c r="J28" s="23" t="str">
        <x:v>① 将Outlines限定为schema/策略入口，编译和逐token FSM执行优先下沉到outlines-core、xgrammar或其他原生backend；② 缓存常用schema、regex和FSM产物，减少Python callback与对象分配；③ backend中的扫描、bitset和token过滤热点采用AArch64 NEON/SVE2可用实现；④ 与xgrammar做同口径compile、update和TPOT基准，避免维护多套不一致的grammar语义。</x:v>
      </x:c>
      <x:c r="K28" s="23" t="str">
        <x:v>compile ms；µs/token；TPOT；成功率</x:v>
      </x:c>
      <x:c r="L28" s="23" t="str">
        <x:v>现有服务已使用Outlines</x:v>
      </x:c>
      <x:c r="M28" s="23" t="str">
        <x:v>NLP运行时团队</x:v>
      </x:c>
      <x:c r="N28" s="23" t="str">
        <x:v>开源社区采用｜跨硬件、无特定厂商绑定</x:v>
      </x:c>
      <x:c r="O28" s="23" t="str">
        <x:v>上层入口/适配层</x:v>
      </x:c>
      <x:c r="P28" s="23" t="str">
        <x:v>主负载：Outlines Python schema/FSM构造及所选native backend（如outlines-core/xgrammar/regex）；需按实际backend归因。</x:v>
      </x:c>
      <x:c r="Q28" s="23" t="str">
        <x:v>https://dottxt-ai.github.io/outlines/</x:v>
      </x:c>
    </x:row>
    <x:row r="29" ht="118" customHeight="1">
      <x:c r="A29" s="34" t="str">
        <x:v>AR-SW-025</x:v>
      </x:c>
      <x:c r="B29" s="34" t="str">
        <x:v>SW-025</x:v>
      </x:c>
      <x:c r="C29" s="34" t="str">
        <x:v>SR-10</x:v>
      </x:c>
      <x:c r="D29" s="34" t="str">
        <x:v>IR-04</x:v>
      </x:c>
      <x:c r="E29" s="23" t="str">
        <x:v>P1</x:v>
      </x:c>
      <x:c r="F29" s="23" t="str">
        <x:v>CUDA Runtime / PyTorch pinned allocator</x:v>
      </x:c>
      <x:c r="G29" s="23" t="str">
        <x:v>Host-Device数据通路</x:v>
      </x:c>
      <x:c r="H29" s="23" t="str">
        <x:v>所有GPU推理</x:v>
      </x:c>
      <x:c r="I29" s="23" t="str">
        <x:v>pageable→pinned、频繁分配、小块H2D、默认stream和隐式同步造成GPU等待</x:v>
      </x:c>
      <x:c r="J29" s="23" t="str">
        <x:v>① 在鲲鹏Host+GPU拓扑上建立pageable、pinned、H2D和同步的分段基线；② 使用分级pinned buffer池，媒体/Processor直接产出pinned memory，并合并小tensor和小copy；③ 通过non_blocking、独立copy stream/event实现准备与执行重叠，清理.item/.cpu等隐式同步；④ 按GPU所在NUMA节点绑定分配线程和内存，优化连续访问、cache line对齐和生命周期，避免过度pin导致系统抖动。</x:v>
      </x:c>
      <x:c r="K29" s="23" t="str">
        <x:v>H2D GB/s；copy count/size；alloc ms；overlap；sync ratio；GPU wait</x:v>
      </x:c>
      <x:c r="L29" s="23" t="str">
        <x:v>GPU wait-for-input&gt;5%或copy碎片明显</x:v>
      </x:c>
      <x:c r="M29" s="23" t="str">
        <x:v>系统性能团队</x:v>
      </x:c>
      <x:c r="N29" s="23" t="str">
        <x:v>厂商专有运行时｜NVIDIA GPU/CUDA强绑定</x:v>
      </x:c>
      <x:c r="O29" s="23" t="str">
        <x:v>系统运行时</x:v>
      </x:c>
      <x:c r="P29" s="23" t="str">
        <x:v>主负载：PyTorch pinned allocator、CUDA runtime/driver、libc memcpy以及DMA/copy engine；non_blocking API本身仅提交与同步。</x:v>
      </x:c>
      <x:c r="Q29" s="23" t="str">
        <x:v>https://docs.pytorch.org/tutorials/intermediate/pinmem_nonblock.html</x:v>
      </x:c>
    </x:row>
    <x:row r="30" ht="118" customHeight="1">
      <x:c r="A30" s="34" t="str">
        <x:v>AR-SW-026</x:v>
      </x:c>
      <x:c r="B30" s="34" t="str">
        <x:v>SW-026</x:v>
      </x:c>
      <x:c r="C30" s="34" t="str">
        <x:v>SR-10</x:v>
      </x:c>
      <x:c r="D30" s="34" t="str">
        <x:v>IR-04</x:v>
      </x:c>
      <x:c r="E30" s="23" t="str">
        <x:v>P1</x:v>
      </x:c>
      <x:c r="F30" s="23" t="str">
        <x:v>glibc malloc / jemalloc / tcmalloc / mimalloc</x:v>
      </x:c>
      <x:c r="G30" s="23" t="str">
        <x:v>Host内存</x:v>
      </x:c>
      <x:c r="H30" s="23" t="str">
        <x:v>高并发、多帧、多对象</x:v>
      </x:c>
      <x:c r="I30" s="23" t="str">
        <x:v>短生命周期对象与帧buffer导致allocator锁、碎片、RSS和page fault</x:v>
      </x:c>
      <x:c r="J30" s="23" t="str">
        <x:v>① 在鲲鹏真实并发和对象尺寸分布上比较glibc/kpglibc、jemalloc、tcmalloc和mimalloc，选择可回退的生产配置；② 对帧buffer、Tensor metadata、JSON对象等高频尺寸建立对象池/size class并减少短命分配；③ allocator arena、worker和内存按NUMA节点对齐，控制跨socket free、锁竞争与RSS碎片；④ 结合大页/THP、first-touch和内存回收策略做A/B，以P99、page fault和RSS而非单一microbenchmark验收。</x:v>
      </x:c>
      <x:c r="K30" s="23" t="str">
        <x:v>allocator CPU；RSS/active；page faults；P99；OOM率</x:v>
      </x:c>
      <x:c r="L30" s="23" t="str">
        <x:v>allocator出现在火焰图或RSS明显放大</x:v>
      </x:c>
      <x:c r="M30" s="23" t="str">
        <x:v>系统性能团队</x:v>
      </x:c>
      <x:c r="N30" s="23" t="str">
        <x:v>开源社区广泛采用｜跨厂商、跨硬件</x:v>
      </x:c>
      <x:c r="O30" s="23" t="str">
        <x:v>底层系统运行时</x:v>
      </x:c>
      <x:c r="P30" s="23" t="str">
        <x:v>主负载：实际生效的glibc malloc、jemalloc、tcmalloc或mimalloc的分配/回收/锁/arena，以及Linux page fault；调用方只触发。</x:v>
      </x:c>
      <x:c r="Q30" s="23" t="str">
        <x:v>https://jemalloc.net/</x:v>
      </x:c>
    </x:row>
    <x:row r="31" ht="118" customHeight="1">
      <x:c r="A31" s="34" t="str">
        <x:v>AR-SW-027</x:v>
      </x:c>
      <x:c r="B31" s="34" t="str">
        <x:v>SW-027</x:v>
      </x:c>
      <x:c r="C31" s="34" t="str">
        <x:v>SR-10</x:v>
      </x:c>
      <x:c r="D31" s="34" t="str">
        <x:v>IR-04</x:v>
      </x:c>
      <x:c r="E31" s="23" t="str">
        <x:v>P0</x:v>
      </x:c>
      <x:c r="F31" s="23" t="str">
        <x:v>OpenMP / oneTBB / pthread pools</x:v>
      </x:c>
      <x:c r="G31" s="23" t="str">
        <x:v>Host并行运行时</x:v>
      </x:c>
      <x:c r="H31" s="23" t="str">
        <x:v>多库并发前处理</x:v>
      </x:c>
      <x:c r="I31" s="23" t="str">
        <x:v>FFmpeg/OpenCV/PyTorch/oneDNN/tokenizer各自开池导致oversubscription和上下文切换</x:v>
      </x:c>
      <x:c r="J31" s="23" t="str">
        <x:v>① 基于鲲鹏多核/NUMA拓扑建立全进程线程预算，统一OpenMP、oneTBB、pthread、codec、PyTorch和tokenizer线程池；② 禁止嵌套并行与oversubscription，按阶段选择串行、批内并行或请求级并行；③ worker按NUMA和GPU亲和性绑核，调节任务粒度、队列、spin/sleep策略和背压；④ 对NEON/SVE计算核与内存型核分别评估扩展效率，以吞吐/核、run queue和context switch确定并发上限。</x:v>
      </x:c>
      <x:c r="K31" s="23" t="str">
        <x:v>context switches；run queue；吞吐/核；P99；扩展效率</x:v>
      </x:c>
      <x:c r="L31" s="23" t="str">
        <x:v>加worker收益&lt;50%线性或run queue持续高</x:v>
      </x:c>
      <x:c r="M31" s="23" t="str">
        <x:v>系统性能团队</x:v>
      </x:c>
      <x:c r="N31" s="23" t="str">
        <x:v>开放标准/开源运行时｜跨硬件；oneTBB为Intel主导</x:v>
      </x:c>
      <x:c r="O31" s="23" t="str">
        <x:v>系统运行时/线程调度层</x:v>
      </x:c>
      <x:c r="P31" s="23" t="str">
        <x:v>主负载：libgomp/libomp/oneTBB/pthread/futex的调度开销，以及各调用库worker中的真实算子；必须区分runtime overhead与worker work。</x:v>
      </x:c>
      <x:c r="Q31" s="23" t="str">
        <x:v>https://www.openmp.org/specifications/</x:v>
      </x:c>
    </x:row>
    <x:row r="32" ht="118" customHeight="1">
      <x:c r="A32" s="34" t="str">
        <x:v>AR-SW-028</x:v>
      </x:c>
      <x:c r="B32" s="34" t="str">
        <x:v>SW-028</x:v>
      </x:c>
      <x:c r="C32" s="34" t="str">
        <x:v>SR-10</x:v>
      </x:c>
      <x:c r="D32" s="34" t="str">
        <x:v>IR-04</x:v>
      </x:c>
      <x:c r="E32" s="23" t="str">
        <x:v>P1</x:v>
      </x:c>
      <x:c r="F32" s="23" t="str">
        <x:v>Linux NUMA / PyTorch NUMA binding</x:v>
      </x:c>
      <x:c r="G32" s="23" t="str">
        <x:v>Host内存拓扑</x:v>
      </x:c>
      <x:c r="H32" s="23" t="str">
        <x:v>多socket/多GPU</x:v>
      </x:c>
      <x:c r="I32" s="23" t="str">
        <x:v>worker、内存和GPU PCIe根节点错位造成远端访问与H2D下降</x:v>
      </x:c>
      <x:c r="J32" s="23" t="str">
        <x:v>① 服务启动时探测鲲鹏socket、NUMA、内存控制器、PCIe和GPU拓扑，并将信息传递给调度器；② worker、线程池、buffer pool、模型权重和共享内存采用first-touch及NUMA本地分配，减少remote memory；③ 将GPU相关预处理、pinned分配和H2D线程绑定到对应PCIe根节点，跨socket共享只保留必要的只读数据；④ 评估大页、内存交织和容器/cgroup绑核策略，以remote NUMA%、带宽和P99验收。</x:v>
      </x:c>
      <x:c r="K32" s="23" t="str">
        <x:v>remote NUMA%；H2D GB/s；P99；吞吐；page faults</x:v>
      </x:c>
      <x:c r="L32" s="23" t="str">
        <x:v>双路及以上CPU或多GPU节点</x:v>
      </x:c>
      <x:c r="M32" s="23" t="str">
        <x:v>系统性能团队</x:v>
      </x:c>
      <x:c r="N32" s="23" t="str">
        <x:v>开源系统能力｜Linux/NUMA拓扑相关，非厂商绑定</x:v>
      </x:c>
      <x:c r="O32" s="23" t="str">
        <x:v>系统运行时/拓扑控制层</x:v>
      </x:c>
      <x:c r="P32" s="23" t="str">
        <x:v>主负载：调用库中的内存访问、libc memcpy、Linux mm/page fault及远端NUMA流量；NUMA binding API自身不是计算热点。</x:v>
      </x:c>
      <x:c r="Q32" s="23" t="str">
        <x:v>https://docs.pytorch.org/docs/stable/elastic/numa.html</x:v>
      </x:c>
    </x:row>
    <x:row r="33" ht="118" customHeight="1">
      <x:c r="A33" s="34" t="str">
        <x:v>AR-SW-029</x:v>
      </x:c>
      <x:c r="B33" s="34" t="str">
        <x:v>SW-029</x:v>
      </x:c>
      <x:c r="C33" s="34" t="str">
        <x:v>SR-01</x:v>
      </x:c>
      <x:c r="D33" s="34" t="str">
        <x:v>IR-01</x:v>
      </x:c>
      <x:c r="E33" s="23" t="str">
        <x:v>P1</x:v>
      </x:c>
      <x:c r="F33" s="23" t="str">
        <x:v>FastAPI / Starlette / Uvicorn</x:v>
      </x:c>
      <x:c r="G33" s="23" t="str">
        <x:v>服务接入与输出</x:v>
      </x:c>
      <x:c r="H33" s="23" t="str">
        <x:v>OpenAI兼容API与SSE</x:v>
      </x:c>
      <x:c r="I33" s="23" t="str">
        <x:v>同步CPU任务阻塞event loop；Pydantic对象、base64和逐token SSE造成CPU/尾延迟</x:v>
      </x:c>
      <x:c r="J33" s="23" t="str">
        <x:v>① 将请求解析、Pydantic校验、base64/媒体读取、业务处理和SSE输出分阶段打点，CPU重任务移出event loop；② 带Schema请求直接使用Pydantic-core（含jiter）的model_validate_json等融合路径，通用dict/list响应与SSE封包使用orjson，禁止默认采用orjson.loads→Pydantic再次遍历的重复路径；③ 在鲲鹏上使用AArch64原生Pydantic-core、orjson、uvloop/httptools和优化TLS库，减少Python对象与bytes/string往返；④ worker按NUMA部署并实施连接、慢客户端和大媒体请求隔离。</x:v>
      </x:c>
      <x:c r="K33" s="23" t="str">
        <x:v>parse CPU/request；event-loop lag；writes/request；P99；QPS</x:v>
      </x:c>
      <x:c r="L33" s="23" t="str">
        <x:v>API CPU占TTFT/TPOT&gt;10%</x:v>
      </x:c>
      <x:c r="M33" s="23" t="str">
        <x:v>平台中间件团队</x:v>
      </x:c>
      <x:c r="N33" s="23" t="str">
        <x:v>开源社区广泛采用｜跨厂商、跨硬件</x:v>
      </x:c>
      <x:c r="O33" s="23" t="str">
        <x:v>上层入口/服务适配层</x:v>
      </x:c>
      <x:c r="P33" s="23" t="str">
        <x:v>主负载：带Schema请求/结构化输出落到Pydantic-core（jiter解析、validator与Python对象构造）；通用dict/list响应与SSE JSON落到orjson；其余为uvloop/libuv、httptools/h11、OpenSSL及Linux网络栈。FastAPI路由层主要是入口。</x:v>
      </x:c>
      <x:c r="Q33" s="23" t="str">
        <x:v>https://fastapi.tiangolo.com/</x:v>
      </x:c>
    </x:row>
    <x:row r="34" ht="118" customHeight="1">
      <x:c r="A34" s="34" t="str">
        <x:v>AR-SW-030</x:v>
      </x:c>
      <x:c r="B34" s="34" t="str">
        <x:v>SW-030</x:v>
      </x:c>
      <x:c r="C34" s="34" t="str">
        <x:v>SR-08</x:v>
      </x:c>
      <x:c r="D34" s="34" t="str">
        <x:v>IR-03</x:v>
      </x:c>
      <x:c r="E34" s="23" t="str">
        <x:v>P0</x:v>
      </x:c>
      <x:c r="F34" s="23" t="str">
        <x:v>Pydantic-core（含jiter）/ orjson / simdjson / RapidJSON / sonic-cpp / Protobuf / gRPC</x:v>
      </x:c>
      <x:c r="G34" s="23" t="str">
        <x:v>JSON解析、Schema校验、序列化与IPC</x:v>
      </x:c>
      <x:c r="H34" s="23" t="str">
        <x:v>AI推理请求/响应、Agent tool_call、Structured Output、JSON mode、SSE及跨进程消息</x:v>
      </x:c>
      <x:c r="I34" s="23" t="str">
        <x:v>Schema化JSON、通用JSON和流式碎片混用；orjson.loads后再Pydantic校验、model_dump后再dumps等重复遍历；逐token重扫历史buffer；字符串/UTF-8/数字处理、Python对象构造、Schema校验及bytes/string复制共同放大CPU、TTFT/TPOT和P99</x:v>
      </x:c>
      <x:c r="J34" s="23" t="str">
        <x:v>① 建立统一JSON处理规范但按执行场景分层：P0优先Pydantic-core（含jiter）承载Schema驱动解析、类型转换、Structured Output/tool_call校验及partial JSON；P0优先orjson承载普通dict/list、SSE、metadata和日志等通用Python序列化；P1以simdjson承载C/C++网关、大JSON及On-Demand字段投影。② 消除重复链路：带Schema输入优先直接model_validate_json，Pydantic模型优先直接model_dump_json；只有已经是通用Python对象时才进入orjson，禁止默认叠加两套解析/序列化。③ 鲲鹏侧针对真实热点建设AArch64原生构建：jiter/原生parser优化结构扫描、partial状态、字段查找、validator和对象构造；orjson优化字符串转义、UTF-8、数字格式化及一次性bytes输出；simdjson强化NEON structural scan与On-Demand，SVE/SVE2仅按机型派发。④ RapidJSON仅做生产存量兼容和热点定点优化；sonic-cpp在ARM后端成熟且有明确业务采用后再支持，不投入五套同类内核。⑤ 内部高频IPC优先Protobuf/gRPC紧凑消息和buffer复用，避免用JSON传递大tensor或重复metadata。</x:v>
      </x:c>
      <x:c r="K34" s="23" t="str">
        <x:v>各场景CPU/request与exclusive time；parse/validate/serialize µs/KB；µs/token；历史buffer重复扫描bytes；Python allocations；中间dict/list数量；copy bytes；SSE writes；IPC bytes；TTFT/TPOT/P99；语义与错误恢复一致性</x:v>
      </x:c>
      <x:c r="L34" s="23" t="str">
        <x:v>AI Agent的tool_call/Structured Output进入主链路，或JSON解析+校验+序列化累计占HOST CPU≥5%，或重复解析/对象构造进入CPU Top-N；simdjson、RapidJSON、sonic-cpp仍须分别由生产调用链和流量证明</x:v>
      </x:c>
      <x:c r="M34" s="23" t="str">
        <x:v>平台中间件团队 / Agent基础设施团队</x:v>
      </x:c>
      <x:c r="N34" s="23" t="str">
        <x:v>主支持库均为开源社区项目且跨厂商；Pydantic-core/jiter与orjson偏Python生态，simdjson跨语言；RapidJSON为广泛历史存量；sonic-cpp当前ARM成熟度受限但非硬件厂商专有；Protobuf/gRPC跨硬件</x:v>
      </x:c>
      <x:c r="O34" s="23" t="str">
        <x:v>上层适配/Schema执行层 + 底层解析/序列化内核 + IPC执行层</x:v>
      </x:c>
      <x:c r="P34" s="23" t="str">
        <x:v>主要真实负载按场景归因：Schema请求、tool_call和Structured Output落到Pydantic-core（jiter、validator、serializer及Python对象构造）；普通Python响应/SSE落到orjson；C/C++大JSON和字段投影落到simdjson；RapidJSON仅在存量调用命中时归因，sonic-cpp仅在ARM生产路径启用后归因；IPC落到protobuf/gRPC core、TLS和libc memcpy。</x:v>
      </x:c>
      <x:c r="Q34" s="23" t="str">
        <x:v>https://docs.pydantic.dev/latest/concepts/json/ ; https://github.com/pydantic/jiter ; https://github.com/ijl/orjson ; https://github.com/simdjson/simdjson ; https://github.com/Tencent/rapidjson ; https://github.com/bytedance/sonic-cpp ; https://grpc.io/docs/</x:v>
      </x:c>
    </x:row>
    <x:row r="35" ht="118" customHeight="1">
      <x:c r="A35" s="34" t="str">
        <x:v>AR-SW-031</x:v>
      </x:c>
      <x:c r="B35" s="34" t="str">
        <x:v>SW-031</x:v>
      </x:c>
      <x:c r="C35" s="34" t="str">
        <x:v>SR-12</x:v>
      </x:c>
      <x:c r="D35" s="34" t="str">
        <x:v>IR-05</x:v>
      </x:c>
      <x:c r="E35" s="23" t="str">
        <x:v>P1</x:v>
      </x:c>
      <x:c r="F35" s="23" t="str">
        <x:v>Redis / shared memory / LMCache / xxHash</x:v>
      </x:c>
      <x:c r="G35" s="23" t="str">
        <x:v>缓存、状态与内容指纹</x:v>
      </x:c>
      <x:c r="H35" s="23" t="str">
        <x:v>processor结果、媒体metadata、会话、KV扩展及缓存键</x:v>
      </x:c>
      <x:c r="I35" s="23" t="str">
        <x:v>远端缓存原始tensor序列化成本高；本地多进程重复；低命中时hash/lookup成为纯开销，且常与序列化和内存拷贝混在一起</x:v>
      </x:c>
      <x:c r="J35" s="23" t="str">
        <x:v>① 按processor结果、媒体metadata、会话和扩展KV建立分层缓存，先核算命中净收益再决定远端/本地层；② cache key一次canonicalize并一次hash，非安全场景优先xxHash，安全完整性使用OpenSSL/BLAKE3，避免序列化后重复扫描；③ 对大buffer hash、copy和校验采用AArch64 NEON并按机型评估SVE/SVE2，复用连续buffer；④ shared memory、Redis client/server和LMCache worker按NUMA部署，建立容量、淘汰、版本隔离和错误命中保护。</x:v>
      </x:c>
      <x:c r="K35" s="23" t="str">
        <x:v>hit；saved-ms；hash CPU%；GB/s；bytes hashed；lookup；bytes/entry；RSS；网络字节</x:v>
      </x:c>
      <x:c r="L35" s="23" t="str">
        <x:v>重复媒体/多轮复用率高且saved-ms&gt;3×lookup；仅当hash进入CPU Top-N或累计占请求CPU≥3%时拆为独立项</x:v>
      </x:c>
      <x:c r="M35" s="23" t="str">
        <x:v>推理框架团队</x:v>
      </x:c>
      <x:c r="N35" s="23" t="str">
        <x:v>开源社区/项目混合｜哈希库跨厂商、跨硬件；LMCache偏LLM加速器生态</x:v>
      </x:c>
      <x:c r="O35" s="23" t="str">
        <x:v>混合：缓存编排+底层执行</x:v>
      </x:c>
      <x:c r="P35" s="23" t="str">
        <x:v>主负载：xxHash/OpenSSL/BLAKE3、序列化与memcpy、Redis server/network、shared-memory拷贝及LMCache具体backend；cache API耗时需拆成子阶段。</x:v>
      </x:c>
      <x:c r="Q35" s="23" t="str">
        <x:v>https://redis.io/docs/latest/ ; https://xxhash.com/ ; https://docs.openssl.org/master/man7/evp/ ; https://github.com/BLAKE3-team/BLAKE3</x:v>
      </x:c>
    </x:row>
    <x:row r="36" ht="118" customHeight="1">
      <x:c r="A36" s="34" t="str">
        <x:v>AR-SW-032</x:v>
      </x:c>
      <x:c r="B36" s="34" t="str">
        <x:v>SW-032</x:v>
      </x:c>
      <x:c r="C36" s="34" t="str">
        <x:v>SR-13</x:v>
      </x:c>
      <x:c r="D36" s="34" t="str">
        <x:v>IR-06</x:v>
      </x:c>
      <x:c r="E36" s="23" t="str">
        <x:v>P2</x:v>
      </x:c>
      <x:c r="F36" s="23" t="str">
        <x:v>OpenTelemetry / Prometheus</x:v>
      </x:c>
      <x:c r="G36" s="23" t="str">
        <x:v>可观测性</x:v>
      </x:c>
      <x:c r="H36" s="23" t="str">
        <x:v>生产全链路</x:v>
      </x:c>
      <x:c r="I36" s="23" t="str">
        <x:v>per-token span、高基数label、原始媒体/长文本日志污染P99并扭曲profile</x:v>
      </x:c>
      <x:c r="J36" s="23" t="str">
        <x:v>① 将可观测性拆成常驻低开销模式与限时诊断模式，禁止per-token全量span和高基数label；② 使用每线程/每核buffer、采样聚合和异步批量export，减少锁、分配和同步I/O；③ 复用Protobuf/JSON buffer并采用AArch64原生序列化/TLS实现，严禁记录base64媒体和长prompt；④ 将OTel SDK、序列化、exporter和网络分别计量，控制在明确CPU/P99预算内。</x:v>
      </x:c>
      <x:c r="K36" s="23" t="str">
        <x:v>observability CPU%；span/request；cardinality；bytes/request；P99增量</x:v>
      </x:c>
      <x:c r="L36" s="23" t="str">
        <x:v>监控开销&gt;CPU链路5%或影响P99</x:v>
      </x:c>
      <x:c r="M36" s="23" t="str">
        <x:v>性能工程团队</x:v>
      </x:c>
      <x:c r="N36" s="23" t="str">
        <x:v>开源社区与开放标准｜跨厂商、跨硬件</x:v>
      </x:c>
      <x:c r="O36" s="23" t="str">
        <x:v>上层埋点/导出层</x:v>
      </x:c>
      <x:c r="P36" s="23" t="str">
        <x:v>主负载：OTel SDK聚合/锁/分配、Protobuf/JSON序列化、exporter网络I/O及Prometheus采集；业务埋点函数通常只是入口。</x:v>
      </x:c>
      <x:c r="Q36" s="23" t="str">
        <x:v>https://opentelemetry.io/docs/</x:v>
      </x:c>
    </x:row>
    <x:row r="37" ht="118" customHeight="1">
      <x:c r="A37" s="34" t="str">
        <x:v>AR-SW-033</x:v>
      </x:c>
      <x:c r="B37" s="34" t="str">
        <x:v>SW-033</x:v>
      </x:c>
      <x:c r="C37" s="34" t="str">
        <x:v>SR-14</x:v>
      </x:c>
      <x:c r="D37" s="34" t="str">
        <x:v>IR-06</x:v>
      </x:c>
      <x:c r="E37" s="23" t="str">
        <x:v>P2</x:v>
      </x:c>
      <x:c r="F37" s="23" t="str">
        <x:v>perf / eBPF / PyTorch Profiler / Nsight Systems</x:v>
      </x:c>
      <x:c r="G37" s="23" t="str">
        <x:v>性能诊断</x:v>
      </x:c>
      <x:c r="H37" s="23" t="str">
        <x:v>研发与生产诊断</x:v>
      </x:c>
      <x:c r="I37" s="23" t="str">
        <x:v>缺少统一阶段归因，单看CPU利用率或cudaMemcpy无法定位owner</x:v>
      </x:c>
      <x:c r="J37" s="23" t="str">
        <x:v>① 建立适用于鲲鹏AArch64的统一profiling流水线，包含perf/eBPF、PyTorch Profiler及GPU场景的Nsight，保留build-id与原生符号；② 同时输出inclusive/exclusive time、DSO/.so、线程池、实际backend和调用链，识别上层穿透；③ 使用ARM PMU观察IPC、分支、L1/L2/LLC、TLB、内存带宽和remote NUMA，并验证NEON/SVE向量化是否真正生效；④ 将标准trace和关键microbenchmark纳入持续回归，限制profiling开销。</x:v>
      </x:c>
      <x:c r="K37" s="23" t="str">
        <x:v>阶段覆盖率；采样开销；回归检出率；可归因热点比例</x:v>
      </x:c>
      <x:c r="L37" s="23" t="str">
        <x:v>所有P0/P1优化的前置依赖</x:v>
      </x:c>
      <x:c r="M37" s="23" t="str">
        <x:v>性能工程团队</x:v>
      </x:c>
      <x:c r="N37" s="23" t="str">
        <x:v>混合｜perf/eBPF/PyTorch跨硬件；Nsight为NVIDIA绑定</x:v>
      </x:c>
      <x:c r="O37" s="23" t="str">
        <x:v>诊断工具层</x:v>
      </x:c>
      <x:c r="P37" s="23" t="str">
        <x:v>该行不承接业务负载：perf/eBPF/Nsight/PyTorch Profiler负责观测；真实热点应归属采样命中的DSO、native symbol、线程池或GPU kernel。</x:v>
      </x:c>
      <x:c r="Q37" s="23" t="str">
        <x:v>https://pytorch.org/docs/stable/profiler.html</x:v>
      </x:c>
    </x:row>
    <x:row r="38" ht="118" customHeight="1">
      <x:c r="A38" s="34" t="str">
        <x:v>AR-SW-034</x:v>
      </x:c>
      <x:c r="B38" s="34" t="str">
        <x:v>SW-034</x:v>
      </x:c>
      <x:c r="C38" s="34" t="str">
        <x:v>SR-03</x:v>
      </x:c>
      <x:c r="D38" s="34" t="str">
        <x:v>IR-02</x:v>
      </x:c>
      <x:c r="E38" s="23" t="str">
        <x:v>P1</x:v>
      </x:c>
      <x:c r="F38" s="23" t="str">
        <x:v>NVENC</x:v>
      </x:c>
      <x:c r="G38" s="23" t="str">
        <x:v>输出编码</x:v>
      </x:c>
      <x:c r="H38" s="23" t="str">
        <x:v>视频生成/视频后处理</x:v>
      </x:c>
      <x:c r="I38" s="23" t="str">
        <x:v>CPU H.264/H.265编码成为GPU完成后的主尾部瓶颈</x:v>
      </x:c>
      <x:c r="J38" s="23" t="str">
        <x:v>① 仅在鲲鹏Host连接支持NVENC的NVIDIA GPU时启用，验证ARM64驱动与Video Codec SDK版本矩阵；② 使用硬件编码池、异步队列和固定质量/码率档位，避免CPU软件编码成为输出尾部瓶颈；③ 复用surface和host/device buffer，尽量保持GPU侧格式转换并减少D2H/H2D；④ 编码提交线程、pinned内存和GPU按NUMA拓扑部署，与主模型GPU资源隔离并保留软件编码回退。</x:v>
      </x:c>
      <x:c r="K38" s="23" t="str">
        <x:v>frames/s；encode P99；GPU-finish→response；码率/质量；资源占用</x:v>
      </x:c>
      <x:c r="L38" s="23" t="str">
        <x:v>视频生成编码占端到端&gt;10%，通常升P0</x:v>
      </x:c>
      <x:c r="M38" s="23" t="str">
        <x:v>媒体系统团队</x:v>
      </x:c>
      <x:c r="N38" s="23" t="str">
        <x:v>厂商专有SDK｜NVIDIA GPU硬件绑定</x:v>
      </x:c>
      <x:c r="O38" s="23" t="str">
        <x:v>适配层+硬件执行</x:v>
      </x:c>
      <x:c r="P38" s="23" t="str">
        <x:v>主负载：NVENC固定功能编码引擎、NVIDIA驱动、surface转换与内存拷贝；SDK/API提交线程通常只承担轻量调度。</x:v>
      </x:c>
      <x:c r="Q38" s="23" t="str">
        <x:v>https://developer.nvidia.com/video-codec-sdk</x:v>
      </x:c>
    </x:row>
    <x:row r="39" ht="118" customHeight="1">
      <x:c r="A39" s="34" t="str">
        <x:v>AR-SW-035</x:v>
      </x:c>
      <x:c r="B39" s="34" t="str">
        <x:v>SW-035</x:v>
      </x:c>
      <x:c r="C39" s="34" t="str">
        <x:v>SR-01</x:v>
      </x:c>
      <x:c r="D39" s="34" t="str">
        <x:v>IR-01</x:v>
      </x:c>
      <x:c r="E39" s="23" t="str">
        <x:v>P1</x:v>
      </x:c>
      <x:c r="F39" s="23" t="str">
        <x:v>Envoy / Nginx</x:v>
      </x:c>
      <x:c r="G39" s="23" t="str">
        <x:v>接入代理与流控</x:v>
      </x:c>
      <x:c r="H39" s="23" t="str">
        <x:v>远程媒体、SSE/WebSocket、高并发</x:v>
      </x:c>
      <x:c r="I39" s="23" t="str">
        <x:v>代理缓冲、超时、连接池和逐小包转发放大尾延迟</x:v>
      </x:c>
      <x:c r="J39" s="23" t="str">
        <x:v>① 构建AArch64优化的Envoy/Nginx发行版，TLS优先使用支持ARMv8 Crypto Extension的OpenSSL/BoringSSL实现；② 按NUMA部署worker、连接池和内存池，复用连接并隔离慢客户端与大媒体请求；③ 优化流式buffer、水位和批量write策略，减少逐token小包、系统调用和buffer copy；④ 将代理event loop、TLS、压缩、HTTP解析和Linux网络栈分别profile，NEON/SVE只用于真实数据面热点，不做形式化向量化。</x:v>
      </x:c>
      <x:c r="K39" s="23" t="str">
        <x:v>连接复用率；proxy queue；writes；P99；超时/重试放大</x:v>
      </x:c>
      <x:c r="L39" s="23" t="str">
        <x:v>代理层排队或小包转发可见</x:v>
      </x:c>
      <x:c r="M39" s="23" t="str">
        <x:v>平台中间件团队</x:v>
      </x:c>
      <x:c r="N39" s="23" t="str">
        <x:v>开源社区广泛采用｜跨厂商、跨硬件</x:v>
      </x:c>
      <x:c r="O39" s="23" t="str">
        <x:v>系统服务/网络执行层</x:v>
      </x:c>
      <x:c r="P39" s="23" t="str">
        <x:v>主负载：Envoy/Nginx event loop、TLS（OpenSSL/BoringSSL）、HTTP解析、zlib压缩、buffer copy及Linux网络栈；配置层本身不承担数据面负载。</x:v>
      </x:c>
      <x:c r="Q39" s="23" t="str">
        <x:v>https://www.envoyproxy.io/docs/envoy/latest/</x:v>
      </x:c>
    </x:row>
  </x:sheetData>
  <x:mergeCells>
    <x:mergeCell ref="A1:Q1"/>
    <x:mergeCell ref="A2:Q2"/>
  </x:mergeCells>
  <x:conditionalFormatting sqref="E5:E39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4273d304237d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  <x:col min="3" max="3" width="58" hidden="0" customWidth="1"/>
    <x:col min="4" max="4" width="58" hidden="0" customWidth="1"/>
    <x:col min="5" max="5" width="52" hidden="0" customWidth="1"/>
  </x:cols>
  <x:sheetData>
    <x:row r="1" ht="34" customHeight="1">
      <x:c r="A1" s="3" t="str">
        <x:v>SF / IR / SR / AR 分解口径、规则与来源</x:v>
      </x:c>
    </x:row>
    <x:row r="3">
      <x:c r="A3" s="11" t="str">
        <x:v>层级</x:v>
      </x:c>
      <x:c r="B3" s="11" t="str">
        <x:v>中文名称</x:v>
      </x:c>
      <x:c r="C3" s="11" t="str">
        <x:v>工作定义</x:v>
      </x:c>
      <x:c r="D3" s="11" t="str">
        <x:v>本版落点</x:v>
      </x:c>
      <x:c r="E3" s="11" t="str">
        <x:v>来源</x:v>
      </x:c>
    </x:row>
    <x:row r="4" ht="90" customHeight="1">
      <x:c r="A4" s="27" t="str">
        <x:v>SF</x:v>
      </x:c>
      <x:c r="B4" s="23" t="str">
        <x:v>系统特性 System Feature</x:v>
      </x:c>
      <x:c r="C4" s="23" t="str">
        <x:v>能够带来业务价值、解决客户关键问题的端到端系统能力。</x:v>
      </x:c>
      <x:c r="D4" s="23" t="str">
        <x:v>1个总体系统特性：加速AI多模态推理和生成Host侧业务负载。</x:v>
      </x:c>
      <x:c r="E4" s="23" t="str">
        <x:v>https://support.huaweicloud.com/intl/en-us/usermanual-projectman/projectman_01_8004.html</x:v>
      </x:c>
    </x:row>
    <x:row r="5" ht="90" customHeight="1">
      <x:c r="A5" s="27" t="str">
        <x:v>IR</x:v>
      </x:c>
      <x:c r="B5" s="23" t="str">
        <x:v>初始需求 Initial Requirement</x:v>
      </x:c>
      <x:c r="C5" s="23" t="str">
        <x:v>从客户/市场视角，对背景完整、表达准确的业务需求进行标准化描述。</x:v>
      </x:c>
      <x:c r="D5" s="23" t="str">
        <x:v>6个业务负载导向的初始需求，分别覆盖接入、媒体、语义/Agent、计算内存、Serving和性能闭环。</x:v>
      </x:c>
      <x:c r="E5" s="23" t="str">
        <x:v>https://support.huaweicloud.com/intl/en-us/usermanual-projectman/projectman_01_8004.html</x:v>
      </x:c>
    </x:row>
    <x:row r="6" ht="90" customHeight="1">
      <x:c r="A6" s="27" t="str">
        <x:v>SR</x:v>
      </x:c>
      <x:c r="B6" s="23" t="str">
        <x:v>系统需求 System Requirement</x:v>
      </x:c>
      <x:c r="C6" s="23" t="str">
        <x:v>从研发视角描述系统对外可呈现、可测试的功能和非功能要求。</x:v>
      </x:c>
      <x:c r="D6" s="23" t="str">
        <x:v>14个可测试SR，给出场景、系统要求、建议指标、Owner和下级AR。</x:v>
      </x:c>
      <x:c r="E6" s="23" t="str">
        <x:v>https://support.huaweicloud.com/intl/en-us/usermanual-projectman/projectman_01_8004.html</x:v>
      </x:c>
    </x:row>
    <x:row r="7" ht="90" customHeight="1">
      <x:c r="A7" s="27" t="str">
        <x:v>AR</x:v>
      </x:c>
      <x:c r="B7" s="23" t="str">
        <x:v>分配需求 Allocated Requirement</x:v>
      </x:c>
      <x:c r="C7" s="23" t="str">
        <x:v>从可交付和职责划分出发，将SR分解并分配到子系统或模块。</x:v>
      </x:c>
      <x:c r="D7" s="23" t="str">
        <x:v>35个AR与原SW需求一一映射，保留软件库、Owner、真实负载、验收指标和来源。</x:v>
      </x:c>
      <x:c r="E7" s="23" t="str">
        <x:v>https://support.huaweicloud.com/intl/en-us/usermanual-projectman/projectman_01_8004.html</x:v>
      </x:c>
    </x:row>
    <x:row r="10">
      <x:c r="A10" s="11" t="str">
        <x:v>分解/评审规则</x:v>
      </x:c>
      <x:c r="B10" s="11" t="str">
        <x:v>说明</x:v>
      </x:c>
    </x:row>
    <x:row r="11" ht="62" customHeight="1">
      <x:c r="A11" s="34" t="str">
        <x:v>总体范围</x:v>
      </x:c>
      <x:c r="B11" s="23" t="str">
        <x:v>请求接入到GPU提交前，以及GPU输出到用户可消费结果之间的Host活动；不含GPU模型主计算。</x:v>
      </x:c>
    </x:row>
    <x:row r="12" ht="62" customHeight="1">
      <x:c r="A12" s="34" t="str">
        <x:v>V1目标口径</x:v>
      </x:c>
      <x:c r="B12" s="23" t="str">
        <x:v>局部≥20%、相关E2E≥5%为建议评审门槛，不是已承诺目标；应按业务族、模型、模态、shape、并发和机型锁定基线后确认。</x:v>
      </x:c>
    </x:row>
    <x:row r="13" ht="62" customHeight="1">
      <x:c r="A13" s="34" t="str">
        <x:v>AR映射规则</x:v>
      </x:c>
      <x:c r="B13" s="23" t="str">
        <x:v>每条原SW需求只映射到一个主SR，避免重复计数；跨域影响通过业务场景、父IR和真实负载列表达。</x:v>
      </x:c>
    </x:row>
    <x:row r="14" ht="62" customHeight="1">
      <x:c r="A14" s="34" t="str">
        <x:v>穿透归因</x:v>
      </x:c>
      <x:c r="B14" s="23" t="str">
        <x:v>入口库inclusive time不能直接作为自身负载；必须下钻到消耗exclusive CPU、内存带宽、I/O或GPU时间的DSO、symbol、线程池和backend。</x:v>
      </x:c>
    </x:row>
    <x:row r="15" ht="62" customHeight="1">
      <x:c r="A15" s="34" t="str">
        <x:v>Owner规则</x:v>
      </x:c>
      <x:c r="B15" s="23" t="str">
        <x:v>优化项可以挂在上层责任田，但交付物必须指向主要真实负载库；后端动态选择时按生产配置分别归因。</x:v>
      </x:c>
    </x:row>
    <x:row r="16" ht="62" customHeight="1">
      <x:c r="A16" s="34" t="str">
        <x:v>验收三件套</x:v>
      </x:c>
      <x:c r="B16" s="23" t="str">
        <x:v>每个P0/P1 AR同时提交microbenchmark、端到端A/B和语义/质量golden，并说明资源增量、适用边界和回退路径。</x:v>
      </x:c>
    </x:row>
    <x:row r="17" ht="62" customHeight="1">
      <x:c r="A17" s="34" t="str">
        <x:v>鲲鹏指令集</x:v>
      </x:c>
      <x:c r="B17" s="23" t="str">
        <x:v>NEON作为AArch64基础SIMD路径；SVE/SVE2仅在目标机型实际支持时启用，提供通用C/NEON/SVE多版本构建或运行时派发。</x:v>
      </x:c>
    </x:row>
    <x:row r="18" ht="62" customHeight="1">
      <x:c r="A18" s="34" t="str">
        <x:v>优先级</x:v>
      </x:c>
      <x:c r="B18" s="23" t="str">
        <x:v>AR优先级继承源SW需求；SR/IR取下级AR中的最高优先级，用于评审排序，不代表所有子项同时立项。</x:v>
      </x:c>
    </x:row>
    <x:row r="19" ht="62" customHeight="1">
      <x:c r="A19" s="34" t="str">
        <x:v>状态</x:v>
      </x:c>
      <x:c r="B19" s="23" t="str">
        <x:v>本文件为第一版需求分解，SF/IR/SR描述、目标阈值、Owner和AR父子关系均需在业务、架构、性能与模块团队联合评审后基线化。</x:v>
      </x:c>
    </x:row>
    <x:row r="20" ht="62" customHeight="1">
      <x:c r="A20" s="34" t="str">
        <x:v>源工作簿</x:v>
      </x:c>
      <x:c r="B20" s="23" t="str">
        <x:v>多模态在线推理_HOST侧软件优化需求列表.xlsx（35条需求，2026-07-15读取）。</x:v>
      </x:c>
    </x:row>
    <x:row r="21" ht="62" customHeight="1">
      <x:c r="A21" s="34" t="str">
        <x:v>背景资料</x:v>
      </x:c>
      <x:c r="B21" s="23" t="str">
        <x:v>GPU推理CPU瓶颈分析.md；Multimodal 关键环节分解.xlsx；多模态在线推理_HOST侧性能瓶颈与软件优化分析报告.html。</x:v>
      </x:c>
    </x:row>
    <x:row r="22" ht="62" customHeight="1">
      <x:c r="A22" s="34" t="str">
        <x:v>需求层级参考</x:v>
      </x:c>
      <x:c r="B22" s="23" t="str">
        <x:v>Huawei Cloud CodeArts Req：SF &gt; IR &gt; SR &gt; AR及各层定义。</x:v>
      </x:c>
    </x:row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491304625b684391"/>
    <x:tablePart xmlns:r="http://schemas.openxmlformats.org/officeDocument/2006/relationships" r:id="R44e7919521104cb2"/>
  </x:tableParts>
</x:worksheet>
</file>